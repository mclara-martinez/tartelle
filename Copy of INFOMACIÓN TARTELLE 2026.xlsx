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TAURANTESDESCUENTOS 2026" sheetId="1" r:id="rId5"/>
    <sheet state="visible" name="INVENTARIO DIARIO PT" sheetId="2" r:id="rId6"/>
    <sheet state="visible" name="PRODUCCION" sheetId="3" r:id="rId7"/>
    <sheet state="visible" name="TRASLADOS BODEGAS" sheetId="4" r:id="rId8"/>
    <sheet state="visible" name="PEDIDOS" sheetId="5" r:id="rId9"/>
    <sheet state="visible" name="HOY" sheetId="6" r:id="rId10"/>
    <sheet state="visible" name="MAÑANA" sheetId="7" r:id="rId11"/>
    <sheet state="visible" name="CATALOGO" sheetId="8" r:id="rId12"/>
  </sheets>
  <definedNames>
    <definedName hidden="1" localSheetId="0" name="_xlnm._FilterDatabase">'RESTAURANTESDESCUENTOS 2026'!$A$1:$I$1077</definedName>
    <definedName hidden="1" localSheetId="1" name="_xlnm._FilterDatabase">'INVENTARIO DIARIO PT'!$A$1:$E$569</definedName>
    <definedName hidden="1" localSheetId="3" name="_xlnm._FilterDatabase">'TRASLADOS BODEGAS'!$A$1:$E$269</definedName>
    <definedName hidden="1" localSheetId="4" name="_xlnm._FilterDatabase">PEDIDOS!$A$1:$N$5168</definedName>
    <definedName hidden="1" localSheetId="6" name="_xlnm._FilterDatabase">'MAÑANA'!$A$3:$GN$467</definedName>
    <definedName hidden="1" localSheetId="7" name="_xlnm._FilterDatabase">CATALOGO!$K$1:$M$55</definedName>
  </definedNames>
  <calcPr/>
  <pivotCaches>
    <pivotCache cacheId="0" r:id="rId13"/>
  </pivotCaches>
</workbook>
</file>

<file path=xl/sharedStrings.xml><?xml version="1.0" encoding="utf-8"?>
<sst xmlns="http://schemas.openxmlformats.org/spreadsheetml/2006/main" count="16837" uniqueCount="1484">
  <si>
    <t>0</t>
  </si>
  <si>
    <t>DESCUENTO</t>
  </si>
  <si>
    <t>RAZON SOCIAL</t>
  </si>
  <si>
    <t>ACTIVO</t>
  </si>
  <si>
    <t>PRODUCTO</t>
  </si>
  <si>
    <t>DOMICILIO</t>
  </si>
  <si>
    <t>OBSERVACIONES</t>
  </si>
  <si>
    <t>MARCACION</t>
  </si>
  <si>
    <t>CRÉDITO</t>
  </si>
  <si>
    <t>DIRECCION</t>
  </si>
  <si>
    <t>HIJO DE TIGRE</t>
  </si>
  <si>
    <t>BODEGA LEOPARDO</t>
  </si>
  <si>
    <t>GRANDE ORIGINAL - R</t>
  </si>
  <si>
    <r>
      <rPr>
        <rFont val="Arial"/>
        <color theme="1"/>
      </rPr>
      <t xml:space="preserve">LUNES Y JUEVES </t>
    </r>
    <r>
      <rPr>
        <rFont val="Arial"/>
        <b/>
        <color theme="1"/>
      </rPr>
      <t xml:space="preserve">N/A
</t>
    </r>
    <r>
      <rPr>
        <rFont val="Arial"/>
        <color theme="1"/>
      </rPr>
      <t>OTRO DÍA</t>
    </r>
    <r>
      <rPr>
        <rFont val="Arial"/>
        <b/>
        <color theme="1"/>
      </rPr>
      <t xml:space="preserve"> $10.000</t>
    </r>
  </si>
  <si>
    <t>X10</t>
  </si>
  <si>
    <t>15 DÍAS</t>
  </si>
  <si>
    <t>COMPLEX LOS BALSOS
Cra. 25 #12 Sur-59, El Poblado</t>
  </si>
  <si>
    <t>ENTRECOTE BY CATA INTERPLAZA</t>
  </si>
  <si>
    <t>CATALINA FERNANDEZ SAS</t>
  </si>
  <si>
    <t>8 DÍAS</t>
  </si>
  <si>
    <t>INTERPLAZA
Cra. 30 #10C-228, El Poblado</t>
  </si>
  <si>
    <t>ENTRECOTE BY CATA INDIANA</t>
  </si>
  <si>
    <t>INDIANA MALL
#Local 121, Las Palmas</t>
  </si>
  <si>
    <t>ENTRECOTE BY CATA RETIRO</t>
  </si>
  <si>
    <t>Cra. 20 #19-30, Retiro, Antioquia</t>
  </si>
  <si>
    <t>LA ABUELA NITA</t>
  </si>
  <si>
    <t>ENSORE SAS</t>
  </si>
  <si>
    <t>N/A</t>
  </si>
  <si>
    <t>X12</t>
  </si>
  <si>
    <t>Mall Punto de Encuentro</t>
  </si>
  <si>
    <t>ERNESTO SALON COMEDOR</t>
  </si>
  <si>
    <t>SIMON RESTREPO CALLE</t>
  </si>
  <si>
    <t>Sector el altico, Cra. 20 #23-39, Retiro, Antioquia</t>
  </si>
  <si>
    <t>AMMAZZA LAURELES</t>
  </si>
  <si>
    <t>AMMAZZA LAURELES SAS</t>
  </si>
  <si>
    <t>NO</t>
  </si>
  <si>
    <t>MEDIANA ORIGINAL - R</t>
  </si>
  <si>
    <t>Cra. 76 #73b - 39, Laureles - Estadio</t>
  </si>
  <si>
    <t>AMMAZZA INDIANA</t>
  </si>
  <si>
    <t>AMMAZZA INDIANA SAS</t>
  </si>
  <si>
    <t>AMMAZZA AMSTERDAM</t>
  </si>
  <si>
    <t>AMMAZZA AMSTERDAM SAS</t>
  </si>
  <si>
    <t>AMSTERDAM PLAZA
Cra. 25 #4-165, El Poblado</t>
  </si>
  <si>
    <t>BARBARO POBLADO</t>
  </si>
  <si>
    <t>BARBARO POBLADO SAS</t>
  </si>
  <si>
    <t>Cra. 37 #10a-23, El Poblado</t>
  </si>
  <si>
    <t>BARBARO LAURELES</t>
  </si>
  <si>
    <t>BARBARO LAURELES SAS</t>
  </si>
  <si>
    <t>Cra. 76 #73b-39, Laureles - Estadio</t>
  </si>
  <si>
    <t>BARBARO RIONEGRO</t>
  </si>
  <si>
    <t>BARBARO RIONEGRO SAS</t>
  </si>
  <si>
    <t>Rionegro, Antioquia</t>
  </si>
  <si>
    <t>BARBARO VIVA ENVIGADO</t>
  </si>
  <si>
    <t>BARBARO VIVA ENVIGADO SAS</t>
  </si>
  <si>
    <t>Cra. 48 #32B Sur-139</t>
  </si>
  <si>
    <t>CASA DE NADIE</t>
  </si>
  <si>
    <t>INVERSIONES ENTRE PINOS SAS</t>
  </si>
  <si>
    <t>Tambien piden bites originales y les quedan en 4.000</t>
  </si>
  <si>
    <t>Loma los balsos, Casaloma, Medellín</t>
  </si>
  <si>
    <t>GRILL STATION POBLADO</t>
  </si>
  <si>
    <t>FAIPA FRANQUICIAS SAS</t>
  </si>
  <si>
    <t>SE FACTURA
AREQUIPE-200 CANTIDAD- $110 VALOR UNITARIO</t>
  </si>
  <si>
    <t>PROVENZA
Cra. 34 #7-90, El Poblado</t>
  </si>
  <si>
    <t>GRILL STATION LAURELES</t>
  </si>
  <si>
    <t>Cq. 76 #73B-17, Laureles - Estadio</t>
  </si>
  <si>
    <t>GRILL STATION COLORES</t>
  </si>
  <si>
    <t>MALL LOS COLORES
Cl. 53 #72-44, Laureles - Estadio, Medellín</t>
  </si>
  <si>
    <t>GRILL STATION LLANOGRANDE</t>
  </si>
  <si>
    <t>Mall Jardines de Llanogrande</t>
  </si>
  <si>
    <t>GRILL STATION SAN LUCAS</t>
  </si>
  <si>
    <t>San Lucas Plaza, Cl. 20 Sur #27-55 Of. 9980</t>
  </si>
  <si>
    <t>GRILL STATION ENVIGADO</t>
  </si>
  <si>
    <t>Calle 36d sur # 27a-105, LOCAL 350</t>
  </si>
  <si>
    <t>AZUL SELVA</t>
  </si>
  <si>
    <t>GRUPO AS SAS</t>
  </si>
  <si>
    <t xml:space="preserve">PAGA TODOS LOS 30 DEL MES </t>
  </si>
  <si>
    <t>30 DÍAS</t>
  </si>
  <si>
    <t>VIA PRIMAVERA
Cra. 37 #8a-60, El Poblado</t>
  </si>
  <si>
    <t>EL CAFE CHALET</t>
  </si>
  <si>
    <t>HAROLD RAMOS VARGAS</t>
  </si>
  <si>
    <t>MIENTRAS TIN TO</t>
  </si>
  <si>
    <t>JOHAN ALEJANDRO RAMIREZ GIRALDO</t>
  </si>
  <si>
    <t>SANTIAGO FARLEY COCINA</t>
  </si>
  <si>
    <t>SANTIAGO FARLEY CASTAÑO</t>
  </si>
  <si>
    <t>VARIEDAD</t>
  </si>
  <si>
    <t>DEPENDE DEL LUGAR (ANDRES NOS DICE)</t>
  </si>
  <si>
    <t>SHIBUYA</t>
  </si>
  <si>
    <t>TORRES SANTIAGO OCAMPO</t>
  </si>
  <si>
    <t>LA FRAGUA</t>
  </si>
  <si>
    <t>CON CARITA DE NADA SAS</t>
  </si>
  <si>
    <t>TAMBIEN PIDE GRANDE X12</t>
  </si>
  <si>
    <t>Escuela De Equitacion EQUUS
Zuniga Parte Alta</t>
  </si>
  <si>
    <t>MERO</t>
  </si>
  <si>
    <t>MERO SAS
901.444.356-0</t>
  </si>
  <si>
    <t>SE FACTURA
FRUTOS ROJOS-150 CANTIDAD- $110 VALOR UNITARIO</t>
  </si>
  <si>
    <t>MALL ZONA 2
Cra. 32 #2 Sur 47,
El Poblado</t>
  </si>
  <si>
    <t>ENSO</t>
  </si>
  <si>
    <t>CORANTE SAS</t>
  </si>
  <si>
    <t>Carrera 36 #8a39 Poblado</t>
  </si>
  <si>
    <t>GENERAL CAFE</t>
  </si>
  <si>
    <t>GENERAL CAFE Y BAR SAS</t>
  </si>
  <si>
    <t>Horario de recepcion
7am-6pm</t>
  </si>
  <si>
    <t>Cl. 13 #43D-84 Local 101, 102, El Poblado</t>
  </si>
  <si>
    <t>CASA FLORA</t>
  </si>
  <si>
    <t>BOHEMIAN FLOWERS S.A.S</t>
  </si>
  <si>
    <t>Cruce EL TABLAZO, via Rionegro</t>
  </si>
  <si>
    <t>AMBIENTE LIVING</t>
  </si>
  <si>
    <t>LIVING RESTAURANTES</t>
  </si>
  <si>
    <t>TESORO CENTRO COMERCIAL</t>
  </si>
  <si>
    <t>VELEZ CAFE EL TESORO</t>
  </si>
  <si>
    <t>CAFE ARTISAN SAS</t>
  </si>
  <si>
    <t>MINI ORIGINAL - VELEZ CAFE</t>
  </si>
  <si>
    <t>SOLO SE DESPACHA MIERCOLES Y VIERNES
Horario permitido entregas: 9:00am – 11:00 am</t>
  </si>
  <si>
    <t>TESORO CENTRO COMERCIAL
PISO 2</t>
  </si>
  <si>
    <t>MINI PISTACHO - VELEZ CAFE</t>
  </si>
  <si>
    <t>MINI MILO - VELEZ CAFE</t>
  </si>
  <si>
    <t>VELEZ CAFE SANTAFE</t>
  </si>
  <si>
    <t>SOLO SE DESPACHA MIERCOLES Y VIERNES
Horario permitido entregas: 8:00am – 11:00 am</t>
  </si>
  <si>
    <t>CC SANTAFE 
PISO 2</t>
  </si>
  <si>
    <t>VELEZ CAFE CALI</t>
  </si>
  <si>
    <t xml:space="preserve">RECIBEN DE 9AM A 11 AM
TOCA ENVIAR CON TRANSPORTADORA HACIA CALI
Nevera M: caben 108 mini tartas
Nevera XM: caben 204 mini tartas
</t>
  </si>
  <si>
    <r>
      <rPr>
        <rFont val="Arial"/>
        <color rgb="FF000000"/>
        <sz val="10.0"/>
      </rPr>
      <t xml:space="preserve">Calle 3 # 52 - 253, Cuarto de Legua #52-253, Cali - 
</t>
    </r>
    <r>
      <rPr>
        <rFont val="Arial"/>
        <b/>
        <color rgb="FF000000"/>
        <sz val="10.0"/>
      </rPr>
      <t>Mallplaza</t>
    </r>
  </si>
  <si>
    <t xml:space="preserve">RECIBEN DE 9AM A 11 AM
TOCA ENVIAR CON TRANSPORTADORA HACIA CALI
Nevera M: caben 108 mini tartas
Nevera XM: caben 204 mini tartas
</t>
  </si>
  <si>
    <t>VELEZ CAFE EDIFICIO</t>
  </si>
  <si>
    <t>BITE X16 ORIGINAL VELEZ CAFE</t>
  </si>
  <si>
    <t>Calle 29 # 52-115 Ed. Cueros Velez (Guayabal)</t>
  </si>
  <si>
    <t>BITE X16 MILO VELEZ CAFE</t>
  </si>
  <si>
    <t>BITE X16 PISTACHO VELEZ CAFE</t>
  </si>
  <si>
    <t>LONDRES COCINA BAR</t>
  </si>
  <si>
    <t>MELANY GUTIERREZ ORTIZ</t>
  </si>
  <si>
    <t>"CAMPO VALDEZ
Cl. 77 #48a-05, Aranjuez</t>
  </si>
  <si>
    <t>BURDO</t>
  </si>
  <si>
    <t>BURDO PROVENZA SAS</t>
  </si>
  <si>
    <t>Hotel Click Clack, Cl. 10b #37 29, El Poblado, Medellín</t>
  </si>
  <si>
    <t>EGEO</t>
  </si>
  <si>
    <t>EGEO INVERSIONES SAS</t>
  </si>
  <si>
    <t>MEDIANA PISTACHO - R</t>
  </si>
  <si>
    <t>LE PALITO</t>
  </si>
  <si>
    <t>PENDIENTE</t>
  </si>
  <si>
    <t>BONHOMIA</t>
  </si>
  <si>
    <t>HASTA LA PIZZA</t>
  </si>
  <si>
    <t>BASTARDO</t>
  </si>
  <si>
    <t>FELIPE GOMEZ</t>
  </si>
  <si>
    <t>VERONICA MELO</t>
  </si>
  <si>
    <t>ANDREA OCHOA</t>
  </si>
  <si>
    <t>MANUELA SALDARRIAGA</t>
  </si>
  <si>
    <t>CATALINA VELEZ</t>
  </si>
  <si>
    <t>PALOMA URREA</t>
  </si>
  <si>
    <t>ELISA MARTINEZ BERNAL</t>
  </si>
  <si>
    <t>ALEJANDRA CASTAÑO</t>
  </si>
  <si>
    <t>MARIA JOSE PELAEZ</t>
  </si>
  <si>
    <t>DIANA ARREDONDO</t>
  </si>
  <si>
    <t>ALBERTO GOMEZ</t>
  </si>
  <si>
    <t>SUSANA GOMEZ</t>
  </si>
  <si>
    <t>SOFIA GOMEZ</t>
  </si>
  <si>
    <t>VICENTE ARISTIZABAL</t>
  </si>
  <si>
    <t>JUAN CAMILO MARTINEZ</t>
  </si>
  <si>
    <t>TOMAS ARANGO</t>
  </si>
  <si>
    <t>LUCY PELAEZ</t>
  </si>
  <si>
    <t>MARIANA GOMEZ</t>
  </si>
  <si>
    <t>JUANITA GOMEZ</t>
  </si>
  <si>
    <t>SERGIO GOMEZ</t>
  </si>
  <si>
    <t>DIANA MARCELA JARAMILLO</t>
  </si>
  <si>
    <t>ANDRES TARTELLE</t>
  </si>
  <si>
    <t>ANA TARTELLE</t>
  </si>
  <si>
    <t>CINDY TARTELLE</t>
  </si>
  <si>
    <t>DANIELA TARTELLE</t>
  </si>
  <si>
    <t>ANDREA GOMEZ</t>
  </si>
  <si>
    <t>JHON DOMICILIARIO</t>
  </si>
  <si>
    <t>LUCIA LOPEZ</t>
  </si>
  <si>
    <t>FECHA</t>
  </si>
  <si>
    <t>CANTIDAD</t>
  </si>
  <si>
    <t xml:space="preserve">COMENTARIOS </t>
  </si>
  <si>
    <t>REVISADO</t>
  </si>
  <si>
    <t>PORCION OG</t>
  </si>
  <si>
    <t>DANIELA</t>
  </si>
  <si>
    <t>MINI OG</t>
  </si>
  <si>
    <t>MEDIANA OG</t>
  </si>
  <si>
    <t>GRANDE OG</t>
  </si>
  <si>
    <t>MINI ORIGINAL X COOKIE WORLD</t>
  </si>
  <si>
    <t>MEDIANA ORIGINAL X COOKIE WORLD</t>
  </si>
  <si>
    <t>MEDIANA PISTACHO</t>
  </si>
  <si>
    <t>BITES X4 OG</t>
  </si>
  <si>
    <t>MINI ORIGINAL VELEZ CAFE</t>
  </si>
  <si>
    <t>MINI PISTACHO VELEZ CAFE</t>
  </si>
  <si>
    <t>MINI MILO CAFE VELEZ CAFE</t>
  </si>
  <si>
    <t>MINI LOTUS</t>
  </si>
  <si>
    <t>MINI PISTACHO</t>
  </si>
  <si>
    <t>GRANDE VAINILLA</t>
  </si>
  <si>
    <t>MEDIANA LOTUS</t>
  </si>
  <si>
    <t>GRANDE ORIGINAL X COOKIE WORLD</t>
  </si>
  <si>
    <t>MEDIANA NUTELLA</t>
  </si>
  <si>
    <t>MINI VAINILLA</t>
  </si>
  <si>
    <t>GRANDE MILO</t>
  </si>
  <si>
    <t>MEDIANA LIMON</t>
  </si>
  <si>
    <t>BITES X4 LIMON</t>
  </si>
  <si>
    <t>GRANDE LOTUS</t>
  </si>
  <si>
    <t>MINI LIMON</t>
  </si>
  <si>
    <t xml:space="preserve">2 Grandes factura doble la abuela nita </t>
  </si>
  <si>
    <t>MINI MILO</t>
  </si>
  <si>
    <t>MEDIANA VAINILLA</t>
  </si>
  <si>
    <t>GRANDE NUTELLA</t>
  </si>
  <si>
    <t>2 MAS, PEDIDO CANCELADO DE RAPPI</t>
  </si>
  <si>
    <t>GRANDE LIMON</t>
  </si>
  <si>
    <t xml:space="preserve">UNA DE MAS </t>
  </si>
  <si>
    <t xml:space="preserve">-3 PORCIONES </t>
  </si>
  <si>
    <t>CUCHAREABLE LOTUS</t>
  </si>
  <si>
    <t>CUCHAREABLE MILO</t>
  </si>
  <si>
    <t>CUCHAREABLE AREQUIPE</t>
  </si>
  <si>
    <t>CUCHAREABLE PISTACHO</t>
  </si>
  <si>
    <t xml:space="preserve">2 PDV </t>
  </si>
  <si>
    <t>1 PDV</t>
  </si>
  <si>
    <t>2 PDV</t>
  </si>
  <si>
    <t xml:space="preserve">1 POR PDV </t>
  </si>
  <si>
    <t>INGRESADO</t>
  </si>
  <si>
    <t>OK</t>
  </si>
  <si>
    <t>SE PORCIONA 1 GRANDE X12</t>
  </si>
  <si>
    <t>MASA GALLETA DE BITES</t>
  </si>
  <si>
    <t>BITES X4 NUTELLA</t>
  </si>
  <si>
    <t xml:space="preserve">INDIVIDUALES  / NUTELLA </t>
  </si>
  <si>
    <t>BITES X4 VAINILLA MADAGASCAR</t>
  </si>
  <si>
    <t xml:space="preserve">INDIVIDUALES / VAINILLA </t>
  </si>
  <si>
    <t>INDIVIDUALES / ORIGINAL</t>
  </si>
  <si>
    <t>BITES X4 PISTACHO</t>
  </si>
  <si>
    <t>INDIVIDUALES / PISTACHOS</t>
  </si>
  <si>
    <t>BITES X4 LOTUS</t>
  </si>
  <si>
    <t>INDIVIDUALES  / LOTUS</t>
  </si>
  <si>
    <t>INDIVIDUALES  / ORIGINAL + AREQUIPE</t>
  </si>
  <si>
    <t>GALLETA CHIPS CHOCOLATE X35</t>
  </si>
  <si>
    <t>GALLETA CHIPS CHOCOLATE BLANCO X35</t>
  </si>
  <si>
    <t xml:space="preserve">SE DESCUENTA, NO PASA CALIDAD </t>
  </si>
  <si>
    <t>PARA PRUEBAS / SE HACE LA MEZCLA</t>
  </si>
  <si>
    <t xml:space="preserve">DESCONTAR, SE RIEGA EN EL HORNO </t>
  </si>
  <si>
    <t xml:space="preserve">SALIO DE MAS EN PRODUCCION </t>
  </si>
  <si>
    <t>PRUEBA CON BASE DE CACAO</t>
  </si>
  <si>
    <t>BROWNIES DOBLE CHOCOLATE + FRAMBUESA X41U</t>
  </si>
  <si>
    <t>FRUTOS ROJOS</t>
  </si>
  <si>
    <t>GRANDE PISTACHO</t>
  </si>
  <si>
    <t>SE PORCIONA 1 GRANDE X12 NE100</t>
  </si>
  <si>
    <t xml:space="preserve">NE108 </t>
  </si>
  <si>
    <t>NE107</t>
  </si>
  <si>
    <t xml:space="preserve">NE106 </t>
  </si>
  <si>
    <t>NE109</t>
  </si>
  <si>
    <t>NE110</t>
  </si>
  <si>
    <t>NE111</t>
  </si>
  <si>
    <t>NE119</t>
  </si>
  <si>
    <t>NE115</t>
  </si>
  <si>
    <t>NE114</t>
  </si>
  <si>
    <t>NE113</t>
  </si>
  <si>
    <t>NE112</t>
  </si>
  <si>
    <t>NE116</t>
  </si>
  <si>
    <t>NE121</t>
  </si>
  <si>
    <t>NE122</t>
  </si>
  <si>
    <t>NE123</t>
  </si>
  <si>
    <t>NE124</t>
  </si>
  <si>
    <t>NE125</t>
  </si>
  <si>
    <t>NE133</t>
  </si>
  <si>
    <t>NE134</t>
  </si>
  <si>
    <t>NE135</t>
  </si>
  <si>
    <t>NE138</t>
  </si>
  <si>
    <t>NE139</t>
  </si>
  <si>
    <t>NE140</t>
  </si>
  <si>
    <t>NE142</t>
  </si>
  <si>
    <t>NE146</t>
  </si>
  <si>
    <t>NE144</t>
  </si>
  <si>
    <t>NE151</t>
  </si>
  <si>
    <t>NE149</t>
  </si>
  <si>
    <t>NE148</t>
  </si>
  <si>
    <t>NE147</t>
  </si>
  <si>
    <t>NE152</t>
  </si>
  <si>
    <t>NE156</t>
  </si>
  <si>
    <t>NE155</t>
  </si>
  <si>
    <t>NE153</t>
  </si>
  <si>
    <t>NE154</t>
  </si>
  <si>
    <t>SE PORCIONA 1 GRANDE X12 NE157</t>
  </si>
  <si>
    <t>NE159</t>
  </si>
  <si>
    <t>NE158</t>
  </si>
  <si>
    <t>NE160</t>
  </si>
  <si>
    <t>NE161</t>
  </si>
  <si>
    <t>NE162</t>
  </si>
  <si>
    <t>NE167</t>
  </si>
  <si>
    <t>NE168</t>
  </si>
  <si>
    <t>NE165</t>
  </si>
  <si>
    <t>NE166</t>
  </si>
  <si>
    <t>MINI TARTA ORIGINAL CAPACILLO X12</t>
  </si>
  <si>
    <t>PENDIENTE RECETA</t>
  </si>
  <si>
    <t>DUO SUCREE X16U</t>
  </si>
  <si>
    <t>TORTA CASERA + AREQUIPE X45U</t>
  </si>
  <si>
    <t>CUCHAREABLE LOTUS X35U</t>
  </si>
  <si>
    <t>TORTA DE CHOCOLATE + NUTELLA X45U</t>
  </si>
  <si>
    <t>NE173</t>
  </si>
  <si>
    <t>NE179</t>
  </si>
  <si>
    <t>NE174</t>
  </si>
  <si>
    <t>NE175</t>
  </si>
  <si>
    <t>NE176</t>
  </si>
  <si>
    <t>SE PORCIONA 1 GRANDE X12 NE180</t>
  </si>
  <si>
    <t>NE186</t>
  </si>
  <si>
    <t>NE185</t>
  </si>
  <si>
    <t>NE 183</t>
  </si>
  <si>
    <t>NE182</t>
  </si>
  <si>
    <t>NE181</t>
  </si>
  <si>
    <t>NE188</t>
  </si>
  <si>
    <t>NE189</t>
  </si>
  <si>
    <t>NE190</t>
  </si>
  <si>
    <t>NE191</t>
  </si>
  <si>
    <t>NE192</t>
  </si>
  <si>
    <t>NE193</t>
  </si>
  <si>
    <t>NE194</t>
  </si>
  <si>
    <t>NE196</t>
  </si>
  <si>
    <t>NE197</t>
  </si>
  <si>
    <t>NE198</t>
  </si>
  <si>
    <t>NE199</t>
  </si>
  <si>
    <t>NE200</t>
  </si>
  <si>
    <t>NE201</t>
  </si>
  <si>
    <t>NE202</t>
  </si>
  <si>
    <t>NE203</t>
  </si>
  <si>
    <t>NE204</t>
  </si>
  <si>
    <t>NE205</t>
  </si>
  <si>
    <t>NE206</t>
  </si>
  <si>
    <t>NE207</t>
  </si>
  <si>
    <t>NE208</t>
  </si>
  <si>
    <t>NE 212</t>
  </si>
  <si>
    <t>NE213</t>
  </si>
  <si>
    <t>NE214</t>
  </si>
  <si>
    <t>NE215</t>
  </si>
  <si>
    <t>NE216</t>
  </si>
  <si>
    <t>NE217</t>
  </si>
  <si>
    <t>NE218</t>
  </si>
  <si>
    <t>NE219</t>
  </si>
  <si>
    <t>NE220</t>
  </si>
  <si>
    <t>NE221</t>
  </si>
  <si>
    <t>SE PORCIONA 1 GRANDE X12 NE211</t>
  </si>
  <si>
    <t>NE223</t>
  </si>
  <si>
    <t>NE224</t>
  </si>
  <si>
    <t>NE229</t>
  </si>
  <si>
    <t>NE230</t>
  </si>
  <si>
    <t>NE231</t>
  </si>
  <si>
    <t>NE232</t>
  </si>
  <si>
    <t>NE233</t>
  </si>
  <si>
    <t>NE234</t>
  </si>
  <si>
    <t>NE235</t>
  </si>
  <si>
    <t>NE236</t>
  </si>
  <si>
    <t>NE237</t>
  </si>
  <si>
    <t>SE PORCIONA 2 GRANDE X12 NE248</t>
  </si>
  <si>
    <t>NE238</t>
  </si>
  <si>
    <t>NE239</t>
  </si>
  <si>
    <t>NE240</t>
  </si>
  <si>
    <t>NE241</t>
  </si>
  <si>
    <t>NE243</t>
  </si>
  <si>
    <t>NE244</t>
  </si>
  <si>
    <t>NE248</t>
  </si>
  <si>
    <t>NE249</t>
  </si>
  <si>
    <t>NE250</t>
  </si>
  <si>
    <t>NE251</t>
  </si>
  <si>
    <t>NE252</t>
  </si>
  <si>
    <t>NE253</t>
  </si>
  <si>
    <t>NE258</t>
  </si>
  <si>
    <t>NE257</t>
  </si>
  <si>
    <t>NE254</t>
  </si>
  <si>
    <t>NE256</t>
  </si>
  <si>
    <t>NE260</t>
  </si>
  <si>
    <t>NE261</t>
  </si>
  <si>
    <t>NE262</t>
  </si>
  <si>
    <t>SE PORCIONA GRANDE X12 NE260</t>
  </si>
  <si>
    <t>NE271</t>
  </si>
  <si>
    <t>NE264</t>
  </si>
  <si>
    <t>NE267</t>
  </si>
  <si>
    <t>NE268</t>
  </si>
  <si>
    <t>NE269</t>
  </si>
  <si>
    <t>NE270</t>
  </si>
  <si>
    <t>NE272</t>
  </si>
  <si>
    <t>NE273</t>
  </si>
  <si>
    <t>NE274</t>
  </si>
  <si>
    <t>NE276</t>
  </si>
  <si>
    <t>NE277</t>
  </si>
  <si>
    <t>NE278</t>
  </si>
  <si>
    <t>NE279</t>
  </si>
  <si>
    <t>NE280</t>
  </si>
  <si>
    <t>NE281</t>
  </si>
  <si>
    <t>NE282</t>
  </si>
  <si>
    <t>NE283</t>
  </si>
  <si>
    <t>NE284</t>
  </si>
  <si>
    <t>SE PORCIONA GRANDE X12 NE275</t>
  </si>
  <si>
    <t>NE285</t>
  </si>
  <si>
    <t>NE286</t>
  </si>
  <si>
    <t>NE287</t>
  </si>
  <si>
    <t>NE288</t>
  </si>
  <si>
    <t>NE293</t>
  </si>
  <si>
    <t>NE294</t>
  </si>
  <si>
    <t>NE295</t>
  </si>
  <si>
    <t>NE296</t>
  </si>
  <si>
    <t>NE298</t>
  </si>
  <si>
    <t>NE299</t>
  </si>
  <si>
    <t>NE300</t>
  </si>
  <si>
    <t>NE301</t>
  </si>
  <si>
    <t>NE302</t>
  </si>
  <si>
    <t>NE303</t>
  </si>
  <si>
    <t>SE PORCIONA GRANDE X12 NE304</t>
  </si>
  <si>
    <t>NE305</t>
  </si>
  <si>
    <t>NE306</t>
  </si>
  <si>
    <t>NE307</t>
  </si>
  <si>
    <t>NE308</t>
  </si>
  <si>
    <t>NE309</t>
  </si>
  <si>
    <t>NE310</t>
  </si>
  <si>
    <t>NE311</t>
  </si>
  <si>
    <t>NE312</t>
  </si>
  <si>
    <t>NE315</t>
  </si>
  <si>
    <t>NE316</t>
  </si>
  <si>
    <t>NE317</t>
  </si>
  <si>
    <t>SE PORCIONA GRANDE X12 NE</t>
  </si>
  <si>
    <t>NE320</t>
  </si>
  <si>
    <t>NE322</t>
  </si>
  <si>
    <t>NE323</t>
  </si>
  <si>
    <t>NE324</t>
  </si>
  <si>
    <t>NE329</t>
  </si>
  <si>
    <t>NE330</t>
  </si>
  <si>
    <t>NE331</t>
  </si>
  <si>
    <t>NE332</t>
  </si>
  <si>
    <t>NE333</t>
  </si>
  <si>
    <t>NE334</t>
  </si>
  <si>
    <t>SE PORCIONA 1 GRANDE X12 NE335</t>
  </si>
  <si>
    <t>NE337</t>
  </si>
  <si>
    <t>NE 338</t>
  </si>
  <si>
    <t>NE 339</t>
  </si>
  <si>
    <t>NE 340</t>
  </si>
  <si>
    <t>NE 341</t>
  </si>
  <si>
    <t>NE343</t>
  </si>
  <si>
    <t>NE344</t>
  </si>
  <si>
    <t>NE345</t>
  </si>
  <si>
    <t>NE346</t>
  </si>
  <si>
    <t>NE347</t>
  </si>
  <si>
    <t>NE348</t>
  </si>
  <si>
    <t>NE349</t>
  </si>
  <si>
    <t>NE350</t>
  </si>
  <si>
    <t>NE351</t>
  </si>
  <si>
    <t>NE352</t>
  </si>
  <si>
    <t>NE353</t>
  </si>
  <si>
    <t>NE354</t>
  </si>
  <si>
    <t>NE355</t>
  </si>
  <si>
    <t>NE356</t>
  </si>
  <si>
    <t>NE357</t>
  </si>
  <si>
    <t>NE358</t>
  </si>
  <si>
    <t>NE365</t>
  </si>
  <si>
    <t>NE366</t>
  </si>
  <si>
    <t>NE367</t>
  </si>
  <si>
    <t>NE368</t>
  </si>
  <si>
    <t>NE369</t>
  </si>
  <si>
    <t>SE PORCIONA UNA MEDIANA X8 NE370</t>
  </si>
  <si>
    <t>NE371</t>
  </si>
  <si>
    <t>NE374</t>
  </si>
  <si>
    <t>NE373</t>
  </si>
  <si>
    <t>NE379</t>
  </si>
  <si>
    <t>NE380</t>
  </si>
  <si>
    <t>NE381</t>
  </si>
  <si>
    <t>NE382</t>
  </si>
  <si>
    <t>NE383</t>
  </si>
  <si>
    <t>NE384</t>
  </si>
  <si>
    <t>NE385</t>
  </si>
  <si>
    <t>NE386</t>
  </si>
  <si>
    <t>NE387</t>
  </si>
  <si>
    <t>NE388</t>
  </si>
  <si>
    <t>SE PORCIONA GRANDE X12 NE389</t>
  </si>
  <si>
    <t>TORTA DE CHOCOLATE + NUTELLA X49U</t>
  </si>
  <si>
    <t>NE395</t>
  </si>
  <si>
    <t>NE396</t>
  </si>
  <si>
    <t>NE397</t>
  </si>
  <si>
    <t>NE399</t>
  </si>
  <si>
    <t>NE400</t>
  </si>
  <si>
    <t>NE401</t>
  </si>
  <si>
    <t>NE402</t>
  </si>
  <si>
    <t>NE403</t>
  </si>
  <si>
    <t>NE404</t>
  </si>
  <si>
    <t>NE405</t>
  </si>
  <si>
    <t>NE406</t>
  </si>
  <si>
    <t>NE411</t>
  </si>
  <si>
    <t>NE412</t>
  </si>
  <si>
    <t>NE410</t>
  </si>
  <si>
    <t>NE414</t>
  </si>
  <si>
    <t>NE415</t>
  </si>
  <si>
    <t>NE416</t>
  </si>
  <si>
    <t>NE417</t>
  </si>
  <si>
    <t>NE418</t>
  </si>
  <si>
    <t>NE419</t>
  </si>
  <si>
    <t>NE413</t>
  </si>
  <si>
    <t>NE420</t>
  </si>
  <si>
    <t>NE421</t>
  </si>
  <si>
    <t>NE422</t>
  </si>
  <si>
    <t>NE423</t>
  </si>
  <si>
    <t>NE426</t>
  </si>
  <si>
    <t>NE427</t>
  </si>
  <si>
    <t>NE428</t>
  </si>
  <si>
    <t>NE434</t>
  </si>
  <si>
    <t>NE436</t>
  </si>
  <si>
    <t>NE437</t>
  </si>
  <si>
    <t>NE438</t>
  </si>
  <si>
    <t>NE439</t>
  </si>
  <si>
    <t>NE440</t>
  </si>
  <si>
    <t>NE441</t>
  </si>
  <si>
    <t>NE445</t>
  </si>
  <si>
    <t>NE446</t>
  </si>
  <si>
    <t>NE447</t>
  </si>
  <si>
    <t>NE448</t>
  </si>
  <si>
    <t>NE449</t>
  </si>
  <si>
    <t>NE450</t>
  </si>
  <si>
    <t>NE451</t>
  </si>
  <si>
    <t>NE452</t>
  </si>
  <si>
    <t>NE453</t>
  </si>
  <si>
    <t>NE454</t>
  </si>
  <si>
    <t>SE PORCIONA UNA GRANDE X12 NE462</t>
  </si>
  <si>
    <t>NE455</t>
  </si>
  <si>
    <t>NE456</t>
  </si>
  <si>
    <t>NE457</t>
  </si>
  <si>
    <t>NE458</t>
  </si>
  <si>
    <t>NE459</t>
  </si>
  <si>
    <t>NE460</t>
  </si>
  <si>
    <t>NE461</t>
  </si>
  <si>
    <t>NE463</t>
  </si>
  <si>
    <t>NE464</t>
  </si>
  <si>
    <t>NE465</t>
  </si>
  <si>
    <t>NE466</t>
  </si>
  <si>
    <t xml:space="preserve">TORTA CASERA </t>
  </si>
  <si>
    <t>SE PORCIONA UNA GRANDE X12 NE467</t>
  </si>
  <si>
    <t>NE468</t>
  </si>
  <si>
    <t>NE469</t>
  </si>
  <si>
    <t>NE470</t>
  </si>
  <si>
    <t>NE475</t>
  </si>
  <si>
    <t>NE476</t>
  </si>
  <si>
    <t>NE477</t>
  </si>
  <si>
    <t>NE478</t>
  </si>
  <si>
    <t>NE479</t>
  </si>
  <si>
    <t>NE480</t>
  </si>
  <si>
    <t>NE481</t>
  </si>
  <si>
    <t>NE482</t>
  </si>
  <si>
    <t>NE483</t>
  </si>
  <si>
    <t>NE484</t>
  </si>
  <si>
    <t>NE486</t>
  </si>
  <si>
    <t>NE487</t>
  </si>
  <si>
    <t>NE488</t>
  </si>
  <si>
    <t>NE489</t>
  </si>
  <si>
    <t xml:space="preserve">MEDIANA LOTUS </t>
  </si>
  <si>
    <t>NE490</t>
  </si>
  <si>
    <t>SE PORCIONA UNA GRANDE X12 NE491</t>
  </si>
  <si>
    <t>NE503</t>
  </si>
  <si>
    <t>BITES X4 MILO</t>
  </si>
  <si>
    <t>NE494</t>
  </si>
  <si>
    <t xml:space="preserve">CUCHAREABLE LOTUS </t>
  </si>
  <si>
    <t>NE495</t>
  </si>
  <si>
    <t>NE496</t>
  </si>
  <si>
    <t>NE497</t>
  </si>
  <si>
    <t>NE498</t>
  </si>
  <si>
    <t>NE500</t>
  </si>
  <si>
    <t>2 CAJA BLANCA X12</t>
  </si>
  <si>
    <t>MARCADA X12</t>
  </si>
  <si>
    <t>GRANDE NAVIDAD</t>
  </si>
  <si>
    <t>MINI NAVIDAD</t>
  </si>
  <si>
    <t>MEDIANA NAVIDAD</t>
  </si>
  <si>
    <t>MARCADA X12 CAJA  BLANCA</t>
  </si>
  <si>
    <t>MARCADA X12 3 SE PORCIONAN</t>
  </si>
  <si>
    <t>x12 / 3 EN CAJA BLANCA</t>
  </si>
  <si>
    <t>PAQ. BOLSAS BLANCAS X100</t>
  </si>
  <si>
    <t>PAQ. BLONDAS X100</t>
  </si>
  <si>
    <t>BOLSAS AZULES (100)</t>
  </si>
  <si>
    <t>BOLSAS BLANCAS (100)</t>
  </si>
  <si>
    <t>BLONDAS MINI</t>
  </si>
  <si>
    <t xml:space="preserve">CAJA AZUL MINI </t>
  </si>
  <si>
    <t>NT19</t>
  </si>
  <si>
    <t>NT20</t>
  </si>
  <si>
    <t>NT21</t>
  </si>
  <si>
    <t>NT22</t>
  </si>
  <si>
    <t>NT23</t>
  </si>
  <si>
    <t>NT24</t>
  </si>
  <si>
    <t>NT25</t>
  </si>
  <si>
    <t>/</t>
  </si>
  <si>
    <t>NT26</t>
  </si>
  <si>
    <t>NT27</t>
  </si>
  <si>
    <t>CLIENTE</t>
  </si>
  <si>
    <t>FECHA DE ENTREGA</t>
  </si>
  <si>
    <t>COMENTARIOS 
(SI ES REGALO, HORA DE ENTREGA ESPECIFICA, MARCADO X ALGO)</t>
  </si>
  <si>
    <t>METODO DE PAGO</t>
  </si>
  <si>
    <t>DOMICILIARIO</t>
  </si>
  <si>
    <t>DOMICILIO COBRO A CLIENTE</t>
  </si>
  <si>
    <t>PRECIO TOTAL</t>
  </si>
  <si>
    <t>PAGO DOMICILIO REAL</t>
  </si>
  <si>
    <t>FACTURA ELECTRONICA</t>
  </si>
  <si>
    <t>ENTREGADO</t>
  </si>
  <si>
    <t>TRASLADADO</t>
  </si>
  <si>
    <t>MARCAD X10</t>
  </si>
  <si>
    <t>SI</t>
  </si>
  <si>
    <t>INDRIVE</t>
  </si>
  <si>
    <t xml:space="preserve">AZUL SELVA </t>
  </si>
  <si>
    <t xml:space="preserve">REGINA ROJAS </t>
  </si>
  <si>
    <t>NAVIDAD</t>
  </si>
  <si>
    <t>MIGUEL ANGEL VERA</t>
  </si>
  <si>
    <t xml:space="preserve">CASA FLORA </t>
  </si>
  <si>
    <t>MARCADA X12 / YA ESTA DESPACHADO</t>
  </si>
  <si>
    <t>RIONEGRO / MARCADA X10</t>
  </si>
  <si>
    <t xml:space="preserve">CAMILO ALVAREZ </t>
  </si>
  <si>
    <t xml:space="preserve">PDV </t>
  </si>
  <si>
    <t>CESAR JIMENEZ</t>
  </si>
  <si>
    <t>ANA MARIA OROZCO</t>
  </si>
  <si>
    <t>LAURA HURTADO</t>
  </si>
  <si>
    <t>MINI OG + AREQUIPE</t>
  </si>
  <si>
    <t>PORCION OG + FRUTOS ROJOS</t>
  </si>
  <si>
    <t>RAPPI</t>
  </si>
  <si>
    <t>PORCION OG + NUTELLA</t>
  </si>
  <si>
    <t>VENTA EN LOCAL</t>
  </si>
  <si>
    <t>PAGO EN EFECTIVO</t>
  </si>
  <si>
    <t>PAGO EN TRANSFERENCIA</t>
  </si>
  <si>
    <t>INDIANA  / MARCADA X10</t>
  </si>
  <si>
    <t>LONDRES COCINA</t>
  </si>
  <si>
    <t>MARCADA X10</t>
  </si>
  <si>
    <t>INTERPLAZA  / MARCADA X10</t>
  </si>
  <si>
    <t>LAURELES / MARCADA X10</t>
  </si>
  <si>
    <t>DOMICILIARIO CARLOS</t>
  </si>
  <si>
    <t>ESTEFANIA CARDONA</t>
  </si>
  <si>
    <t>VIVIANA GIRALDO</t>
  </si>
  <si>
    <t>NATALIA MARTINEZ</t>
  </si>
  <si>
    <t>MEDIANA OG + NUTELLA</t>
  </si>
  <si>
    <t>MINI OG + CREMA DE MILO</t>
  </si>
  <si>
    <t>BITES</t>
  </si>
  <si>
    <t>AREQUIPE</t>
  </si>
  <si>
    <t>CARAMELO SALADO</t>
  </si>
  <si>
    <t xml:space="preserve">SE PORCIONA </t>
  </si>
  <si>
    <t>JUANITA ALVAREZ</t>
  </si>
  <si>
    <t>INDIANA / MARCADA X10</t>
  </si>
  <si>
    <t>MARCADA X10 / ORDEN 87</t>
  </si>
  <si>
    <t xml:space="preserve">ENSO </t>
  </si>
  <si>
    <t>VICTOR ALZATE</t>
  </si>
  <si>
    <t>PORCION OG + AREQUIPE</t>
  </si>
  <si>
    <t>GRANDE OG + NUTELLA</t>
  </si>
  <si>
    <t xml:space="preserve">PAGO EN TRANSFERENCIA </t>
  </si>
  <si>
    <t>AMSTERDAM / MARCADA X10 / SE FACTURA EL 5/1/2026</t>
  </si>
  <si>
    <t>DOMICILIARIO JHON</t>
  </si>
  <si>
    <t xml:space="preserve">3 EN CAJA BLANCA </t>
  </si>
  <si>
    <t>MIGUEL URQUIJO</t>
  </si>
  <si>
    <t>ENVIAR 1 PM</t>
  </si>
  <si>
    <t>JUDY DUQUE</t>
  </si>
  <si>
    <t>CARAMELO APARTE</t>
  </si>
  <si>
    <t>ADRIANA JARAMILLO</t>
  </si>
  <si>
    <t>CREMA DE MILO</t>
  </si>
  <si>
    <t>MINI OG + FRUTOS ROJOS</t>
  </si>
  <si>
    <t>MENSAJE / REGALO PARA JUAN DIEGO SALAZAR</t>
  </si>
  <si>
    <t>MILENA TARTELLE</t>
  </si>
  <si>
    <t>30% OFF</t>
  </si>
  <si>
    <t>KAREN SARRIA VILLADA</t>
  </si>
  <si>
    <t>MENSAJE</t>
  </si>
  <si>
    <t>NELSON VARGAS</t>
  </si>
  <si>
    <t>FANNER SANCHEZ</t>
  </si>
  <si>
    <t>25% OFF</t>
  </si>
  <si>
    <t>JOSE GUTIERREZ</t>
  </si>
  <si>
    <t xml:space="preserve">LA ABUELA NITA </t>
  </si>
  <si>
    <t>JINETH SARAY GUISAO</t>
  </si>
  <si>
    <t>JULIAN MORALES</t>
  </si>
  <si>
    <t>MEDIANA OG + FRUTOS ROJOS</t>
  </si>
  <si>
    <t>VELA PALO PLATEADA</t>
  </si>
  <si>
    <t>EL RETIRO / MARCADA X10</t>
  </si>
  <si>
    <t>SE PORCIONA X12</t>
  </si>
  <si>
    <t>VELAS HBD PLATEADA</t>
  </si>
  <si>
    <t>GRILL STATION LOS COLORES</t>
  </si>
  <si>
    <t>WILSON RODRIGUEZ</t>
  </si>
  <si>
    <t>AMSTERDAM / MARCADA X10</t>
  </si>
  <si>
    <t>CARLOS VALENCIA</t>
  </si>
  <si>
    <t>INTERPLAZA / MARCADA X10</t>
  </si>
  <si>
    <t>JUAN CARLOS CORDOBA</t>
  </si>
  <si>
    <t>MANUELA GARCIA</t>
  </si>
  <si>
    <t>DIEGO ALEJANDRO CARDONA</t>
  </si>
  <si>
    <t>FELIPE PELAEZ</t>
  </si>
  <si>
    <t xml:space="preserve">PAGO EN EFECTIVO </t>
  </si>
  <si>
    <t>ANA MARIA GARCES</t>
  </si>
  <si>
    <t>NUTELLA</t>
  </si>
  <si>
    <t>MENSAJE / REGALO</t>
  </si>
  <si>
    <t>NIDIA SANCHEZ</t>
  </si>
  <si>
    <t>MARIA ISABEL CARVAJAL</t>
  </si>
  <si>
    <t>LAURA CALLE PUERTA</t>
  </si>
  <si>
    <t>NORMA AMEZQUITA</t>
  </si>
  <si>
    <t>CATALINA MONSALVE</t>
  </si>
  <si>
    <t>VELAS HBD DORADA</t>
  </si>
  <si>
    <t xml:space="preserve">MANUELA BOLAÑOS </t>
  </si>
  <si>
    <t>MEDIANA OG + AREQUIPE</t>
  </si>
  <si>
    <t>PAOLA LLANOS</t>
  </si>
  <si>
    <t>EMPACAR REGALO</t>
  </si>
  <si>
    <t>YESSICA JARAMILLO</t>
  </si>
  <si>
    <t>JORGE JARAMILLO</t>
  </si>
  <si>
    <t>JOHANA VALDERRAMA</t>
  </si>
  <si>
    <t>DIANA TRUJILLO</t>
  </si>
  <si>
    <t>PAOLA</t>
  </si>
  <si>
    <t>MARCADAS X12</t>
  </si>
  <si>
    <t>NELSON FELIPE BARCO</t>
  </si>
  <si>
    <t>NATALIA CADAVID</t>
  </si>
  <si>
    <t>LAURA BETANCUR</t>
  </si>
  <si>
    <t>MARIA JULIANA GIRALDO</t>
  </si>
  <si>
    <t xml:space="preserve">NANCY LOPEZ </t>
  </si>
  <si>
    <t>ALVARO ORTEGA</t>
  </si>
  <si>
    <t>DEISY THOKORA</t>
  </si>
  <si>
    <t xml:space="preserve">ALEJANDRO GRISALES </t>
  </si>
  <si>
    <t xml:space="preserve">RUBI MENDOZA </t>
  </si>
  <si>
    <t>VELA PALO DORADA</t>
  </si>
  <si>
    <t>GRANDE OG + AREQUIPE</t>
  </si>
  <si>
    <t>CRISTINA OLARTE</t>
  </si>
  <si>
    <t>ENVIAR 12 PM</t>
  </si>
  <si>
    <t>ORDEN 103 / MARCADA X10</t>
  </si>
  <si>
    <t>VIVA ENVIGADO / MARCADA X10</t>
  </si>
  <si>
    <t>MARCADA X10 / ORDEN 90</t>
  </si>
  <si>
    <t>POBLADO / MARCADA X10</t>
  </si>
  <si>
    <t>ALEJANDRO SANIN</t>
  </si>
  <si>
    <t>ENVIAR 5 PM</t>
  </si>
  <si>
    <t>RAFAEL VICTORIA</t>
  </si>
  <si>
    <t>LINA MARIA BARRENECHE</t>
  </si>
  <si>
    <t>MINI OG + NUTELLA</t>
  </si>
  <si>
    <t>SUNTERRA</t>
  </si>
  <si>
    <t xml:space="preserve">VINO </t>
  </si>
  <si>
    <t>SANTIAGO RAMIREZ</t>
  </si>
  <si>
    <t>REGALO / ENVIAR 1 PM</t>
  </si>
  <si>
    <t>NAOMI YAMADA EMURA</t>
  </si>
  <si>
    <t>ANDREINA IGLESIAS</t>
  </si>
  <si>
    <t>MENSAJE / ENVIAR 3 PM</t>
  </si>
  <si>
    <t>ANTONIA HOYOS PEREZ</t>
  </si>
  <si>
    <t>ELENA ZAPATA VELEZ</t>
  </si>
  <si>
    <t>NATALIA MEJIA</t>
  </si>
  <si>
    <t>DIEGO BOLIVAR</t>
  </si>
  <si>
    <t>MARCELA GONZALEZ</t>
  </si>
  <si>
    <t>ENVIAR AM</t>
  </si>
  <si>
    <t>FELIPE VELASQUEZ</t>
  </si>
  <si>
    <t>VERONICA</t>
  </si>
  <si>
    <t>TATIANA DIEZ</t>
  </si>
  <si>
    <t>JUANITA ARANGO</t>
  </si>
  <si>
    <t>CAROLINA BELALCAZAR</t>
  </si>
  <si>
    <t>IGNACIO CABEZA</t>
  </si>
  <si>
    <t>MARCADAX12</t>
  </si>
  <si>
    <t>SANTIAGO RESTREPO</t>
  </si>
  <si>
    <t>JOSE ALEJANDRO ARRAUTT</t>
  </si>
  <si>
    <t>GABRIELA URDANETA</t>
  </si>
  <si>
    <t>LUIS FERNANDO PEREZ</t>
  </si>
  <si>
    <t>SUSANA PIEDRAHITA</t>
  </si>
  <si>
    <t>GALLETAS CHIPS CHOCOLATE</t>
  </si>
  <si>
    <t>GALLETAS CHIPS BLANCO</t>
  </si>
  <si>
    <t xml:space="preserve">EVELYN RESTREPO </t>
  </si>
  <si>
    <t>VALERIO PIEDRAHITA</t>
  </si>
  <si>
    <t>ANDRES FELIPE JIMENEZ</t>
  </si>
  <si>
    <t>GRANDE OG + FRUTOS ROJOS</t>
  </si>
  <si>
    <t>HECTOR ABAD</t>
  </si>
  <si>
    <t>100 % OFF</t>
  </si>
  <si>
    <t>SUSANA LALINDE</t>
  </si>
  <si>
    <t>LILIANA MARIA RUIZ</t>
  </si>
  <si>
    <t>AREQUIPE APARTE</t>
  </si>
  <si>
    <t>DESCONTAR</t>
  </si>
  <si>
    <t>NO PASABA CALIDAD</t>
  </si>
  <si>
    <t>x10</t>
  </si>
  <si>
    <t>ZORAIDA ELENA CALLE</t>
  </si>
  <si>
    <t>JULIANA VILLEGA</t>
  </si>
  <si>
    <t>SARA MUÑOZ</t>
  </si>
  <si>
    <t>MENSAJE / PEDIDO DE ANDREA OCHOA</t>
  </si>
  <si>
    <t>BALAM SEGUROS LTDA</t>
  </si>
  <si>
    <t>DOMICILIARIO JORGE</t>
  </si>
  <si>
    <t>GLORIA VELEZ</t>
  </si>
  <si>
    <t>ANDREA VALENCIA</t>
  </si>
  <si>
    <t>DR. JULIAN MORALES</t>
  </si>
  <si>
    <t>PORCION OG + CREMA DE MILO</t>
  </si>
  <si>
    <t>INGENIERIA URBANA CONSTRUCTORA</t>
  </si>
  <si>
    <t>ANDREA GONZALES OSORIO</t>
  </si>
  <si>
    <t>ENVIAR AM / 12 CJ OG, 9 CJ AREQUIPE, 9 CJ FRUTOS ROJOS / SE FACTURO EL 25 DE NOVIEMBRE 2025</t>
  </si>
  <si>
    <t>JAVIER LEOMAR MATAMOROS</t>
  </si>
  <si>
    <t>MARIA PATRICIA ARENAS</t>
  </si>
  <si>
    <t>ENVIAR HORA PM</t>
  </si>
  <si>
    <t>OLGA ARANGO</t>
  </si>
  <si>
    <t>TANIA ROLDAN</t>
  </si>
  <si>
    <t>SE ENVIA UN PAQUETE DE BLONDAS X100</t>
  </si>
  <si>
    <t>SE ENVIA UN PAQUETE DE BOLSAS BLANCAS X100</t>
  </si>
  <si>
    <t xml:space="preserve">DAVID MORA </t>
  </si>
  <si>
    <t>VELEZ CAFE</t>
  </si>
  <si>
    <t>CON RECETA CAFE VELEZ</t>
  </si>
  <si>
    <t>LINA ATANACHE</t>
  </si>
  <si>
    <t>MARCADADA X12</t>
  </si>
  <si>
    <t xml:space="preserve">ANDREA OCHOA </t>
  </si>
  <si>
    <t>ALEJANDRO GOMEZ</t>
  </si>
  <si>
    <t>GRANDE OG + CREMA DE MILO</t>
  </si>
  <si>
    <t>PAULA BUSTAMANTE</t>
  </si>
  <si>
    <t>ENVIAR 4PM</t>
  </si>
  <si>
    <t xml:space="preserve">MANUELA URREA ARISTIZABAL </t>
  </si>
  <si>
    <t>YEFERSON PEREZ DELGADO</t>
  </si>
  <si>
    <t>POR</t>
  </si>
  <si>
    <t xml:space="preserve">MARIA ISABEL VILLEGAS </t>
  </si>
  <si>
    <t>LAURA RESTREPO CADAVID</t>
  </si>
  <si>
    <t>LEIDY PINEDA OSORIO</t>
  </si>
  <si>
    <t>NATALIA OSPINA</t>
  </si>
  <si>
    <t>OLGA FLOREZ</t>
  </si>
  <si>
    <t>JULIAN BONILLA</t>
  </si>
  <si>
    <t>PAULA MUÑETON</t>
  </si>
  <si>
    <t>JAVIER ROBLEDO</t>
  </si>
  <si>
    <t>CAMILO METRIO SANCHEZ</t>
  </si>
  <si>
    <t>PAMELA GOMEZ</t>
  </si>
  <si>
    <t>LUISA FERNANDA FALLA</t>
  </si>
  <si>
    <t>DANIELA ARROYAVE</t>
  </si>
  <si>
    <t>JUAN GALLEGO</t>
  </si>
  <si>
    <t xml:space="preserve">PAGO EN TRANSFERECIA </t>
  </si>
  <si>
    <t>VANESSA MONSALVE</t>
  </si>
  <si>
    <t>MELISA CEBALLOS</t>
  </si>
  <si>
    <t xml:space="preserve">JANETH GAVIRIA </t>
  </si>
  <si>
    <t>ENTRECOTE BY CATA EL RETIRO</t>
  </si>
  <si>
    <t>MARCADAS X10</t>
  </si>
  <si>
    <t>RICARDO MESA</t>
  </si>
  <si>
    <t>PAFGO EN EFECTIVO</t>
  </si>
  <si>
    <t xml:space="preserve">VALERIA NARANJO </t>
  </si>
  <si>
    <t>JOSE TORO</t>
  </si>
  <si>
    <t>ADRIANA ALMAZAR</t>
  </si>
  <si>
    <t>DARIANA MARRIAGA</t>
  </si>
  <si>
    <t>9416 / PEDIDO CANCELADO EL RAPPI NUNCA LLEGO</t>
  </si>
  <si>
    <t>JORLADYS CARCAMO</t>
  </si>
  <si>
    <t>SOFIA RESTREPO</t>
  </si>
  <si>
    <t>CIELO MUÑOZ</t>
  </si>
  <si>
    <t xml:space="preserve">DOMICILIO DESDE EL APTO DE ANDREA </t>
  </si>
  <si>
    <t>LUISA ARISTIZABAL</t>
  </si>
  <si>
    <t xml:space="preserve">DOMICILIO </t>
  </si>
  <si>
    <t xml:space="preserve">DOMICILIO PARA EL APTO DE ANDREA </t>
  </si>
  <si>
    <t>RICARDO ANDRES GONZALES</t>
  </si>
  <si>
    <t>CAMILA JIMENEZ</t>
  </si>
  <si>
    <t xml:space="preserve">PARA FOTOS </t>
  </si>
  <si>
    <t xml:space="preserve">ISABELLA CUERVO </t>
  </si>
  <si>
    <t>MARCADA X10 / ORDEN 95</t>
  </si>
  <si>
    <t>PATRICIA BAYTER</t>
  </si>
  <si>
    <t>CAROLINA RESTREPO</t>
  </si>
  <si>
    <t xml:space="preserve">DOMICILIO ANDREA </t>
  </si>
  <si>
    <t>ENVIO DE EMPAQUES PAN DE YUCA</t>
  </si>
  <si>
    <t>CAROLINA VELEZ</t>
  </si>
  <si>
    <t>MEDIANA OG + CREMA DE MILO</t>
  </si>
  <si>
    <t>MARY LUZ ORTEGA</t>
  </si>
  <si>
    <t>KEVIN ASLEIDER HENAO</t>
  </si>
  <si>
    <t>EMPACADAS EN CAJA BLANCA</t>
  </si>
  <si>
    <t>LAURA FLOREZ</t>
  </si>
  <si>
    <t>ERIKA LOPEZ</t>
  </si>
  <si>
    <t>ANGELA TORRES</t>
  </si>
  <si>
    <t>BERONICA GARCIA RAMIREZ</t>
  </si>
  <si>
    <t>PAGO POR TRANSFERENCIA</t>
  </si>
  <si>
    <t>RICARDO ANDRES GOMEZ</t>
  </si>
  <si>
    <t>CLAUDIA ELENA FLOREZ</t>
  </si>
  <si>
    <t>VALERIA MARTINEZ</t>
  </si>
  <si>
    <t>MARCADA X10 / REPOSICION DEL PEDIDO</t>
  </si>
  <si>
    <t>VANESSA VALLEJO</t>
  </si>
  <si>
    <t>BEATRIZ HERRERA</t>
  </si>
  <si>
    <t>DANIELA VILLEGAS</t>
  </si>
  <si>
    <t>PAULA ALTAMIRANDA</t>
  </si>
  <si>
    <t>LEIDY MURILLO</t>
  </si>
  <si>
    <t>SONIA YANETH BEDOYA</t>
  </si>
  <si>
    <t>CAROLINA PULGARIN</t>
  </si>
  <si>
    <t>GIOVANNY ANDRES</t>
  </si>
  <si>
    <t>ANDREA PABON</t>
  </si>
  <si>
    <t>PAGO EN EFECTIVO 10000 / TRANSFERENCIA 30000</t>
  </si>
  <si>
    <t>IVAN MAURICIO PALMA</t>
  </si>
  <si>
    <t>JOSE MANUEL DUQUE</t>
  </si>
  <si>
    <t>* Nombre completo (quien hace el pedido):
* ⁠Isabella Salazar Vanegas 
* Cédula:
* ⁠1001506192
* Barrio / sector:
* ⁠poblado 
* Dirección completa (con detalles como casa, apto, torre): Calle 10A # 34-11, Medellín, Antioquia
* ⁠hotel 10 
* Celular:
* ⁠3127587071
* Fecha de envío:
* ⁠22 febrero / naty perez encargada</t>
  </si>
  <si>
    <t>FELIPE PELAEZ VALDERRAMA</t>
  </si>
  <si>
    <t>EMPACADA EN CAJA BLANCA</t>
  </si>
  <si>
    <t>WE WORK PALMAS</t>
  </si>
  <si>
    <t>REGALO DE ANDREA</t>
  </si>
  <si>
    <t>MAURICIO ALBERTO GRISALES</t>
  </si>
  <si>
    <t>ENVIAR 1:30 PM</t>
  </si>
  <si>
    <t>MARIA LUISA BULA</t>
  </si>
  <si>
    <t>IZAMARA VELEZ CHAVARRIA</t>
  </si>
  <si>
    <t>LAURA PABON</t>
  </si>
  <si>
    <t xml:space="preserve">PAGO EN TRASFERENCIA </t>
  </si>
  <si>
    <t>ELOID</t>
  </si>
  <si>
    <t xml:space="preserve">SANTIAGO BERNAL </t>
  </si>
  <si>
    <t>CLAUDIA GOMEZ</t>
  </si>
  <si>
    <t>JUAN SEBASTIAN ESCOBAR</t>
  </si>
  <si>
    <t>BOLD</t>
  </si>
  <si>
    <t>JUAN PABLO ARDILA</t>
  </si>
  <si>
    <t>ASTRID ELENA GUTIERREZ</t>
  </si>
  <si>
    <t>MARCELA GONZALES</t>
  </si>
  <si>
    <t>EL PEDIDO ERA UNA MINI + FRUTOS ROJOS, PERO SE CAMBIA POR ESTA, SE DAN LOS 2,000 EN EFECTIVO</t>
  </si>
  <si>
    <t xml:space="preserve">EMILIANO VILLA </t>
  </si>
  <si>
    <t>ESTEBAN MACRIBIS</t>
  </si>
  <si>
    <t>ANDREA CASTRO</t>
  </si>
  <si>
    <t>EMMANUEL VELEZ</t>
  </si>
  <si>
    <t>DORIS CAÑAS</t>
  </si>
  <si>
    <t xml:space="preserve">MENSAJE </t>
  </si>
  <si>
    <t>ALEJANDRO SIEGERT</t>
  </si>
  <si>
    <t>MATEO GOMEZ</t>
  </si>
  <si>
    <t>CATALINA BOTERO</t>
  </si>
  <si>
    <t>DANIELA CORDOBA</t>
  </si>
  <si>
    <t>MARIA MUÑOZ</t>
  </si>
  <si>
    <t>PAGO EN TRASFERENCIA</t>
  </si>
  <si>
    <t>María Antonia hoyos
70826885
San Lucas
Carrera 26 #20 a sur 10 fincas de Avignon casa 1
3162820634
20 de febrero</t>
  </si>
  <si>
    <t>KELLY POSADA</t>
  </si>
  <si>
    <t>LINA DIAZ</t>
  </si>
  <si>
    <t>SAMUEL DIEZ</t>
  </si>
  <si>
    <t>CAMILO LONDOÑO</t>
  </si>
  <si>
    <t>LUKAS RESTREPO MUÑOZ</t>
  </si>
  <si>
    <t>MAURICIO CAMARGO TAMARA</t>
  </si>
  <si>
    <t>BROWNIES DOBLE CHOCOLATE + FRAMBUESA</t>
  </si>
  <si>
    <t>CAFE GENERAL</t>
  </si>
  <si>
    <t>ANDRES SALDARRIAGA</t>
  </si>
  <si>
    <t>REBECA RODRIGUEZ</t>
  </si>
  <si>
    <t>SURI SADAI TORRES</t>
  </si>
  <si>
    <t xml:space="preserve">PAGO EN TANSFERENCIA </t>
  </si>
  <si>
    <t>NIDIA SANCHEZ MARIN</t>
  </si>
  <si>
    <t>JUAN BEDOYA</t>
  </si>
  <si>
    <t>TATIANA RESTREPO</t>
  </si>
  <si>
    <t>LINA ECHAVARRIA</t>
  </si>
  <si>
    <t>REGALO A JUBENAL</t>
  </si>
  <si>
    <t>MARGARITA ZAPATA</t>
  </si>
  <si>
    <t>GERALDINE ANDREA JIMENEZ</t>
  </si>
  <si>
    <t>MARCELA ROJAS</t>
  </si>
  <si>
    <t>ENVIAR 8:30 AM</t>
  </si>
  <si>
    <t>ESTEFANIA ROJAS CORREA</t>
  </si>
  <si>
    <t>ANDREA MARULANDA RIOS</t>
  </si>
  <si>
    <t>DANIELA BENJUMEA</t>
  </si>
  <si>
    <t>SANTIAGO PAREJA</t>
  </si>
  <si>
    <t>DOMICILIARIO JUAN DAVID LLANOGRANDE</t>
  </si>
  <si>
    <t>GRILL STATION LLANO GRANDE</t>
  </si>
  <si>
    <t>LUCIA ANGEL</t>
  </si>
  <si>
    <t>EN CAJA BLANCA</t>
  </si>
  <si>
    <t>CECILIA RUIZ</t>
  </si>
  <si>
    <t>AMALIA ISAZA</t>
  </si>
  <si>
    <t>AMMAZZA  INDIANA</t>
  </si>
  <si>
    <t xml:space="preserve">BERONICA GARCIA </t>
  </si>
  <si>
    <t>CADECOE DE COLOMBIA</t>
  </si>
  <si>
    <t xml:space="preserve">BOLD </t>
  </si>
  <si>
    <t>MANUELA GOMEZ</t>
  </si>
  <si>
    <t>ISABELLA BEDOYA</t>
  </si>
  <si>
    <t>MENSAJE / ENVIAR 12 PM</t>
  </si>
  <si>
    <t>MARIA ISABEL GIRALDO</t>
  </si>
  <si>
    <t>LAURA GIRALDO VARGAS</t>
  </si>
  <si>
    <t>KAREN RAMOS</t>
  </si>
  <si>
    <t>DOMICILIO CLIENTE RIONEGRO</t>
  </si>
  <si>
    <t>PAGO DOMIICLIO DEL PEDIDO QUE SALE DE RIONEGRO</t>
  </si>
  <si>
    <t>ERIKA AVELLANEDA</t>
  </si>
  <si>
    <t>ANDREA SANCHEZ</t>
  </si>
  <si>
    <t>VERONICA TABORDA</t>
  </si>
  <si>
    <t>Juanita Alvarez
43824008
San Lucas Poblado
Calle 18AA sur #29c-340 Edf bosques de Vigia del fuerte apto 401
3136541331</t>
  </si>
  <si>
    <t>LAURA PEREZ MARTINEZ</t>
  </si>
  <si>
    <t>BOLD / MENSAJE</t>
  </si>
  <si>
    <t>JULIAN ECHANDIA</t>
  </si>
  <si>
    <t xml:space="preserve">JUAN PABLO </t>
  </si>
  <si>
    <t>EMILIANA BOTERO</t>
  </si>
  <si>
    <t>NATALIA NARANJO</t>
  </si>
  <si>
    <t>SARA VELILLA VANEGAS</t>
  </si>
  <si>
    <t>LUISA CARDEÑO</t>
  </si>
  <si>
    <t xml:space="preserve">JULIANA FERNADEZ </t>
  </si>
  <si>
    <t>JUANITA ROJAS</t>
  </si>
  <si>
    <t>ISABELLA TORO</t>
  </si>
  <si>
    <t>JULIANA ROJAS</t>
  </si>
  <si>
    <t>DIANA CAROLINA CASTRO</t>
  </si>
  <si>
    <t>YOHANA BENJUMEA</t>
  </si>
  <si>
    <t xml:space="preserve">AMMAZZA INDIANA </t>
  </si>
  <si>
    <t>ANDREA GIRALDO VASQUEZ</t>
  </si>
  <si>
    <t>SANDRA MILENA JARAMILLO</t>
  </si>
  <si>
    <t>CATALINA AGUILAR</t>
  </si>
  <si>
    <t>KAREN TATIANA GOMEZ</t>
  </si>
  <si>
    <t>ANA LUCIA MUÑOZ</t>
  </si>
  <si>
    <t>VENA EN LOCAL</t>
  </si>
  <si>
    <t xml:space="preserve">ANA MARIA OCHOA </t>
  </si>
  <si>
    <t>NANCY MEJIA</t>
  </si>
  <si>
    <t>DIANA ESCOBAR</t>
  </si>
  <si>
    <t>ENVIAR 12PM</t>
  </si>
  <si>
    <t>ENIT YANCELLY JIMENEZ</t>
  </si>
  <si>
    <t>CAMILA BERRIO</t>
  </si>
  <si>
    <t>AMALIA VELEZ</t>
  </si>
  <si>
    <t>PAGO TRANSFERENCIA</t>
  </si>
  <si>
    <t xml:space="preserve">LA FRAGUA </t>
  </si>
  <si>
    <t>MARCADA X10 / SE FACTURA EL 16/2/2026</t>
  </si>
  <si>
    <t>MARCADA X12 / SE FACTURA EL 16/2/2026</t>
  </si>
  <si>
    <t xml:space="preserve">ERNESTO SALON COMEDOR </t>
  </si>
  <si>
    <t>BIBIANA RESTREPO VELEZ</t>
  </si>
  <si>
    <t>MARIA ANTONIA HOYOS</t>
  </si>
  <si>
    <t>PILAR OCHOA</t>
  </si>
  <si>
    <t>EMPACAR INDIVIDUAL</t>
  </si>
  <si>
    <t>MONICA FORERO</t>
  </si>
  <si>
    <t>YUDYSELA OROZCO</t>
  </si>
  <si>
    <t xml:space="preserve">CASA DE NADIE </t>
  </si>
  <si>
    <t>ISABELLA SALAZAR VANEGAS</t>
  </si>
  <si>
    <t xml:space="preserve">ANA MARIA ZAPATA </t>
  </si>
  <si>
    <t>LIZETH BENAVIDES</t>
  </si>
  <si>
    <t>LINA MARIA HENAO</t>
  </si>
  <si>
    <t>NORMAN DORADO</t>
  </si>
  <si>
    <t>ENVIAR 4 PM</t>
  </si>
  <si>
    <t>VERONICA BOLIVAR</t>
  </si>
  <si>
    <t>CLAUDIA LILIANA GONZALES</t>
  </si>
  <si>
    <t>NATALY OSPINA</t>
  </si>
  <si>
    <t>BARBARO POBALDO</t>
  </si>
  <si>
    <t>VALENTINA HENAO</t>
  </si>
  <si>
    <t>SANDRA LARA</t>
  </si>
  <si>
    <t>MARIA MELISA TOBON</t>
  </si>
  <si>
    <t xml:space="preserve">VALENTINA </t>
  </si>
  <si>
    <t>JORGE ALEJANDRO ALVARADO</t>
  </si>
  <si>
    <t>VINO</t>
  </si>
  <si>
    <t>VALERIA NARVAEZ</t>
  </si>
  <si>
    <t>EDWIN MONSALVE</t>
  </si>
  <si>
    <t>MARTA CECILIA ALVAREZ</t>
  </si>
  <si>
    <t>SARA MUNERA</t>
  </si>
  <si>
    <t>RECOGER GALLETAS</t>
  </si>
  <si>
    <t>VALENTINA CARDONA</t>
  </si>
  <si>
    <t>JUAN DAVID BUILES</t>
  </si>
  <si>
    <t>JUAN DAVID TRIANA</t>
  </si>
  <si>
    <t>JUAN CAMILO MARIN</t>
  </si>
  <si>
    <t>64+15</t>
  </si>
  <si>
    <t>PAULA MARTINEZ</t>
  </si>
  <si>
    <t>EMPACAR CAJA BLANCA</t>
  </si>
  <si>
    <t>MARTHA GAVIRIA</t>
  </si>
  <si>
    <t>ANA MARIA BACCI</t>
  </si>
  <si>
    <t xml:space="preserve">SUSANA MEJIA </t>
  </si>
  <si>
    <t>LUIS FELIPE GARCIA</t>
  </si>
  <si>
    <t>NATHALIA BALLESTEROS</t>
  </si>
  <si>
    <t xml:space="preserve">ENTRECOTE BY CATA INDIANA </t>
  </si>
  <si>
    <t>ISABEL CRISTINA GOMEZ</t>
  </si>
  <si>
    <t>NOHEMY CORDOBA</t>
  </si>
  <si>
    <t>VALERIA BETANCUR</t>
  </si>
  <si>
    <t>ENVIAR 11 AM</t>
  </si>
  <si>
    <t xml:space="preserve">PAGO EN TRANSFERRENCIA </t>
  </si>
  <si>
    <t xml:space="preserve">ANGEL MARIA VELASQUEZ </t>
  </si>
  <si>
    <t>SERGIO ARROYAVE</t>
  </si>
  <si>
    <t>DANIEL DIAZ</t>
  </si>
  <si>
    <t>MARCELA GOMEZ</t>
  </si>
  <si>
    <t>DOMICILIO ERNESTO SALON COMEDOR</t>
  </si>
  <si>
    <t>ERICA JHOJANA TABARES</t>
  </si>
  <si>
    <t>ENVIAR 3 PM</t>
  </si>
  <si>
    <t>CAROLINA MARIN</t>
  </si>
  <si>
    <t>SOFIA GARCES BUILES</t>
  </si>
  <si>
    <t>ENVIAR 8:30</t>
  </si>
  <si>
    <t>MARCELA VELASQUEZ</t>
  </si>
  <si>
    <t>LEIDY MARITZA CORREA</t>
  </si>
  <si>
    <t>JUAN CARLOS BEDOYA</t>
  </si>
  <si>
    <t>LINA COSSIO</t>
  </si>
  <si>
    <t xml:space="preserve">NATALIA OSPINA </t>
  </si>
  <si>
    <t>MENSAJE / BOLD</t>
  </si>
  <si>
    <t>MARGARITA GUTIERREZ</t>
  </si>
  <si>
    <t>ENVIAR 3PM</t>
  </si>
  <si>
    <t>JANETH GAVIRIA</t>
  </si>
  <si>
    <t>JUAN CARLOS AGUDELO</t>
  </si>
  <si>
    <t>MANUELA VELASQUEZ</t>
  </si>
  <si>
    <t>HECTOR TORO</t>
  </si>
  <si>
    <t xml:space="preserve">LAURA MOLINA </t>
  </si>
  <si>
    <t>EMMANUEL ORREGO</t>
  </si>
  <si>
    <t>BARBRO VIVA ENVIGADO</t>
  </si>
  <si>
    <t>JEINNY BENAVIDES</t>
  </si>
  <si>
    <t xml:space="preserve">TRANSPORTES TERRESTRES </t>
  </si>
  <si>
    <t>TRANSFERENCIA</t>
  </si>
  <si>
    <t>EFECTIVO</t>
  </si>
  <si>
    <t>HERMES CESPEDES</t>
  </si>
  <si>
    <t>ENVIAR 4:30 PM</t>
  </si>
  <si>
    <t>VALERIA AMAYA</t>
  </si>
  <si>
    <t>MARIA PAULA PELAEZ</t>
  </si>
  <si>
    <t>DIANA MARIA CORREA</t>
  </si>
  <si>
    <t>LAURA MEDINA</t>
  </si>
  <si>
    <t>JULIANA RAMIREZ</t>
  </si>
  <si>
    <t>LAURA MARCELA LOPEZ</t>
  </si>
  <si>
    <t>PAGO EN EECTIVO</t>
  </si>
  <si>
    <t>EN CJ BLANCA</t>
  </si>
  <si>
    <t>PATRICIA PIEDRAHITA</t>
  </si>
  <si>
    <t>MONICA MARIA PELAEZ</t>
  </si>
  <si>
    <t>EMPACADAS CAJA BLANCA</t>
  </si>
  <si>
    <t>ROSIO PARAMO</t>
  </si>
  <si>
    <t>SE PAGO EN EFECTIVO</t>
  </si>
  <si>
    <t>SILVIA VELEZ</t>
  </si>
  <si>
    <t xml:space="preserve">AMMAZZA LAURELES </t>
  </si>
  <si>
    <t>CAJA AZUL MINI</t>
  </si>
  <si>
    <t>VALERIA CHAVARRIAGA</t>
  </si>
  <si>
    <t>GIOVANY GALLEGO</t>
  </si>
  <si>
    <t>BARBRO LAURELES</t>
  </si>
  <si>
    <t xml:space="preserve">PATRICIA RESTREPO </t>
  </si>
  <si>
    <t>DIANA MARCELA</t>
  </si>
  <si>
    <t>30 % OFF</t>
  </si>
  <si>
    <t>JEAN CARLOS MEDINA</t>
  </si>
  <si>
    <t>MENSAJE / 25%</t>
  </si>
  <si>
    <t>MARIA PAULA BOTERO</t>
  </si>
  <si>
    <t>RUTH ROMERO</t>
  </si>
  <si>
    <t>ENVIO PENDIENTE A CAFE VELEZ</t>
  </si>
  <si>
    <t>PATRICIA MUNERA</t>
  </si>
  <si>
    <t>ANA VELEZ</t>
  </si>
  <si>
    <t>VANESSA</t>
  </si>
  <si>
    <t>VENTA LOCAL</t>
  </si>
  <si>
    <t xml:space="preserve">ADRIANA OCAMPO </t>
  </si>
  <si>
    <t xml:space="preserve">Katen lorena Ramos </t>
  </si>
  <si>
    <t>MARIA CAMILA JARAMILLO</t>
  </si>
  <si>
    <t>MARIA VICTORIA ARANGO</t>
  </si>
  <si>
    <t>MANUELA SIERRA COCK</t>
  </si>
  <si>
    <t>VALERIA DUQUE</t>
  </si>
  <si>
    <t>MARIA PAZ PEREZ</t>
  </si>
  <si>
    <t>VALENTINA RESTREPO</t>
  </si>
  <si>
    <t xml:space="preserve">MERO </t>
  </si>
  <si>
    <t>NATALIA CRUZ RESTREPO</t>
  </si>
  <si>
    <t>SARA CAÑOLA</t>
  </si>
  <si>
    <t>LILIANA HURTADO</t>
  </si>
  <si>
    <t>CAFE VELEZ CALI</t>
  </si>
  <si>
    <t>ENVIA</t>
  </si>
  <si>
    <t xml:space="preserve">MÓNICA MARÍA PELÁEZ ZEA </t>
  </si>
  <si>
    <t xml:space="preserve">
•⁠  ⁠Cédula: 43876702
•⁠  ⁠Barrio / sector: poblado (loma tesoro)
•⁠  ⁠Dirección completa  C.R Palo Alto. Cra 29 A # 3-96 Casa 110. 
•⁠  ⁠Celular: 3182616866</t>
  </si>
  <si>
    <t>JULIANA FERNANDEZ RESTREPO</t>
  </si>
  <si>
    <t>MARCELA SOSA</t>
  </si>
  <si>
    <t>Marcela Sosa
Calle 12a 36a 35 ed ágata torre2 apto 1006 loma Lalinde 
3216431741</t>
  </si>
  <si>
    <t>MANUELA QUICENO</t>
  </si>
  <si>
    <t>* Santiago Toro 
* Celular: 
* Dirección completa (con detalles): Cra. 27B #17-40, El Poblado, Medellín, El Poblado, Medellín, Antioquia
* Mensaje para incluir en la tarjeta: Feliz Cumpleaños Caro, de Manuela Y Gregorio</t>
  </si>
  <si>
    <t>1039466247
Poblado
Carrera 43 #9sur-195
Inexmoda piso 6
3003323185</t>
  </si>
  <si>
    <t>MANUELA RESTREPO</t>
  </si>
  <si>
    <t>RECOGE María José Parra</t>
  </si>
  <si>
    <t>OLGA LUCÍA ALVAREZ DE RAVE</t>
  </si>
  <si>
    <t>39325377, Rodeo Alto (Belen), carrera 82 número 9A Sur 28, Unidad residencial Atavanza, bloque 3 apt 409, cel 3243884440</t>
  </si>
  <si>
    <t xml:space="preserve">SUNTERRA </t>
  </si>
  <si>
    <t>Para regalo: Camila Pereira
De: Sunterra
* Dirección completa (con detalles)Calle 20 A # 82bb - 09 casa segundo piso belen altavista 
* Mensaje para incluir en la tarjeta: Feliz cumpleaños, que cada año sea mejor y con mas propósito abrazo equipo CPC</t>
  </si>
  <si>
    <t>SONIA RODERO</t>
  </si>
  <si>
    <t xml:space="preserve">Cc52153719
Belen Nogales 
calle , 32C. 76-103. Apto. 201 edificio San Angelo 
Felicidades 3105745665 Sprodero@hotmail.com, NOTA:Recibe Iván Buitrago o camilo buitrago entregar 5 pm </t>
  </si>
  <si>
    <t>DANIELA YEPES</t>
  </si>
  <si>
    <t>Daniela Yepes 
1152440302
Envigado
Carrera 39#47 sur 66apto 503 edificio camino del trianon 
300 269 3639 
Danielasimonds@hotmail.com 11 de Marzo</t>
  </si>
  <si>
    <t>MARIA CAMILA DEL MAR BUITRAGO</t>
  </si>
  <si>
    <t>EMPACAR PARA REGALO
ENVIAR DOM TIPO 4 PM</t>
  </si>
  <si>
    <t>BARBARO  LAURELES</t>
  </si>
  <si>
    <t>ENTREGAR A LAS 9AM
23 living - Dirección: Cra 33 #5G-23,</t>
  </si>
  <si>
    <t xml:space="preserve">FABIAN PALACIO </t>
  </si>
  <si>
    <t>Cliente habia hecho pedido de 1 Mediana con pistacho para el 16/03/26 se equivoco de fecha y , viene hoy12/03/26 por una grande OG</t>
  </si>
  <si>
    <t>SUSANA GÓMEZ</t>
  </si>
  <si>
    <t>Susana Gómez
El Poblado
Calle 1B sur #38-10 Ed Biarritz Apto 602
3106814638
Jueves 12 de marzo a las 5 pm</t>
  </si>
  <si>
    <t>.</t>
  </si>
  <si>
    <t>ALEJANDRO PIEDRAHITA</t>
  </si>
  <si>
    <t xml:space="preserve">RECOGE </t>
  </si>
  <si>
    <t>MARÍA ELVIRA PIEDRAHITA</t>
  </si>
  <si>
    <t>María Elvira Piedrahitaarrio / sector El poblado
: calle 5 sur # 22 290 Aguas del bosque Apto 809 torre 4
•⁠  ⁠Número de celular: 3146807861
•⁠  ⁠Fecha de envío: iViernes 13 de marzo antes del medio dia.
•⁠  ⁠Cédula 1037613304</t>
  </si>
  <si>
    <t>SANTIAGO RESTREPO ARANGO</t>
  </si>
  <si>
    <t>Santiago Restrepo Arango
1128438527
Zuñiga/La Frontera
Calle 21 Sur # 41-117 urbanización Canta Piedra Torre 4 Apto 1219
3015557097</t>
  </si>
  <si>
    <t>FABIAN PALACIO</t>
  </si>
  <si>
    <t>1 Mini OG 
Había pagado en trasferencia 24.000. mil pesos
Pago en efectivo 26.000 mil pesos</t>
  </si>
  <si>
    <t>FELIPE PELÁEZ VALDERRAMA</t>
  </si>
  <si>
    <t>Reposición – GRANDE OGX 10</t>
  </si>
  <si>
    <t xml:space="preserve">GABRIELA MOGOLLON </t>
  </si>
  <si>
    <t>Cc 1003189381
Loma de los Bernal 
Calle 7#80-185 urbanización manantial de los Bernal apto 1302 Torre 2 
3002127553</t>
  </si>
  <si>
    <t>TRASFERENCIA</t>
  </si>
  <si>
    <t xml:space="preserve">DANIEL CELIS PEREZ </t>
  </si>
  <si>
    <t>Daniel Celis Perez 
1152198874
Los colores 
3136183807
Recoge Ana Maria Osorio</t>
  </si>
  <si>
    <t xml:space="preserve">VENTA LOCAL </t>
  </si>
  <si>
    <t xml:space="preserve">JOHANA BONILLA </t>
  </si>
  <si>
    <t>RECOGE Johana Bonilla 
CC 52412320  ,SABADO 14/03/2026, Feliz cumpleaños! Que sean muchos más juntos</t>
  </si>
  <si>
    <t>MARCELA VALENCIA</t>
  </si>
  <si>
    <t>ENOIA</t>
  </si>
  <si>
    <t>RECOGE ANDREA GOMEZ
SON PARA UN EVENTO</t>
  </si>
  <si>
    <t>LEIDY  MARITZA CORREA SEPÚLVEDA</t>
  </si>
  <si>
    <t>JULIANA HOYOS</t>
  </si>
  <si>
    <t>(cajas blancas)</t>
  </si>
  <si>
    <t>(cajas blancas)
16  con arequipe</t>
  </si>
  <si>
    <t>(cajas blancas)
16  con  nutella</t>
  </si>
  <si>
    <t xml:space="preserve">CAROLINA VÉLEZ </t>
  </si>
  <si>
    <t xml:space="preserve">43220590
Poblado
Calle 6 #16-14 sauces de la calera apto 2101
3153121523
Sábado 14 marzo </t>
  </si>
  <si>
    <t>MARIA ALEJANDRA CORREA</t>
  </si>
  <si>
    <t>Barrio / sector: Poblado Castropol 
•⁠  ⁠DireccióN :Calle 15 N 37 A 18 apto 904. Edificio Altos de la Quince 
•⁠  ⁠Número de celular: 310 446 63 46 
•⁠  ⁠Fecha de envío: Sábado 14 de marzo</t>
  </si>
  <si>
    <t>MARÍA JOSÉ ROLDÁN</t>
  </si>
  <si>
    <t xml:space="preserve">- María José Roldán 
- ⁠1001370903
- ⁠el poblado
- ⁠calle 5 sur #25-130
- ⁠3115190120 RECOGE : Sergio Roldán Al medio dia </t>
  </si>
  <si>
    <t>DAVID MOSQUERA CORDOBA</t>
  </si>
  <si>
    <t>ANA VICTORIA VILLA</t>
  </si>
  <si>
    <t>MARIA JOSE ROLDAN</t>
  </si>
  <si>
    <t>(1 CON CADA TOPPING)</t>
  </si>
  <si>
    <t>CATALINA PIEDRAHITA</t>
  </si>
  <si>
    <t>frutos rojos aparte</t>
  </si>
  <si>
    <t>CLAUDIA LILIANA GONZÁLEZ</t>
  </si>
  <si>
    <t>FRUTOS ROJOS APARTE</t>
  </si>
  <si>
    <t>PATRICIA RESTREPO</t>
  </si>
  <si>
    <t>YEHIMY YOHANA OSORIO ORTIZ</t>
  </si>
  <si>
    <t>Cada caja es variada (1 Arequipe, 1 nutella, 1 frutos rojos, 1 crema de milo)</t>
  </si>
  <si>
    <t>(ENVIAR LA MITAD MARTES Y MITAD VIERNES)</t>
  </si>
  <si>
    <t>ADRIANA MARCELA SIERRA GARCÍA</t>
  </si>
  <si>
    <t>DESEO QUE TENGAS OTRO AÑO LLENO DE FELICIDAD Y QUE SIGAMOS LUCHANDO JUNTAS POR NUESTROS SUEÑOS.
¡Feliz Cumpleaños,
Ana María consuegra silvera
3214670515
Barrio laureles,medellín.
Calle35 #78A-31
Edificio totus tus
Apto 402.</t>
  </si>
  <si>
    <t>KATHERINE CARDONA GIRALDO</t>
  </si>
  <si>
    <t>Calle 5 sur #22-290
Urbanización Aguas del bosque
Apto 810
Transversal superior con la loma de los gonzalez</t>
  </si>
  <si>
    <t>(1 og, 1 nutella, 1 crema de milo, 1 frutos rojos)</t>
  </si>
  <si>
    <t xml:space="preserve">MARÍA JOSÉ SALDARRIAGA </t>
  </si>
  <si>
    <t xml:space="preserve">VALENTINA RESTREPO </t>
  </si>
  <si>
    <t xml:space="preserve">MELISSA TORRES LONDOÑO </t>
  </si>
  <si>
    <t>1874
LO CANCELARON PERO SI SE ENTREGO</t>
  </si>
  <si>
    <t>JHAN SEBASTIAN VARGAS CUBIDES</t>
  </si>
  <si>
    <t>Dg. 75B #33A-88, Laureles - Estadio, Medellín, APTO 502
EMPACAR REGALO
Te amo mi esposo hermoso.
PARA: Jorge Alejandro Alvarado Serrano</t>
  </si>
  <si>
    <t>marcadas x12</t>
  </si>
  <si>
    <t>JUAN CAMILO GOMEZ HERNANDEZ</t>
  </si>
  <si>
    <t>CLÉMENT YEUNG</t>
  </si>
  <si>
    <t>SOFÍA VILLA</t>
  </si>
  <si>
    <t>ARTURO TORO</t>
  </si>
  <si>
    <t>MARÍA CAMILA GARCÍA CORTÉS</t>
  </si>
  <si>
    <t>(1 arequipe, 1 frutos rojos, 1 nutella, 1 crema de milo)</t>
  </si>
  <si>
    <t xml:space="preserve">YESSICA SERRA </t>
  </si>
  <si>
    <t xml:space="preserve">MARÍA CAMILA RESTREPO </t>
  </si>
  <si>
    <t>ANA ELISA MUÑOZ</t>
  </si>
  <si>
    <t>Calle 37 B Sur #27B 81. Urbanización Atalaya de San Jorge, apto 601 - Loma de las Brujas, Envigado</t>
  </si>
  <si>
    <r>
      <rPr>
        <rFont val="Roboto"/>
        <color rgb="FF434343"/>
      </rPr>
      <t xml:space="preserve">MARCADA X10
</t>
    </r>
    <r>
      <rPr>
        <rFont val="Roboto"/>
        <b/>
        <color rgb="FF434343"/>
      </rPr>
      <t>OC 170</t>
    </r>
  </si>
  <si>
    <t xml:space="preserve">CAROLINA HERNÁNDEZ TABORDA </t>
  </si>
  <si>
    <t>VALERIA TABARES ÁLVAREZ</t>
  </si>
  <si>
    <t>1 arequipe, 1 nutella, 1 crema de milo y 1 frutos rojos)</t>
  </si>
  <si>
    <t>APARTE</t>
  </si>
  <si>
    <t>NATALIA AMAYA</t>
  </si>
  <si>
    <t>ADRIANA OCAMPO</t>
  </si>
  <si>
    <t>Carrera 27 AA cl 37 b sur 70 apto 13-07 torre 2 
Urbanización  nogales envigado loma de las brujas
3017597980</t>
  </si>
  <si>
    <t>JULIANA SIERRA</t>
  </si>
  <si>
    <t>DANIEL CLAVIJO</t>
  </si>
  <si>
    <t>(1 nutella, 1 frutos rojos, 1 arequipe, 1 og)</t>
  </si>
  <si>
    <t>LINA GAVIRIA</t>
  </si>
  <si>
    <t>(1 OG, 1 AREQUIPE, 1 NUTELLA, 1 CREMA DE MILO)</t>
  </si>
  <si>
    <t>PAULINA ACOSTA</t>
  </si>
  <si>
    <t>FRANCISCO WILSON CORDOBA LOPEZ</t>
  </si>
  <si>
    <t xml:space="preserve">MÓNICA MURIEL </t>
  </si>
  <si>
    <t>(1 nutella, 1 frutos rojos, 1 arequipe, 1 crema de milo)</t>
  </si>
  <si>
    <t xml:space="preserve">AIDE CRESPO CORTINEZ </t>
  </si>
  <si>
    <t>(1 AREQUIPE, 1 NUTELLA, 1 CREMA DE MILO,1 FRUTOS ROJOS)</t>
  </si>
  <si>
    <t>BIVIANA MARIN</t>
  </si>
  <si>
    <t>SANTIAGO FARLEY</t>
  </si>
  <si>
    <t>YA SE FACTURO</t>
  </si>
  <si>
    <t>DANIELA BARRIENTOS</t>
  </si>
  <si>
    <t>KAREN TATIANA GOMEZ SUAREZ</t>
  </si>
  <si>
    <t>enviar 8 am</t>
  </si>
  <si>
    <t>MARIA SERRANO</t>
  </si>
  <si>
    <t>MONICA URIBE</t>
  </si>
  <si>
    <t>ANGY FLOREZ</t>
  </si>
  <si>
    <t>EMILY SABOGAL</t>
  </si>
  <si>
    <t>GERALDINE JIMÉNEZ</t>
  </si>
  <si>
    <t>(4 arequipe)</t>
  </si>
  <si>
    <t>PORCION MILO</t>
  </si>
  <si>
    <t>AREQUIPE APARTE
ENVIAR AM</t>
  </si>
  <si>
    <t>PAULA HINCAPIE</t>
  </si>
  <si>
    <t>(2 OG, 2 CREMA DE MILO)
REGALO</t>
  </si>
  <si>
    <t>(2 NUTELLA, 2 FRUTOS ROJOS)
REGALO</t>
  </si>
  <si>
    <t>MONICA GIRALDO</t>
  </si>
  <si>
    <t>ANGELA MARIA VELASQUEZ GOMEZ</t>
  </si>
  <si>
    <t xml:space="preserve">ERIKA GARCIA </t>
  </si>
  <si>
    <t>Calle 55 #48 - 15 
3 piso Los Naranjos
Itagui</t>
  </si>
  <si>
    <t>(los 4 con crema de milo)</t>
  </si>
  <si>
    <t>OC216 EN OBSERVACIONES</t>
  </si>
  <si>
    <t>OC197 EN OBSERVACIONES</t>
  </si>
  <si>
    <t>MANUELA LONDOÑO</t>
  </si>
  <si>
    <t xml:space="preserve">ANGIE VALIENTE </t>
  </si>
  <si>
    <t>CAMILA GUZMAN TAPIAS</t>
  </si>
  <si>
    <t xml:space="preserve">CAMILA SER MAR </t>
  </si>
  <si>
    <t xml:space="preserve">NORMA AMEZQUITA </t>
  </si>
  <si>
    <t xml:space="preserve">ALEJANDRO VASQUEZ </t>
  </si>
  <si>
    <t>MARIA CAMILA RESTREPO</t>
  </si>
  <si>
    <t>LORENA VÉLEZ</t>
  </si>
  <si>
    <t>(todos variados)</t>
  </si>
  <si>
    <t>EMPACAR PARA REGALO
De: susana
para: Orlando 
muchas gracias por todas tus ayudas</t>
  </si>
  <si>
    <t>TODOS EN CAJAS BLANCAS X16 BITES</t>
  </si>
  <si>
    <t xml:space="preserve">GLORIA ELCY GIRANDO GOMEZ </t>
  </si>
  <si>
    <t xml:space="preserve">DELIA MURILLO </t>
  </si>
  <si>
    <t>FELIPE GONZALEZ</t>
  </si>
  <si>
    <t>ANDREA FAJARDO</t>
  </si>
  <si>
    <t xml:space="preserve">CAROLINA VELEZ </t>
  </si>
  <si>
    <t>CAFE VELEZ TESORO</t>
  </si>
  <si>
    <t>CAFE VELEZ SANTAFE</t>
  </si>
  <si>
    <t xml:space="preserve">CECILIA RUÍZ </t>
  </si>
  <si>
    <t>Es para un regalo
Dr José Luis Moore
Calle 17 Sur # 4406 
Clínica El Campestre Medellín 
Doctor  muchas gracias por su atención 
Cecilia Ruíz 
Envía:
Cecilia E Ruíz S
3243996156</t>
  </si>
  <si>
    <t xml:space="preserve">NATALIA RENDÓN </t>
  </si>
  <si>
    <t>todos con nutella por encima caja blanca</t>
  </si>
  <si>
    <t xml:space="preserve">ANDREA SABIE LOBO </t>
  </si>
  <si>
    <t>SILVANA PATRICIA YEPES VILLEGAS</t>
  </si>
  <si>
    <t>ADDA OROZCO</t>
  </si>
  <si>
    <t>DANIELA CORREA GIL</t>
  </si>
  <si>
    <t>KATEN LORENA RAMOS</t>
  </si>
  <si>
    <t>NATHALIE CACERES</t>
  </si>
  <si>
    <t xml:space="preserve">JHAN CARLOS QUINTANA </t>
  </si>
  <si>
    <t xml:space="preserve">MARIA CLARA URIBE </t>
  </si>
  <si>
    <t xml:space="preserve">1/2 AREQUIPE 1/2 NUTELLA </t>
  </si>
  <si>
    <t xml:space="preserve">JULIANA HOYOS TOBON </t>
  </si>
  <si>
    <t xml:space="preserve">-$80.000 DE NOTA CREDITO </t>
  </si>
  <si>
    <t>JORGE CORREA</t>
  </si>
  <si>
    <t>DAVID MOSQUERA</t>
  </si>
  <si>
    <t>X10
OC270</t>
  </si>
  <si>
    <t>MONICA GOMEZ</t>
  </si>
  <si>
    <t xml:space="preserve">PALOMA BOTERO URIBE </t>
  </si>
  <si>
    <t xml:space="preserve">CATALINA OCHOA MUÑOZ </t>
  </si>
  <si>
    <t xml:space="preserve">ESTEFANIA CARDONA MONTOYA </t>
  </si>
  <si>
    <t>SANDRA JARAMILLO</t>
  </si>
  <si>
    <t>JUAN CAMILO MONTOYA</t>
  </si>
  <si>
    <t xml:space="preserve">MARÍA ISABEL DUQUE CHAVERRA </t>
  </si>
  <si>
    <t xml:space="preserve">LEIDY ESPINOSA CARTAGENA </t>
  </si>
  <si>
    <t xml:space="preserve">ANGELA MARIA AREIZA DUQUE </t>
  </si>
  <si>
    <t xml:space="preserve">MARIA JOSE ANGEL </t>
  </si>
  <si>
    <t xml:space="preserve">AREQUIPE APARTE </t>
  </si>
  <si>
    <t>VERÓNICA PRIETO</t>
  </si>
  <si>
    <t>x12</t>
  </si>
  <si>
    <t xml:space="preserve">DANIEL ESTEBAN VASQUEZ QUINTERO </t>
  </si>
  <si>
    <t>MIGUEL ÁNGEL ZAPATA  SERNA</t>
  </si>
  <si>
    <t>feliz cumple
Laureles estadio
Calle 49b 64c 35 oficina 211, edificio Brasilia 3 
310 8665899</t>
  </si>
  <si>
    <t>ANDRES CAÑAS PEREZ</t>
  </si>
  <si>
    <t xml:space="preserve">CRISTINA VELEZ GARCIA </t>
  </si>
  <si>
    <t xml:space="preserve">ZULY GONZALEZ YEPES </t>
  </si>
  <si>
    <t xml:space="preserve">MARIA CAMILA DURANGO </t>
  </si>
  <si>
    <t>(2 CREMA DE MILO- 2 FRUTOS ROJOS)</t>
  </si>
  <si>
    <t>(CREMA DE MILO-NUTELLA-FRUTOS ROJOS-AREQUIPE)</t>
  </si>
  <si>
    <t>DOMICILIARIO ARLEN</t>
  </si>
  <si>
    <t>2 CAJAS X 16 UNIDADES BITES</t>
  </si>
  <si>
    <t>(se envia 1 de mas que le debemos)
872 QUEDA FACTURADA EN 0</t>
  </si>
  <si>
    <t>869 / 871</t>
  </si>
  <si>
    <t>DANIEL CARDONA ORTIZ</t>
  </si>
  <si>
    <t>Para:  Maria Isaza
 Feliz cumpleaños. Que esta vuelta al sol te haga brillar aún más de lo que ya lo haces. Te deseamos toda la felicidad, éxito, prosperidad y muchas bendiciones. Con muchísimo amor tu familia ❤️</t>
  </si>
  <si>
    <t xml:space="preserve">MARCELA BEDOYA </t>
  </si>
  <si>
    <t xml:space="preserve">JULIAN GOMEZ </t>
  </si>
  <si>
    <t xml:space="preserve">OLGA INES CUADROS </t>
  </si>
  <si>
    <t xml:space="preserve">ANLELLY GUTIERREZ </t>
  </si>
  <si>
    <t xml:space="preserve">AREQUIPE </t>
  </si>
  <si>
    <t xml:space="preserve">30% DESCUENTO </t>
  </si>
  <si>
    <t>MIGUEL ANGEL VERA GONZÁLEZ</t>
  </si>
  <si>
    <t>MELISSA PELAEZ</t>
  </si>
  <si>
    <t>MANUELA FLOREZ</t>
  </si>
  <si>
    <t xml:space="preserve">LUZ DARY VELEZ </t>
  </si>
  <si>
    <t xml:space="preserve">MARIA JOSE SALDARRIAGA </t>
  </si>
  <si>
    <t xml:space="preserve">MANUELA GARCIA PERDOMO </t>
  </si>
  <si>
    <t xml:space="preserve">MARIA CAMILA RESTREPO </t>
  </si>
  <si>
    <t xml:space="preserve">SOFIA CARDONA RIOS </t>
  </si>
  <si>
    <t xml:space="preserve">CLEMENT YOUNG </t>
  </si>
  <si>
    <t xml:space="preserve">GENERAL CAFE </t>
  </si>
  <si>
    <t>MARCADA X10 / OC308</t>
  </si>
  <si>
    <t>MARCADA X10 / OC285</t>
  </si>
  <si>
    <t>LILIANA GONZÁLEZ</t>
  </si>
  <si>
    <t>EDUARDO MESA PÉREZ</t>
  </si>
  <si>
    <t>(AREQUIPE-FRUTOS ROJOS-MILO-NUTELLA)</t>
  </si>
  <si>
    <t>ANDRES GARCIA</t>
  </si>
  <si>
    <t>Para carolina posada
Feliz cumple, que lo disfrutes. De: Andrés
EMPACAR REGALO</t>
  </si>
  <si>
    <t>ANDREA</t>
  </si>
  <si>
    <t>MOISES CUARTAS</t>
  </si>
  <si>
    <t xml:space="preserve">ANTHONY GRISALES </t>
  </si>
  <si>
    <t>(1 arequipe, 1 nutella, 1 frutos rojos, 1 crema de milo)</t>
  </si>
  <si>
    <t>LINA MARIA ORTIZ G</t>
  </si>
  <si>
    <t>CAMILO ESPINAL</t>
  </si>
  <si>
    <t>VALENTINA HENAO MORALES</t>
  </si>
  <si>
    <t>JENIFER CAROLINA ORTEGA CAMEJO</t>
  </si>
  <si>
    <t>(AREQUIPE-MILO-NUTELLA-FRUTOS ROJOS)</t>
  </si>
  <si>
    <t>DOMICILIO ANDREA</t>
  </si>
  <si>
    <t xml:space="preserve">YA PAGO </t>
  </si>
  <si>
    <t>JUAN ESTEBAN ALZATE</t>
  </si>
  <si>
    <t>DANIELA TAMAYO</t>
  </si>
  <si>
    <t>CARRERA. 15 #9 A 31, EL Poblado edificio ZANDALO apartamento 804 
 3113450834</t>
  </si>
  <si>
    <t>VÍCTOR HUGO RESTREPO</t>
  </si>
  <si>
    <t xml:space="preserve">PEDIDO DEL 07/04 </t>
  </si>
  <si>
    <t>OSCAR DANIEL PEDROZO VARGAS</t>
  </si>
  <si>
    <t xml:space="preserve">ANDREA RAMIREZ </t>
  </si>
  <si>
    <t>DANIEL ESCOBAR</t>
  </si>
  <si>
    <t>PARA ENTREGAR MEDIO DIA</t>
  </si>
  <si>
    <t>VELEZ CAFE TESORO</t>
  </si>
  <si>
    <t>SARA PIEDRAHITA HOYOS</t>
  </si>
  <si>
    <t xml:space="preserve">ERIKA SÁNCHEZ </t>
  </si>
  <si>
    <t>FELIPE GÓMEZ V</t>
  </si>
  <si>
    <t>LINA MARIA VALLEJO</t>
  </si>
  <si>
    <t>ANDRÉS MÚNERA ALZATE</t>
  </si>
  <si>
    <t xml:space="preserve">JUAN CASTAÑO </t>
  </si>
  <si>
    <t>VELAS HBD BRONCE</t>
  </si>
  <si>
    <t>BRUNELA NAVAS CASTRO</t>
  </si>
  <si>
    <t>1 milo, 1nutella, 1 frutos rojos, 1 arequipe</t>
  </si>
  <si>
    <t xml:space="preserve">SARAH OCHOA </t>
  </si>
  <si>
    <t>Entrega para las 11am</t>
  </si>
  <si>
    <t>PEDIDO FACTURADO EL 4 DE ABRIL</t>
  </si>
  <si>
    <t>MARÍA ROCÍO RESTREPO J</t>
  </si>
  <si>
    <t xml:space="preserve">       "Para Astrid María Peña 
Amiga te deseamos lo mejor disfruta este rico manjar con todo el amor
Te queremos mucho 
Tu bello grupo"             </t>
  </si>
  <si>
    <t>ANDRES GOMEZ</t>
  </si>
  <si>
    <t>"¡Feliz cumpleaños a quien hizo mi casita realidad! - Andres"</t>
  </si>
  <si>
    <t>ANTHONY GRISALES</t>
  </si>
  <si>
    <t>1 arequipe, 1 nutella, 1 frutos rojos, 1 crema de milo</t>
  </si>
  <si>
    <t>MARÍA PATRICIA RÍOS</t>
  </si>
  <si>
    <t>PAULINA BRAN VELEZ</t>
  </si>
  <si>
    <t>NATALIA RIOS</t>
  </si>
  <si>
    <t>MARÍA PAULA GARCÍA</t>
  </si>
  <si>
    <t>CLAUDIA LONDOÑO</t>
  </si>
  <si>
    <t>Recoge Entre las 10:30 a 12:00 pm</t>
  </si>
  <si>
    <t>PEDIDO FACTURADO EL 10 DE ABRIL</t>
  </si>
  <si>
    <t xml:space="preserve">JOHANA RENDON </t>
  </si>
  <si>
    <t>Entregar en la mañana</t>
  </si>
  <si>
    <t>SARA GALLEGO ARISTIZÁBAL</t>
  </si>
  <si>
    <t>ANDERSON OCHOA</t>
  </si>
  <si>
    <t>Entregar 2pm</t>
  </si>
  <si>
    <t xml:space="preserve">DIANA SALAZAR </t>
  </si>
  <si>
    <t>JUANITA VEGA</t>
  </si>
  <si>
    <t>MEDIANA MILO</t>
  </si>
  <si>
    <t xml:space="preserve"> SANDRA HERNÁNDEZ</t>
  </si>
  <si>
    <t xml:space="preserve">TRANSFIERE $20.000 Y SE DEVULEVEN $2.000 EN EFECTIVO </t>
  </si>
  <si>
    <t>VERÓNICA TABORDA</t>
  </si>
  <si>
    <t xml:space="preserve">ADICION DE AREQUIPE </t>
  </si>
  <si>
    <t xml:space="preserve">FV3 1002/1018 SE FACTURAN APARTE 6 </t>
  </si>
  <si>
    <t>VALERIA CHAVARRIAGA MESA</t>
  </si>
  <si>
    <t xml:space="preserve">BERONICA GARCÍA RAMÍREZ </t>
  </si>
  <si>
    <t>CAROLINA RAMIREZ CARVAJAL</t>
  </si>
  <si>
    <t>Empacar para regalo</t>
  </si>
  <si>
    <t>PAOLA GONZÁLEZ</t>
  </si>
  <si>
    <t>BITE ORIGINAL UNIDAD + NUTELLA</t>
  </si>
  <si>
    <t>BITE ORIGINAL UNIDAD + MERMELADA DE FRUTOS ROJOS</t>
  </si>
  <si>
    <t>BROWNIE MILO + FRAMBUESA UNIDAD</t>
  </si>
  <si>
    <t>GALLETA CHIPS CHOCOLATE BLANCO UNIDAD</t>
  </si>
  <si>
    <t>GALLETA CHIPS CHOCOLATE UNIDAD</t>
  </si>
  <si>
    <t>CUCHAREABLE AREQUIPE UNIDAD EVENTO</t>
  </si>
  <si>
    <t>CUCHAREABLE LOTUS UNIDAD EVENTO</t>
  </si>
  <si>
    <t>TARTA ORIGINAL MINI CAPACILLO UNIDAD</t>
  </si>
  <si>
    <t>TORTA CASERA + AREQUIPE UNIDAD</t>
  </si>
  <si>
    <t>TORTA CHOCOLATE + AREQUIPE UNIDAD</t>
  </si>
  <si>
    <t>TORTA CHOCOLATE + NUTELLA UNIDAD</t>
  </si>
  <si>
    <t>BITE X16 ORIGINAL</t>
  </si>
  <si>
    <t>CAFE VELEZ EDIFICIO</t>
  </si>
  <si>
    <t>MAGNOLIA LONDOÑO ARTEAGA</t>
  </si>
  <si>
    <t xml:space="preserve">ERIKA AVELLANEDA </t>
  </si>
  <si>
    <t>MARÍA CAMILA SOTO TORRES</t>
  </si>
  <si>
    <t xml:space="preserve">SANDRA JARAMILLO </t>
  </si>
  <si>
    <t>PEDIDO DEL 15/04</t>
  </si>
  <si>
    <t>ESTEFANIA ÁLVAREZ RESTREPO</t>
  </si>
  <si>
    <t>1 grande og + toppings arequipe (Separado) Viernes a las 9am</t>
  </si>
  <si>
    <t>MANUELA URREA</t>
  </si>
  <si>
    <t>BITE ORIGINAL UNIDAD + CREMA DE MILO</t>
  </si>
  <si>
    <t>BITE PISTACHO UNIDAD</t>
  </si>
  <si>
    <t>BITE LIMON UNIDAD</t>
  </si>
  <si>
    <t>BITE VAINILLA DE MADAGASCAR UNIDAD</t>
  </si>
  <si>
    <t>MILDRED MONTERO CARGAR</t>
  </si>
  <si>
    <t>Empacar para regalo. Entregar 1:30pm a 2pm</t>
  </si>
  <si>
    <t>PRODIA SAS</t>
  </si>
  <si>
    <t>Recibe Daniela Lacouture</t>
  </si>
  <si>
    <t xml:space="preserve">KATEN LORENA RAMOS </t>
  </si>
  <si>
    <t>MAROA CLARA URIBE</t>
  </si>
  <si>
    <t>mas topping arequipe/nutella</t>
  </si>
  <si>
    <t>SANTIAGO RAMÍREZ</t>
  </si>
  <si>
    <t xml:space="preserve">ALEJANDRO OCHOA </t>
  </si>
  <si>
    <t xml:space="preserve">DAVID MOSQUERA CORDOBA </t>
  </si>
  <si>
    <t>JULIANA ZAPATA</t>
  </si>
  <si>
    <t xml:space="preserve"> AMALIA ABAD </t>
  </si>
  <si>
    <t>Felices 40 años de casados. Los adoramos. Para entregar en la tarde</t>
  </si>
  <si>
    <t>PAULINA ESCOBAR</t>
  </si>
  <si>
    <t>Pasa a recoger a las 11am</t>
  </si>
  <si>
    <t>DANIELA REYES</t>
  </si>
  <si>
    <t>Para entregar en la mañana</t>
  </si>
  <si>
    <t>FRANKLIN RAMIREZ</t>
  </si>
  <si>
    <t>ANGIE PAOLA GONZALEZ ZAPATA</t>
  </si>
  <si>
    <t>BITE ORIGINAL UNIDAD</t>
  </si>
  <si>
    <t>MERMELADA FRUTOS ROJOS</t>
  </si>
  <si>
    <t>GALLETA CHIPS BLANCO X35U</t>
  </si>
  <si>
    <t>SUM de CANTIDAD</t>
  </si>
  <si>
    <t>Suma total</t>
  </si>
  <si>
    <t>NORMAL</t>
  </si>
  <si>
    <t>CATALOGO</t>
  </si>
  <si>
    <t>CATALOGO RESTAURANTES</t>
  </si>
  <si>
    <t>PT01</t>
  </si>
  <si>
    <t>C16</t>
  </si>
  <si>
    <t>Dom01</t>
  </si>
  <si>
    <t>C18</t>
  </si>
  <si>
    <t>PT30</t>
  </si>
  <si>
    <t>PT59</t>
  </si>
  <si>
    <t>PT02</t>
  </si>
  <si>
    <t>PT55</t>
  </si>
  <si>
    <t>PT13</t>
  </si>
  <si>
    <t>PT19</t>
  </si>
  <si>
    <t>C07</t>
  </si>
  <si>
    <t>C06</t>
  </si>
  <si>
    <t>C12</t>
  </si>
  <si>
    <t>C14</t>
  </si>
  <si>
    <t>PT22</t>
  </si>
  <si>
    <t>PT32</t>
  </si>
  <si>
    <t>PT58</t>
  </si>
  <si>
    <t>PT23</t>
  </si>
  <si>
    <t>PT56</t>
  </si>
  <si>
    <t>PT24</t>
  </si>
  <si>
    <t>PT25</t>
  </si>
  <si>
    <t>MINI NUTELLA</t>
  </si>
  <si>
    <t>C02</t>
  </si>
  <si>
    <t>C13</t>
  </si>
  <si>
    <t>C01</t>
  </si>
  <si>
    <t>C11</t>
  </si>
  <si>
    <t>PT05</t>
  </si>
  <si>
    <t>PT33</t>
  </si>
  <si>
    <t>PT57</t>
  </si>
  <si>
    <t>PT06</t>
  </si>
  <si>
    <t>PT51</t>
  </si>
  <si>
    <t>PT07</t>
  </si>
  <si>
    <t>PT08</t>
  </si>
  <si>
    <t>C03</t>
  </si>
  <si>
    <t>C17</t>
  </si>
  <si>
    <t>C05</t>
  </si>
  <si>
    <t>C08</t>
  </si>
  <si>
    <t>PT11</t>
  </si>
  <si>
    <t>PT31</t>
  </si>
  <si>
    <t>PT40</t>
  </si>
  <si>
    <t>PORCION GRANDE MERMELADA FRUTOS ROJOS</t>
  </si>
  <si>
    <t>PT45</t>
  </si>
  <si>
    <t>PORCION MEDIANA MERMELADA FRUTOS ROJOS</t>
  </si>
  <si>
    <t>PT52</t>
  </si>
  <si>
    <t>PT42</t>
  </si>
  <si>
    <t>PORCION MINI MERMELADA FRUTOS ROJOS</t>
  </si>
  <si>
    <t>PT14</t>
  </si>
  <si>
    <t>C04</t>
  </si>
  <si>
    <t>C15</t>
  </si>
  <si>
    <t>C10</t>
  </si>
  <si>
    <t>C09</t>
  </si>
  <si>
    <t>V1</t>
  </si>
  <si>
    <t>V2</t>
  </si>
  <si>
    <t>V5</t>
  </si>
  <si>
    <t>V3</t>
  </si>
  <si>
    <t>V4</t>
  </si>
  <si>
    <t>BROWNIES MILO + FRAMBUESA X41 U</t>
  </si>
  <si>
    <t>GALLETA CHIPS CHOCOLATE X35U</t>
  </si>
  <si>
    <t>TORTA CASERA + AREQUIPE X49U</t>
  </si>
  <si>
    <t>TORTA DE CHOCOLATE + AREQUIPE X49U</t>
  </si>
  <si>
    <t>CUCHAREABLE AREQUIPE X35U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</si>
</sst>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&quot;/&quot;m&quot;/&quot;yy"/>
    <numFmt numFmtId="165" formatCode="&quot;$&quot;#,##0.00"/>
    <numFmt numFmtId="166" formatCode="&quot;$&quot;#,##0"/>
    <numFmt numFmtId="167" formatCode="d/M/yyyy"/>
    <numFmt numFmtId="168" formatCode="_(&quot;$&quot;* #,##0_);_(&quot;$&quot;* \(#,##0\);_(&quot;$&quot;* &quot;-&quot;??_);_(@_)"/>
  </numFmts>
  <fonts count="28">
    <font>
      <sz val="10.0"/>
      <color rgb="FF000000"/>
      <name val="Arial"/>
      <scheme val="minor"/>
    </font>
    <font>
      <color theme="1"/>
      <name val="Arial"/>
      <scheme val="minor"/>
    </font>
    <font>
      <b/>
      <sz val="12.0"/>
      <color theme="1"/>
      <name val="Arial"/>
    </font>
    <font>
      <b/>
      <sz val="10.0"/>
      <color rgb="FFFFFFFF"/>
      <name val="Arial"/>
    </font>
    <font>
      <sz val="10.0"/>
      <color rgb="FF000000"/>
      <name val="Arial"/>
    </font>
    <font>
      <b/>
      <color theme="1"/>
      <name val="Arial"/>
      <scheme val="minor"/>
    </font>
    <font/>
    <font>
      <color rgb="FF434343"/>
      <name val="Roboto"/>
    </font>
    <font>
      <color rgb="FF11734B"/>
      <name val="Roboto"/>
    </font>
    <font>
      <color theme="1"/>
      <name val="Arial"/>
    </font>
    <font>
      <b/>
      <color theme="1"/>
      <name val="Arial"/>
    </font>
    <font>
      <b/>
      <color rgb="FF434343"/>
      <name val="Roboto"/>
    </font>
    <font>
      <b/>
      <sz val="10.0"/>
      <color theme="1"/>
      <name val="Arial"/>
    </font>
    <font>
      <b/>
      <sz val="10.0"/>
      <color theme="1"/>
      <name val="Roboto"/>
    </font>
    <font>
      <color theme="1"/>
      <name val="Roboto"/>
    </font>
    <font>
      <color rgb="FF0A53A8"/>
      <name val="Roboto"/>
    </font>
    <font>
      <color rgb="FF000000"/>
      <name val="Roboto"/>
    </font>
    <font>
      <color rgb="FF753800"/>
      <name val="Roboto"/>
    </font>
    <font>
      <color rgb="FFFFCFC9"/>
      <name val="Roboto"/>
    </font>
    <font>
      <color rgb="FF473821"/>
      <name val="Roboto"/>
    </font>
    <font>
      <color rgb="FFB10202"/>
      <name val="Roboto"/>
    </font>
    <font>
      <sz val="9.0"/>
      <color rgb="FF434343"/>
      <name val="Roboto"/>
    </font>
    <font>
      <b/>
      <sz val="13.0"/>
      <color theme="1"/>
      <name val="Arial"/>
      <scheme val="minor"/>
    </font>
    <font>
      <b/>
      <sz val="12.0"/>
      <color theme="1"/>
      <name val="Arial"/>
      <scheme val="minor"/>
    </font>
    <font>
      <sz val="11.0"/>
      <color rgb="FF000000"/>
      <name val="Calibri"/>
    </font>
    <font>
      <sz val="11.0"/>
      <color rgb="FF131920"/>
      <name val="Arial"/>
    </font>
    <font>
      <sz val="11.0"/>
      <color theme="1"/>
      <name val="Arial"/>
      <scheme val="minor"/>
    </font>
    <font>
      <sz val="11.0"/>
      <color rgb="FF131920"/>
      <name val="NunitoSans"/>
    </font>
  </fonts>
  <fills count="14">
    <fill>
      <patternFill patternType="none"/>
    </fill>
    <fill>
      <patternFill patternType="lightGray"/>
    </fill>
    <fill>
      <patternFill patternType="solid">
        <fgColor rgb="FFCAEDFB"/>
        <bgColor rgb="FFCAEDFB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EA9999"/>
        <bgColor rgb="FFEA9999"/>
      </patternFill>
    </fill>
    <fill>
      <patternFill patternType="solid">
        <fgColor rgb="FFF9CB9C"/>
        <bgColor rgb="FFF9CB9C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00FF00"/>
        <bgColor rgb="FF00FF00"/>
      </patternFill>
    </fill>
    <fill>
      <patternFill patternType="solid">
        <fgColor theme="0"/>
        <bgColor theme="0"/>
      </patternFill>
    </fill>
    <fill>
      <patternFill patternType="solid">
        <fgColor rgb="FF98B2BC"/>
        <bgColor rgb="FF98B2B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98B2BC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98B2BC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270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left" readingOrder="0" shrinkToFit="0" vertical="center" wrapText="0"/>
    </xf>
    <xf borderId="1" fillId="0" fontId="2" numFmtId="0" xfId="0" applyAlignment="1" applyBorder="1" applyFont="1">
      <alignment horizontal="left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0"/>
    </xf>
    <xf borderId="0" fillId="2" fontId="1" numFmtId="0" xfId="0" applyAlignment="1" applyFill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2" fillId="2" fontId="3" numFmtId="0" xfId="0" applyAlignment="1" applyBorder="1" applyFont="1">
      <alignment readingOrder="0"/>
    </xf>
    <xf borderId="0" fillId="0" fontId="1" numFmtId="0" xfId="0" applyAlignment="1" applyFont="1">
      <alignment shrinkToFit="0" vertical="center" wrapText="0"/>
    </xf>
    <xf borderId="0" fillId="0" fontId="1" numFmtId="9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1"/>
    </xf>
    <xf borderId="0" fillId="0" fontId="1" numFmtId="165" xfId="0" applyAlignment="1" applyFont="1" applyNumberFormat="1">
      <alignment horizontal="right" readingOrder="0" shrinkToFit="0" vertical="center" wrapText="1"/>
    </xf>
    <xf borderId="2" fillId="0" fontId="4" numFmtId="0" xfId="0" applyAlignment="1" applyBorder="1" applyFont="1">
      <alignment readingOrder="0" shrinkToFit="0" wrapText="1"/>
    </xf>
    <xf borderId="0" fillId="0" fontId="1" numFmtId="0" xfId="0" applyAlignment="1" applyFont="1">
      <alignment horizontal="center" readingOrder="0" shrinkToFit="0" vertical="center" wrapText="0"/>
    </xf>
    <xf borderId="0" fillId="0" fontId="5" numFmtId="166" xfId="0" applyAlignment="1" applyFont="1" applyNumberFormat="1">
      <alignment readingOrder="0" shrinkToFit="0" vertical="center" wrapText="0"/>
    </xf>
    <xf borderId="0" fillId="0" fontId="5" numFmtId="165" xfId="0" applyAlignment="1" applyFont="1" applyNumberFormat="1">
      <alignment readingOrder="0" shrinkToFit="0" vertical="center" wrapText="0"/>
    </xf>
    <xf borderId="2" fillId="3" fontId="4" numFmtId="0" xfId="0" applyAlignment="1" applyBorder="1" applyFill="1" applyFont="1">
      <alignment readingOrder="0" shrinkToFit="0" wrapText="1"/>
    </xf>
    <xf borderId="0" fillId="0" fontId="5" numFmtId="165" xfId="0" applyAlignment="1" applyFont="1" applyNumberFormat="1">
      <alignment horizontal="right" readingOrder="0" shrinkToFit="0" vertical="center" wrapText="0"/>
    </xf>
    <xf borderId="0" fillId="0" fontId="1" numFmtId="165" xfId="0" applyAlignment="1" applyFont="1" applyNumberFormat="1">
      <alignment horizontal="right" readingOrder="0" shrinkToFit="0" vertical="center" wrapText="0"/>
    </xf>
    <xf borderId="0" fillId="0" fontId="5" numFmtId="165" xfId="0" applyAlignment="1" applyFont="1" applyNumberFormat="1">
      <alignment readingOrder="0" shrinkToFit="0" vertical="center" wrapText="1"/>
    </xf>
    <xf borderId="0" fillId="0" fontId="5" numFmtId="165" xfId="0" applyAlignment="1" applyFont="1" applyNumberFormat="1">
      <alignment horizontal="right" readingOrder="0" shrinkToFit="0" vertical="center" wrapText="1"/>
    </xf>
    <xf borderId="2" fillId="0" fontId="4" numFmtId="0" xfId="0" applyBorder="1" applyFont="1"/>
    <xf borderId="0" fillId="0" fontId="1" numFmtId="9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2" fillId="3" fontId="4" numFmtId="0" xfId="0" applyAlignment="1" applyBorder="1" applyFont="1">
      <alignment readingOrder="0" shrinkToFit="0" vertical="center" wrapText="1"/>
    </xf>
    <xf borderId="0" fillId="0" fontId="1" numFmtId="10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6" xfId="0" applyAlignment="1" applyFont="1" applyNumberForma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1" fillId="0" fontId="4" numFmtId="0" xfId="0" applyAlignment="1" applyBorder="1" applyFont="1">
      <alignment readingOrder="0" shrinkToFit="0" wrapText="1"/>
    </xf>
    <xf borderId="3" fillId="0" fontId="6" numFmtId="0" xfId="0" applyBorder="1" applyFont="1"/>
    <xf borderId="4" fillId="4" fontId="7" numFmtId="0" xfId="0" applyAlignment="1" applyBorder="1" applyFill="1" applyFont="1">
      <alignment horizontal="center" shrinkToFit="0" vertical="center" wrapText="0"/>
    </xf>
    <xf borderId="4" fillId="4" fontId="8" numFmtId="0" xfId="0" applyAlignment="1" applyBorder="1" applyFont="1">
      <alignment shrinkToFit="0" vertical="center" wrapText="0"/>
    </xf>
    <xf borderId="5" fillId="0" fontId="6" numFmtId="0" xfId="0" applyBorder="1" applyFont="1"/>
    <xf borderId="4" fillId="4" fontId="8" numFmtId="0" xfId="0" applyAlignment="1" applyBorder="1" applyFont="1">
      <alignment readingOrder="0" shrinkToFit="0" vertical="center" wrapText="0"/>
    </xf>
    <xf borderId="1" fillId="0" fontId="4" numFmtId="0" xfId="0" applyAlignment="1" applyBorder="1" applyFont="1">
      <alignment horizontal="center" readingOrder="0" shrinkToFit="0" vertical="center" wrapText="1"/>
    </xf>
    <xf borderId="0" fillId="0" fontId="1" numFmtId="167" xfId="0" applyAlignment="1" applyFont="1" applyNumberForma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4" numFmtId="0" xfId="0" applyFont="1"/>
    <xf borderId="0" fillId="0" fontId="1" numFmtId="0" xfId="0" applyAlignment="1" applyFont="1">
      <alignment shrinkToFit="0" vertical="center" wrapText="0"/>
    </xf>
    <xf borderId="4" fillId="3" fontId="9" numFmtId="0" xfId="0" applyAlignment="1" applyBorder="1" applyFont="1">
      <alignment shrinkToFit="0" vertical="center" wrapText="0"/>
    </xf>
    <xf borderId="4" fillId="3" fontId="9" numFmtId="0" xfId="0" applyAlignment="1" applyBorder="1" applyFont="1">
      <alignment readingOrder="0" shrinkToFit="0" vertical="center" wrapText="0"/>
    </xf>
    <xf borderId="0" fillId="0" fontId="2" numFmtId="164" xfId="0" applyAlignment="1" applyFont="1" applyNumberForma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0"/>
    </xf>
    <xf borderId="0" fillId="0" fontId="1" numFmtId="167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5" fontId="1" numFmtId="0" xfId="0" applyAlignment="1" applyFill="1" applyFont="1">
      <alignment horizontal="center" readingOrder="0" shrinkToFit="0" vertical="center" wrapText="0"/>
    </xf>
    <xf borderId="0" fillId="0" fontId="5" numFmtId="0" xfId="0" applyAlignment="1" applyFont="1">
      <alignment horizontal="center" readingOrder="0" shrinkToFit="0" vertical="center" wrapText="0"/>
    </xf>
    <xf borderId="0" fillId="0" fontId="5" numFmtId="0" xfId="0" applyAlignment="1" applyFont="1">
      <alignment horizontal="center" readingOrder="0" shrinkToFit="0" vertical="center" wrapText="0"/>
    </xf>
    <xf borderId="0" fillId="6" fontId="5" numFmtId="0" xfId="0" applyAlignment="1" applyFill="1" applyFont="1">
      <alignment horizontal="center" readingOrder="0" shrinkToFit="0" vertical="center" wrapText="0"/>
    </xf>
    <xf borderId="0" fillId="3" fontId="7" numFmtId="0" xfId="0" applyAlignment="1" applyFont="1">
      <alignment horizontal="center" readingOrder="0" shrinkToFit="0" vertical="center" wrapText="0"/>
    </xf>
    <xf borderId="0" fillId="3" fontId="7" numFmtId="0" xfId="0" applyAlignment="1" applyFont="1">
      <alignment horizontal="center" readingOrder="0" shrinkToFit="0" vertical="center" wrapText="0"/>
    </xf>
    <xf borderId="0" fillId="3" fontId="1" numFmtId="0" xfId="0" applyAlignment="1" applyFont="1">
      <alignment horizontal="center" readingOrder="0" shrinkToFit="0" vertical="center" wrapText="0"/>
    </xf>
    <xf borderId="0" fillId="3" fontId="1" numFmtId="0" xfId="0" applyAlignment="1" applyFont="1">
      <alignment horizontal="center" readingOrder="0" shrinkToFit="0" vertical="center" wrapText="0"/>
    </xf>
    <xf borderId="0" fillId="3" fontId="5" numFmtId="0" xfId="0" applyAlignment="1" applyFont="1">
      <alignment horizontal="center" readingOrder="0" shrinkToFit="0" vertical="center" wrapText="0"/>
    </xf>
    <xf borderId="4" fillId="3" fontId="7" numFmtId="0" xfId="0" applyAlignment="1" applyBorder="1" applyFont="1">
      <alignment horizontal="center" readingOrder="0" shrinkToFit="0" vertical="center" wrapText="0"/>
    </xf>
    <xf borderId="4" fillId="3" fontId="7" numFmtId="0" xfId="0" applyAlignment="1" applyBorder="1" applyFont="1">
      <alignment horizontal="center" shrinkToFit="0" vertical="center" wrapText="0"/>
    </xf>
    <xf borderId="4" fillId="4" fontId="7" numFmtId="0" xfId="0" applyAlignment="1" applyBorder="1" applyFont="1">
      <alignment horizontal="center" readingOrder="0" shrinkToFit="0" vertical="center" wrapText="0"/>
    </xf>
    <xf borderId="4" fillId="4" fontId="7" numFmtId="0" xfId="0" applyAlignment="1" applyBorder="1" applyFont="1">
      <alignment horizontal="center" shrinkToFit="0" vertical="center" wrapText="0"/>
    </xf>
    <xf borderId="4" fillId="3" fontId="7" numFmtId="0" xfId="0" applyAlignment="1" applyBorder="1" applyFont="1">
      <alignment horizontal="center" shrinkToFit="0" vertical="center" wrapText="0"/>
    </xf>
    <xf borderId="4" fillId="3" fontId="7" numFmtId="0" xfId="0" applyAlignment="1" applyBorder="1" applyFont="1">
      <alignment horizontal="center" readingOrder="0" shrinkToFit="0" vertical="center" wrapText="0"/>
    </xf>
    <xf borderId="0" fillId="4" fontId="7" numFmtId="0" xfId="0" applyAlignment="1" applyFont="1">
      <alignment horizontal="center" readingOrder="0" shrinkToFit="0" vertical="center" wrapText="0"/>
    </xf>
    <xf borderId="0" fillId="4" fontId="7" numFmtId="0" xfId="0" applyAlignment="1" applyFont="1">
      <alignment horizontal="center" readingOrder="0" shrinkToFit="0" vertical="center" wrapText="0"/>
    </xf>
    <xf borderId="4" fillId="4" fontId="7" numFmtId="0" xfId="0" applyAlignment="1" applyBorder="1" applyFont="1">
      <alignment horizontal="center" readingOrder="0" shrinkToFit="0" vertical="center" wrapText="0"/>
    </xf>
    <xf borderId="4" fillId="3" fontId="7" numFmtId="0" xfId="0" applyAlignment="1" applyBorder="1" applyFont="1">
      <alignment horizontal="center" readingOrder="0" shrinkToFit="0" vertical="center" wrapText="0"/>
    </xf>
    <xf borderId="0" fillId="3" fontId="7" numFmtId="0" xfId="0" applyAlignment="1" applyFont="1">
      <alignment horizontal="center" readingOrder="0" shrinkToFit="0" vertical="center" wrapText="0"/>
    </xf>
    <xf borderId="0" fillId="0" fontId="1" numFmtId="164" xfId="0" applyAlignment="1" applyFont="1" applyNumberFormat="1">
      <alignment horizontal="center"/>
    </xf>
    <xf borderId="0" fillId="0" fontId="1" numFmtId="0" xfId="0" applyAlignment="1" applyFont="1">
      <alignment horizontal="center"/>
    </xf>
    <xf borderId="0" fillId="5" fontId="5" numFmtId="0" xfId="0" applyAlignment="1" applyFont="1">
      <alignment horizontal="center" readingOrder="0" shrinkToFit="0" vertical="center" wrapText="0"/>
    </xf>
    <xf borderId="0" fillId="6" fontId="5" numFmtId="0" xfId="0" applyAlignment="1" applyFont="1">
      <alignment horizontal="center" readingOrder="0" shrinkToFit="0" vertical="center" wrapText="0"/>
    </xf>
    <xf borderId="0" fillId="7" fontId="5" numFmtId="0" xfId="0" applyAlignment="1" applyFill="1" applyFont="1">
      <alignment horizontal="center" readingOrder="0" shrinkToFit="0" vertical="center" wrapText="0"/>
    </xf>
    <xf borderId="0" fillId="3" fontId="1" numFmtId="167" xfId="0" applyAlignment="1" applyFont="1" applyNumberFormat="1">
      <alignment horizontal="center" readingOrder="0" shrinkToFit="0" vertical="center" wrapText="0"/>
    </xf>
    <xf borderId="0" fillId="3" fontId="7" numFmtId="0" xfId="0" applyAlignment="1" applyFont="1">
      <alignment horizontal="center" readingOrder="0" shrinkToFit="0" vertical="center" wrapText="0"/>
    </xf>
    <xf borderId="0" fillId="8" fontId="5" numFmtId="0" xfId="0" applyAlignment="1" applyFill="1" applyFont="1">
      <alignment horizontal="center" readingOrder="0" shrinkToFit="0" vertical="center" wrapText="0"/>
    </xf>
    <xf borderId="4" fillId="3" fontId="7" numFmtId="0" xfId="0" applyAlignment="1" applyBorder="1" applyFont="1">
      <alignment horizontal="center" shrinkToFit="0" vertical="center" wrapText="0"/>
    </xf>
    <xf borderId="4" fillId="4" fontId="7" numFmtId="0" xfId="0" applyAlignment="1" applyBorder="1" applyFont="1">
      <alignment horizontal="center" readingOrder="0" shrinkToFit="0" vertical="center" wrapText="0"/>
    </xf>
    <xf borderId="4" fillId="4" fontId="7" numFmtId="0" xfId="0" applyAlignment="1" applyBorder="1" applyFont="1">
      <alignment horizontal="center" shrinkToFit="0" vertical="center" wrapText="0"/>
    </xf>
    <xf borderId="4" fillId="4" fontId="7" numFmtId="0" xfId="0" applyAlignment="1" applyBorder="1" applyFont="1">
      <alignment horizontal="center" shrinkToFit="0" vertical="center" wrapText="0"/>
    </xf>
    <xf borderId="4" fillId="3" fontId="7" numFmtId="0" xfId="0" applyAlignment="1" applyBorder="1" applyFont="1">
      <alignment horizontal="center" shrinkToFit="0" vertical="center" wrapText="0"/>
    </xf>
    <xf borderId="6" fillId="3" fontId="7" numFmtId="167" xfId="0" applyAlignment="1" applyBorder="1" applyFont="1" applyNumberFormat="1">
      <alignment horizontal="center" readingOrder="0" shrinkToFit="0" vertical="center" wrapText="0"/>
    </xf>
    <xf borderId="4" fillId="3" fontId="9" numFmtId="0" xfId="0" applyAlignment="1" applyBorder="1" applyFont="1">
      <alignment horizontal="center" readingOrder="0" shrinkToFit="0" vertical="center" wrapText="0"/>
    </xf>
    <xf borderId="4" fillId="3" fontId="9" numFmtId="0" xfId="0" applyAlignment="1" applyBorder="1" applyFont="1">
      <alignment horizontal="center" readingOrder="0" shrinkToFit="0" vertical="center" wrapText="0"/>
    </xf>
    <xf borderId="0" fillId="3" fontId="9" numFmtId="0" xfId="0" applyAlignment="1" applyFont="1">
      <alignment horizontal="center" readingOrder="0" shrinkToFit="0" vertical="center" wrapText="0"/>
    </xf>
    <xf borderId="0" fillId="3" fontId="9" numFmtId="0" xfId="0" applyAlignment="1" applyFont="1">
      <alignment horizontal="center" readingOrder="0" shrinkToFit="0" vertical="center" wrapText="0"/>
    </xf>
    <xf borderId="0" fillId="3" fontId="10" numFmtId="0" xfId="0" applyAlignment="1" applyFont="1">
      <alignment horizontal="center" readingOrder="0" shrinkToFit="0" vertical="center" wrapText="0"/>
    </xf>
    <xf borderId="0" fillId="3" fontId="7" numFmtId="167" xfId="0" applyAlignment="1" applyFont="1" applyNumberFormat="1">
      <alignment horizontal="center" readingOrder="0" shrinkToFit="0" vertical="center" wrapText="0"/>
    </xf>
    <xf borderId="0" fillId="0" fontId="5" numFmtId="0" xfId="0" applyAlignment="1" applyFont="1">
      <alignment horizontal="center"/>
    </xf>
    <xf borderId="0" fillId="0" fontId="1" numFmtId="0" xfId="0" applyAlignment="1" applyFont="1">
      <alignment horizontal="center" readingOrder="0" shrinkToFit="0" vertical="center" wrapText="0"/>
    </xf>
    <xf borderId="0" fillId="0" fontId="1" numFmtId="167" xfId="0" applyAlignment="1" applyFont="1" applyNumberFormat="1">
      <alignment horizontal="center" readingOrder="0" shrinkToFit="0" vertical="center" wrapText="0"/>
    </xf>
    <xf borderId="0" fillId="0" fontId="5" numFmtId="0" xfId="0" applyAlignment="1" applyFont="1">
      <alignment horizontal="center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9" fontId="1" numFmtId="0" xfId="0" applyAlignment="1" applyFill="1" applyFont="1">
      <alignment readingOrder="0" shrinkToFit="0" vertical="center" wrapText="0"/>
    </xf>
    <xf borderId="0" fillId="3" fontId="7" numFmtId="0" xfId="0" applyAlignment="1" applyFont="1">
      <alignment readingOrder="0" shrinkToFit="0" vertical="center" wrapText="0"/>
    </xf>
    <xf borderId="0" fillId="5" fontId="1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shrinkToFit="0" vertical="center" wrapText="0"/>
    </xf>
    <xf borderId="0" fillId="0" fontId="12" numFmtId="164" xfId="0" applyAlignment="1" applyFont="1" applyNumberFormat="1">
      <alignment horizontal="center" readingOrder="0" shrinkToFit="0" vertical="center" wrapText="1"/>
    </xf>
    <xf borderId="0" fillId="0" fontId="13" numFmtId="0" xfId="0" applyAlignment="1" applyFont="1">
      <alignment horizontal="center" readingOrder="0" shrinkToFit="0" vertical="center" wrapText="1"/>
    </xf>
    <xf borderId="0" fillId="0" fontId="12" numFmtId="0" xfId="0" applyAlignment="1" applyFont="1">
      <alignment horizontal="center" readingOrder="0" shrinkToFit="0" vertical="center" wrapText="1"/>
    </xf>
    <xf borderId="0" fillId="0" fontId="12" numFmtId="0" xfId="0" applyAlignment="1" applyFont="1">
      <alignment horizontal="center" readingOrder="0" shrinkToFit="0" vertical="center" wrapText="0"/>
    </xf>
    <xf borderId="0" fillId="0" fontId="12" numFmtId="168" xfId="0" applyAlignment="1" applyFont="1" applyNumberFormat="1">
      <alignment horizontal="center" readingOrder="0" shrinkToFit="0" vertical="center" wrapText="1"/>
    </xf>
    <xf borderId="0" fillId="0" fontId="12" numFmtId="165" xfId="0" applyAlignment="1" applyFont="1" applyNumberFormat="1">
      <alignment horizontal="center" readingOrder="0" shrinkToFit="0" vertical="center" wrapText="1"/>
    </xf>
    <xf borderId="0" fillId="0" fontId="13" numFmtId="168" xfId="0" applyAlignment="1" applyFont="1" applyNumberFormat="1">
      <alignment horizontal="center" readingOrder="0" shrinkToFit="0" vertical="center" wrapText="1"/>
    </xf>
    <xf borderId="0" fillId="0" fontId="13" numFmtId="0" xfId="0" applyAlignment="1" applyFont="1">
      <alignment horizontal="left" readingOrder="0" shrinkToFit="0" vertical="center" wrapText="1"/>
    </xf>
    <xf borderId="6" fillId="0" fontId="1" numFmtId="0" xfId="0" applyAlignment="1" applyBorder="1" applyFont="1">
      <alignment readingOrder="0" shrinkToFit="0" vertical="center" wrapText="0"/>
    </xf>
    <xf borderId="4" fillId="3" fontId="7" numFmtId="167" xfId="0" applyAlignment="1" applyBorder="1" applyFont="1" applyNumberFormat="1">
      <alignment horizontal="center" shrinkToFit="0" vertical="center" wrapText="0"/>
    </xf>
    <xf borderId="4" fillId="3" fontId="7" numFmtId="0" xfId="0" applyAlignment="1" applyBorder="1" applyFont="1">
      <alignment horizontal="center" shrinkToFit="0" vertical="center" wrapText="0"/>
    </xf>
    <xf borderId="4" fillId="3" fontId="7" numFmtId="0" xfId="0" applyAlignment="1" applyBorder="1" applyFont="1">
      <alignment shrinkToFit="0" vertical="center" wrapText="0"/>
    </xf>
    <xf borderId="4" fillId="0" fontId="14" numFmtId="0" xfId="0" applyAlignment="1" applyBorder="1" applyFont="1">
      <alignment shrinkToFit="0" vertical="center" wrapText="0"/>
    </xf>
    <xf borderId="4" fillId="0" fontId="14" numFmtId="0" xfId="0" applyAlignment="1" applyBorder="1" applyFont="1">
      <alignment horizontal="center" shrinkToFit="0" vertical="center" wrapText="0"/>
    </xf>
    <xf borderId="4" fillId="3" fontId="15" numFmtId="0" xfId="0" applyAlignment="1" applyBorder="1" applyFont="1">
      <alignment shrinkToFit="0" vertical="center" wrapText="0"/>
    </xf>
    <xf borderId="4" fillId="3" fontId="7" numFmtId="168" xfId="0" applyAlignment="1" applyBorder="1" applyFont="1" applyNumberFormat="1">
      <alignment horizontal="right" shrinkToFit="0" vertical="center" wrapText="0"/>
    </xf>
    <xf borderId="4" fillId="4" fontId="7" numFmtId="166" xfId="0" applyAlignment="1" applyBorder="1" applyFont="1" applyNumberFormat="1">
      <alignment horizontal="right" shrinkToFit="0" vertical="center" wrapText="0"/>
    </xf>
    <xf borderId="4" fillId="10" fontId="7" numFmtId="168" xfId="0" applyAlignment="1" applyBorder="1" applyFill="1" applyFont="1" applyNumberFormat="1">
      <alignment horizontal="right" shrinkToFit="0" vertical="center" wrapText="0"/>
    </xf>
    <xf borderId="0" fillId="3" fontId="11" numFmtId="0" xfId="0" applyAlignment="1" applyFont="1">
      <alignment horizontal="center" shrinkToFit="0" vertical="center" wrapText="0"/>
    </xf>
    <xf borderId="7" fillId="3" fontId="8" numFmtId="0" xfId="0" applyAlignment="1" applyBorder="1" applyFont="1">
      <alignment horizontal="center" shrinkToFit="0" vertical="center" wrapText="0"/>
    </xf>
    <xf borderId="0" fillId="3" fontId="8" numFmtId="0" xfId="0" applyAlignment="1" applyFont="1">
      <alignment shrinkToFit="0" vertical="center" wrapText="0"/>
    </xf>
    <xf borderId="6" fillId="4" fontId="7" numFmtId="0" xfId="0" applyAlignment="1" applyBorder="1" applyFont="1">
      <alignment shrinkToFit="0" vertical="center" wrapText="0"/>
    </xf>
    <xf borderId="4" fillId="4" fontId="7" numFmtId="167" xfId="0" applyAlignment="1" applyBorder="1" applyFont="1" applyNumberFormat="1">
      <alignment horizontal="center" shrinkToFit="0" vertical="center" wrapText="0"/>
    </xf>
    <xf borderId="4" fillId="4" fontId="7" numFmtId="0" xfId="0" applyAlignment="1" applyBorder="1" applyFont="1">
      <alignment horizontal="center" shrinkToFit="0" vertical="center" wrapText="0"/>
    </xf>
    <xf borderId="4" fillId="4" fontId="7" numFmtId="0" xfId="0" applyAlignment="1" applyBorder="1" applyFont="1">
      <alignment shrinkToFit="0" vertical="center" wrapText="0"/>
    </xf>
    <xf borderId="4" fillId="4" fontId="15" numFmtId="0" xfId="0" applyAlignment="1" applyBorder="1" applyFont="1">
      <alignment shrinkToFit="0" vertical="center" wrapText="0"/>
    </xf>
    <xf borderId="4" fillId="4" fontId="7" numFmtId="168" xfId="0" applyAlignment="1" applyBorder="1" applyFont="1" applyNumberFormat="1">
      <alignment horizontal="right" shrinkToFit="0" vertical="center" wrapText="0"/>
    </xf>
    <xf borderId="4" fillId="4" fontId="11" numFmtId="0" xfId="0" applyAlignment="1" applyBorder="1" applyFont="1">
      <alignment horizontal="center" shrinkToFit="0" vertical="center" wrapText="0"/>
    </xf>
    <xf borderId="7" fillId="4" fontId="8" numFmtId="0" xfId="0" applyAlignment="1" applyBorder="1" applyFont="1">
      <alignment horizontal="center" shrinkToFit="0" vertical="center" wrapText="0"/>
    </xf>
    <xf borderId="0" fillId="4" fontId="8" numFmtId="0" xfId="0" applyAlignment="1" applyFont="1">
      <alignment shrinkToFit="0" vertical="center" wrapText="0"/>
    </xf>
    <xf borderId="6" fillId="3" fontId="7" numFmtId="0" xfId="0" applyAlignment="1" applyBorder="1" applyFont="1">
      <alignment shrinkToFit="0" vertical="center" wrapText="0"/>
    </xf>
    <xf borderId="4" fillId="3" fontId="9" numFmtId="0" xfId="0" applyAlignment="1" applyBorder="1" applyFont="1">
      <alignment shrinkToFit="0" vertical="center" wrapText="0"/>
    </xf>
    <xf borderId="4" fillId="4" fontId="9" numFmtId="0" xfId="0" applyAlignment="1" applyBorder="1" applyFont="1">
      <alignment horizontal="center" shrinkToFit="0" vertical="center" wrapText="0"/>
    </xf>
    <xf borderId="4" fillId="4" fontId="9" numFmtId="0" xfId="0" applyAlignment="1" applyBorder="1" applyFont="1">
      <alignment shrinkToFit="0" vertical="center" wrapText="0"/>
    </xf>
    <xf borderId="4" fillId="4" fontId="9" numFmtId="0" xfId="0" applyAlignment="1" applyBorder="1" applyFont="1">
      <alignment shrinkToFit="0" vertical="center" wrapText="0"/>
    </xf>
    <xf borderId="4" fillId="3" fontId="11" numFmtId="0" xfId="0" applyAlignment="1" applyBorder="1" applyFont="1">
      <alignment horizontal="center" shrinkToFit="0" vertical="center" wrapText="0"/>
    </xf>
    <xf borderId="0" fillId="0" fontId="1" numFmtId="0" xfId="0" applyAlignment="1" applyFont="1">
      <alignment readingOrder="0" shrinkToFit="0" vertical="center" wrapText="0"/>
    </xf>
    <xf borderId="4" fillId="3" fontId="9" numFmtId="0" xfId="0" applyAlignment="1" applyBorder="1" applyFont="1">
      <alignment horizontal="center" shrinkToFit="0" vertical="center" wrapText="0"/>
    </xf>
    <xf borderId="4" fillId="3" fontId="9" numFmtId="0" xfId="0" applyAlignment="1" applyBorder="1" applyFont="1">
      <alignment shrinkToFit="0" vertical="center" wrapText="0"/>
    </xf>
    <xf borderId="4" fillId="3" fontId="9" numFmtId="168" xfId="0" applyAlignment="1" applyBorder="1" applyFont="1" applyNumberFormat="1">
      <alignment shrinkToFit="0" vertical="center" wrapText="0"/>
    </xf>
    <xf borderId="0" fillId="3" fontId="7" numFmtId="0" xfId="0" applyAlignment="1" applyFont="1">
      <alignment shrinkToFit="0" vertical="center" wrapText="0"/>
    </xf>
    <xf borderId="4" fillId="3" fontId="7" numFmtId="166" xfId="0" applyAlignment="1" applyBorder="1" applyFont="1" applyNumberFormat="1">
      <alignment horizontal="right" shrinkToFit="0" vertical="center" wrapText="0"/>
    </xf>
    <xf borderId="4" fillId="3" fontId="16" numFmtId="0" xfId="0" applyAlignment="1" applyBorder="1" applyFont="1">
      <alignment horizontal="center" shrinkToFit="0" vertical="center" wrapText="0"/>
    </xf>
    <xf borderId="4" fillId="3" fontId="17" numFmtId="0" xfId="0" applyAlignment="1" applyBorder="1" applyFont="1">
      <alignment shrinkToFit="0" vertical="center" wrapText="0"/>
    </xf>
    <xf borderId="4" fillId="4" fontId="17" numFmtId="0" xfId="0" applyAlignment="1" applyBorder="1" applyFont="1">
      <alignment shrinkToFit="0" vertical="center" wrapText="0"/>
    </xf>
    <xf borderId="4" fillId="4" fontId="9" numFmtId="168" xfId="0" applyAlignment="1" applyBorder="1" applyFont="1" applyNumberFormat="1">
      <alignment shrinkToFit="0" vertical="center" wrapText="0"/>
    </xf>
    <xf borderId="0" fillId="4" fontId="7" numFmtId="0" xfId="0" applyAlignment="1" applyFont="1">
      <alignment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4" fillId="3" fontId="18" numFmtId="0" xfId="0" applyAlignment="1" applyBorder="1" applyFont="1">
      <alignment shrinkToFit="0" vertical="center" wrapText="0"/>
    </xf>
    <xf borderId="4" fillId="4" fontId="18" numFmtId="0" xfId="0" applyAlignment="1" applyBorder="1" applyFont="1">
      <alignment shrinkToFit="0" vertical="center" wrapText="0"/>
    </xf>
    <xf borderId="4" fillId="4" fontId="19" numFmtId="0" xfId="0" applyAlignment="1" applyBorder="1" applyFont="1">
      <alignment shrinkToFit="0" vertical="center" wrapText="0"/>
    </xf>
    <xf borderId="4" fillId="3" fontId="7" numFmtId="0" xfId="0" applyAlignment="1" applyBorder="1" applyFont="1">
      <alignment readingOrder="0" shrinkToFit="0" vertical="center" wrapText="0"/>
    </xf>
    <xf borderId="4" fillId="3" fontId="19" numFmtId="0" xfId="0" applyAlignment="1" applyBorder="1" applyFont="1">
      <alignment shrinkToFit="0" vertical="center" wrapText="0"/>
    </xf>
    <xf borderId="4" fillId="4" fontId="9" numFmtId="0" xfId="0" applyAlignment="1" applyBorder="1" applyFont="1">
      <alignment readingOrder="0" shrinkToFit="0" vertical="center" wrapText="0"/>
    </xf>
    <xf borderId="4" fillId="4" fontId="7" numFmtId="0" xfId="0" applyAlignment="1" applyBorder="1" applyFont="1">
      <alignment readingOrder="0" shrinkToFit="0" vertical="center" wrapText="0"/>
    </xf>
    <xf borderId="4" fillId="10" fontId="9" numFmtId="168" xfId="0" applyAlignment="1" applyBorder="1" applyFont="1" applyNumberFormat="1">
      <alignment shrinkToFit="0" vertical="center" wrapText="0"/>
    </xf>
    <xf borderId="0" fillId="3" fontId="9" numFmtId="0" xfId="0" applyAlignment="1" applyFont="1">
      <alignment shrinkToFit="0" vertical="center" wrapText="0"/>
    </xf>
    <xf borderId="0" fillId="4" fontId="9" numFmtId="0" xfId="0" applyAlignment="1" applyFont="1">
      <alignment shrinkToFit="0" vertical="center" wrapText="0"/>
    </xf>
    <xf borderId="4" fillId="10" fontId="9" numFmtId="168" xfId="0" applyAlignment="1" applyBorder="1" applyFont="1" applyNumberFormat="1">
      <alignment readingOrder="0" shrinkToFit="0" vertical="center" wrapText="0"/>
    </xf>
    <xf borderId="7" fillId="4" fontId="20" numFmtId="0" xfId="0" applyAlignment="1" applyBorder="1" applyFont="1">
      <alignment horizontal="center" readingOrder="0" shrinkToFit="0" vertical="center" wrapText="0"/>
    </xf>
    <xf borderId="0" fillId="4" fontId="20" numFmtId="0" xfId="0" applyAlignment="1" applyFont="1">
      <alignment readingOrder="0" shrinkToFit="0" vertical="center" wrapText="0"/>
    </xf>
    <xf borderId="6" fillId="3" fontId="7" numFmtId="0" xfId="0" applyAlignment="1" applyBorder="1" applyFont="1">
      <alignment readingOrder="0" shrinkToFit="0" vertical="center" wrapText="0"/>
    </xf>
    <xf borderId="4" fillId="3" fontId="7" numFmtId="0" xfId="0" applyAlignment="1" applyBorder="1" applyFont="1">
      <alignment readingOrder="0" shrinkToFit="0" vertical="center" wrapText="0"/>
    </xf>
    <xf borderId="4" fillId="0" fontId="14" numFmtId="0" xfId="0" applyAlignment="1" applyBorder="1" applyFont="1">
      <alignment horizontal="center" readingOrder="0" shrinkToFit="0" vertical="center" wrapText="0"/>
    </xf>
    <xf borderId="4" fillId="3" fontId="17" numFmtId="0" xfId="0" applyAlignment="1" applyBorder="1" applyFont="1">
      <alignment readingOrder="0" shrinkToFit="0" vertical="center" wrapText="0"/>
    </xf>
    <xf borderId="4" fillId="3" fontId="9" numFmtId="168" xfId="0" applyAlignment="1" applyBorder="1" applyFont="1" applyNumberFormat="1">
      <alignment readingOrder="0" shrinkToFit="0" vertical="center" wrapText="0"/>
    </xf>
    <xf borderId="7" fillId="3" fontId="8" numFmtId="0" xfId="0" applyAlignment="1" applyBorder="1" applyFont="1">
      <alignment horizontal="center" readingOrder="0" shrinkToFit="0" vertical="center" wrapText="0"/>
    </xf>
    <xf borderId="0" fillId="3" fontId="8" numFmtId="0" xfId="0" applyAlignment="1" applyFont="1">
      <alignment readingOrder="0" shrinkToFit="0" vertical="center" wrapText="0"/>
    </xf>
    <xf borderId="4" fillId="3" fontId="17" numFmtId="0" xfId="0" applyAlignment="1" applyBorder="1" applyFont="1">
      <alignment readingOrder="0" shrinkToFit="0" vertical="center" wrapText="0"/>
    </xf>
    <xf borderId="4" fillId="4" fontId="9" numFmtId="168" xfId="0" applyAlignment="1" applyBorder="1" applyFont="1" applyNumberFormat="1">
      <alignment readingOrder="0" shrinkToFit="0" vertical="center" wrapText="0"/>
    </xf>
    <xf borderId="7" fillId="3" fontId="20" numFmtId="0" xfId="0" applyAlignment="1" applyBorder="1" applyFont="1">
      <alignment horizontal="center" readingOrder="0" shrinkToFit="0" vertical="center" wrapText="0"/>
    </xf>
    <xf borderId="0" fillId="3" fontId="20" numFmtId="0" xfId="0" applyAlignment="1" applyFont="1">
      <alignment readingOrder="0" shrinkToFit="0" vertical="center" wrapText="0"/>
    </xf>
    <xf borderId="0" fillId="4" fontId="9" numFmtId="0" xfId="0" applyAlignment="1" applyFont="1">
      <alignment readingOrder="0" shrinkToFit="0" vertical="center" wrapText="0"/>
    </xf>
    <xf borderId="0" fillId="3" fontId="7" numFmtId="0" xfId="0" applyAlignment="1" applyFont="1">
      <alignment horizontal="center" shrinkToFit="0" vertical="center" wrapText="0"/>
    </xf>
    <xf borderId="0" fillId="3" fontId="7" numFmtId="0" xfId="0" applyAlignment="1" applyFont="1">
      <alignment shrinkToFit="0" vertical="center" wrapText="0"/>
    </xf>
    <xf borderId="0" fillId="0" fontId="14" numFmtId="0" xfId="0" applyAlignment="1" applyFont="1">
      <alignment horizontal="center" shrinkToFit="0" vertical="center" wrapText="0"/>
    </xf>
    <xf borderId="0" fillId="4" fontId="9" numFmtId="0" xfId="0" applyAlignment="1" applyFont="1">
      <alignment shrinkToFit="0" vertical="center" wrapText="0"/>
    </xf>
    <xf borderId="0" fillId="4" fontId="7" numFmtId="168" xfId="0" applyAlignment="1" applyFont="1" applyNumberFormat="1">
      <alignment horizontal="right" shrinkToFit="0" vertical="center" wrapText="0"/>
    </xf>
    <xf borderId="0" fillId="4" fontId="7" numFmtId="166" xfId="0" applyAlignment="1" applyFont="1" applyNumberFormat="1">
      <alignment horizontal="right" shrinkToFit="0" vertical="center" wrapText="0"/>
    </xf>
    <xf borderId="0" fillId="3" fontId="20" numFmtId="0" xfId="0" applyAlignment="1" applyFont="1">
      <alignment horizontal="center" readingOrder="0" shrinkToFit="0" vertical="center" wrapText="0"/>
    </xf>
    <xf borderId="0" fillId="3" fontId="7" numFmtId="167" xfId="0" applyAlignment="1" applyFont="1" applyNumberFormat="1">
      <alignment horizontal="center" shrinkToFit="0" vertical="center" wrapText="0"/>
    </xf>
    <xf borderId="0" fillId="3" fontId="9" numFmtId="0" xfId="0" applyAlignment="1" applyFont="1">
      <alignment readingOrder="0" shrinkToFit="0" vertical="center" wrapText="0"/>
    </xf>
    <xf borderId="0" fillId="4" fontId="7" numFmtId="0" xfId="0" applyAlignment="1" applyFont="1">
      <alignment horizontal="center" shrinkToFit="0" vertical="center" wrapText="0"/>
    </xf>
    <xf borderId="0" fillId="4" fontId="7" numFmtId="0" xfId="0" applyAlignment="1" applyFont="1">
      <alignment shrinkToFit="0" vertical="center" wrapText="0"/>
    </xf>
    <xf borderId="0" fillId="3" fontId="9" numFmtId="0" xfId="0" applyAlignment="1" applyFont="1">
      <alignment shrinkToFit="0" vertical="center" wrapText="0"/>
    </xf>
    <xf borderId="0" fillId="3" fontId="7" numFmtId="168" xfId="0" applyAlignment="1" applyFont="1" applyNumberFormat="1">
      <alignment horizontal="right" shrinkToFit="0" vertical="center" wrapText="0"/>
    </xf>
    <xf borderId="0" fillId="3" fontId="7" numFmtId="0" xfId="0" applyAlignment="1" applyFont="1">
      <alignment horizontal="center" shrinkToFit="0" vertical="center" wrapText="0"/>
    </xf>
    <xf borderId="0" fillId="3" fontId="7" numFmtId="0" xfId="0" applyAlignment="1" applyFont="1">
      <alignment shrinkToFit="0" vertical="center" wrapText="0"/>
    </xf>
    <xf borderId="0" fillId="10" fontId="9" numFmtId="168" xfId="0" applyAlignment="1" applyFont="1" applyNumberFormat="1">
      <alignment readingOrder="0" shrinkToFit="0" vertical="center" wrapText="0"/>
    </xf>
    <xf borderId="0" fillId="3" fontId="9" numFmtId="0" xfId="0" applyAlignment="1" applyFont="1">
      <alignment horizontal="center" shrinkToFit="0" vertical="center" wrapText="0"/>
    </xf>
    <xf borderId="0" fillId="3" fontId="7" numFmtId="0" xfId="0" applyAlignment="1" applyFont="1">
      <alignment readingOrder="0" shrinkToFit="0" vertical="center" wrapText="0"/>
    </xf>
    <xf borderId="4" fillId="3" fontId="7" numFmtId="167" xfId="0" applyAlignment="1" applyBorder="1" applyFont="1" applyNumberFormat="1">
      <alignment horizontal="center" readingOrder="0" shrinkToFit="0" vertical="center" wrapText="0"/>
    </xf>
    <xf borderId="0" fillId="3" fontId="7" numFmtId="0" xfId="0" applyAlignment="1" applyFont="1">
      <alignment readingOrder="0" shrinkToFit="0" vertical="center" wrapText="0"/>
    </xf>
    <xf borderId="0" fillId="0" fontId="14" numFmtId="0" xfId="0" applyAlignment="1" applyFont="1">
      <alignment horizontal="center" readingOrder="0" shrinkToFit="0" vertical="center" wrapText="0"/>
    </xf>
    <xf borderId="0" fillId="3" fontId="17" numFmtId="0" xfId="0" applyAlignment="1" applyFont="1">
      <alignment readingOrder="0" shrinkToFit="0" vertical="center" wrapText="0"/>
    </xf>
    <xf borderId="0" fillId="3" fontId="9" numFmtId="168" xfId="0" applyAlignment="1" applyFont="1" applyNumberFormat="1">
      <alignment readingOrder="0" shrinkToFit="0" vertical="center" wrapText="0"/>
    </xf>
    <xf borderId="0" fillId="3" fontId="8" numFmtId="0" xfId="0" applyAlignment="1" applyFont="1">
      <alignment horizontal="center" readingOrder="0" shrinkToFit="0" vertical="center" wrapText="0"/>
    </xf>
    <xf borderId="0" fillId="3" fontId="17" numFmtId="0" xfId="0" applyAlignment="1" applyFont="1">
      <alignment readingOrder="0" shrinkToFit="0" vertical="center" wrapText="0"/>
    </xf>
    <xf borderId="0" fillId="4" fontId="7" numFmtId="166" xfId="0" applyAlignment="1" applyFont="1" applyNumberFormat="1">
      <alignment horizontal="right" readingOrder="0" shrinkToFit="0" vertical="center" wrapText="0"/>
    </xf>
    <xf borderId="0" fillId="3" fontId="16" numFmtId="0" xfId="0" applyAlignment="1" applyFont="1">
      <alignment horizontal="center" readingOrder="0" shrinkToFit="0" vertical="center" wrapText="0"/>
    </xf>
    <xf borderId="0" fillId="5" fontId="7" numFmtId="0" xfId="0" applyAlignment="1" applyFont="1">
      <alignment horizontal="center" readingOrder="0" shrinkToFit="0" vertical="center" wrapText="0"/>
    </xf>
    <xf borderId="0" fillId="5" fontId="7" numFmtId="0" xfId="0" applyAlignment="1" applyFont="1">
      <alignment readingOrder="0" shrinkToFit="0" vertical="center" wrapText="0"/>
    </xf>
    <xf borderId="4" fillId="4" fontId="7" numFmtId="167" xfId="0" applyAlignment="1" applyBorder="1" applyFont="1" applyNumberFormat="1">
      <alignment horizontal="center" readingOrder="0" shrinkToFit="0" vertical="center" wrapText="0"/>
    </xf>
    <xf borderId="0" fillId="3" fontId="7" numFmtId="0" xfId="0" applyAlignment="1" applyFont="1">
      <alignment shrinkToFit="0" vertical="center" wrapText="0"/>
    </xf>
    <xf borderId="0" fillId="3" fontId="7" numFmtId="0" xfId="0" applyAlignment="1" applyFont="1">
      <alignment horizontal="center" shrinkToFit="0" vertical="center" wrapText="0"/>
    </xf>
    <xf borderId="0" fillId="4" fontId="7" numFmtId="167" xfId="0" applyAlignment="1" applyFont="1" applyNumberFormat="1">
      <alignment horizontal="center" readingOrder="0" shrinkToFit="0" vertical="center" wrapText="0"/>
    </xf>
    <xf borderId="4" fillId="3" fontId="16" numFmtId="0" xfId="0" applyAlignment="1" applyBorder="1" applyFont="1">
      <alignment horizontal="center" readingOrder="0" shrinkToFit="0" vertical="center" wrapText="0"/>
    </xf>
    <xf borderId="0" fillId="3" fontId="1" numFmtId="0" xfId="0" applyFont="1"/>
    <xf borderId="0" fillId="4" fontId="7" numFmtId="167" xfId="0" applyAlignment="1" applyFont="1" applyNumberFormat="1">
      <alignment horizontal="center" shrinkToFit="0" vertical="center" wrapText="0"/>
    </xf>
    <xf borderId="0" fillId="4" fontId="20" numFmtId="0" xfId="0" applyAlignment="1" applyFont="1">
      <alignment horizontal="center" readingOrder="0" shrinkToFit="0" vertical="center" wrapText="0"/>
    </xf>
    <xf borderId="0" fillId="3" fontId="7" numFmtId="166" xfId="0" applyAlignment="1" applyFont="1" applyNumberFormat="1">
      <alignment horizontal="right" shrinkToFit="0" vertical="center" wrapText="0"/>
    </xf>
    <xf borderId="0" fillId="3" fontId="7" numFmtId="0" xfId="0" applyAlignment="1" applyFont="1">
      <alignment readingOrder="0" shrinkToFit="0" vertical="center" wrapText="0"/>
    </xf>
    <xf borderId="0" fillId="3" fontId="7" numFmtId="0" xfId="0" applyAlignment="1" applyFont="1">
      <alignment readingOrder="0" shrinkToFit="0" vertical="center" wrapText="0"/>
    </xf>
    <xf borderId="0" fillId="3" fontId="7" numFmtId="167" xfId="0" applyAlignment="1" applyFont="1" applyNumberFormat="1">
      <alignment horizontal="center" readingOrder="0" shrinkToFit="0" vertical="center" wrapText="0"/>
    </xf>
    <xf borderId="0" fillId="3" fontId="7" numFmtId="0" xfId="0" applyAlignment="1" applyFont="1">
      <alignment readingOrder="0" shrinkToFit="0" vertical="center" wrapText="0"/>
    </xf>
    <xf borderId="0" fillId="3" fontId="14" numFmtId="0" xfId="0" applyAlignment="1" applyFont="1">
      <alignment horizontal="center" readingOrder="0" shrinkToFit="0" vertical="center" wrapText="0"/>
    </xf>
    <xf borderId="0" fillId="3" fontId="17" numFmtId="0" xfId="0" applyAlignment="1" applyFont="1">
      <alignment readingOrder="0" shrinkToFit="0" vertical="center" wrapText="0"/>
    </xf>
    <xf borderId="0" fillId="3" fontId="9" numFmtId="168" xfId="0" applyAlignment="1" applyFont="1" applyNumberFormat="1">
      <alignment readingOrder="0" shrinkToFit="0" vertical="center" wrapText="0"/>
    </xf>
    <xf borderId="0" fillId="3" fontId="7" numFmtId="166" xfId="0" applyAlignment="1" applyFont="1" applyNumberFormat="1">
      <alignment horizontal="right" shrinkToFit="0" vertical="center" wrapText="0"/>
    </xf>
    <xf borderId="0" fillId="3" fontId="9" numFmtId="0" xfId="0" applyAlignment="1" applyFont="1">
      <alignment horizontal="center" readingOrder="0" shrinkToFit="0" vertical="center" wrapText="0"/>
    </xf>
    <xf borderId="0" fillId="3" fontId="8" numFmtId="0" xfId="0" applyAlignment="1" applyFont="1">
      <alignment horizontal="center" readingOrder="0" shrinkToFit="0" vertical="center" wrapText="0"/>
    </xf>
    <xf borderId="0" fillId="5" fontId="7" numFmtId="0" xfId="0" applyAlignment="1" applyFont="1">
      <alignment horizontal="center" readingOrder="0" shrinkToFit="0" vertical="center" wrapText="0"/>
    </xf>
    <xf borderId="0" fillId="5" fontId="7" numFmtId="0" xfId="0" applyAlignment="1" applyFont="1">
      <alignment readingOrder="0" shrinkToFit="0" vertical="center" wrapText="0"/>
    </xf>
    <xf borderId="0" fillId="0" fontId="7" numFmtId="0" xfId="0" applyAlignment="1" applyFont="1">
      <alignment horizontal="center" readingOrder="0" shrinkToFit="0" vertical="center" wrapText="0"/>
    </xf>
    <xf borderId="0" fillId="0" fontId="7" numFmtId="0" xfId="0" applyAlignment="1" applyFont="1">
      <alignment readingOrder="0" shrinkToFit="0" vertical="center" wrapText="0"/>
    </xf>
    <xf borderId="0" fillId="6" fontId="11" numFmtId="0" xfId="0" applyAlignment="1" applyFont="1">
      <alignment horizontal="center" readingOrder="0" shrinkToFit="0" vertical="center" wrapText="0"/>
    </xf>
    <xf borderId="0" fillId="6" fontId="11" numFmtId="0" xfId="0" applyAlignment="1" applyFont="1">
      <alignment readingOrder="0" shrinkToFit="0" vertical="center" wrapText="0"/>
    </xf>
    <xf borderId="6" fillId="4" fontId="7" numFmtId="0" xfId="0" applyAlignment="1" applyBorder="1" applyFont="1">
      <alignment shrinkToFit="0" vertical="center" wrapText="0"/>
    </xf>
    <xf borderId="0" fillId="4" fontId="7" numFmtId="0" xfId="0" applyAlignment="1" applyFont="1">
      <alignment readingOrder="0" shrinkToFit="0" vertical="center" wrapText="0"/>
    </xf>
    <xf borderId="0" fillId="3" fontId="1" numFmtId="0" xfId="0" applyAlignment="1" applyFont="1">
      <alignment readingOrder="0" shrinkToFit="0" vertical="center" wrapText="0"/>
    </xf>
    <xf borderId="0" fillId="11" fontId="9" numFmtId="168" xfId="0" applyAlignment="1" applyFill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3" fontId="17" numFmtId="0" xfId="0" applyAlignment="1" applyFont="1">
      <alignment horizontal="center" readingOrder="0" shrinkToFit="0" vertical="center" wrapText="0"/>
    </xf>
    <xf borderId="0" fillId="3" fontId="17" numFmtId="0" xfId="0" applyAlignment="1" applyFont="1">
      <alignment readingOrder="0" shrinkToFit="0" vertical="center" wrapText="0"/>
    </xf>
    <xf borderId="0" fillId="5" fontId="7" numFmtId="0" xfId="0" applyAlignment="1" applyFont="1">
      <alignment readingOrder="0" shrinkToFit="0" vertical="center" wrapText="0"/>
    </xf>
    <xf borderId="7" fillId="3" fontId="8" numFmtId="0" xfId="0" applyAlignment="1" applyBorder="1" applyFont="1">
      <alignment readingOrder="0" shrinkToFit="0" vertical="center" wrapText="0"/>
    </xf>
    <xf borderId="0" fillId="3" fontId="17" numFmtId="0" xfId="0" applyAlignment="1" applyFont="1">
      <alignment readingOrder="0" shrinkToFit="0" vertical="center" wrapText="0"/>
    </xf>
    <xf borderId="0" fillId="3" fontId="8" numFmtId="0" xfId="0" applyAlignment="1" applyFont="1">
      <alignment readingOrder="0" shrinkToFit="0" vertical="center" wrapText="0"/>
    </xf>
    <xf borderId="0" fillId="4" fontId="20" numFmtId="0" xfId="0" applyAlignment="1" applyFont="1">
      <alignment readingOrder="0" shrinkToFit="0" vertical="center" wrapText="0"/>
    </xf>
    <xf borderId="0" fillId="5" fontId="21" numFmtId="0" xfId="0" applyAlignment="1" applyFont="1">
      <alignment horizontal="left" readingOrder="0" shrinkToFit="0" vertical="center" wrapText="0"/>
    </xf>
    <xf borderId="0" fillId="5" fontId="21" numFmtId="0" xfId="0" applyAlignment="1" applyFont="1">
      <alignment readingOrder="0" shrinkToFit="0" vertical="center" wrapText="0"/>
    </xf>
    <xf borderId="0" fillId="5" fontId="7" numFmtId="0" xfId="0" applyAlignment="1" applyFont="1">
      <alignment horizontal="center" readingOrder="0" shrinkToFit="0" vertical="center" wrapText="1"/>
    </xf>
    <xf borderId="0" fillId="5" fontId="7" numFmtId="0" xfId="0" applyAlignment="1" applyFont="1">
      <alignment readingOrder="0" shrinkToFit="0" vertical="center" wrapText="1"/>
    </xf>
    <xf borderId="0" fillId="3" fontId="8" numFmtId="0" xfId="0" applyAlignment="1" applyFont="1">
      <alignment horizontal="center" readingOrder="0" shrinkToFit="0" vertical="center" wrapText="0"/>
    </xf>
    <xf borderId="0" fillId="3" fontId="8" numFmtId="0" xfId="0" applyAlignment="1" applyFont="1">
      <alignment readingOrder="0" shrinkToFit="0" vertical="center" wrapText="0"/>
    </xf>
    <xf borderId="0" fillId="0" fontId="7" numFmtId="0" xfId="0" applyAlignment="1" applyFont="1">
      <alignment horizontal="center" readingOrder="0" shrinkToFit="0" vertical="center" wrapText="1"/>
    </xf>
    <xf borderId="0" fillId="5" fontId="11" numFmtId="0" xfId="0" applyAlignment="1" applyFont="1">
      <alignment horizontal="center" readingOrder="0" shrinkToFit="0" vertical="center" wrapText="1"/>
    </xf>
    <xf borderId="0" fillId="10" fontId="11" numFmtId="0" xfId="0" applyAlignment="1" applyFont="1">
      <alignment horizontal="center" readingOrder="0" shrinkToFit="0" vertical="center" wrapText="0"/>
    </xf>
    <xf borderId="0" fillId="12" fontId="7" numFmtId="166" xfId="0" applyAlignment="1" applyFill="1" applyFont="1" applyNumberFormat="1">
      <alignment horizontal="right" shrinkToFit="0" vertical="center" wrapText="0"/>
    </xf>
    <xf borderId="0" fillId="3" fontId="7" numFmtId="166" xfId="0" applyAlignment="1" applyFont="1" applyNumberFormat="1">
      <alignment horizontal="right" readingOrder="0" shrinkToFit="0" vertical="center" wrapText="0"/>
    </xf>
    <xf borderId="0" fillId="3" fontId="8" numFmtId="0" xfId="0" applyAlignment="1" applyFont="1">
      <alignment readingOrder="0" shrinkToFit="0" vertical="center" wrapText="0"/>
    </xf>
    <xf borderId="0" fillId="3" fontId="9" numFmtId="0" xfId="0" applyAlignment="1" applyFont="1">
      <alignment readingOrder="0" shrinkToFit="0" vertical="center" wrapText="0"/>
    </xf>
    <xf borderId="0" fillId="13" fontId="9" numFmtId="168" xfId="0" applyAlignment="1" applyFill="1" applyFont="1" applyNumberFormat="1">
      <alignment readingOrder="0" shrinkToFit="0" vertical="center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4" numFmtId="0" xfId="0" applyAlignment="1" applyFont="1">
      <alignment horizontal="center" readingOrder="0" shrinkToFit="0" vertical="center" wrapText="0"/>
    </xf>
    <xf borderId="0" fillId="0" fontId="1" numFmtId="0" xfId="0" applyFont="1"/>
    <xf borderId="0" fillId="0" fontId="1" numFmtId="164" xfId="0" applyFont="1" applyNumberFormat="1"/>
    <xf borderId="0" fillId="0" fontId="22" numFmtId="0" xfId="0" applyAlignment="1" applyFont="1">
      <alignment horizontal="center" readingOrder="0"/>
    </xf>
    <xf borderId="0" fillId="0" fontId="23" numFmtId="0" xfId="0" applyAlignment="1" applyFont="1">
      <alignment horizontal="center" readingOrder="0"/>
    </xf>
    <xf borderId="0" fillId="0" fontId="5" numFmtId="0" xfId="0" applyAlignment="1" applyFont="1">
      <alignment readingOrder="0"/>
    </xf>
    <xf borderId="0" fillId="0" fontId="1" numFmtId="166" xfId="0" applyAlignment="1" applyFont="1" applyNumberFormat="1">
      <alignment readingOrder="0"/>
    </xf>
    <xf borderId="0" fillId="0" fontId="24" numFmtId="0" xfId="0" applyAlignment="1" applyFont="1">
      <alignment readingOrder="0" shrinkToFit="0" vertical="bottom" wrapText="0"/>
    </xf>
    <xf borderId="0" fillId="0" fontId="1" numFmtId="166" xfId="0" applyFont="1" applyNumberFormat="1"/>
    <xf borderId="0" fillId="0" fontId="1" numFmtId="165" xfId="0" applyAlignment="1" applyFont="1" applyNumberFormat="1">
      <alignment readingOrder="0"/>
    </xf>
    <xf borderId="0" fillId="0" fontId="24" numFmtId="0" xfId="0" applyAlignment="1" applyFont="1">
      <alignment horizontal="left" readingOrder="0"/>
    </xf>
    <xf borderId="0" fillId="3" fontId="25" numFmtId="0" xfId="0" applyAlignment="1" applyFont="1">
      <alignment readingOrder="0"/>
    </xf>
    <xf borderId="0" fillId="0" fontId="26" numFmtId="166" xfId="0" applyAlignment="1" applyFont="1" applyNumberFormat="1">
      <alignment readingOrder="0"/>
    </xf>
    <xf borderId="0" fillId="3" fontId="27" numFmtId="0" xfId="0" applyAlignment="1" applyFont="1">
      <alignment readingOrder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CAEDFB"/>
          <bgColor rgb="FFCAEDFB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CAEDFB"/>
        </left>
        <right style="thin">
          <color rgb="FFCAEDFB"/>
        </right>
        <top style="thin">
          <color rgb="FFCAEDFB"/>
        </top>
        <bottom style="thin">
          <color rgb="FFCAEDFB"/>
        </bottom>
      </border>
    </dxf>
    <dxf>
      <font/>
      <fill>
        <patternFill patternType="solid">
          <fgColor rgb="FFB7E1CD"/>
          <bgColor rgb="FFB7E1CD"/>
        </patternFill>
      </fill>
      <border/>
    </dxf>
  </dxfs>
  <tableStyles count="5">
    <tableStyle count="4" pivot="0" name="RESTAURANTESDESCUENTOS 2026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INVENTARIO DIARIO P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RODUCCIO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RASLADOS BODEGA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EDIDO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N5168" sheet="PEDIDOS"/>
  </cacheSource>
  <cacheFields>
    <cacheField name="CLIENTE" numFmtId="0">
      <sharedItems containsBlank="1">
        <s v="AMBIENTE LIVING"/>
        <s v="AZUL SELVA "/>
        <s v="REGINA ROJAS "/>
        <s v="MIGUEL ANGEL VERA"/>
        <s v="CASA FLORA "/>
        <s v="BARBARO RIONEGRO"/>
        <s v="CAMILO ALVAREZ "/>
        <s v="LA ABUELA NITA"/>
        <s v="PDV "/>
        <s v="CESAR JIMENEZ"/>
        <s v="ANA MARIA OROZCO"/>
        <s v="LAURA HURTADO"/>
        <s v="RAPPI"/>
        <s v="VENTA EN LOCAL"/>
        <s v="ENTRECOTE BY CATA INDIANA"/>
        <s v="LONDRES COCINA"/>
        <s v="ENTRECOTE BY CATA INTERPLAZA"/>
        <s v="CASA DE NADIE"/>
        <s v="AMMAZZA LAURELES"/>
        <s v="ESTEFANIA CARDONA"/>
        <s v="VIVIANA GIRALDO"/>
        <s v="NATALIA MARTINEZ"/>
        <s v="SE PORCIONA "/>
        <s v="HIJO DE TIGRE"/>
        <s v="JUANITA ALVAREZ"/>
        <s v="AMMAZZA INDIANA"/>
        <s v="GENERAL CAFE"/>
        <s v="ENSO "/>
        <s v="SHIBUYA"/>
        <s v="VICTOR ALZATE"/>
        <s v="AMMAZZA AMSTERDAM"/>
        <s v="MIGUEL URQUIJO"/>
        <s v="JUDY DUQUE"/>
        <s v="ADRIANA JARAMILLO"/>
        <s v="LA FRAGUA"/>
        <s v="MILENA TARTELLE"/>
        <s v="KAREN SARRIA VILLADA"/>
        <s v="NELSON VARGAS"/>
        <s v="FANNER SANCHEZ"/>
        <s v="JOSE GUTIERREZ"/>
        <s v="BURDO"/>
        <s v="LA ABUELA NITA "/>
        <s v="ERNESTO SALON COMEDOR"/>
        <s v="JINETH SARAY GUISAO"/>
        <s v="JULIAN MORALES"/>
        <s v="ENTRECOTE BY CATA RETIRO"/>
        <s v="GRILL STATION LOS COLORES"/>
        <s v="GRILL STATION LAURELES"/>
        <s v="GRILL STATION POBLADO"/>
        <s v="WILSON RODRIGUEZ"/>
        <s v="CARLOS VALENCIA"/>
        <s v="JUAN CARLOS CORDOBA"/>
        <s v="MANUELA GARCIA"/>
        <s v="DIEGO ALEJANDRO CARDONA"/>
        <s v="FELIPE PELAEZ"/>
        <s v="ANA MARIA GARCES"/>
        <s v="NIDIA SANCHEZ"/>
        <s v="MARIA ISABEL CARVAJAL"/>
        <s v="LAURA CALLE PUERTA"/>
        <s v="NORMA AMEZQUITA"/>
        <s v="DIANA ARREDONDO"/>
        <s v="CATALINA MONSALVE"/>
        <s v="MANUELA BOLAÑOS "/>
        <s v="PAOLA LLANOS"/>
        <s v="YESSICA JARAMILLO"/>
        <s v="JORGE JARAMILLO"/>
        <s v="JOHANA VALDERRAMA"/>
        <s v="DIANA TRUJILLO"/>
        <s v="PAOLA"/>
        <s v="NELSON FELIPE BARCO"/>
        <s v="NATALIA CADAVID"/>
        <s v="LAURA BETANCUR"/>
        <s v="MARIA JULIANA GIRALDO"/>
        <s v="NANCY LOPEZ "/>
        <s v="ALVARO ORTEGA"/>
        <s v="DEISY THOKORA"/>
        <s v="ALEJANDRO GRISALES "/>
        <s v="RUBI MENDOZA "/>
        <s v="CRISTINA OLARTE"/>
        <s v="MERO"/>
        <s v="BARBARO VIVA ENVIGADO"/>
        <s v="BARBARO POBLADO"/>
        <s v="ALEJANDRO SANIN"/>
        <s v="RAFAEL VICTORIA"/>
        <s v="LINA MARIA BARRENECHE"/>
        <s v="SUNTERRA"/>
        <s v="SANTIAGO RAMIREZ"/>
        <s v="NAOMI YAMADA EMURA"/>
        <s v="ANDREINA IGLESIAS"/>
        <s v="ANTONIA HOYOS PEREZ"/>
        <s v="ELENA ZAPATA VELEZ"/>
        <s v="NATALIA MEJIA"/>
        <s v="DIEGO BOLIVAR"/>
        <s v="MARCELA GONZALEZ"/>
        <s v="FELIPE VELASQUEZ"/>
        <s v="VERONICA"/>
        <s v="TATIANA DIEZ"/>
        <s v="JUANITA ARANGO"/>
        <s v="CAROLINA BELALCAZAR"/>
        <s v="IGNACIO CABEZA"/>
        <s v="BARBARO LAURELES"/>
        <s v="SANTIAGO RESTREPO"/>
        <s v="JOSE ALEJANDRO ARRAUTT"/>
        <s v="LONDRES COCINA BAR"/>
        <s v="GABRIELA URDANETA"/>
        <s v="LUIS FERNANDO PEREZ"/>
        <s v="SUSANA PIEDRAHITA"/>
        <s v="EVELYN RESTREPO "/>
        <s v="VALERIO PIEDRAHITA"/>
        <s v="ANDRES FELIPE JIMENEZ"/>
        <s v="JUAN CAMILO MARTINEZ"/>
        <s v="HECTOR ABAD"/>
        <s v="ANDREA GOMEZ"/>
        <s v="SUSANA LALINDE"/>
        <s v="LILIANA MARIA RUIZ"/>
        <s v="ENSO"/>
        <s v="SOFIA GOMEZ"/>
        <s v="DESCONTAR"/>
        <s v="ZORAIDA ELENA CALLE"/>
        <s v="JULIANA VILLEGA"/>
        <s v="SARA MUÑOZ"/>
        <s v="BALAM SEGUROS LTDA"/>
        <s v="GLORIA VELEZ"/>
        <s v="ANDREA VALENCIA"/>
        <s v="DR. JULIAN MORALES"/>
        <s v="GRILL STATION SAN LUCAS"/>
        <s v="INGENIERIA URBANA CONSTRUCTORA"/>
        <s v="ANDREA GONZALES OSORIO"/>
        <s v="JAVIER LEOMAR MATAMOROS"/>
        <s v="MARIA PATRICIA ARENAS"/>
        <s v="EGEO"/>
        <s v="OLGA ARANGO"/>
        <s v="TANIA ROLDAN"/>
        <s v="AZUL SELVA"/>
        <s v="DAVID MORA "/>
        <s v="VELEZ CAFE"/>
        <s v="LINA ATANACHE"/>
        <s v="ANDREA OCHOA "/>
        <s v="ALEJANDRO GOMEZ"/>
        <s v="PAULA BUSTAMANTE"/>
        <s v="MANUELA URREA ARISTIZABAL "/>
        <s v="YEFERSON PEREZ DELGADO"/>
        <s v="MARIA ISABEL VILLEGAS "/>
        <s v="LAURA RESTREPO CADAVID"/>
        <s v="LEIDY PINEDA OSORIO"/>
        <s v="NATALIA OSPINA"/>
        <s v="OLGA FLOREZ"/>
        <s v="JULIAN BONILLA"/>
        <s v="PAULA MUÑETON"/>
        <s v="JAVIER ROBLEDO"/>
        <s v="CAMILO METRIO SANCHEZ"/>
        <s v="PAMELA GOMEZ"/>
        <s v="LUISA FERNANDA FALLA"/>
        <s v="DANIELA ARROYAVE"/>
        <s v="JUAN GALLEGO"/>
        <s v="VANESSA MONSALVE"/>
        <s v="MELISA CEBALLOS"/>
        <s v="JANETH GAVIRIA "/>
        <s v="ENTRECOTE BY CATA EL RETIRO"/>
        <s v="RICARDO MESA"/>
        <s v="VALERIA NARANJO "/>
        <s v="JOSE TORO"/>
        <s v="ADRIANA ALMAZAR"/>
        <s v="DARIANA MARRIAGA"/>
        <s v="GRILL STATION LLANOGRANDE"/>
        <s v="JORLADYS CARCAMO"/>
        <s v="SOFIA RESTREPO"/>
        <s v="CIELO MUÑOZ"/>
        <s v="DOMICILIO"/>
        <s v="VERONICA MELO"/>
        <s v="LUISA ARISTIZABAL"/>
        <s v="DOMICILIO "/>
        <s v="RICARDO ANDRES GONZALES"/>
        <s v="CAMILA JIMENEZ"/>
        <s v="PARA FOTOS "/>
        <s v="GRILL STATION COLORES"/>
        <s v="ISABELLA CUERVO "/>
        <s v="PATRICIA BAYTER"/>
        <s v="CAROLINA RESTREPO"/>
        <s v="DOMICILIO ANDREA "/>
        <s v="CAROLINA VELEZ"/>
        <s v="MARY LUZ ORTEGA"/>
        <s v="KEVIN ASLEIDER HENAO"/>
        <s v="LAURA FLOREZ"/>
        <s v="ERIKA LOPEZ"/>
        <s v="ANGELA TORRES"/>
        <s v="BERONICA GARCIA RAMIREZ"/>
        <s v="RICARDO ANDRES GOMEZ"/>
        <s v="CLAUDIA ELENA FLOREZ"/>
        <s v="MIENTRAS TIN TO"/>
        <s v="VALERIA MARTINEZ"/>
        <s v="VANESSA VALLEJO"/>
        <s v="BEATRIZ HERRERA"/>
        <s v="DANIELA VILLEGAS"/>
        <s v="PAULA ALTAMIRANDA"/>
        <s v="LEIDY MURILLO"/>
        <s v="SONIA YANETH BEDOYA"/>
        <s v="CAROLINA PULGARIN"/>
        <s v="GIOVANNY ANDRES"/>
        <s v="ANDRES TARTELLE"/>
        <s v="ANDREA PABON"/>
        <s v="IVAN MAURICIO PALMA"/>
        <s v="JOSE MANUEL DUQUE"/>
        <s v="FELIPE PELAEZ VALDERRAMA"/>
        <s v="WE WORK PALMAS"/>
        <s v="MAURICIO ALBERTO GRISALES"/>
        <s v="MARIA LUISA BULA"/>
        <s v="IZAMARA VELEZ CHAVARRIA"/>
        <s v="LAURA PABON"/>
        <s v="ELOID"/>
        <s v="SANTIAGO BERNAL "/>
        <s v="CLAUDIA GOMEZ"/>
        <s v="JUAN SEBASTIAN ESCOBAR"/>
        <s v="JUAN PABLO ARDILA"/>
        <s v="ASTRID ELENA GUTIERREZ"/>
        <s v="MARCELA GONZALES"/>
        <s v="EMILIANO VILLA "/>
        <s v="ESTEBAN MACRIBIS"/>
        <s v="ANDREA CASTRO"/>
        <s v="EMMANUEL VELEZ"/>
        <s v="DORIS CAÑAS"/>
        <s v="ALEJANDRO SIEGERT"/>
        <s v="MATEO GOMEZ"/>
        <s v="CATALINA BOTERO"/>
        <s v="DANIELA CORDOBA"/>
        <s v="MARIA MUÑOZ"/>
        <s v="KELLY POSADA"/>
        <s v="LINA DIAZ"/>
        <s v="SAMUEL DIEZ"/>
        <s v="CAMILO LONDOÑO"/>
        <s v="LUKAS RESTREPO MUÑOZ"/>
        <s v="MAURICIO CAMARGO TAMARA"/>
        <s v="CAFE GENERAL"/>
        <s v="ANDRES SALDARRIAGA"/>
        <s v="REBECA RODRIGUEZ"/>
        <s v="SURI SADAI TORRES"/>
        <s v="NIDIA SANCHEZ MARIN"/>
        <s v="JUAN BEDOYA"/>
        <s v="TATIANA RESTREPO"/>
        <s v="LINA ECHAVARRIA"/>
        <s v="CASA FLORA"/>
        <s v="MARGARITA ZAPATA"/>
        <s v="GERALDINE ANDREA JIMENEZ"/>
        <s v="MARCELA ROJAS"/>
        <s v="ESTEFANIA ROJAS CORREA"/>
        <s v="ANDREA MARULANDA RIOS"/>
        <s v="DANIELA BENJUMEA"/>
        <s v="SANTIAGO PAREJA"/>
        <s v="GRILL STATION LLANO GRANDE"/>
        <s v="LUCIA ANGEL"/>
        <s v="CECILIA RUIZ"/>
        <s v="AMALIA ISAZA"/>
        <s v="AMMAZZA  INDIANA"/>
        <s v="BERONICA GARCIA "/>
        <s v="CADECOE DE COLOMBIA"/>
        <s v="MANUELA GOMEZ"/>
        <s v="ISABELLA BEDOYA"/>
        <s v="MARIA ISABEL GIRALDO"/>
        <s v="LAURA GIRALDO VARGAS"/>
        <s v="KAREN RAMOS"/>
        <s v="DOMICILIO CLIENTE RIONEGRO"/>
        <s v="ERIKA AVELLANEDA"/>
        <s v="FELIPE GOMEZ"/>
        <s v="ANDREA SANCHEZ"/>
        <s v="VERONICA TABORDA"/>
        <s v="LAURA PEREZ MARTINEZ"/>
        <s v="JULIAN ECHANDIA"/>
        <s v="JUAN PABLO "/>
        <s v="EMILIANA BOTERO"/>
        <s v="NATALIA NARANJO"/>
        <s v="SARA VELILLA VANEGAS"/>
        <s v="LUISA CARDEÑO"/>
        <s v="JULIANA FERNADEZ "/>
        <s v="JUANITA ROJAS"/>
        <s v="ISABELLA TORO"/>
        <s v="JULIANA ROJAS"/>
        <s v="DIANA CAROLINA CASTRO"/>
        <s v="YOHANA BENJUMEA"/>
        <s v="AMMAZZA INDIANA "/>
        <s v="ANDREA GIRALDO VASQUEZ"/>
        <s v="SANDRA MILENA JARAMILLO"/>
        <s v="CATALINA AGUILAR"/>
        <s v="KAREN TATIANA GOMEZ"/>
        <s v="ANA LUCIA MUÑOZ"/>
        <s v="VENA EN LOCAL"/>
        <s v="ANA MARIA OCHOA "/>
        <s v="NANCY MEJIA"/>
        <s v="DIANA ESCOBAR"/>
        <s v="ENIT YANCELLY JIMENEZ"/>
        <s v="CAMILA BERRIO"/>
        <s v="AMALIA VELEZ"/>
        <s v="LA FRAGUA "/>
        <s v="ERNESTO SALON COMEDOR "/>
        <s v="BIBIANA RESTREPO VELEZ"/>
        <s v="MARIA ANTONIA HOYOS"/>
        <s v="PILAR OCHOA"/>
        <s v="MONICA FORERO"/>
        <s v="YUDYSELA OROZCO"/>
        <s v="CASA DE NADIE "/>
        <s v="ISABELLA SALAZAR VANEGAS"/>
        <s v="ANA MARIA ZAPATA "/>
        <s v="LIZETH BENAVIDES"/>
        <s v="LINA MARIA HENAO"/>
        <s v="SUSANA GOMEZ"/>
        <s v="NORMAN DORADO"/>
        <s v="VERONICA BOLIVAR"/>
        <s v="CLAUDIA LILIANA GONZALES"/>
        <s v="NATALY OSPINA"/>
        <s v="BARBARO POBALDO"/>
        <s v="VALENTINA HENAO"/>
        <s v="SANDRA LARA"/>
        <s v="MARIA MELISA TOBON"/>
        <s v="VALENTINA "/>
        <s v="JORGE ALEJANDRO ALVARADO"/>
        <s v="VALERIA NARVAEZ"/>
        <s v="EDWIN MONSALVE"/>
        <s v="MARTA CECILIA ALVAREZ"/>
        <s v="SARA MUNERA"/>
        <s v="VALENTINA CARDONA"/>
        <s v="JUAN DAVID BUILES"/>
        <s v="VELEZ CAFE EL TESORO"/>
        <s v="JUAN DAVID TRIANA"/>
        <s v="JUAN CAMILO MARIN"/>
        <s v="PAULA MARTINEZ"/>
        <s v="MARTHA GAVIRIA"/>
        <s v="ANA MARIA BACCI"/>
        <s v="SUSANA MEJIA "/>
        <s v="LUIS FELIPE GARCIA"/>
        <s v="NATHALIA BALLESTEROS"/>
        <s v="ENTRECOTE BY CATA INDIANA "/>
        <s v="ISABEL CRISTINA GOMEZ"/>
        <s v="VELEZ CAFE SANTAFE"/>
        <s v="NOHEMY CORDOBA"/>
        <s v="VALERIA BETANCUR"/>
        <s v="ANGEL MARIA VELASQUEZ "/>
        <s v="SERGIO ARROYAVE"/>
        <s v="DANIEL DIAZ"/>
        <s v="MARCELA GOMEZ"/>
        <s v="ERICA JHOJANA TABARES"/>
        <s v="CAROLINA MARIN"/>
        <s v="SOFIA GARCES BUILES"/>
        <s v="MARCELA VELASQUEZ"/>
        <s v="LEIDY MARITZA CORREA"/>
        <s v="JUAN CARLOS BEDOYA"/>
        <s v="LINA COSSIO"/>
        <s v="NATALIA OSPINA "/>
        <s v="MARGARITA GUTIERREZ"/>
        <s v="JANETH GAVIRIA"/>
        <s v="JUAN CARLOS AGUDELO"/>
        <s v="MANUELA VELASQUEZ"/>
        <s v="HECTOR TORO"/>
        <s v="LAURA MOLINA "/>
        <s v="EMMANUEL ORREGO"/>
        <s v="DANIELA TARTELLE"/>
        <s v="BARBRO VIVA ENVIGADO"/>
        <s v="JEINNY BENAVIDES"/>
        <s v="TRANSPORTES TERRESTRES "/>
        <s v="HERMES CESPEDES"/>
        <s v="VALERIA AMAYA"/>
        <s v="MARIA PAULA PELAEZ"/>
        <s v="DIANA MARIA CORREA"/>
        <s v="LAURA MEDINA"/>
        <s v="JULIANA RAMIREZ"/>
        <s v="LAURA MARCELA LOPEZ"/>
        <s v="PATRICIA PIEDRAHITA"/>
        <s v="MONICA MARIA PELAEZ"/>
        <s v="ROSIO PARAMO"/>
        <s v="SILVIA VELEZ"/>
        <s v="AMMAZZA LAURELES "/>
        <s v="VALERIA CHAVARRIAGA"/>
        <s v="GIOVANY GALLEGO"/>
        <s v="BARBRO LAURELES"/>
        <s v="PATRICIA RESTREPO "/>
        <s v="DIANA MARCELA"/>
        <s v="JEAN CARLOS MEDINA"/>
        <s v="MARIA PAULA BOTERO"/>
        <s v="RUTH ROMERO"/>
        <s v="ANDREA OCHOA"/>
        <s v="PATRICIA MUNERA"/>
        <s v="ANA VELEZ"/>
        <s v="VANESSA"/>
        <s v="VENTA LOCAL"/>
        <s v="ADRIANA OCAMPO "/>
        <s v="Katen lorena Ramos "/>
        <s v="MARIA CAMILA JARAMILLO"/>
        <s v="MARIA VICTORIA ARANGO"/>
        <s v="MANUELA SIERRA COCK"/>
        <s v="VALERIA DUQUE"/>
        <s v="MARIA PAZ PEREZ"/>
        <s v="VALENTINA RESTREPO"/>
        <s v="MERO "/>
        <s v="NATALIA CRUZ RESTREPO"/>
        <s v="SARA CAÑOLA"/>
        <s v="LILIANA HURTADO"/>
        <s v="CAFE VELEZ CALI"/>
        <s v="MÓNICA MARÍA PELÁEZ ZEA "/>
        <s v="JULIANA FERNANDEZ RESTREPO"/>
        <s v="MARCELA SOSA"/>
        <s v="MANUELA QUICENO"/>
        <s v="MANUELA RESTREPO"/>
        <s v="OLGA LUCÍA ALVAREZ DE RAVE"/>
        <s v="SUNTERRA "/>
        <s v="SONIA RODERO"/>
        <s v="DANIELA YEPES"/>
        <s v="MARIA CAMILA DEL MAR BUITRAGO"/>
        <s v="BARBARO  LAURELES"/>
        <s v="FABIAN PALACIO "/>
        <s v="SUSANA GÓMEZ"/>
        <s v="ALEJANDRO PIEDRAHITA"/>
        <s v="MARÍA ELVIRA PIEDRAHITA"/>
        <s v="SANTIAGO RESTREPO ARANGO"/>
        <s v="FABIAN PALACIO"/>
        <s v="FELIPE PELÁEZ VALDERRAMA"/>
        <s v="GABRIELA MOGOLLON "/>
        <s v="DANIEL CELIS PEREZ "/>
        <s v="VENTA LOCAL "/>
        <s v="JOHANA BONILLA "/>
        <s v="MARCELA VALENCIA"/>
        <s v="ENOIA"/>
        <s v="LEIDY  MARITZA CORREA SEPÚLVEDA"/>
        <s v="JULIANA HOYOS"/>
        <s v="CAROLINA VÉLEZ "/>
        <s v="MARIA ALEJANDRA CORREA"/>
        <s v="MARÍA JOSÉ ROLDÁN"/>
        <s v="DAVID MOSQUERA CORDOBA"/>
        <s v="ANA VICTORIA VILLA"/>
        <s v="MARIA JOSE ROLDAN"/>
        <s v="CATALINA PIEDRAHITA"/>
        <s v="CLAUDIA LILIANA GONZÁLEZ"/>
        <s v="PATRICIA RESTREPO"/>
        <s v="YEHIMY YOHANA OSORIO ORTIZ"/>
        <s v="ADRIANA MARCELA SIERRA GARCÍA"/>
        <s v="KATHERINE CARDONA GIRALDO"/>
        <s v="JHON DOMICILIARIO"/>
        <s v="MARÍA JOSÉ SALDARRIAGA "/>
        <s v="VALENTINA RESTREPO "/>
        <s v="MELISSA TORRES LONDOÑO "/>
        <s v="JHAN SEBASTIAN VARGAS CUBIDES"/>
        <s v="JUAN CAMILO GOMEZ HERNANDEZ"/>
        <s v="CLÉMENT YEUNG"/>
        <s v="SOFÍA VILLA"/>
        <s v="ARTURO TORO"/>
        <s v="MARÍA CAMILA GARCÍA CORTÉS"/>
        <s v="YESSICA SERRA "/>
        <s v="MARÍA CAMILA RESTREPO "/>
        <s v="ANA ELISA MUÑOZ"/>
        <s v="CAROLINA HERNÁNDEZ TABORDA "/>
        <s v="VALERIA TABARES ÁLVAREZ"/>
        <s v="LUCIA LOPEZ"/>
        <s v="NATALIA AMAYA"/>
        <s v="ADRIANA OCAMPO"/>
        <s v="JULIANA SIERRA"/>
        <s v="DANIEL CLAVIJO"/>
        <s v="LINA GAVIRIA"/>
        <s v="PAULINA ACOSTA"/>
        <s v="FRANCISCO WILSON CORDOBA LOPEZ"/>
        <s v="MÓNICA MURIEL "/>
        <s v="AIDE CRESPO CORTINEZ "/>
        <s v="BIVIANA MARIN"/>
        <s v="SANTIAGO FARLEY"/>
        <s v="DANIELA BARRIENTOS"/>
        <s v="KAREN TATIANA GOMEZ SUAREZ"/>
        <s v="MARIA SERRANO"/>
        <s v="MONICA URIBE"/>
        <s v="ANGY FLOREZ"/>
        <s v="EMILY SABOGAL"/>
        <s v="GERALDINE JIMÉNEZ"/>
        <s v="PAULA HINCAPIE"/>
        <s v="MONICA GIRALDO"/>
        <s v="ANGELA MARIA VELASQUEZ GOMEZ"/>
        <s v="ERIKA GARCIA "/>
        <s v="MANUELA LONDOÑO"/>
        <s v="ANGIE VALIENTE "/>
        <s v="CAMILA GUZMAN TAPIAS"/>
        <s v="CAMILA SER MAR "/>
        <s v="NORMA AMEZQUITA "/>
        <s v="ALEJANDRO VASQUEZ "/>
        <s v="MARIA CAMILA RESTREPO"/>
        <s v="LORENA VÉLEZ"/>
        <s v="GLORIA ELCY GIRANDO GOMEZ "/>
        <s v="DELIA MURILLO "/>
        <s v="FELIPE GONZALEZ"/>
        <s v="ANDREA FAJARDO"/>
        <s v="CAROLINA VELEZ "/>
        <s v="CAFE VELEZ TESORO"/>
        <s v="CAFE VELEZ SANTAFE"/>
        <s v="CECILIA RUÍZ "/>
        <s v="NATALIA RENDÓN "/>
        <s v="ANDREA SABIE LOBO "/>
        <s v="SILVANA PATRICIA YEPES VILLEGAS"/>
        <s v="ADDA OROZCO"/>
        <s v="DANIELA CORREA GIL"/>
        <s v="KATEN LORENA RAMOS"/>
        <s v="NATHALIE CACERES"/>
        <s v="JHAN CARLOS QUINTANA "/>
        <s v="MARIA CLARA URIBE "/>
        <s v="JULIANA HOYOS TOBON "/>
        <s v="JORGE CORREA"/>
        <s v="DAVID MOSQUERA"/>
        <s v="MONICA GOMEZ"/>
        <s v="PALOMA BOTERO URIBE "/>
        <s v="CATALINA OCHOA MUÑOZ "/>
        <s v="ESTEFANIA CARDONA MONTOYA "/>
        <s v="SANDRA JARAMILLO"/>
        <s v="JUAN CAMILO MONTOYA"/>
        <s v="MARÍA ISABEL DUQUE CHAVERRA "/>
        <s v="LEIDY ESPINOSA CARTAGENA "/>
        <s v="ANGELA MARIA AREIZA DUQUE "/>
        <s v="MARIA JOSE ANGEL "/>
        <s v="VERÓNICA PRIETO"/>
        <s v="DANIEL ESTEBAN VASQUEZ QUINTERO "/>
        <s v="MIGUEL ÁNGEL ZAPATA  SERNA"/>
        <s v="ANDRES CAÑAS PEREZ"/>
        <s v="CRISTINA VELEZ GARCIA "/>
        <s v="ZULY GONZALEZ YEPES "/>
        <s v="MARIA CAMILA DURANGO "/>
        <s v="DANIEL CARDONA ORTIZ"/>
        <s v="MARCELA BEDOYA "/>
        <s v="JULIAN GOMEZ "/>
        <s v="OLGA INES CUADROS "/>
        <s v="ANLELLY GUTIERREZ "/>
        <s v="MIGUEL ANGEL VERA GONZÁLEZ"/>
        <s v="MELISSA PELAEZ"/>
        <s v="MANUELA FLOREZ"/>
        <s v="LUZ DARY VELEZ "/>
        <s v="MARIA JOSE SALDARRIAGA "/>
        <s v="MANUELA GARCIA PERDOMO "/>
        <s v="MARIA CAMILA RESTREPO "/>
        <s v="SOFIA CARDONA RIOS "/>
        <s v="CLEMENT YOUNG "/>
        <s v="GENERAL CAFE "/>
        <s v="LILIANA GONZÁLEZ"/>
        <s v="EDUARDO MESA PÉREZ"/>
        <s v="ANDRES GARCIA"/>
        <s v="MOISES CUARTAS"/>
        <s v="ANTHONY GRISALES "/>
        <s v="LINA MARIA ORTIZ G"/>
        <s v="CAMILO ESPINAL"/>
        <s v="VALENTINA HENAO MORALES"/>
        <s v="JENIFER CAROLINA ORTEGA CAMEJO"/>
        <s v="DOMICILIO ANDREA"/>
        <s v="JUAN ESTEBAN ALZATE"/>
        <s v="DANIELA TAMAYO"/>
        <s v="VÍCTOR HUGO RESTREPO"/>
        <s v="OSCAR DANIEL PEDROZO VARGAS"/>
        <s v="ANDREA RAMIREZ "/>
        <s v="DANIEL ESCOBAR"/>
        <s v="VELEZ CAFE EDIFICIO"/>
        <s v="VELEZ CAFE TESORO"/>
        <s v="SARA PIEDRAHITA HOYOS"/>
        <s v="ERIKA SÁNCHEZ "/>
        <s v="FELIPE GÓMEZ V"/>
        <s v="LINA MARIA VALLEJO"/>
        <s v="ANDRÉS MÚNERA ALZATE"/>
        <s v="JUAN CASTAÑO "/>
        <s v="BRUNELA NAVAS CASTRO"/>
        <s v="SARAH OCHOA "/>
        <s v="MARÍA ROCÍO RESTREPO J"/>
        <s v="ANDRES GOMEZ"/>
        <s v="ANTHONY GRISALES"/>
        <s v="MARÍA PATRICIA RÍOS"/>
        <s v="PAULINA BRAN VELEZ"/>
        <s v="NATALIA RIOS"/>
        <s v="MARÍA PAULA GARCÍA"/>
        <s v="CLAUDIA LONDOÑO"/>
        <s v="JOHANA RENDON "/>
        <s v="SARA GALLEGO ARISTIZÁBAL"/>
        <s v="ANDERSON OCHOA"/>
        <s v="DIANA SALAZAR "/>
        <s v="JUANITA VEGA"/>
        <s v=" SANDRA HERNÁNDEZ"/>
        <s v="VERÓNICA TABORDA"/>
        <s v="VELEZ CAFE CALI"/>
        <s v="VALERIA CHAVARRIAGA MESA"/>
        <s v="BERONICA GARCÍA RAMÍREZ "/>
        <s v="CAROLINA RAMIREZ CARVAJAL"/>
        <s v="PAOLA GONZÁLEZ"/>
        <s v="CAFE VELEZ EDIFICIO"/>
        <s v="MAGNOLIA LONDOÑO ARTEAGA"/>
        <s v="ERIKA AVELLANEDA "/>
        <s v="MARÍA CAMILA SOTO TORRES"/>
        <s v="SANDRA JARAMILLO "/>
        <s v="ESTEFANIA ÁLVAREZ RESTREPO"/>
        <s v="MANUELA URREA"/>
        <s v="MILDRED MONTERO CARGAR"/>
        <s v="PRODIA SAS"/>
        <s v="MAROA CLARA URIBE"/>
        <s v="SANTIAGO RAMÍREZ"/>
        <s v="ALEJANDRO OCHOA "/>
        <s v="DAVID MOSQUERA CORDOBA "/>
        <s v="JULIANA ZAPATA"/>
        <s v=" AMALIA ABAD "/>
        <s v="PAULINA ESCOBAR"/>
        <s v="DANIELA REYES"/>
        <s v="FRANKLIN RAMIREZ"/>
        <s v="ANGIE PAOLA GONZALEZ ZAPATA"/>
        <m/>
      </sharedItems>
    </cacheField>
    <cacheField name="FECHA DE ENTREGA" numFmtId="167">
      <sharedItems containsDate="1" containsString="0" containsBlank="1">
        <d v="2026-01-02T00:00:00Z"/>
        <d v="2026-01-03T00:00:00Z"/>
        <d v="2026-01-05T00:00:00Z"/>
        <d v="2026-01-06T00:00:00Z"/>
        <d v="2026-01-07T00:00:00Z"/>
        <d v="2026-01-08T00:00:00Z"/>
        <d v="2026-01-09T00:00:00Z"/>
        <d v="2026-01-10T00:00:00Z"/>
        <d v="2026-01-13T00:00:00Z"/>
        <d v="2026-01-14T00:00:00Z"/>
        <d v="2026-01-15T00:00:00Z"/>
        <d v="2026-01-16T00:00:00Z"/>
        <d v="2026-01-17T00:00:00Z"/>
        <d v="2026-01-19T00:00:00Z"/>
        <d v="2026-01-20T00:00:00Z"/>
        <d v="2026-01-21T00:00:00Z"/>
        <d v="2026-01-22T00:00:00Z"/>
        <d v="2026-01-23T00:00:00Z"/>
        <d v="2026-01-24T00:00:00Z"/>
        <d v="2026-01-26T00:00:00Z"/>
        <d v="2026-01-27T00:00:00Z"/>
        <d v="2026-01-28T00:00:00Z"/>
        <d v="2026-01-29T00:00:00Z"/>
        <d v="2026-01-30T00:00:00Z"/>
        <d v="2026-01-31T00:00:00Z"/>
        <d v="2026-02-02T00:00:00Z"/>
        <d v="2026-02-03T00:00:00Z"/>
        <d v="2026-02-04T00:00:00Z"/>
        <d v="2026-02-05T00:00:00Z"/>
        <d v="2026-02-06T00:00:00Z"/>
        <d v="2026-02-07T00:00:00Z"/>
        <d v="2026-02-09T00:00:00Z"/>
        <d v="2026-02-10T00:00:00Z"/>
        <d v="2026-02-11T00:00:00Z"/>
        <d v="2026-02-12T00:00:00Z"/>
        <d v="2026-02-13T00:00:00Z"/>
        <d v="2026-02-14T00:00:00Z"/>
        <d v="2026-02-16T00:00:00Z"/>
        <d v="2026-02-17T00:00:00Z"/>
        <d v="2026-02-18T00:00:00Z"/>
        <d v="2026-02-19T00:00:00Z"/>
        <d v="2026-02-20T00:00:00Z"/>
        <d v="2026-02-21T00:00:00Z"/>
        <d v="2026-02-23T00:00:00Z"/>
        <d v="2026-02-24T00:00:00Z"/>
        <d v="2026-02-25T00:00:00Z"/>
        <d v="2026-02-26T00:00:00Z"/>
        <d v="2026-02-27T00:00:00Z"/>
        <d v="2026-02-28T00:00:00Z"/>
        <d v="2026-03-02T00:00:00Z"/>
        <d v="2026-03-03T00:00:00Z"/>
        <d v="2026-03-04T00:00:00Z"/>
        <d v="2026-03-05T00:00:00Z"/>
        <d v="2026-03-06T00:00:00Z"/>
        <d v="2026-03-07T00:00:00Z"/>
        <d v="2026-03-09T00:00:00Z"/>
        <d v="2026-03-10T00:00:00Z"/>
        <d v="2026-03-11T00:00:00Z"/>
        <d v="2026-03-12T00:00:00Z"/>
        <d v="2026-03-13T00:00:00Z"/>
        <d v="2026-03-14T00:00:00Z"/>
        <d v="2026-03-16T00:00:00Z"/>
        <d v="2026-03-17T00:00:00Z"/>
        <d v="2026-03-18T00:00:00Z"/>
        <d v="2026-03-19T00:00:00Z"/>
        <d v="2026-03-20T00:00:00Z"/>
        <d v="2026-03-21T00:00:00Z"/>
        <d v="2026-03-24T00:00:00Z"/>
        <d v="2026-03-25T00:00:00Z"/>
        <d v="2026-03-26T00:00:00Z"/>
        <d v="2026-03-27T00:00:00Z"/>
        <d v="2026-03-28T00:00:00Z"/>
        <d v="2026-03-30T00:00:00Z"/>
        <d v="2026-03-31T00:00:00Z"/>
        <d v="2026-04-01T00:00:00Z"/>
        <d v="2026-04-04T00:00:00Z"/>
        <d v="2026-04-06T00:00:00Z"/>
        <d v="2026-04-07T00:00:00Z"/>
        <d v="2026-04-08T00:00:00Z"/>
        <d v="2026-04-09T00:00:00Z"/>
        <d v="2026-04-10T00:00:00Z"/>
        <d v="2026-04-11T00:00:00Z"/>
        <d v="2026-04-13T00:00:00Z"/>
        <d v="2026-04-14T00:00:00Z"/>
        <d v="2026-04-15T00:00:00Z"/>
        <d v="2026-04-16T00:00:00Z"/>
        <d v="2026-04-17T00:00:00Z"/>
        <d v="2026-04-18T00:00:00Z"/>
        <d v="2026-04-20T00:00:00Z"/>
        <d v="2026-04-22T00:00:00Z"/>
        <d v="2026-04-23T00:00:00Z"/>
        <d v="2026-04-25T00:00:00Z"/>
        <m/>
      </sharedItems>
    </cacheField>
    <cacheField name="CANTIDAD" numFmtId="0">
      <sharedItems containsString="0" containsBlank="1" containsNumber="1" containsInteger="1">
        <n v="1.0"/>
        <n v="3.0"/>
        <n v="2.0"/>
        <n v="6.0"/>
        <n v="10.0"/>
        <n v="5.0"/>
        <n v="4.0"/>
        <n v="100.0"/>
        <n v="150.0"/>
        <n v="8.0"/>
        <n v="30.0"/>
        <n v="25.0"/>
        <n v="27.0"/>
        <n v="45.0"/>
        <n v="0.0"/>
        <n v="28.0"/>
        <n v="12.0"/>
        <n v="7.0"/>
        <n v="9.0"/>
        <n v="21.0"/>
        <m/>
        <n v="24.0"/>
        <n v="16.0"/>
        <n v="18.0"/>
        <n v="14.0"/>
        <n v="56.0"/>
        <n v="50.0"/>
        <n v="105.0"/>
        <n v="17.0"/>
        <n v="200.0"/>
        <n v="15.0"/>
        <n v="128.0"/>
        <n v="32.0"/>
        <n v="54.0"/>
        <n v="40.0"/>
        <n v="66.0"/>
      </sharedItems>
    </cacheField>
    <cacheField name="PRODUCTO" numFmtId="0">
      <sharedItems containsBlank="1">
        <s v="GRANDE OG"/>
        <s v="MEDIANA NAVIDAD"/>
        <s v="MEDIANA OG"/>
        <s v="GRANDE VAINILLA"/>
        <s v="MINI OG"/>
        <s v="PORCION OG"/>
        <s v="MINI OG + AREQUIPE"/>
        <s v="PORCION OG + FRUTOS ROJOS"/>
        <s v="GRANDE NAVIDAD"/>
        <s v="MINI NAVIDAD"/>
        <s v="PORCION OG + NUTELLA"/>
        <s v="MEDIANA OG + NUTELLA"/>
        <s v="MINI OG + CREMA DE MILO"/>
        <s v="BITES"/>
        <s v="AREQUIPE"/>
        <s v="CARAMELO SALADO"/>
        <s v="MEDIANA LOTUS"/>
        <s v="PORCION OG + AREQUIPE"/>
        <s v="GRANDE OG + NUTELLA"/>
        <s v="BITES X4 OG"/>
        <s v="CREMA DE MILO"/>
        <s v="FRUTOS ROJOS"/>
        <s v="MINI OG + FRUTOS ROJOS"/>
        <s v="MEDIANA OG + FRUTOS ROJOS"/>
        <s v="VELA PALO PLATEADA"/>
        <s v="VELAS HBD PLATEADA"/>
        <s v="NUTELLA"/>
        <s v="VELAS HBD DORADA"/>
        <s v="MEDIANA OG + AREQUIPE"/>
        <s v="MEDIANA VAINILLA"/>
        <s v="VELA PALO DORADA"/>
        <s v="GRANDE OG + AREQUIPE"/>
        <s v="MINI OG + NUTELLA"/>
        <m/>
        <s v="MINI VAINILLA"/>
        <s v="GRANDE LIMON"/>
        <s v="BITES X4 NUTELLA"/>
        <s v="BITES X4 VAINILLA MADAGASCAR"/>
        <s v="BITES X4 PISTACHO"/>
        <s v="BITES X4 LOTUS"/>
        <s v="GALLETA CHIPS CHOCOLATE X35"/>
        <s v="GALLETA CHIPS CHOCOLATE BLANCO X35"/>
        <s v="GRANDE OG + FRUTOS ROJOS"/>
        <s v="MINI LOTUS"/>
        <s v="MINI PISTACHO"/>
        <s v="PORCION OG + CREMA DE MILO"/>
        <s v="MEDIANA PISTACHO"/>
        <s v="MINI MILO"/>
        <s v="GRANDE OG + CREMA DE MILO"/>
        <s v="GRANDE MILO"/>
        <s v="MEDIANA OG + CREMA DE MILO"/>
        <s v="MINI ORIGINAL VELEZ CAFE"/>
        <s v="MINI PISTACHO VELEZ CAFE"/>
        <s v="MINI ORIGINAL X COOKIE WORLD"/>
        <s v="MEDIANA ORIGINAL X COOKIE WORLD"/>
        <s v="MINI LIMON"/>
        <s v="GRANDE PISTACHO"/>
        <s v="BITES X4 LIMON"/>
        <s v="BROWNIES DOBLE CHOCOLATE + FRAMBUESA"/>
        <s v="MINI MILO CAFE VELEZ CAFE"/>
        <s v="MINI TARTA ORIGINAL CAPACILLO X12"/>
        <s v="DUO SUCREE X16U"/>
        <s v="TORTA CASERA + AREQUIPE X45U"/>
        <s v="CUCHAREABLE LOTUS X35U"/>
        <s v="TORTA DE CHOCOLATE + NUTELLA X45U"/>
        <s v="GRANDE ORIGINAL X COOKIE WORLD"/>
        <s v="MEDIANA NUTELLA"/>
        <s v="BROWNIES DOBLE CHOCOLATE + FRAMBUESA X41U"/>
        <s v="MEDIANA LIMON"/>
        <s v="GRANDE LOTUS"/>
        <s v="VINO"/>
        <s v="GRANDE NUTELLA"/>
        <s v="PORCION MILO"/>
        <s v="TORTA DE CHOCOLATE + NUTELLA X49U"/>
        <s v="CUCHAREABLE LOTUS"/>
        <s v="CUCHAREABLE MILO"/>
        <s v="CUCHAREABLE AREQUIPE"/>
        <s v="BITE X16 ORIGINAL VELEZ CAFE"/>
        <s v="BITE X16 MILO VELEZ CAFE"/>
        <s v="BITE X16 PISTACHO VELEZ CAFE"/>
        <s v="CUCHAREABLE PISTACHO"/>
        <s v="VELAS HBD BRONCE"/>
        <s v="MEDIANA MILO"/>
        <s v="BITE X16 ORIGINAL"/>
      </sharedItems>
    </cacheField>
    <cacheField name="COMENTARIOS &#10;(SI ES REGALO, HORA DE ENTREGA ESPECIFICA, MARCADO X ALGO)">
      <sharedItems containsBlank="1" containsMixedTypes="1" containsNumber="1" containsInteger="1">
        <s v="MARCAD X10"/>
        <s v="MARCADA X12"/>
        <s v="NAVIDAD"/>
        <m/>
        <s v="MARCADA X12 / YA ESTA DESPACHADO"/>
        <s v="RIONEGRO / MARCADA X10"/>
        <n v="7468.0"/>
        <n v="340.0"/>
        <n v="635.0"/>
        <n v="7333.0"/>
        <s v="PAGO EN EFECTIVO"/>
        <s v="PAGO EN TRANSFERENCIA"/>
        <s v="INDIANA  / MARCADA X10"/>
        <s v="MARCADA X10"/>
        <s v="INTERPLAZA  / MARCADA X10"/>
        <s v="LAURELES / MARCADA X10"/>
        <n v="2071.0"/>
        <n v="5183.0"/>
        <s v="X12"/>
        <n v="3583.0"/>
        <s v="INDIANA / MARCADA X10"/>
        <s v="MARCADA X10 / ORDEN 87"/>
        <n v="2697.0"/>
        <n v="3062.0"/>
        <n v="6138.0"/>
        <n v="4025.0"/>
        <n v="7165.0"/>
        <s v="PAGO EN TRANSFERENCIA "/>
        <s v="AMSTERDAM / MARCADA X10 / SE FACTURA EL 5/1/2026"/>
        <s v="3 EN CAJA BLANCA "/>
        <s v="ENVIAR 1 PM"/>
        <s v="CARAMELO APARTE"/>
        <n v="9417.0"/>
        <n v="7632.0"/>
        <s v="MENSAJE / REGALO PARA JUAN DIEGO SALAZAR"/>
        <s v="30% OFF"/>
        <n v="9497.0"/>
        <n v="4323.0"/>
        <n v="604.0"/>
        <s v="MENSAJE"/>
        <s v="25% OFF"/>
        <n v="9781.0"/>
        <n v="8968.0"/>
        <s v="EL RETIRO / MARCADA X10"/>
        <n v="9008.0"/>
        <n v="2043.0"/>
        <s v="SE PORCIONA X12"/>
        <n v="7655.0"/>
        <n v="2899.0"/>
        <n v="9972.0"/>
        <s v="AMSTERDAM / MARCADA X10"/>
        <s v="INTERPLAZA / MARCADA X10"/>
        <s v="PAGO EN EFECTIVO "/>
        <s v="MENSAJE / REGALO"/>
        <n v="3951.0"/>
        <n v="3498.0"/>
        <n v="477.0"/>
        <s v="EMPACAR REGALO"/>
        <s v="MARCADAS X12"/>
        <n v="8621.0"/>
        <n v="9545.0"/>
        <n v="732.0"/>
        <n v="9528.0"/>
        <n v="1455.0"/>
        <n v="1937.0"/>
        <n v="4747.0"/>
        <s v="ENVIAR 12 PM"/>
        <s v="ORDEN 103 / MARCADA X10"/>
        <s v="VIVA ENVIGADO / MARCADA X10"/>
        <s v="MARCADA X10 / ORDEN 90"/>
        <s v="POBLADO / MARCADA X10"/>
        <s v="ENVIAR 5 PM"/>
        <n v="1104.0"/>
        <n v="4885.0"/>
        <n v="1946.0"/>
        <n v="7612.0"/>
        <s v="VINO "/>
        <s v="REGALO / ENVIAR 1 PM"/>
        <n v="189.0"/>
        <s v="MENSAJE / ENVIAR 3 PM"/>
        <n v="5896.0"/>
        <n v="1550.0"/>
        <s v="ENVIAR AM"/>
        <n v="7289.0"/>
        <n v="4362.0"/>
        <n v="4426.0"/>
        <n v="8667.0"/>
        <n v="7115.0"/>
        <n v="2441.0"/>
        <n v="9033.0"/>
        <s v="MARCADAX12"/>
        <n v="2269.0"/>
        <n v="6335.0"/>
        <n v="475.0"/>
        <n v="165.0"/>
        <n v="9005.0"/>
        <n v="8886.0"/>
        <n v="9153.0"/>
        <s v="INDIVIDUALES  / NUTELLA "/>
        <s v="INDIVIDUALES / VAINILLA "/>
        <s v="INDIVIDUALES / ORIGINAL"/>
        <s v="INDIVIDUALES / PISTACHOS"/>
        <s v="INDIVIDUALES  / LOTUS"/>
        <s v="INDIVIDUALES  / ORIGINAL + AREQUIPE"/>
        <s v="GALLETAS CHIPS CHOCOLATE"/>
        <s v="GALLETAS CHIPS BLANCO"/>
        <n v="6773.0"/>
        <s v="100 % OFF"/>
        <n v="3225.0"/>
        <n v="4274.0"/>
        <n v="5827.0"/>
        <n v="5442.0"/>
        <n v="2123.0"/>
        <n v="2103.0"/>
        <n v="9237.0"/>
        <n v="6984.0"/>
        <s v="AREQUIPE APARTE"/>
        <s v="NO PASABA CALIDAD"/>
        <n v="6545.0"/>
        <s v="x10"/>
        <n v="5380.0"/>
        <n v="5792.0"/>
        <s v="MENSAJE / PEDIDO DE ANDREA OCHOA"/>
        <n v="7534.0"/>
        <n v="2552.0"/>
        <n v="5813.0"/>
        <n v="917.0"/>
        <n v="5777.0"/>
        <n v="2505.0"/>
        <s v="ENVIAR AM / 12 CJ OG, 9 CJ AREQUIPE, 9 CJ FRUTOS ROJOS / SE FACTURO EL 25 DE NOVIEMBRE 2025"/>
        <s v="ENVIAR HORA PM"/>
        <s v="SE ENVIA UN PAQUETE DE BLONDAS X100"/>
        <s v="SE ENVIA UN PAQUETE DE BOLSAS BLANCAS X100"/>
        <n v="5632.0"/>
        <n v="8922.0"/>
        <n v="2012.0"/>
        <n v="404.0"/>
        <n v="1839.0"/>
        <s v="CON RECETA CAFE VELEZ"/>
        <s v="MARCADADA X12"/>
        <s v="ENVIAR 4PM"/>
        <n v="5947.0"/>
        <n v="1794.0"/>
        <n v="9534.0"/>
        <n v="8319.0"/>
        <n v="3863.0"/>
        <n v="4642.0"/>
        <n v="6652.0"/>
        <n v="4628.0"/>
        <n v="3698.0"/>
        <n v="9014.0"/>
        <n v="7738.0"/>
        <n v="7890.0"/>
        <n v="249.0"/>
        <s v="PAGO EN TRANSFERECIA "/>
        <n v="1760.0"/>
        <n v="4893.0"/>
        <s v="MARCADAS X10"/>
        <n v="8568.0"/>
        <s v="PAFGO EN EFECTIVO"/>
        <n v="9548.0"/>
        <n v="4109.0"/>
        <s v="9416 / PEDIDO CANCELADO EL RAPPI NUNCA LLEGO"/>
        <s v="DOMICILIO DESDE EL APTO DE ANDREA "/>
        <s v="DOMICILIO PARA EL APTO DE ANDREA "/>
        <n v="874.0"/>
        <n v="2435.0"/>
        <n v="6705.0"/>
        <s v="MARCADA X10 / ORDEN 95"/>
        <s v="ENVIO DE EMPAQUES PAN DE YUCA"/>
        <n v="7126.0"/>
        <n v="6032.0"/>
        <n v="9813.0"/>
        <n v="9379.0"/>
        <n v="7603.0"/>
        <n v="3744.0"/>
        <n v="3317.0"/>
        <n v="8508.0"/>
        <n v="2857.0"/>
        <n v="523.0"/>
        <n v="1391.0"/>
        <s v="EMPACADAS EN CAJA BLANCA"/>
        <n v="6694.0"/>
        <n v="9285.0"/>
        <n v="8992.0"/>
        <n v="2346.0"/>
        <n v="8595.0"/>
        <n v="3722.0"/>
        <n v="1221.0"/>
        <s v="PAGO POR TRANSFERENCIA"/>
        <n v="1026.0"/>
        <n v="4855.0"/>
        <n v="1368.0"/>
        <n v="7001.0"/>
        <s v="MARCADA X10 / REPOSICION DEL PEDIDO"/>
        <n v="8537.0"/>
        <n v="2047.0"/>
        <n v="8786.0"/>
        <n v="7041.0"/>
        <n v="9159.0"/>
        <n v="2314.0"/>
        <n v="2370.0"/>
        <n v="7510.0"/>
        <n v="4257.0"/>
        <n v="2153.0"/>
        <n v="9121.0"/>
        <s v="PAGO EN EFECTIVO 10000 / TRANSFERENCIA 30000"/>
        <n v="3162.0"/>
        <n v="2894.0"/>
        <n v="5604.0"/>
        <n v="3942.0"/>
        <n v="9273.0"/>
        <n v="4023.0"/>
        <n v="1741.0"/>
        <s v="EMPACADA EN CAJA BLANCA"/>
        <s v="REGALO DE ANDREA"/>
        <s v="ENVIAR 1:30 PM"/>
        <n v="185.0"/>
        <n v="9466.0"/>
        <s v="PAGO EN TRASFERENCIA "/>
        <n v="1861.0"/>
        <n v="8553.0"/>
        <n v="2959.0"/>
        <s v="BOLD"/>
        <n v="4812.0"/>
        <n v="4584.0"/>
        <n v="7783.0"/>
        <n v="7303.0"/>
        <n v="1438.0"/>
        <n v="4357.0"/>
        <s v="EL PEDIDO ERA UNA MINI + FRUTOS ROJOS, PERO SE CAMBIA POR ESTA, SE DAN LOS 2,000 EN EFECTIVO"/>
        <n v="4183.0"/>
        <s v="MENSAJE "/>
        <n v="68.0"/>
        <s v="PAGO EN TRASFERENCIA"/>
        <n v="7980.0"/>
        <n v="5286.0"/>
        <n v="823.0"/>
        <n v="9932.0"/>
        <n v="5139.0"/>
        <n v="505.0"/>
        <n v="3820.0"/>
        <n v="962.0"/>
        <n v="1418.0"/>
        <n v="3522.0"/>
        <s v="PAGO EN TANSFERENCIA "/>
        <n v="3798.0"/>
        <n v="886.0"/>
        <n v="1030.0"/>
        <n v="7188.0"/>
        <n v="6131.0"/>
        <n v="8549.0"/>
        <s v="REGALO A JUBENAL"/>
        <n v="8124.0"/>
        <n v="1061.0"/>
        <n v="6515.0"/>
        <n v="131.0"/>
        <n v="9284.0"/>
        <n v="4089.0"/>
        <n v="5170.0"/>
        <n v="4305.0"/>
        <n v="9760.0"/>
        <n v="3459.0"/>
        <n v="3324.0"/>
        <n v="3293.0"/>
        <s v="ENVIAR 8:30 AM"/>
        <n v="2801.0"/>
        <n v="4263.0"/>
        <n v="3120.0"/>
        <n v="5989.0"/>
        <n v="5351.0"/>
        <n v="715.0"/>
        <n v="5786.0"/>
        <n v="8714.0"/>
        <n v="7564.0"/>
        <s v="EN CAJA BLANCA"/>
        <n v="9732.0"/>
        <n v="4411.0"/>
        <n v="7951.0"/>
        <s v="BOLD "/>
        <n v="9434.0"/>
        <s v="MENSAJE / ENVIAR 12 PM"/>
        <n v="5979.0"/>
        <n v="5133.0"/>
        <s v="PAGO DOMIICLIO DEL PEDIDO QUE SALE DE RIONEGRO"/>
        <n v="1593.0"/>
        <n v="9746.0"/>
        <n v="1791.0"/>
        <n v="6970.0"/>
        <s v="BOLD / MENSAJE"/>
        <n v="424.0"/>
        <n v="982.0"/>
        <n v="6339.0"/>
        <n v="5946.0"/>
        <n v="5358.0"/>
        <n v="9568.0"/>
        <n v="5925.0"/>
        <n v="6771.0"/>
        <n v="202.0"/>
        <n v="807.0"/>
        <n v="8669.0"/>
        <n v="3195.0"/>
        <n v="7018.0"/>
        <n v="3140.0"/>
        <n v="5520.0"/>
        <n v="5913.0"/>
        <n v="743.0"/>
        <s v="ENVIAR 12PM"/>
        <n v="939.0"/>
        <s v="PAGO TRANSFERENCIA"/>
        <n v="2195.0"/>
        <n v="2786.0"/>
        <n v="3119.0"/>
        <n v="6478.0"/>
        <s v="MARCADA X10 / SE FACTURA EL 16/2/2026"/>
        <s v="MARCADA X12 / SE FACTURA EL 16/2/2026"/>
        <n v="3804.0"/>
        <n v="836.0"/>
        <n v="154.0"/>
        <n v="3557.0"/>
        <n v="9575.0"/>
        <n v="2524.0"/>
        <n v="4030.0"/>
        <n v="6402.0"/>
        <s v="EMPACAR INDIVIDUAL"/>
        <n v="1687.0"/>
        <n v="359.0"/>
        <n v="7660.0"/>
        <n v="79.0"/>
        <n v="9097.0"/>
        <n v="222.0"/>
        <n v="4420.0"/>
        <s v="ENVIAR 4 PM"/>
        <n v="8146.0"/>
        <n v="7203.0"/>
        <n v="1431.0"/>
        <n v="1689.0"/>
        <n v="8489.0"/>
        <n v="7394.0"/>
        <n v="9051.0"/>
        <s v="VINO"/>
        <n v="3291.0"/>
        <n v="499.0"/>
        <n v="3052.0"/>
        <n v="3870.0"/>
        <n v="5197.0"/>
        <n v="7319.0"/>
        <n v="4370.0"/>
        <n v="7341.0"/>
        <s v="RECOGER GALLETAS"/>
        <n v="3845.0"/>
        <n v="3294.0"/>
        <n v="3123.0"/>
        <n v="9124.0"/>
        <n v="3063.0"/>
        <n v="5329.0"/>
        <s v="64+15"/>
        <s v="EMPACAR CAJA BLANCA"/>
        <n v="2313.0"/>
        <n v="6793.0"/>
        <n v="5189.0"/>
        <n v="8360.0"/>
        <n v="4129.0"/>
        <n v="9870.0"/>
        <n v="6278.0"/>
        <n v="177.0"/>
        <s v="ENVIAR 11 AM"/>
        <s v="PAGO EN TRANSFERRENCIA "/>
        <n v="6117.0"/>
        <n v="6411.0"/>
        <n v="7026.0"/>
        <n v="6189.0"/>
        <s v="DOMICILIO ERNESTO SALON COMEDOR"/>
        <n v="8770.0"/>
        <s v="ENVIAR 3 PM"/>
        <s v="ENVIAR 8:30"/>
        <s v="MENSAJE / BOLD"/>
        <s v="ENVIAR 3PM"/>
        <n v="5886.0"/>
        <n v="9141.0"/>
        <n v="3728.0"/>
        <n v="577.0"/>
        <n v="32.0"/>
        <n v="8257.0"/>
        <n v="300.0"/>
        <n v="6663.0"/>
        <s v="ENVIAR 4:30 PM"/>
        <n v="4727.0"/>
        <n v="4990.0"/>
        <s v="BOLSAS AZULES (100)"/>
        <s v="BOLSAS BLANCAS (100)"/>
        <n v="9593.0"/>
        <n v="5310.0"/>
        <s v="PAGO EN EECTIVO"/>
        <s v="EN CJ BLANCA"/>
        <n v="5667.0"/>
        <n v="7075.0"/>
        <n v="567.0"/>
        <s v="EMPACADAS CAJA BLANCA"/>
        <s v="SE PAGO EN EFECTIVO"/>
        <s v="BLONDAS MINI"/>
        <s v="CAJA AZUL MINI"/>
        <n v="6336.0"/>
        <s v="30 % OFF"/>
        <s v="MENSAJE / 25%"/>
        <s v="ENVIO PENDIENTE A CAFE VELEZ"/>
        <n v="6358.0"/>
        <n v="6262.0"/>
        <n v="3243.0"/>
        <n v="2147.0"/>
        <n v="9116.0"/>
        <n v="6980.0"/>
        <s v="EFECTIVO"/>
        <s v="&#10;•⁠  ⁠Cédula: 43876702&#10;•⁠  ⁠Barrio / sector: poblado (loma tesoro)&#10;•⁠  ⁠Dirección completa  C.R Palo Alto. Cra 29 A # 3-96 Casa 110. &#10;•⁠  ⁠Celular: 3182616866"/>
        <s v="Marcela Sosa&#10;Calle 12a 36a 35 ed ágata torre2 apto 1006 loma Lalinde &#10;3216431741"/>
        <s v="* Santiago Toro &#10;* Celular: &#10;* Dirección completa (con detalles): Cra. 27B #17-40, El Poblado, Medellín, El Poblado, Medellín, Antioquia&#10;* Mensaje para incluir en la tarjeta: Feliz Cumpleaños Caro, de Manuela Y Gregorio"/>
        <s v="1039466247&#10;Poblado&#10;Carrera 43 #9sur-195&#10;Inexmoda piso 6&#10;3003323185"/>
        <s v="RECOGE María José Parra"/>
        <s v="39325377, Rodeo Alto (Belen), carrera 82 número 9A Sur 28, Unidad residencial Atavanza, bloque 3 apt 409, cel 3243884440"/>
        <s v="Para regalo: Camila Pereira&#10;De: Sunterra&#10;* Dirección completa (con detalles)Calle 20 A # 82bb - 09 casa segundo piso belen altavista &#10;* Mensaje para incluir en la tarjeta: Feliz cumpleaños, que cada año sea mejor y con mas propósito abrazo equipo CPC"/>
        <s v="Cc52153719&#10;Belen Nogales &#10;calle , 32C. 76-103. Apto. 201 edificio San Angelo &#10;Felicidades 3105745665 Sprodero@hotmail.com, NOTA:Recibe Iván Buitrago o camilo buitrago entregar 5 pm "/>
        <s v="Daniela Yepes &#10;1152440302&#10;Envigado&#10;Carrera 39#47 sur 66apto 503 edificio camino del trianon &#10;300 269 3639 &#10;Danielasimonds@hotmail.com 11 de Marzo"/>
        <s v="EMPACAR PARA REGALO&#10;ENVIAR DOM TIPO 4 PM"/>
        <s v="ENTREGAR A LAS 9AM&#10;23 living - Dirección: Cra 33 #5G-23,"/>
        <s v="Cliente habia hecho pedido de 1 Mediana con pistacho para el 16/03/26 se equivoco de fecha y , viene hoy12/03/26 por una grande OG"/>
        <s v="Susana Gómez&#10;El Poblado&#10;Calle 1B sur #38-10 Ed Biarritz Apto 602&#10;3106814638&#10;Jueves 12 de marzo a las 5 pm"/>
        <s v="RECOGE "/>
        <s v="María Elvira Piedrahitaarrio / sector El poblado&#10;: calle 5 sur # 22 290 Aguas del bosque Apto 809 torre 4&#10;•⁠  ⁠Número de celular: 3146807861&#10;•⁠  ⁠Fecha de envío: iViernes 13 de marzo antes del medio dia.&#10;•⁠  ⁠Cédula 1037613304"/>
        <s v="Santiago Restrepo Arango&#10;1128438527&#10;Zuñiga/La Frontera&#10;Calle 21 Sur # 41-117 urbanización Canta Piedra Torre 4 Apto 1219&#10;3015557097"/>
        <s v="1 Mini OG &#10;Había pagado en trasferencia 24.000. mil pesos&#10;Pago en efectivo 26.000 mil pesos"/>
        <s v="Reposición – GRANDE OGX 10"/>
        <s v="Cc 1003189381&#10;Loma de los Bernal &#10;Calle 7#80-185 urbanización manantial de los Bernal apto 1302 Torre 2 &#10;3002127553"/>
        <s v="TRASFERENCIA"/>
        <s v="Daniel Celis Perez &#10;1152198874&#10;Los colores &#10;3136183807&#10;Recoge Ana Maria Osorio"/>
        <s v="RECOGE Johana Bonilla &#10;CC 52412320  ,SABADO 14/03/2026, Feliz cumpleaños! Que sean muchos más juntos"/>
        <s v="RECOGE ANDREA GOMEZ&#10;SON PARA UN EVENTO"/>
        <s v="(cajas blancas)"/>
        <s v="(cajas blancas)&#10;16  con arequipe"/>
        <s v="(cajas blancas)&#10;16  con  nutella"/>
        <s v="43220590&#10;Poblado&#10;Calle 6 #16-14 sauces de la calera apto 2101&#10;3153121523&#10;Sábado 14 marzo "/>
        <s v="Barrio / sector: Poblado Castropol &#10;•⁠  ⁠DireccióN :Calle 15 N 37 A 18 apto 904. Edificio Altos de la Quince &#10;•⁠  ⁠Número de celular: 310 446 63 46 &#10;•⁠  ⁠Fecha de envío: Sábado 14 de marzo"/>
        <s v="- María José Roldán &#10;- ⁠1001370903&#10;- ⁠el poblado&#10;- ⁠calle 5 sur #25-130&#10;- ⁠3115190120 RECOGE : Sergio Roldán Al medio dia "/>
        <s v="(1 CON CADA TOPPING)"/>
        <s v="frutos rojos aparte"/>
        <s v="Cada caja es variada (1 Arequipe, 1 nutella, 1 frutos rojos, 1 crema de milo)"/>
        <s v="(ENVIAR LA MITAD MARTES Y MITAD VIERNES)"/>
        <s v="DESEO QUE TENGAS OTRO AÑO LLENO DE FELICIDAD Y QUE SIGAMOS LUCHANDO JUNTAS POR NUESTROS SUEÑOS.&#10;¡Feliz Cumpleaños,&#10;&#10;Ana María consuegra silvera&#10;3214670515&#10;Barrio laureles,medellín.&#10;Calle35 #78A-31&#10;Edificio totus tus&#10;Apto 402."/>
        <s v="Calle 5 sur #22-290&#10;Urbanización Aguas del bosque&#10;Apto 810&#10;Transversal superior con la loma de los gonzalez"/>
        <s v="(1 og, 1 nutella, 1 crema de milo, 1 frutos rojos)"/>
        <s v="1874&#10;LO CANCELARON PERO SI SE ENTREGO"/>
        <s v="Dg. 75B #33A-88, Laureles - Estadio, Medellín, APTO 502&#10;&#10;EMPACAR REGALO&#10;Te amo mi esposo hermoso.&#10;PARA: Jorge Alejandro Alvarado Serrano"/>
        <s v="(1 arequipe, 1 frutos rojos, 1 nutella, 1 crema de milo)"/>
        <s v="Calle 37 B Sur #27B 81. Urbanización Atalaya de San Jorge, apto 601 - Loma de las Brujas, Envigado"/>
        <s v="MARCADA X10&#10;OC 170"/>
        <s v="1 arequipe, 1 nutella, 1 crema de milo y 1 frutos rojos)"/>
        <s v="APARTE"/>
        <s v="Carrera 27 AA cl 37 b sur 70 apto 13-07 torre 2 &#10;Urbanización  nogales envigado loma de las brujas&#10;3017597980"/>
        <s v="(1 nutella, 1 frutos rojos, 1 arequipe, 1 og)"/>
        <s v="(1 OG, 1 AREQUIPE, 1 NUTELLA, 1 CREMA DE MILO)"/>
        <s v="(1 nutella, 1 frutos rojos, 1 arequipe, 1 crema de milo)"/>
        <s v="(1 AREQUIPE, 1 NUTELLA, 1 CREMA DE MILO,1 FRUTOS ROJOS)"/>
        <s v="YA SE FACTURO"/>
        <s v="enviar 8 am"/>
        <s v="(4 arequipe)"/>
        <s v="AREQUIPE APARTE&#10;ENVIAR AM"/>
        <s v="(2 OG, 2 CREMA DE MILO)&#10;REGALO"/>
        <s v="(2 NUTELLA, 2 FRUTOS ROJOS)&#10;REGALO"/>
        <s v="Calle 55 #48 - 15 &#10;3 piso Los Naranjos&#10;Itagui"/>
        <s v="(los 4 con crema de milo)"/>
        <s v="OC216 EN OBSERVACIONES"/>
        <s v="OC197 EN OBSERVACIONES"/>
        <s v="(todos variados)"/>
        <s v="EMPACAR PARA REGALO&#10;De: susana&#10;para: Orlando &#10;muchas gracias por todas tus ayudas"/>
        <s v="TODOS EN CAJAS BLANCAS X16 BITES"/>
        <s v="Es para un regalo&#10;Dr José Luis Moore&#10;Calle 17 Sur # 4406 &#10;Clínica El Campestre Medellín &#10;Doctor  muchas gracias por su atención &#10;Cecilia Ruíz &#10;&#10;Envía:&#10;Cecilia E Ruíz S&#10;3243996156"/>
        <s v="todos con nutella por encima caja blanca"/>
        <s v="1/2 AREQUIPE 1/2 NUTELLA "/>
        <s v="-$80.000 DE NOTA CREDITO "/>
        <s v="X10&#10;OC270"/>
        <s v="AREQUIPE APARTE "/>
        <s v="feliz cumple&#10;Laureles estadio&#10;Calle 49b 64c 35 oficina 211, edificio Brasilia 3 &#10;310 8665899"/>
        <s v="(2 CREMA DE MILO- 2 FRUTOS ROJOS)"/>
        <s v="(CREMA DE MILO-NUTELLA-FRUTOS ROJOS-AREQUIPE)"/>
        <s v="2 CAJAS X 16 UNIDADES BITES"/>
        <s v="(se envia 1 de mas que le debemos)&#10;872 QUEDA FACTURADA EN 0"/>
        <s v="Para:  Maria Isaza&#10; Feliz cumpleaños. Que esta vuelta al sol te haga brillar aún más de lo que ya lo haces. Te deseamos toda la felicidad, éxito, prosperidad y muchas bendiciones. Con muchísimo amor tu familia ❤️"/>
        <s v="AREQUIPE "/>
        <s v="30% DESCUENTO "/>
        <s v="MARCADA X10 / OC308"/>
        <s v="MARCADA X10 / OC285"/>
        <s v="(AREQUIPE-FRUTOS ROJOS-MILO-NUTELLA)"/>
        <s v="Para carolina posada&#10;Feliz cumple, que lo disfrutes. De: Andrés&#10;EMPACAR REGALO"/>
        <s v="(1 arequipe, 1 nutella, 1 frutos rojos, 1 crema de milo)"/>
        <s v="(AREQUIPE-MILO-NUTELLA-FRUTOS ROJOS)"/>
        <s v="YA PAGO "/>
        <s v="CARRERA. 15 #9 A 31, EL Poblado edificio ZANDALO apartamento 804 &#10;&#10; 3113450834"/>
        <s v="PEDIDO DEL 07/04 "/>
        <s v="PARA ENTREGAR MEDIO DIA"/>
        <s v="1 milo, 1nutella, 1 frutos rojos, 1 arequipe"/>
        <s v="Entrega para las 11am"/>
        <s v="PEDIDO FACTURADO EL 4 DE ABRIL"/>
        <s v="       &quot;Para Astrid María Peña &#10;&#10;Amiga te deseamos lo mejor disfruta este rico manjar con todo el amor&#10;Te queremos mucho &#10;Tu bello grupo&quot;             "/>
        <s v="&quot;¡Feliz cumpleaños a quien hizo mi casita realidad! - Andres&quot;"/>
        <s v="1 arequipe, 1 nutella, 1 frutos rojos, 1 crema de milo"/>
        <s v="Recoge Entre las 10:30 a 12:00 pm"/>
        <s v="PEDIDO FACTURADO EL 10 DE ABRIL"/>
        <s v="Entregar en la mañana"/>
        <s v="Entregar 2pm"/>
        <s v="TRANSFIERE $20.000 Y SE DEVULEVEN $2.000 EN EFECTIVO "/>
        <s v="ADICION DE AREQUIPE "/>
        <s v="FV3 1002/1018 SE FACTURAN APARTE 6 "/>
        <s v="Empacar para regalo"/>
        <s v="BITE ORIGINAL UNIDAD + NUTELLA"/>
        <s v="BITE ORIGINAL UNIDAD + MERMELADA DE FRUTOS ROJOS"/>
        <s v="BROWNIES DOBLE CHOCOLATE + FRAMBUESA"/>
        <s v="BROWNIE MILO + FRAMBUESA UNIDAD"/>
        <s v="GALLETA CHIPS CHOCOLATE BLANCO UNIDAD"/>
        <s v="GALLETA CHIPS CHOCOLATE UNIDAD"/>
        <s v="CUCHAREABLE AREQUIPE UNIDAD EVENTO"/>
        <s v="CUCHAREABLE LOTUS UNIDAD EVENTO"/>
        <s v="TARTA ORIGINAL MINI CAPACILLO UNIDAD"/>
        <s v="TORTA CASERA + AREQUIPE UNIDAD"/>
        <s v="TORTA CHOCOLATE + AREQUIPE UNIDAD"/>
        <s v="TORTA CHOCOLATE + NUTELLA UNIDAD"/>
        <s v="PEDIDO DEL 15/04"/>
        <s v="1 grande og + toppings arequipe (Separado) Viernes a las 9am"/>
        <s v="BITE ORIGINAL UNIDAD + CREMA DE MILO"/>
        <s v="BITE PISTACHO UNIDAD"/>
        <s v="BITE LIMON UNIDAD"/>
        <s v="BITE VAINILLA DE MADAGASCAR UNIDAD"/>
        <s v="Empacar para regalo. Entregar 1:30pm a 2pm"/>
        <s v="Recibe Daniela Lacouture"/>
        <s v="mas topping arequipe/nutella"/>
        <s v="Felices 40 años de casados. Los adoramos. Para entregar en la tarde"/>
        <s v="Pasa a recoger a las 11am"/>
        <s v="Para entregar en la mañana"/>
        <s v="BITE ORIGINAL UNIDAD"/>
        <s v="MERMELADA FRUTOS ROJOS"/>
        <s v="DUO SUCREE X16U"/>
        <s v="CUCHAREABLE LOTUS X35U"/>
        <s v="GALLETA CHIPS BLANCO X35U"/>
        <s v="MINI TARTA ORIGINAL CAPACILLO X12"/>
      </sharedItems>
    </cacheField>
    <cacheField name="METODO DE PAGO" numFmtId="0">
      <sharedItems containsBlank="1">
        <m/>
        <s v="TRANSFERENCIA"/>
        <s v="EFECTIVO"/>
        <s v="BOLD"/>
        <s v="RAPPI"/>
      </sharedItems>
    </cacheField>
    <cacheField name=" DOMICILIO " numFmtId="0">
      <sharedItems containsBlank="1">
        <s v="SI"/>
        <s v="NO"/>
        <m/>
      </sharedItems>
    </cacheField>
    <cacheField name=" DOMICILIARIO " numFmtId="0">
      <sharedItems containsBlank="1">
        <s v="INDRIVE"/>
        <m/>
        <s v="RAPPI"/>
        <s v="DOMICILIARIO CARLOS"/>
        <s v="DOMICILIARIO JHON"/>
        <s v="DOMICILIARIO JORGE"/>
        <s v="DOMICILIARIO JUAN DAVID LLANOGRANDE"/>
        <s v="ENVIA"/>
        <s v="DOMICILIARIO ARLEN"/>
        <s v="ANDREA"/>
      </sharedItems>
    </cacheField>
    <cacheField name=" DOMICILIO COBRO A CLIENTE " numFmtId="168">
      <sharedItems containsString="0" containsBlank="1" containsNumber="1" containsInteger="1">
        <n v="8000.0"/>
        <n v="0.0"/>
        <n v="14000.0"/>
        <n v="12000.0"/>
        <m/>
        <n v="10000.0"/>
        <n v="13000.0"/>
        <n v="15000.0"/>
        <n v="5000.0"/>
        <n v="26000.0"/>
        <n v="16000.0"/>
        <n v="25000.0"/>
        <n v="11000.0"/>
        <n v="20000.0"/>
        <n v="22000.0"/>
        <n v="298000.0"/>
        <n v="18000.0"/>
      </sharedItems>
    </cacheField>
    <cacheField name="PRECIO TOTAL">
      <sharedItems containsBlank="1" containsMixedTypes="1" containsNumber="1">
        <n v="105125.0"/>
        <n v="112500.0"/>
        <n v="137000.0"/>
        <n v="127000.0"/>
        <n v="105000.0"/>
        <n v="258750.0"/>
        <n v="163000.0"/>
        <n v="225000.0"/>
        <n v="0.0"/>
        <n v="28000.0"/>
        <n v="125000.0"/>
        <n v="66000.0"/>
        <n v="22000.0"/>
        <n v="53000.0"/>
        <n v="115000.0"/>
        <n v="18000.0"/>
        <n v="127500.0"/>
        <n v="310000.0"/>
        <n v="122500.0"/>
        <n v="347500.0"/>
        <n v="86250.0"/>
        <n v="65000.0"/>
        <n v="133000.0"/>
        <n v="123000.0"/>
        <e v="#N/A"/>
        <n v="36000.0"/>
        <n v="8000.0"/>
        <n v="4000.0"/>
        <n v="44000.0"/>
        <n v="300000.0"/>
        <n v="172500.0"/>
        <n v="110000.0"/>
        <n v="102125.0"/>
        <n v="50000.0"/>
        <n v="49000.0"/>
        <n v="63000.0"/>
        <n v="79000.0"/>
        <n v="78750.0"/>
        <n v="14000.0"/>
        <n v="67000.0"/>
        <n v="94750.0"/>
        <n v="50500.0"/>
        <n v="137500.0"/>
        <n v="32000.0"/>
        <n v="250000.0"/>
        <n v="11000.0"/>
        <n v="150000.0"/>
        <n v="136000.0"/>
        <n v="164000.0"/>
        <n v="235000.0"/>
        <n v="128000.0"/>
        <s v=""/>
        <n v="60000.0"/>
        <n v="92250.0"/>
        <n v="162000.0"/>
        <n v="312000.0"/>
        <n v="138000.0"/>
        <n v="155000.0"/>
        <n v="129000.0"/>
        <n v="74000.0"/>
        <n v="326000.0"/>
        <n v="37000.0"/>
        <n v="135000.0"/>
        <n v="16500.0"/>
        <n v="215000.0"/>
        <n v="108125.0"/>
        <n v="62000.0"/>
        <n v="30000.0"/>
        <n v="96250.0"/>
        <n v="55000.0"/>
        <n v="166000.0"/>
        <n v="220000.0"/>
        <n v="64000.0"/>
        <n v="148000.0"/>
        <n v="177000.0"/>
        <n v="176000.0"/>
        <n v="320000.0"/>
        <n v="160000.0"/>
        <n v="130000.0"/>
        <n v="560000.0"/>
        <n v="121799.99999999999"/>
        <n v="10000.0"/>
        <n v="1260000.0"/>
        <n v="1485000.0"/>
        <n v="165000.0"/>
        <n v="37500.0"/>
        <n v="175000.0"/>
        <n v="3000.0"/>
        <n v="172000.0"/>
        <n v="72000.0"/>
        <n v="325000.0"/>
        <n v="69000.0"/>
        <n v="68000.0"/>
        <n v="47500.0"/>
        <n v="173000.0"/>
        <n v="184000.0"/>
        <n v="48000.0"/>
        <n v="119000.0"/>
        <n v="222000.0"/>
        <n v="35000.0"/>
        <n v="51000.0"/>
        <n v="47000.0"/>
        <n v="154000.0"/>
        <n v="130300.0"/>
        <n v="872400.0"/>
        <n v="576000.0"/>
        <n v="12600.0"/>
        <n v="88750.0"/>
        <n v="232000.0"/>
        <n v="52000.0"/>
        <n v="159000.0"/>
        <n v="431200.0"/>
        <n v="288000.0"/>
        <n v="149000.0"/>
        <n v="139000.0"/>
        <n v="140000.0"/>
        <n v="308000.0"/>
        <n v="233000.0"/>
        <n v="240000.0"/>
        <n v="455000.0"/>
        <n v="357000.0"/>
        <n v="359000.0"/>
        <n v="131000.0"/>
        <n v="333400.0"/>
        <n v="216000.0"/>
        <n v="105600.0"/>
        <n v="161000.0"/>
        <n v="41250.0"/>
        <n v="111000.0"/>
        <n v="77000.0"/>
        <n v="106000.0"/>
        <n v="70000.0"/>
        <n v="174000.0"/>
        <n v="379600.0"/>
        <n v="158400.0"/>
        <n v="475000.0"/>
        <n v="182500.0"/>
        <n v="248599.99999999997"/>
        <n v="121000.0"/>
        <n v="84000.0"/>
        <n v="132250.0"/>
        <n v="226000.0"/>
        <n v="80000.0"/>
        <n v="483000.0"/>
        <n v="241500.0"/>
        <n v="146500.0"/>
        <n v="230000.0"/>
        <n v="145000.0"/>
        <n v="277200.0"/>
        <n v="92400.0"/>
        <n v="144000.0"/>
        <n v="52800.0"/>
        <n v="170000.0"/>
        <n v="13000.0"/>
        <n v="94000.0"/>
        <n v="95000.0"/>
        <n v="38500.0"/>
        <n v="298000.0"/>
        <n v="37900.0"/>
        <n v="100000.0"/>
        <n v="369600.0"/>
        <n v="234000.0"/>
        <n v="25900.0"/>
        <n v="509000.0"/>
        <n v="444000.0"/>
        <n v="450000.0"/>
        <n v="97125.0"/>
        <n v="31000.0"/>
        <n v="991000.0"/>
        <n v="408000.0"/>
        <n v="474000.0"/>
        <m/>
        <n v="151750.0"/>
        <n v="51250.0"/>
        <n v="192000.0"/>
        <n v="26000.0"/>
        <n v="24000.0"/>
        <n v="253000.0"/>
        <n v="337500.0"/>
        <n v="362500.0"/>
        <n v="360000.0"/>
        <n v="184800.0"/>
        <n v="132000.0"/>
        <n v="189000.0"/>
        <n v="102250.0"/>
        <n v="188000.0"/>
        <n v="89250.0"/>
        <n v="108750.0"/>
        <n v="46000.0"/>
        <n v="13500.0"/>
        <n v="462000.0"/>
        <n v="112000.0"/>
        <n v="71000.0"/>
        <n v="460000.0"/>
        <n v="1129600.0"/>
        <n v="211200.0"/>
        <n v="138600.0"/>
        <n v="572500.0"/>
        <n v="616000.0"/>
        <n v="316800.0"/>
        <n v="118000.0"/>
        <n v="157000.0"/>
        <n v="89000.0"/>
        <n v="54000.0"/>
        <n v="34000.0"/>
        <n v="415800.0"/>
        <n v="76000.0"/>
        <n v="12000.0"/>
        <n v="1314400.0"/>
        <n v="504000.0"/>
        <n v="475200.0"/>
        <n v="38000.0"/>
        <n v="32500.0"/>
        <n v="18500.0"/>
        <n v="6000.0"/>
        <n v="13800.0"/>
        <n v="5000.0"/>
        <n v="96000.0"/>
      </sharedItems>
    </cacheField>
    <cacheField name=" PAGO DOMICILIO REAL " numFmtId="168">
      <sharedItems containsString="0" containsBlank="1" containsNumber="1" containsInteger="1">
        <n v="10000.0"/>
        <n v="14000.0"/>
        <n v="12000.0"/>
        <n v="0.0"/>
        <m/>
        <n v="170000.0"/>
        <n v="13000.0"/>
        <n v="15000.0"/>
        <n v="55000.0"/>
        <n v="18000.0"/>
        <n v="220000.0"/>
        <n v="26000.0"/>
        <n v="20000.0"/>
        <n v="16000.0"/>
        <n v="23000.0"/>
        <n v="14500.0"/>
        <n v="19500.0"/>
        <n v="21000.0"/>
        <n v="17000.0"/>
        <n v="7000.0"/>
        <n v="70000.0"/>
        <n v="22000.0"/>
        <n v="11000.0"/>
        <n v="29000.0"/>
        <n v="80000.0"/>
        <n v="12500.0"/>
        <n v="13500.0"/>
        <n v="50000.0"/>
        <n v="24000.0"/>
        <n v="25000.0"/>
        <n v="100000.0"/>
        <n v="28000.0"/>
        <n v="8000.0"/>
        <n v="110000.0"/>
        <n v="5000.0"/>
        <n v="9000.0"/>
        <n v="7100.0"/>
        <n v="9300.0"/>
        <n v="10700.0"/>
        <n v="13300.0"/>
        <n v="20500.0"/>
        <n v="7800.0"/>
        <n v="8900.0"/>
        <n v="7700.0"/>
        <n v="10500.0"/>
        <n v="15700.0"/>
        <n v="8400.0"/>
        <n v="8200.0"/>
        <n v="7900.0"/>
        <n v="10100.0"/>
        <n v="8300.0"/>
        <n v="14300.0"/>
        <n v="19200.0"/>
        <n v="16500.0"/>
        <n v="13200.0"/>
        <n v="9500.0"/>
        <n v="11700.0"/>
        <n v="9700.0"/>
        <n v="40000.0"/>
        <n v="9600.0"/>
        <n v="13700.0"/>
        <n v="14600.0"/>
        <n v="16400.0"/>
        <n v="6000.0"/>
        <n v="5500.0"/>
        <n v="13800.0"/>
        <n v="10600.0"/>
        <n v="27000.0"/>
        <n v="30000.0"/>
        <n v="16700.0"/>
        <n v="12300.0"/>
        <n v="16900.0"/>
        <n v="15300.0"/>
      </sharedItems>
    </cacheField>
    <cacheField name=" FACTURA ELECTRONICA ">
      <sharedItems containsBlank="1" containsMixedTypes="1" containsNumber="1" containsInteger="1">
        <s v="SI"/>
        <m/>
        <n v="555.0"/>
        <n v="556.0"/>
        <n v="557.0"/>
        <n v="559.0"/>
        <n v="560.0"/>
        <n v="561.0"/>
        <n v="563.0"/>
        <n v="564.0"/>
        <n v="570.0"/>
        <n v="582.0"/>
        <n v="589.0"/>
        <n v="573.0"/>
        <n v="574.0"/>
        <n v="591.0"/>
        <n v="592.0"/>
        <n v="598.0"/>
        <n v="590.0"/>
        <n v="607.0"/>
        <n v="605.0"/>
        <n v="604.0"/>
        <n v="603.0"/>
        <n v="602.0"/>
        <n v="601.0"/>
        <n v="600.0"/>
        <n v="609.0"/>
        <n v="617.0"/>
        <n v="626.0"/>
        <n v="630.0"/>
        <n v="634.0"/>
        <n v="636.0"/>
        <n v="635.0"/>
        <n v="633.0"/>
        <n v="792.0"/>
        <n v="649.0"/>
        <n v="653.0"/>
        <n v="654.0"/>
        <n v="671.0"/>
        <n v="655.0"/>
        <n v="656.0"/>
        <n v="657.0"/>
        <n v="658.0"/>
        <n v="659.0"/>
        <n v="660.0"/>
        <n v="661.0"/>
        <n v="662.0"/>
        <n v="663.0"/>
        <n v="672.0"/>
        <n v="673.0"/>
        <n v="674.0"/>
        <n v="669.0"/>
        <n v="675.0"/>
        <n v="679.0"/>
        <n v="676.0"/>
        <n v="677.0"/>
        <n v="680.0"/>
        <n v="681.0"/>
        <n v="682.0"/>
        <n v="683.0"/>
        <n v="684.0"/>
        <n v="685.0"/>
        <n v="678.0"/>
        <n v="687.0"/>
        <n v="686.0"/>
        <n v="691.0"/>
        <n v="688.0"/>
        <n v="692.0"/>
        <n v="693.0"/>
        <n v="694.0"/>
        <n v="695.0"/>
        <n v="696.0"/>
        <n v="689.0"/>
        <n v="697.0"/>
        <n v="698.0"/>
        <n v="690.0"/>
        <n v="699.0"/>
        <n v="700.0"/>
        <n v="710.0"/>
        <n v="701.0"/>
        <n v="709.0"/>
        <n v="702.0"/>
        <n v="703.0"/>
        <n v="706.0"/>
        <n v="704.0"/>
        <n v="705.0"/>
        <n v="716.0"/>
        <n v="720.0"/>
        <n v="721.0"/>
        <n v="724.0"/>
        <n v="707.0"/>
        <n v="708.0"/>
        <n v="712.0"/>
        <n v="711.0"/>
        <n v="715.0"/>
        <n v="714.0"/>
        <n v="742.0"/>
        <n v="713.0"/>
        <n v="717.0"/>
        <n v="718.0"/>
        <n v="719.0"/>
        <n v="722.0"/>
        <n v="723.0"/>
        <n v="728.0"/>
        <n v="727.0"/>
        <n v="726.0"/>
        <n v="725.0"/>
        <n v="730.0"/>
        <n v="733.0"/>
        <n v="734.0"/>
        <n v="732.0"/>
        <n v="729.0"/>
        <n v="735.0"/>
        <n v="736.0"/>
        <n v="737.0"/>
        <n v="731.0"/>
        <n v="738.0"/>
        <n v="739.0"/>
        <n v="740.0"/>
        <n v="741.0"/>
        <n v="748.0"/>
        <n v="749.0"/>
        <n v="750.0"/>
        <n v="743.0"/>
        <n v="751.0"/>
        <n v="752.0"/>
        <n v="744.0"/>
        <n v="745.0"/>
        <n v="746.0"/>
        <n v="761.0"/>
        <n v="753.0"/>
        <n v="754.0"/>
        <n v="755.0"/>
        <n v="756.0"/>
        <n v="757.0"/>
        <n v="758.0"/>
        <n v="762.0"/>
        <n v="763.0"/>
        <n v="764.0"/>
        <n v="766.0"/>
        <n v="767.0"/>
        <n v="768.0"/>
        <n v="769.0"/>
        <n v="770.0"/>
        <n v="771.0"/>
        <n v="765.0"/>
        <n v="775.0"/>
        <n v="772.0"/>
        <n v="776.0"/>
        <n v="773.0"/>
        <n v="774.0"/>
        <n v="777.0"/>
        <n v="778.0"/>
        <n v="781.0"/>
        <n v="780.0"/>
        <n v="782.0"/>
        <n v="785.0"/>
        <n v="783.0"/>
        <n v="784.0"/>
        <n v="786.0"/>
        <n v="787.0"/>
        <n v="788.0"/>
        <n v="789.0"/>
        <n v="790.0"/>
        <n v="791.0"/>
        <n v="793.0"/>
        <n v="794.0"/>
        <n v="797.0"/>
        <n v="798.0"/>
        <n v="799.0"/>
        <n v="800.0"/>
        <n v="801.0"/>
        <n v="802.0"/>
        <n v="803.0"/>
        <n v="804.0"/>
        <n v="805.0"/>
        <n v="806.0"/>
        <n v="810.0"/>
        <n v="809.0"/>
        <n v="808.0"/>
        <n v="807.0"/>
        <n v="795.0"/>
        <n v="796.0"/>
        <n v="825.0"/>
        <n v="811.0"/>
        <n v="812.0"/>
        <n v="813.0"/>
        <n v="817.0"/>
        <n v="818.0"/>
        <n v="819.0"/>
        <n v="820.0"/>
        <n v="821.0"/>
        <n v="822.0"/>
        <n v="823.0"/>
        <n v="824.0"/>
        <n v="816.0"/>
        <n v="815.0"/>
        <n v="829.0"/>
        <n v="826.0"/>
        <n v="827.0"/>
        <n v="828.0"/>
        <n v="831.0"/>
        <n v="830.0"/>
        <n v="834.0"/>
        <n v="835.0"/>
        <n v="836.0"/>
        <n v="837.0"/>
        <n v="839.0"/>
        <n v="833.0"/>
        <n v="838.0"/>
        <n v="841.0"/>
        <n v="861.0"/>
        <n v="842.0"/>
        <n v="862.0"/>
        <n v="843.0"/>
        <n v="851.0"/>
        <n v="863.0"/>
        <n v="845.0"/>
        <n v="849.0"/>
        <n v="846.0"/>
        <n v="847.0"/>
        <n v="848.0"/>
        <n v="850.0"/>
        <n v="864.0"/>
        <n v="865.0"/>
        <n v="866.0"/>
        <n v="867.0"/>
        <n v="853.0"/>
        <n v="852.0"/>
        <n v="855.0"/>
        <n v="868.0"/>
        <n v="870.0"/>
        <s v="869 / 871"/>
        <n v="869.0"/>
        <n v="875.0"/>
        <n v="876.0"/>
        <n v="877.0"/>
        <n v="878.0"/>
        <n v="879.0"/>
        <n v="880.0"/>
        <n v="881.0"/>
        <n v="882.0"/>
        <n v="883.0"/>
        <n v="884.0"/>
        <n v="873.0"/>
        <n v="874.0"/>
        <n v="915.0"/>
        <n v="890.0"/>
        <n v="888.0"/>
        <n v="887.0"/>
        <n v="886.0"/>
        <n v="891.0"/>
        <n v="893.0"/>
        <n v="894.0"/>
        <n v="895.0"/>
        <n v="896.0"/>
        <n v="897.0"/>
        <n v="898.0"/>
        <n v="899.0"/>
        <n v="900.0"/>
        <n v="901.0"/>
        <n v="904.0"/>
        <n v="905.0"/>
        <n v="906.0"/>
        <n v="907.0"/>
        <n v="910.0"/>
        <n v="911.0"/>
        <n v="909.0"/>
        <n v="908.0"/>
        <n v="912.0"/>
        <n v="913.0"/>
        <n v="914.0"/>
        <n v="921.0"/>
        <n v="916.0"/>
        <n v="917.0"/>
        <n v="918.0"/>
        <n v="922.0"/>
        <n v="923.0"/>
        <n v="924.0"/>
        <n v="925.0"/>
        <n v="926.0"/>
        <n v="927.0"/>
        <n v="928.0"/>
        <n v="919.0"/>
        <n v="920.0"/>
        <n v="930.0"/>
        <n v="934.0"/>
        <n v="935.0"/>
        <n v="929.0"/>
        <n v="936.0"/>
        <n v="937.0"/>
        <n v="932.0"/>
        <n v="938.0"/>
        <n v="939.0"/>
        <n v="933.0"/>
        <n v="931.0"/>
        <n v="949.0"/>
        <n v="943.0"/>
        <n v="942.0"/>
        <n v="941.0"/>
        <n v="944.0"/>
        <n v="945.0"/>
        <n v="950.0"/>
        <n v="948.0"/>
        <n v="951.0"/>
        <n v="952.0"/>
        <n v="953.0"/>
        <n v="954.0"/>
        <n v="955.0"/>
        <n v="947.0"/>
        <n v="956.0"/>
        <n v="964.0"/>
        <n v="965.0"/>
        <n v="958.0"/>
        <n v="959.0"/>
        <n v="960.0"/>
        <n v="966.0"/>
        <n v="967.0"/>
        <n v="968.0"/>
        <n v="961.0"/>
        <n v="969.0"/>
        <n v="963.0"/>
        <n v="970.0"/>
        <n v="987.0"/>
        <n v="986.0"/>
        <n v="985.0"/>
        <n v="971.0"/>
        <n v="984.0"/>
        <n v="962.0"/>
        <n v="982.0"/>
        <n v="983.0"/>
        <n v="973.0"/>
        <n v="975.0"/>
        <n v="974.0"/>
        <n v="978.0"/>
        <n v="979.0"/>
        <n v="980.0"/>
        <n v="981.0"/>
        <n v="977.0"/>
        <n v="976.0"/>
        <n v="988.0"/>
        <n v="994.0"/>
        <n v="989.0"/>
        <n v="991.0"/>
        <n v="990.0"/>
        <n v="995.0"/>
        <n v="992.0"/>
        <n v="993.0"/>
        <n v="996.0"/>
        <n v="997.0"/>
        <n v="998.0"/>
        <n v="1002.0"/>
        <n v="999.0"/>
        <n v="1000.0"/>
        <n v="1005.0"/>
        <n v="1006.0"/>
        <n v="1004.0"/>
        <n v="1003.0"/>
        <n v="1010.0"/>
        <n v="1013.0"/>
        <n v="1007.0"/>
        <n v="1008.0"/>
        <n v="1009.0"/>
        <n v="1011.0"/>
        <n v="1012.0"/>
        <n v="1020.0"/>
        <n v="1015.0"/>
        <n v="1016.0"/>
        <n v="1017.0"/>
        <n v="1019.0"/>
        <n v="1023.0"/>
        <n v="1024.0"/>
        <n v="1025.0"/>
        <n v="1026.0"/>
        <n v="1022.0"/>
        <n v="1027.0"/>
        <n v="1035.0"/>
        <n v="1028.0"/>
        <n v="1043.0"/>
        <n v="1036.0"/>
        <n v="1029.0"/>
        <n v="1032.0"/>
        <n v="1037.0"/>
        <n v="1030.0"/>
        <n v="1031.0"/>
        <n v="1038.0"/>
        <n v="1039.0"/>
        <n v="1040.0"/>
        <n v="1041.0"/>
        <n v="1042.0"/>
        <n v="1034.0"/>
        <n v="1033.0"/>
        <n v="1044.0"/>
      </sharedItems>
    </cacheField>
    <cacheField name="ENTREGADO" numFmtId="0">
      <sharedItems containsBlank="1">
        <s v="SI"/>
        <s v="NO"/>
        <m/>
      </sharedItems>
    </cacheField>
    <cacheField name="TRASLADADO" numFmtId="0">
      <sharedItems containsBlank="1">
        <m/>
        <s v="SI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HOY" cacheId="0" dataCaption="" compact="0" compactData="0">
  <location ref="A4:B6" firstHeaderRow="0" firstDataRow="1" firstDataCol="1" rowPageCount="2" colPageCount="1"/>
  <pivotFields>
    <pivotField name="CLIENTE" axis="axisRow" compact="0" outline="0" multipleItemSelectionAllowed="1" showAll="0" sortType="ascending">
      <items>
        <item x="596"/>
        <item x="591"/>
        <item x="570"/>
        <item x="490"/>
        <item x="162"/>
        <item x="33"/>
        <item x="431"/>
        <item x="450"/>
        <item x="382"/>
        <item x="457"/>
        <item x="138"/>
        <item x="76"/>
        <item x="588"/>
        <item x="408"/>
        <item x="82"/>
        <item x="221"/>
        <item x="476"/>
        <item x="74"/>
        <item x="251"/>
        <item x="290"/>
        <item x="0"/>
        <item x="252"/>
        <item x="30"/>
        <item x="25"/>
        <item x="278"/>
        <item x="18"/>
        <item x="368"/>
        <item x="445"/>
        <item x="283"/>
        <item x="325"/>
        <item x="55"/>
        <item x="285"/>
        <item x="10"/>
        <item x="300"/>
        <item x="379"/>
        <item x="425"/>
        <item x="567"/>
        <item x="218"/>
        <item x="482"/>
        <item x="279"/>
        <item x="112"/>
        <item x="127"/>
        <item x="245"/>
        <item x="377"/>
        <item x="137"/>
        <item x="200"/>
        <item x="545"/>
        <item x="488"/>
        <item x="263"/>
        <item x="123"/>
        <item x="88"/>
        <item x="512"/>
        <item x="109"/>
        <item x="533"/>
        <item x="558"/>
        <item x="553"/>
        <item x="233"/>
        <item x="199"/>
        <item x="334"/>
        <item x="507"/>
        <item x="469"/>
        <item x="185"/>
        <item x="595"/>
        <item x="472"/>
        <item x="464"/>
        <item x="520"/>
        <item x="559"/>
        <item x="535"/>
        <item x="89"/>
        <item x="441"/>
        <item x="214"/>
        <item x="133"/>
        <item x="1"/>
        <item x="121"/>
        <item x="405"/>
        <item x="100"/>
        <item x="308"/>
        <item x="81"/>
        <item x="5"/>
        <item x="80"/>
        <item x="371"/>
        <item x="354"/>
        <item x="192"/>
        <item x="253"/>
        <item x="186"/>
        <item x="574"/>
        <item x="293"/>
        <item x="458"/>
        <item x="555"/>
        <item x="40"/>
        <item x="254"/>
        <item x="232"/>
        <item x="394"/>
        <item x="577"/>
        <item x="485"/>
        <item x="484"/>
        <item x="289"/>
        <item x="473"/>
        <item x="173"/>
        <item x="474"/>
        <item x="6"/>
        <item x="537"/>
        <item x="229"/>
        <item x="150"/>
        <item x="50"/>
        <item x="98"/>
        <item x="446"/>
        <item x="339"/>
        <item x="197"/>
        <item x="575"/>
        <item x="178"/>
        <item x="180"/>
        <item x="483"/>
        <item x="421"/>
        <item x="17"/>
        <item x="298"/>
        <item x="240"/>
        <item x="4"/>
        <item x="281"/>
        <item x="223"/>
        <item x="61"/>
        <item x="501"/>
        <item x="427"/>
        <item x="250"/>
        <item x="486"/>
        <item x="9"/>
        <item x="167"/>
        <item x="188"/>
        <item x="211"/>
        <item x="306"/>
        <item x="428"/>
        <item x="564"/>
        <item x="439"/>
        <item x="529"/>
        <item x="78"/>
        <item x="513"/>
        <item x="516"/>
        <item x="414"/>
        <item x="452"/>
        <item x="336"/>
        <item x="546"/>
        <item x="510"/>
        <item x="153"/>
        <item x="460"/>
        <item x="246"/>
        <item x="224"/>
        <item x="491"/>
        <item x="593"/>
        <item x="542"/>
        <item x="353"/>
        <item x="193"/>
        <item x="403"/>
        <item x="163"/>
        <item x="134"/>
        <item x="498"/>
        <item x="424"/>
        <item x="589"/>
        <item x="75"/>
        <item x="480"/>
        <item x="117"/>
        <item x="60"/>
        <item x="276"/>
        <item x="287"/>
        <item x="373"/>
        <item x="360"/>
        <item x="568"/>
        <item x="67"/>
        <item x="53"/>
        <item x="92"/>
        <item x="168"/>
        <item x="171"/>
        <item x="540"/>
        <item x="179"/>
        <item x="260"/>
        <item x="220"/>
        <item x="124"/>
        <item x="532"/>
        <item x="315"/>
        <item x="130"/>
        <item x="90"/>
        <item x="209"/>
        <item x="268"/>
        <item x="216"/>
        <item x="465"/>
        <item x="352"/>
        <item x="219"/>
        <item x="288"/>
        <item x="418"/>
        <item x="115"/>
        <item x="27"/>
        <item x="158"/>
        <item x="14"/>
        <item x="329"/>
        <item x="16"/>
        <item x="45"/>
        <item x="338"/>
        <item x="261"/>
        <item x="579"/>
        <item x="470"/>
        <item x="184"/>
        <item x="550"/>
        <item x="42"/>
        <item x="292"/>
        <item x="217"/>
        <item x="582"/>
        <item x="19"/>
        <item x="502"/>
        <item x="244"/>
        <item x="107"/>
        <item x="411"/>
        <item x="406"/>
        <item x="38"/>
        <item x="262"/>
        <item x="551"/>
        <item x="481"/>
        <item x="54"/>
        <item x="203"/>
        <item x="412"/>
        <item x="94"/>
        <item x="455"/>
        <item x="594"/>
        <item x="413"/>
        <item x="104"/>
        <item x="26"/>
        <item x="530"/>
        <item x="242"/>
        <item x="466"/>
        <item x="198"/>
        <item x="370"/>
        <item x="479"/>
        <item x="122"/>
        <item x="175"/>
        <item x="47"/>
        <item x="248"/>
        <item x="164"/>
        <item x="46"/>
        <item x="48"/>
        <item x="125"/>
        <item x="111"/>
        <item x="350"/>
        <item x="357"/>
        <item x="23"/>
        <item x="99"/>
        <item x="126"/>
        <item x="330"/>
        <item x="256"/>
        <item x="176"/>
        <item x="299"/>
        <item x="274"/>
        <item x="201"/>
        <item x="207"/>
        <item x="347"/>
        <item x="157"/>
        <item x="128"/>
        <item x="149"/>
        <item x="374"/>
        <item x="355"/>
        <item x="539"/>
        <item x="494"/>
        <item x="437"/>
        <item x="433"/>
        <item x="43"/>
        <item x="416"/>
        <item x="565"/>
        <item x="66"/>
        <item x="313"/>
        <item x="497"/>
        <item x="65"/>
        <item x="165"/>
        <item x="102"/>
        <item x="39"/>
        <item x="202"/>
        <item x="161"/>
        <item x="237"/>
        <item x="438"/>
        <item x="322"/>
        <item x="110"/>
        <item x="504"/>
        <item x="348"/>
        <item x="343"/>
        <item x="51"/>
        <item x="554"/>
        <item x="319"/>
        <item x="321"/>
        <item x="541"/>
        <item x="154"/>
        <item x="267"/>
        <item x="213"/>
        <item x="212"/>
        <item x="24"/>
        <item x="97"/>
        <item x="273"/>
        <item x="569"/>
        <item x="32"/>
        <item x="147"/>
        <item x="266"/>
        <item x="518"/>
        <item x="44"/>
        <item x="272"/>
        <item x="396"/>
        <item x="420"/>
        <item x="496"/>
        <item x="362"/>
        <item x="275"/>
        <item x="451"/>
        <item x="119"/>
        <item x="590"/>
        <item x="259"/>
        <item x="36"/>
        <item x="282"/>
        <item x="461"/>
        <item x="492"/>
        <item x="383"/>
        <item x="432"/>
        <item x="226"/>
        <item x="182"/>
        <item x="7"/>
        <item x="41"/>
        <item x="34"/>
        <item x="291"/>
        <item x="71"/>
        <item x="58"/>
        <item x="183"/>
        <item x="258"/>
        <item x="11"/>
        <item x="363"/>
        <item x="361"/>
        <item x="351"/>
        <item x="208"/>
        <item x="265"/>
        <item x="143"/>
        <item x="419"/>
        <item x="506"/>
        <item x="342"/>
        <item x="195"/>
        <item x="144"/>
        <item x="531"/>
        <item x="393"/>
        <item x="114"/>
        <item x="136"/>
        <item x="344"/>
        <item x="227"/>
        <item x="239"/>
        <item x="453"/>
        <item x="84"/>
        <item x="302"/>
        <item x="536"/>
        <item x="552"/>
        <item x="301"/>
        <item x="15"/>
        <item x="103"/>
        <item x="478"/>
        <item x="249"/>
        <item x="448"/>
        <item x="327"/>
        <item x="105"/>
        <item x="170"/>
        <item x="271"/>
        <item x="152"/>
        <item x="230"/>
        <item x="524"/>
        <item x="578"/>
        <item x="62"/>
        <item x="523"/>
        <item x="52"/>
        <item x="526"/>
        <item x="255"/>
        <item x="471"/>
        <item x="398"/>
        <item x="399"/>
        <item x="386"/>
        <item x="583"/>
        <item x="140"/>
        <item x="349"/>
        <item x="517"/>
        <item x="337"/>
        <item x="215"/>
        <item x="93"/>
        <item x="243"/>
        <item x="397"/>
        <item x="417"/>
        <item x="341"/>
        <item x="346"/>
        <item x="241"/>
        <item x="422"/>
        <item x="294"/>
        <item x="404"/>
        <item x="515"/>
        <item x="442"/>
        <item x="384"/>
        <item x="477"/>
        <item x="527"/>
        <item x="444"/>
        <item x="580"/>
        <item x="495"/>
        <item x="409"/>
        <item x="57"/>
        <item x="505"/>
        <item x="257"/>
        <item x="142"/>
        <item x="508"/>
        <item x="426"/>
        <item x="423"/>
        <item x="525"/>
        <item x="434"/>
        <item x="72"/>
        <item x="206"/>
        <item x="311"/>
        <item x="225"/>
        <item x="129"/>
        <item x="560"/>
        <item x="375"/>
        <item x="563"/>
        <item x="359"/>
        <item x="388"/>
        <item x="557"/>
        <item x="462"/>
        <item x="385"/>
        <item x="586"/>
        <item x="316"/>
        <item x="324"/>
        <item x="181"/>
        <item x="222"/>
        <item x="205"/>
        <item x="231"/>
        <item x="156"/>
        <item x="522"/>
        <item x="436"/>
        <item x="79"/>
        <item x="390"/>
        <item x="189"/>
        <item x="3"/>
        <item x="521"/>
        <item x="511"/>
        <item x="31"/>
        <item x="584"/>
        <item x="35"/>
        <item x="534"/>
        <item x="296"/>
        <item x="468"/>
        <item x="499"/>
        <item x="365"/>
        <item x="395"/>
        <item x="456"/>
        <item x="463"/>
        <item x="73"/>
        <item x="286"/>
        <item x="87"/>
        <item x="449"/>
        <item x="70"/>
        <item x="391"/>
        <item x="21"/>
        <item x="91"/>
        <item x="269"/>
        <item x="145"/>
        <item x="345"/>
        <item x="487"/>
        <item x="562"/>
        <item x="307"/>
        <item x="328"/>
        <item x="493"/>
        <item x="69"/>
        <item x="37"/>
        <item x="56"/>
        <item x="236"/>
        <item x="332"/>
        <item x="59"/>
        <item x="475"/>
        <item x="304"/>
        <item x="131"/>
        <item x="146"/>
        <item x="519"/>
        <item x="400"/>
        <item x="544"/>
        <item x="500"/>
        <item x="151"/>
        <item x="68"/>
        <item x="576"/>
        <item x="63"/>
        <item x="174"/>
        <item x="177"/>
        <item x="378"/>
        <item x="364"/>
        <item x="429"/>
        <item x="372"/>
        <item x="194"/>
        <item x="139"/>
        <item x="467"/>
        <item x="323"/>
        <item x="148"/>
        <item x="454"/>
        <item x="561"/>
        <item x="592"/>
        <item x="8"/>
        <item x="295"/>
        <item x="585"/>
        <item x="83"/>
        <item x="12"/>
        <item x="234"/>
        <item x="2"/>
        <item x="187"/>
        <item x="172"/>
        <item x="159"/>
        <item x="366"/>
        <item x="77"/>
        <item x="376"/>
        <item x="228"/>
        <item x="503"/>
        <item x="581"/>
        <item x="310"/>
        <item x="280"/>
        <item x="210"/>
        <item x="459"/>
        <item x="247"/>
        <item x="86"/>
        <item x="587"/>
        <item x="101"/>
        <item x="410"/>
        <item x="392"/>
        <item x="566"/>
        <item x="317"/>
        <item x="120"/>
        <item x="549"/>
        <item x="270"/>
        <item x="556"/>
        <item x="22"/>
        <item x="335"/>
        <item x="28"/>
        <item x="489"/>
        <item x="367"/>
        <item x="528"/>
        <item x="340"/>
        <item x="116"/>
        <item x="166"/>
        <item x="440"/>
        <item x="402"/>
        <item x="196"/>
        <item x="85"/>
        <item x="401"/>
        <item x="235"/>
        <item x="303"/>
        <item x="407"/>
        <item x="113"/>
        <item x="326"/>
        <item x="106"/>
        <item x="132"/>
        <item x="96"/>
        <item x="238"/>
        <item x="356"/>
        <item x="312"/>
        <item x="318"/>
        <item x="309"/>
        <item x="538"/>
        <item x="389"/>
        <item x="435"/>
        <item x="358"/>
        <item x="333"/>
        <item x="369"/>
        <item x="573"/>
        <item x="387"/>
        <item x="190"/>
        <item x="160"/>
        <item x="314"/>
        <item x="447"/>
        <item x="108"/>
        <item x="380"/>
        <item x="155"/>
        <item x="191"/>
        <item x="135"/>
        <item x="572"/>
        <item x="547"/>
        <item x="320"/>
        <item x="331"/>
        <item x="548"/>
        <item x="284"/>
        <item x="13"/>
        <item x="381"/>
        <item x="415"/>
        <item x="95"/>
        <item x="305"/>
        <item x="169"/>
        <item x="509"/>
        <item x="264"/>
        <item x="571"/>
        <item x="29"/>
        <item x="543"/>
        <item x="20"/>
        <item x="204"/>
        <item x="49"/>
        <item x="141"/>
        <item x="430"/>
        <item x="64"/>
        <item x="443"/>
        <item x="277"/>
        <item x="297"/>
        <item x="118"/>
        <item x="514"/>
        <item t="default"/>
      </items>
    </pivotField>
    <pivotField name="FECHA DE ENTREGA" axis="axisPage" compact="0" numFmtId="167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t="default"/>
      </items>
    </pivotField>
    <pivotField name="CANTIDA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PRODUCTO" axis="axisCol" compact="0" outline="0" multipleItemSelectionAllowed="1" showAll="0" sortType="ascending">
      <items>
        <item x="33"/>
        <item x="14"/>
        <item x="78"/>
        <item x="83"/>
        <item x="77"/>
        <item x="79"/>
        <item x="13"/>
        <item x="57"/>
        <item x="39"/>
        <item x="36"/>
        <item x="19"/>
        <item x="38"/>
        <item x="37"/>
        <item x="58"/>
        <item x="67"/>
        <item x="15"/>
        <item x="20"/>
        <item x="76"/>
        <item x="74"/>
        <item x="63"/>
        <item x="75"/>
        <item x="80"/>
        <item x="61"/>
        <item x="21"/>
        <item x="41"/>
        <item x="40"/>
        <item x="35"/>
        <item x="69"/>
        <item x="49"/>
        <item x="8"/>
        <item x="71"/>
        <item x="0"/>
        <item x="31"/>
        <item x="48"/>
        <item x="42"/>
        <item x="18"/>
        <item x="65"/>
        <item x="56"/>
        <item x="3"/>
        <item x="68"/>
        <item x="16"/>
        <item x="82"/>
        <item x="1"/>
        <item x="66"/>
        <item x="2"/>
        <item x="28"/>
        <item x="50"/>
        <item x="23"/>
        <item x="11"/>
        <item x="54"/>
        <item x="46"/>
        <item x="29"/>
        <item x="55"/>
        <item x="43"/>
        <item x="47"/>
        <item x="59"/>
        <item x="9"/>
        <item x="4"/>
        <item x="6"/>
        <item x="12"/>
        <item x="22"/>
        <item x="32"/>
        <item x="51"/>
        <item x="53"/>
        <item x="44"/>
        <item x="52"/>
        <item x="60"/>
        <item x="34"/>
        <item x="26"/>
        <item x="72"/>
        <item x="5"/>
        <item x="17"/>
        <item x="45"/>
        <item x="7"/>
        <item x="10"/>
        <item x="62"/>
        <item x="64"/>
        <item x="73"/>
        <item x="30"/>
        <item x="24"/>
        <item x="81"/>
        <item x="27"/>
        <item x="25"/>
        <item x="70"/>
        <item t="default"/>
      </items>
    </pivotField>
    <pivotField name="COMENTARIOS &#10;(SI ES REGALO, HORA DE ENTREGA ESPECIFICA, MARCADO X ALGO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t="default"/>
      </items>
    </pivotField>
    <pivotField name="METODO DE PAG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 DOMICILIO " compact="0" outline="0" multipleItemSelectionAllowed="1" showAll="0">
      <items>
        <item x="0"/>
        <item x="1"/>
        <item x="2"/>
        <item t="default"/>
      </items>
    </pivotField>
    <pivotField name=" DOMICILIARIO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 DOMICILIO COBRO A CLIENTE " compact="0" numFmtId="168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PRECIO TOT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t="default"/>
      </items>
    </pivotField>
    <pivotField name=" PAGO DOMICILIO REAL " compact="0" numFmtId="168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t="default"/>
      </items>
    </pivotField>
    <pivotField name=" FACTURA ELECTRONICA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t="default"/>
      </items>
    </pivotField>
    <pivotField name="ENTREGADO" axis="axisPage" compact="0" outline="0" multipleItemSelectionAllowed="1" showAll="0">
      <items>
        <item h="1" x="0"/>
        <item x="1"/>
        <item x="2"/>
        <item t="default"/>
      </items>
    </pivotField>
    <pivotField name="TRASLADADO" compact="0" outline="0" multipleItemSelectionAllowed="1" showAll="0">
      <items>
        <item x="0"/>
        <item x="1"/>
        <item t="default"/>
      </items>
    </pivotField>
  </pivotFields>
  <rowFields>
    <field x="0"/>
  </rowFields>
  <colFields>
    <field x="3"/>
  </colFields>
  <pageFields>
    <pageField fld="1"/>
    <pageField fld="12"/>
  </pageFields>
  <dataFields>
    <dataField name="SUM of CANTIDAD" fld="2" baseField="0"/>
  </dataFields>
</pivotTableDefinition>
</file>

<file path=xl/pivotTables/pivotTable2.xml><?xml version="1.0" encoding="utf-8"?>
<pivotTableDefinition xmlns="http://schemas.openxmlformats.org/spreadsheetml/2006/main" name="MAÑANA" cacheId="0" dataCaption="" compact="0" compactData="0">
  <location ref="A4:F8" firstHeaderRow="0" firstDataRow="1" firstDataCol="1" rowPageCount="2" colPageCount="1"/>
  <pivotFields>
    <pivotField name="CLIENTE" axis="axisRow" compact="0" outline="0" multipleItemSelectionAllowed="1" showAll="0" sortType="ascending">
      <items>
        <item x="596"/>
        <item x="591"/>
        <item x="570"/>
        <item x="490"/>
        <item x="162"/>
        <item x="33"/>
        <item x="431"/>
        <item x="450"/>
        <item x="382"/>
        <item x="457"/>
        <item x="138"/>
        <item x="76"/>
        <item x="588"/>
        <item x="408"/>
        <item x="82"/>
        <item x="221"/>
        <item x="476"/>
        <item x="74"/>
        <item x="251"/>
        <item x="290"/>
        <item x="0"/>
        <item x="252"/>
        <item x="30"/>
        <item x="25"/>
        <item x="278"/>
        <item x="18"/>
        <item x="368"/>
        <item x="445"/>
        <item x="283"/>
        <item x="325"/>
        <item x="55"/>
        <item x="285"/>
        <item x="10"/>
        <item x="300"/>
        <item x="379"/>
        <item x="425"/>
        <item x="567"/>
        <item x="218"/>
        <item x="482"/>
        <item x="279"/>
        <item x="112"/>
        <item x="127"/>
        <item x="245"/>
        <item x="377"/>
        <item x="137"/>
        <item x="200"/>
        <item x="545"/>
        <item x="488"/>
        <item x="263"/>
        <item x="123"/>
        <item x="88"/>
        <item x="512"/>
        <item x="109"/>
        <item x="533"/>
        <item x="558"/>
        <item x="553"/>
        <item x="233"/>
        <item x="199"/>
        <item x="334"/>
        <item x="507"/>
        <item x="469"/>
        <item x="185"/>
        <item x="595"/>
        <item x="472"/>
        <item x="464"/>
        <item x="520"/>
        <item x="559"/>
        <item x="535"/>
        <item x="89"/>
        <item x="441"/>
        <item x="214"/>
        <item x="133"/>
        <item x="1"/>
        <item x="121"/>
        <item x="405"/>
        <item x="100"/>
        <item x="308"/>
        <item x="81"/>
        <item x="5"/>
        <item x="80"/>
        <item x="371"/>
        <item x="354"/>
        <item x="192"/>
        <item x="253"/>
        <item x="186"/>
        <item x="574"/>
        <item x="293"/>
        <item x="458"/>
        <item x="555"/>
        <item x="40"/>
        <item x="254"/>
        <item x="232"/>
        <item x="394"/>
        <item x="577"/>
        <item x="485"/>
        <item x="484"/>
        <item x="289"/>
        <item x="473"/>
        <item x="173"/>
        <item x="474"/>
        <item x="6"/>
        <item x="537"/>
        <item x="229"/>
        <item x="150"/>
        <item x="50"/>
        <item x="98"/>
        <item x="446"/>
        <item x="339"/>
        <item x="197"/>
        <item x="575"/>
        <item x="178"/>
        <item x="180"/>
        <item x="483"/>
        <item x="421"/>
        <item x="17"/>
        <item x="298"/>
        <item x="240"/>
        <item x="4"/>
        <item x="281"/>
        <item x="223"/>
        <item x="61"/>
        <item x="501"/>
        <item x="427"/>
        <item x="250"/>
        <item x="486"/>
        <item x="9"/>
        <item x="167"/>
        <item x="188"/>
        <item x="211"/>
        <item x="306"/>
        <item x="428"/>
        <item x="564"/>
        <item x="439"/>
        <item x="529"/>
        <item x="78"/>
        <item x="513"/>
        <item x="516"/>
        <item x="414"/>
        <item x="452"/>
        <item x="336"/>
        <item x="546"/>
        <item x="510"/>
        <item x="153"/>
        <item x="460"/>
        <item x="246"/>
        <item x="224"/>
        <item x="491"/>
        <item x="593"/>
        <item x="542"/>
        <item x="353"/>
        <item x="193"/>
        <item x="403"/>
        <item x="163"/>
        <item x="134"/>
        <item x="498"/>
        <item x="424"/>
        <item x="589"/>
        <item x="75"/>
        <item x="480"/>
        <item x="117"/>
        <item x="60"/>
        <item x="276"/>
        <item x="287"/>
        <item x="373"/>
        <item x="360"/>
        <item x="568"/>
        <item x="67"/>
        <item x="53"/>
        <item x="92"/>
        <item x="168"/>
        <item x="171"/>
        <item x="540"/>
        <item x="179"/>
        <item x="260"/>
        <item x="220"/>
        <item x="124"/>
        <item x="532"/>
        <item x="315"/>
        <item x="130"/>
        <item x="90"/>
        <item x="209"/>
        <item x="268"/>
        <item x="216"/>
        <item x="465"/>
        <item x="352"/>
        <item x="219"/>
        <item x="288"/>
        <item x="418"/>
        <item x="115"/>
        <item x="27"/>
        <item x="158"/>
        <item x="14"/>
        <item x="329"/>
        <item x="16"/>
        <item x="45"/>
        <item x="338"/>
        <item x="261"/>
        <item x="579"/>
        <item x="470"/>
        <item x="184"/>
        <item x="550"/>
        <item x="42"/>
        <item x="292"/>
        <item x="217"/>
        <item x="582"/>
        <item x="19"/>
        <item x="502"/>
        <item x="244"/>
        <item x="107"/>
        <item x="411"/>
        <item x="406"/>
        <item x="38"/>
        <item x="262"/>
        <item x="551"/>
        <item x="481"/>
        <item x="54"/>
        <item x="203"/>
        <item x="412"/>
        <item x="94"/>
        <item x="455"/>
        <item x="594"/>
        <item x="413"/>
        <item x="104"/>
        <item x="26"/>
        <item x="530"/>
        <item x="242"/>
        <item x="466"/>
        <item x="198"/>
        <item x="370"/>
        <item x="479"/>
        <item x="122"/>
        <item x="175"/>
        <item x="47"/>
        <item x="248"/>
        <item x="164"/>
        <item x="46"/>
        <item x="48"/>
        <item x="125"/>
        <item x="111"/>
        <item x="350"/>
        <item x="357"/>
        <item x="23"/>
        <item x="99"/>
        <item x="126"/>
        <item x="330"/>
        <item x="256"/>
        <item x="176"/>
        <item x="299"/>
        <item x="274"/>
        <item x="201"/>
        <item x="207"/>
        <item x="347"/>
        <item x="157"/>
        <item x="128"/>
        <item x="149"/>
        <item x="374"/>
        <item x="355"/>
        <item x="539"/>
        <item x="494"/>
        <item x="437"/>
        <item x="433"/>
        <item x="43"/>
        <item x="416"/>
        <item x="565"/>
        <item x="66"/>
        <item x="313"/>
        <item x="497"/>
        <item x="65"/>
        <item x="165"/>
        <item x="102"/>
        <item x="39"/>
        <item x="202"/>
        <item x="161"/>
        <item x="237"/>
        <item x="438"/>
        <item x="322"/>
        <item x="110"/>
        <item x="504"/>
        <item x="348"/>
        <item x="343"/>
        <item x="51"/>
        <item x="554"/>
        <item x="319"/>
        <item x="321"/>
        <item x="541"/>
        <item x="154"/>
        <item x="267"/>
        <item x="213"/>
        <item x="212"/>
        <item x="24"/>
        <item x="97"/>
        <item x="273"/>
        <item x="569"/>
        <item x="32"/>
        <item x="147"/>
        <item x="266"/>
        <item x="518"/>
        <item x="44"/>
        <item x="272"/>
        <item x="396"/>
        <item x="420"/>
        <item x="496"/>
        <item x="362"/>
        <item x="275"/>
        <item x="451"/>
        <item x="119"/>
        <item x="590"/>
        <item x="259"/>
        <item x="36"/>
        <item x="282"/>
        <item x="461"/>
        <item x="492"/>
        <item x="383"/>
        <item x="432"/>
        <item x="226"/>
        <item x="182"/>
        <item x="7"/>
        <item x="41"/>
        <item x="34"/>
        <item x="291"/>
        <item x="71"/>
        <item x="58"/>
        <item x="183"/>
        <item x="258"/>
        <item x="11"/>
        <item x="363"/>
        <item x="361"/>
        <item x="351"/>
        <item x="208"/>
        <item x="265"/>
        <item x="143"/>
        <item x="419"/>
        <item x="506"/>
        <item x="342"/>
        <item x="195"/>
        <item x="144"/>
        <item x="531"/>
        <item x="393"/>
        <item x="114"/>
        <item x="136"/>
        <item x="344"/>
        <item x="227"/>
        <item x="239"/>
        <item x="453"/>
        <item x="84"/>
        <item x="302"/>
        <item x="536"/>
        <item x="552"/>
        <item x="301"/>
        <item x="15"/>
        <item x="103"/>
        <item x="478"/>
        <item x="249"/>
        <item x="448"/>
        <item x="327"/>
        <item x="105"/>
        <item x="170"/>
        <item x="271"/>
        <item x="152"/>
        <item x="230"/>
        <item x="524"/>
        <item x="578"/>
        <item x="62"/>
        <item x="523"/>
        <item x="52"/>
        <item x="526"/>
        <item x="255"/>
        <item x="471"/>
        <item x="398"/>
        <item x="399"/>
        <item x="386"/>
        <item x="583"/>
        <item x="140"/>
        <item x="349"/>
        <item x="517"/>
        <item x="337"/>
        <item x="215"/>
        <item x="93"/>
        <item x="243"/>
        <item x="397"/>
        <item x="417"/>
        <item x="341"/>
        <item x="346"/>
        <item x="241"/>
        <item x="422"/>
        <item x="294"/>
        <item x="404"/>
        <item x="515"/>
        <item x="442"/>
        <item x="384"/>
        <item x="477"/>
        <item x="527"/>
        <item x="444"/>
        <item x="580"/>
        <item x="495"/>
        <item x="409"/>
        <item x="57"/>
        <item x="505"/>
        <item x="257"/>
        <item x="142"/>
        <item x="508"/>
        <item x="426"/>
        <item x="423"/>
        <item x="525"/>
        <item x="434"/>
        <item x="72"/>
        <item x="206"/>
        <item x="311"/>
        <item x="225"/>
        <item x="129"/>
        <item x="560"/>
        <item x="375"/>
        <item x="563"/>
        <item x="359"/>
        <item x="388"/>
        <item x="557"/>
        <item x="462"/>
        <item x="385"/>
        <item x="586"/>
        <item x="316"/>
        <item x="324"/>
        <item x="181"/>
        <item x="222"/>
        <item x="205"/>
        <item x="231"/>
        <item x="156"/>
        <item x="522"/>
        <item x="436"/>
        <item x="79"/>
        <item x="390"/>
        <item x="189"/>
        <item x="3"/>
        <item x="521"/>
        <item x="511"/>
        <item x="31"/>
        <item x="584"/>
        <item x="35"/>
        <item x="534"/>
        <item x="296"/>
        <item x="468"/>
        <item x="499"/>
        <item x="365"/>
        <item x="395"/>
        <item x="456"/>
        <item x="463"/>
        <item x="73"/>
        <item x="286"/>
        <item x="87"/>
        <item x="449"/>
        <item x="70"/>
        <item x="391"/>
        <item x="21"/>
        <item x="91"/>
        <item x="269"/>
        <item x="145"/>
        <item x="345"/>
        <item x="487"/>
        <item x="562"/>
        <item x="307"/>
        <item x="328"/>
        <item x="493"/>
        <item x="69"/>
        <item x="37"/>
        <item x="56"/>
        <item x="236"/>
        <item x="332"/>
        <item x="59"/>
        <item x="475"/>
        <item x="304"/>
        <item x="131"/>
        <item x="146"/>
        <item x="519"/>
        <item x="400"/>
        <item x="544"/>
        <item x="500"/>
        <item x="151"/>
        <item x="68"/>
        <item x="576"/>
        <item x="63"/>
        <item x="174"/>
        <item x="177"/>
        <item x="378"/>
        <item x="364"/>
        <item x="429"/>
        <item x="372"/>
        <item x="194"/>
        <item x="139"/>
        <item x="467"/>
        <item x="323"/>
        <item x="148"/>
        <item x="454"/>
        <item x="561"/>
        <item x="592"/>
        <item x="8"/>
        <item x="295"/>
        <item x="585"/>
        <item x="83"/>
        <item x="12"/>
        <item x="234"/>
        <item x="2"/>
        <item x="187"/>
        <item x="172"/>
        <item x="159"/>
        <item x="366"/>
        <item x="77"/>
        <item x="376"/>
        <item x="228"/>
        <item x="503"/>
        <item x="581"/>
        <item x="310"/>
        <item x="280"/>
        <item x="210"/>
        <item x="459"/>
        <item x="247"/>
        <item x="86"/>
        <item x="587"/>
        <item x="101"/>
        <item x="410"/>
        <item x="392"/>
        <item x="566"/>
        <item x="317"/>
        <item x="120"/>
        <item x="549"/>
        <item x="270"/>
        <item x="556"/>
        <item x="22"/>
        <item x="335"/>
        <item x="28"/>
        <item x="489"/>
        <item x="367"/>
        <item x="528"/>
        <item x="340"/>
        <item x="116"/>
        <item x="166"/>
        <item x="440"/>
        <item x="402"/>
        <item x="196"/>
        <item x="85"/>
        <item x="401"/>
        <item x="235"/>
        <item x="303"/>
        <item x="407"/>
        <item x="113"/>
        <item x="326"/>
        <item x="106"/>
        <item x="132"/>
        <item x="96"/>
        <item x="238"/>
        <item x="356"/>
        <item x="312"/>
        <item x="318"/>
        <item x="309"/>
        <item x="538"/>
        <item x="389"/>
        <item x="435"/>
        <item x="358"/>
        <item x="333"/>
        <item x="369"/>
        <item x="573"/>
        <item x="387"/>
        <item x="190"/>
        <item x="160"/>
        <item x="314"/>
        <item x="447"/>
        <item x="108"/>
        <item x="380"/>
        <item x="155"/>
        <item x="191"/>
        <item x="135"/>
        <item x="572"/>
        <item x="547"/>
        <item x="320"/>
        <item x="331"/>
        <item x="548"/>
        <item x="284"/>
        <item x="13"/>
        <item x="381"/>
        <item x="415"/>
        <item x="95"/>
        <item x="305"/>
        <item x="169"/>
        <item x="509"/>
        <item x="264"/>
        <item x="571"/>
        <item x="29"/>
        <item x="543"/>
        <item x="20"/>
        <item x="204"/>
        <item x="49"/>
        <item x="141"/>
        <item x="430"/>
        <item x="64"/>
        <item x="443"/>
        <item x="277"/>
        <item x="297"/>
        <item x="118"/>
        <item x="514"/>
        <item t="default"/>
      </items>
    </pivotField>
    <pivotField name="FECHA DE ENTREGA" axis="axisPage" compact="0" numFmtId="167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t="default"/>
      </items>
    </pivotField>
    <pivotField name="CANTIDA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PRODUCTO" axis="axisCol" compact="0" outline="0" multipleItemSelectionAllowed="1" showAll="0" sortType="ascending">
      <items>
        <item x="33"/>
        <item x="14"/>
        <item x="78"/>
        <item x="83"/>
        <item x="77"/>
        <item x="79"/>
        <item x="13"/>
        <item x="57"/>
        <item x="39"/>
        <item x="36"/>
        <item x="19"/>
        <item x="38"/>
        <item x="37"/>
        <item x="58"/>
        <item x="67"/>
        <item x="15"/>
        <item x="20"/>
        <item x="76"/>
        <item x="74"/>
        <item x="63"/>
        <item x="75"/>
        <item x="80"/>
        <item x="61"/>
        <item x="21"/>
        <item x="41"/>
        <item x="40"/>
        <item x="35"/>
        <item x="69"/>
        <item x="49"/>
        <item x="8"/>
        <item x="71"/>
        <item x="0"/>
        <item x="31"/>
        <item x="48"/>
        <item x="42"/>
        <item x="18"/>
        <item x="65"/>
        <item x="56"/>
        <item x="3"/>
        <item x="68"/>
        <item x="16"/>
        <item x="82"/>
        <item x="1"/>
        <item x="66"/>
        <item x="2"/>
        <item x="28"/>
        <item x="50"/>
        <item x="23"/>
        <item x="11"/>
        <item x="54"/>
        <item x="46"/>
        <item x="29"/>
        <item x="55"/>
        <item x="43"/>
        <item x="47"/>
        <item x="59"/>
        <item x="9"/>
        <item x="4"/>
        <item x="6"/>
        <item x="12"/>
        <item x="22"/>
        <item x="32"/>
        <item x="51"/>
        <item x="53"/>
        <item x="44"/>
        <item x="52"/>
        <item x="60"/>
        <item x="34"/>
        <item x="26"/>
        <item x="72"/>
        <item x="5"/>
        <item x="17"/>
        <item x="45"/>
        <item x="7"/>
        <item x="10"/>
        <item x="62"/>
        <item x="64"/>
        <item x="73"/>
        <item x="30"/>
        <item x="24"/>
        <item x="81"/>
        <item x="27"/>
        <item x="25"/>
        <item x="70"/>
        <item t="default"/>
      </items>
    </pivotField>
    <pivotField name="COMENTARIOS &#10;(SI ES REGALO, HORA DE ENTREGA ESPECIFICA, MARCADO X ALGO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t="default"/>
      </items>
    </pivotField>
    <pivotField name="METODO DE PAG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 DOMICILIO " compact="0" outline="0" multipleItemSelectionAllowed="1" showAll="0">
      <items>
        <item x="0"/>
        <item x="1"/>
        <item x="2"/>
        <item t="default"/>
      </items>
    </pivotField>
    <pivotField name=" DOMICILIARIO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 DOMICILIO COBRO A CLIENTE " compact="0" numFmtId="168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PRECIO TOT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t="default"/>
      </items>
    </pivotField>
    <pivotField name=" PAGO DOMICILIO REAL " compact="0" numFmtId="168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t="default"/>
      </items>
    </pivotField>
    <pivotField name=" FACTURA ELECTRONICA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t="default"/>
      </items>
    </pivotField>
    <pivotField name="ENTREGADO" axis="axisPage" compact="0" outline="0" multipleItemSelectionAllowed="1" showAll="0">
      <items>
        <item h="1" x="0"/>
        <item x="1"/>
        <item x="2"/>
        <item t="default"/>
      </items>
    </pivotField>
    <pivotField name="TRASLADADO" compact="0" outline="0" multipleItemSelectionAllowed="1" showAll="0">
      <items>
        <item x="0"/>
        <item x="1"/>
        <item t="default"/>
      </items>
    </pivotField>
  </pivotFields>
  <rowFields>
    <field x="0"/>
  </rowFields>
  <colFields>
    <field x="3"/>
  </colFields>
  <pageFields>
    <pageField fld="1"/>
    <pageField fld="12"/>
  </pageFields>
  <dataFields>
    <dataField name="SUM of CANTIDAD" fld="2" baseField="0"/>
  </dataFields>
</pivotTableDefinition>
</file>

<file path=xl/tables/table1.xml><?xml version="1.0" encoding="utf-8"?>
<table xmlns="http://schemas.openxmlformats.org/spreadsheetml/2006/main" ref="A1:I1077" displayName="RESTAURANTES" name="RESTAURANTES" id="1">
  <autoFilter ref="$A$1:$I$1077">
    <filterColumn colId="3">
      <filters blank="1">
        <filter val="ACTIVO"/>
      </filters>
    </filterColumn>
  </autoFilter>
  <tableColumns count="9">
    <tableColumn name="0" id="1"/>
    <tableColumn name="DESCUENTO" id="2"/>
    <tableColumn name="RAZON SOCIAL" id="3"/>
    <tableColumn name="ACTIVO" id="4"/>
    <tableColumn name="PRODUCTO" id="5"/>
    <tableColumn name="DOMICILIO" id="6"/>
    <tableColumn name="OBSERVACIONES" id="7"/>
    <tableColumn name="MARCACION" id="8"/>
    <tableColumn name="CRÉDITO" id="9"/>
  </tableColumns>
  <tableStyleInfo name="RESTAURANTESDESCUENTOS 2026-style" showColumnStripes="0" showFirstColumn="1" showLastColumn="1" showRowStripes="1"/>
</table>
</file>

<file path=xl/tables/table2.xml><?xml version="1.0" encoding="utf-8"?>
<table xmlns="http://schemas.openxmlformats.org/spreadsheetml/2006/main" ref="A1:E569" displayName="INVENTARIO_DIARIO_PT" name="INVENTARIO_DIARIO_PT" id="2">
  <autoFilter ref="$A$1:$E$569"/>
  <tableColumns count="5">
    <tableColumn name="FECHA" id="1"/>
    <tableColumn name="CANTIDAD" id="2"/>
    <tableColumn name="PRODUCTO" id="3"/>
    <tableColumn name="COMENTARIOS " id="4"/>
    <tableColumn name="REVISADO" id="5"/>
  </tableColumns>
  <tableStyleInfo name="INVENTARIO DIARIO PT-style" showColumnStripes="0" showFirstColumn="1" showLastColumn="1" showRowStripes="1"/>
</table>
</file>

<file path=xl/tables/table3.xml><?xml version="1.0" encoding="utf-8"?>
<table xmlns="http://schemas.openxmlformats.org/spreadsheetml/2006/main" ref="A1:E478" displayName="PRODUCCION" name="PRODUCCION" id="3">
  <tableColumns count="5">
    <tableColumn name="FECHA" id="1"/>
    <tableColumn name="CANTIDAD" id="2"/>
    <tableColumn name="PRODUCTO" id="3"/>
    <tableColumn name="COMENTARIOS " id="4"/>
    <tableColumn name="INGRESADO" id="5"/>
  </tableColumns>
  <tableStyleInfo name="PRODUCCION-style" showColumnStripes="0" showFirstColumn="1" showLastColumn="1" showRowStripes="1"/>
</table>
</file>

<file path=xl/tables/table4.xml><?xml version="1.0" encoding="utf-8"?>
<table xmlns="http://schemas.openxmlformats.org/spreadsheetml/2006/main" ref="A1:E269" displayName="TRASLADOS" name="TRASLADOS" id="4">
  <autoFilter ref="$A$1:$E$269"/>
  <tableColumns count="5">
    <tableColumn name="FECHA" id="1"/>
    <tableColumn name="CANTIDAD" id="2"/>
    <tableColumn name="PRODUCTO" id="3"/>
    <tableColumn name="COMENTARIOS " id="4"/>
    <tableColumn name="INGRESADO" id="5"/>
  </tableColumns>
  <tableStyleInfo name="TRASLADOS BODEGAS-style" showColumnStripes="0" showFirstColumn="1" showLastColumn="1" showRowStripes="1"/>
</table>
</file>

<file path=xl/tables/table5.xml><?xml version="1.0" encoding="utf-8"?>
<table xmlns="http://schemas.openxmlformats.org/spreadsheetml/2006/main" ref="A1:N5168" displayName="Tabla_1" name="Tabla_1" id="5">
  <autoFilter ref="$A$1:$N$5168">
    <filterColumn colId="1">
      <filters>
        <filter val="18/4/2026"/>
      </filters>
    </filterColumn>
  </autoFilter>
  <tableColumns count="14">
    <tableColumn name="CLIENTE" id="1"/>
    <tableColumn name="FECHA DE ENTREGA" id="2"/>
    <tableColumn name="CANTIDAD" id="3"/>
    <tableColumn name="PRODUCTO" id="4"/>
    <tableColumn name="COMENTARIOS _x000a_(SI ES REGALO, HORA DE ENTREGA ESPECIFICA, MARCADO X ALGO)" id="5"/>
    <tableColumn name="METODO DE PAGO" id="6"/>
    <tableColumn name="DOMICILIO" id="7"/>
    <tableColumn name="DOMICILIARIO" id="8"/>
    <tableColumn name="DOMICILIO COBRO A CLIENTE" id="9"/>
    <tableColumn name="PRECIO TOTAL" id="10"/>
    <tableColumn name="PAGO DOMICILIO REAL" id="11"/>
    <tableColumn name="FACTURA ELECTRONICA" id="12"/>
    <tableColumn name="ENTREGADO" id="13"/>
    <tableColumn name="TRASLADADO" id="14"/>
  </tableColumns>
  <tableStyleInfo name="PEDIDO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5"/>
    <col customWidth="1" min="2" max="2" width="19.0"/>
    <col customWidth="1" min="3" max="3" width="32.25"/>
    <col customWidth="1" min="4" max="4" width="28.25"/>
    <col customWidth="1" min="5" max="5" width="28.38"/>
    <col customWidth="1" min="7" max="7" width="26.38"/>
    <col customWidth="1" min="8" max="8" width="15.25"/>
    <col customWidth="1" min="9" max="9" width="12.88"/>
  </cols>
  <sheetData>
    <row r="1" ht="22.5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6" t="s">
        <v>6</v>
      </c>
      <c r="H1" s="6" t="s">
        <v>7</v>
      </c>
      <c r="I1" s="5" t="s">
        <v>8</v>
      </c>
      <c r="J1" s="7" t="s">
        <v>9</v>
      </c>
    </row>
    <row r="2" ht="22.5" customHeight="1">
      <c r="A2" s="8" t="s">
        <v>10</v>
      </c>
      <c r="B2" s="9">
        <v>0.25</v>
      </c>
      <c r="C2" s="10" t="s">
        <v>11</v>
      </c>
      <c r="D2" s="11" t="s">
        <v>3</v>
      </c>
      <c r="E2" s="12" t="s">
        <v>12</v>
      </c>
      <c r="F2" s="13" t="s">
        <v>13</v>
      </c>
      <c r="G2" s="14"/>
      <c r="H2" s="14" t="s">
        <v>14</v>
      </c>
      <c r="I2" s="12" t="s">
        <v>15</v>
      </c>
      <c r="J2" s="15" t="s">
        <v>16</v>
      </c>
    </row>
    <row r="3" ht="22.5" customHeight="1">
      <c r="A3" s="8" t="s">
        <v>17</v>
      </c>
      <c r="B3" s="9">
        <v>0.25</v>
      </c>
      <c r="C3" s="16" t="s">
        <v>18</v>
      </c>
      <c r="D3" s="12" t="s">
        <v>3</v>
      </c>
      <c r="E3" s="12" t="s">
        <v>12</v>
      </c>
      <c r="F3" s="17">
        <v>10000.0</v>
      </c>
      <c r="G3" s="18"/>
      <c r="H3" s="14" t="s">
        <v>14</v>
      </c>
      <c r="I3" s="12" t="s">
        <v>19</v>
      </c>
      <c r="J3" s="15" t="s">
        <v>20</v>
      </c>
    </row>
    <row r="4" ht="22.5" customHeight="1">
      <c r="A4" s="8" t="s">
        <v>21</v>
      </c>
      <c r="B4" s="9">
        <v>0.25</v>
      </c>
      <c r="C4" s="16" t="s">
        <v>18</v>
      </c>
      <c r="D4" s="12" t="s">
        <v>3</v>
      </c>
      <c r="E4" s="12" t="s">
        <v>12</v>
      </c>
      <c r="F4" s="17">
        <v>15000.0</v>
      </c>
      <c r="G4" s="18"/>
      <c r="H4" s="14" t="s">
        <v>14</v>
      </c>
      <c r="I4" s="12" t="s">
        <v>19</v>
      </c>
      <c r="J4" s="15" t="s">
        <v>22</v>
      </c>
    </row>
    <row r="5" ht="22.5" customHeight="1">
      <c r="A5" s="8" t="s">
        <v>23</v>
      </c>
      <c r="B5" s="9">
        <v>0.25</v>
      </c>
      <c r="C5" s="16" t="s">
        <v>18</v>
      </c>
      <c r="D5" s="12" t="s">
        <v>3</v>
      </c>
      <c r="E5" s="12" t="s">
        <v>12</v>
      </c>
      <c r="F5" s="17">
        <v>25000.0</v>
      </c>
      <c r="G5" s="18"/>
      <c r="H5" s="14" t="s">
        <v>14</v>
      </c>
      <c r="I5" s="12" t="s">
        <v>19</v>
      </c>
      <c r="J5" s="19" t="s">
        <v>24</v>
      </c>
    </row>
    <row r="6" ht="22.5" customHeight="1">
      <c r="A6" s="8" t="s">
        <v>25</v>
      </c>
      <c r="B6" s="9">
        <v>0.25</v>
      </c>
      <c r="C6" s="16" t="s">
        <v>26</v>
      </c>
      <c r="D6" s="12" t="s">
        <v>3</v>
      </c>
      <c r="E6" s="12" t="s">
        <v>12</v>
      </c>
      <c r="F6" s="18" t="s">
        <v>27</v>
      </c>
      <c r="G6" s="20"/>
      <c r="H6" s="21" t="s">
        <v>28</v>
      </c>
      <c r="I6" s="12" t="s">
        <v>19</v>
      </c>
      <c r="J6" s="15" t="s">
        <v>29</v>
      </c>
    </row>
    <row r="7" ht="22.5" customHeight="1">
      <c r="A7" s="8" t="s">
        <v>30</v>
      </c>
      <c r="B7" s="9">
        <v>0.25</v>
      </c>
      <c r="C7" s="16" t="s">
        <v>31</v>
      </c>
      <c r="D7" s="12" t="s">
        <v>3</v>
      </c>
      <c r="E7" s="12" t="s">
        <v>12</v>
      </c>
      <c r="F7" s="17">
        <v>25000.0</v>
      </c>
      <c r="G7" s="18"/>
      <c r="H7" s="14" t="s">
        <v>14</v>
      </c>
      <c r="I7" s="12" t="s">
        <v>19</v>
      </c>
      <c r="J7" s="15" t="s">
        <v>32</v>
      </c>
    </row>
    <row r="8" ht="22.5" hidden="1" customHeight="1">
      <c r="A8" s="8" t="s">
        <v>33</v>
      </c>
      <c r="B8" s="9">
        <v>0.25</v>
      </c>
      <c r="C8" s="16" t="s">
        <v>34</v>
      </c>
      <c r="D8" s="12" t="s">
        <v>35</v>
      </c>
      <c r="E8" s="12" t="s">
        <v>36</v>
      </c>
      <c r="F8" s="18" t="s">
        <v>27</v>
      </c>
      <c r="G8" s="20"/>
      <c r="H8" s="14" t="s">
        <v>14</v>
      </c>
      <c r="I8" s="12" t="s">
        <v>19</v>
      </c>
      <c r="J8" s="19" t="s">
        <v>37</v>
      </c>
    </row>
    <row r="9" ht="22.5" hidden="1" customHeight="1">
      <c r="A9" s="8" t="s">
        <v>38</v>
      </c>
      <c r="B9" s="9">
        <v>0.25</v>
      </c>
      <c r="C9" s="16" t="s">
        <v>39</v>
      </c>
      <c r="D9" s="12" t="s">
        <v>35</v>
      </c>
      <c r="E9" s="12" t="s">
        <v>36</v>
      </c>
      <c r="F9" s="18" t="s">
        <v>27</v>
      </c>
      <c r="G9" s="20"/>
      <c r="H9" s="14" t="s">
        <v>14</v>
      </c>
      <c r="I9" s="12" t="s">
        <v>19</v>
      </c>
      <c r="J9" s="15" t="s">
        <v>22</v>
      </c>
    </row>
    <row r="10" ht="22.5" hidden="1" customHeight="1">
      <c r="A10" s="8" t="s">
        <v>40</v>
      </c>
      <c r="B10" s="9">
        <v>0.25</v>
      </c>
      <c r="C10" s="16" t="s">
        <v>41</v>
      </c>
      <c r="D10" s="12" t="s">
        <v>35</v>
      </c>
      <c r="E10" s="12" t="s">
        <v>36</v>
      </c>
      <c r="F10" s="18" t="s">
        <v>27</v>
      </c>
      <c r="G10" s="20"/>
      <c r="H10" s="14" t="s">
        <v>14</v>
      </c>
      <c r="I10" s="12" t="s">
        <v>19</v>
      </c>
      <c r="J10" s="15" t="s">
        <v>42</v>
      </c>
    </row>
    <row r="11" ht="22.5" hidden="1" customHeight="1">
      <c r="A11" s="8" t="s">
        <v>43</v>
      </c>
      <c r="B11" s="9">
        <v>0.25</v>
      </c>
      <c r="C11" s="16" t="s">
        <v>44</v>
      </c>
      <c r="D11" s="12" t="s">
        <v>35</v>
      </c>
      <c r="E11" s="12" t="s">
        <v>36</v>
      </c>
      <c r="F11" s="18" t="s">
        <v>27</v>
      </c>
      <c r="G11" s="20"/>
      <c r="H11" s="14" t="s">
        <v>14</v>
      </c>
      <c r="I11" s="12" t="s">
        <v>19</v>
      </c>
      <c r="J11" s="15" t="s">
        <v>45</v>
      </c>
    </row>
    <row r="12" ht="22.5" hidden="1" customHeight="1">
      <c r="A12" s="8" t="s">
        <v>46</v>
      </c>
      <c r="B12" s="9">
        <v>0.25</v>
      </c>
      <c r="C12" s="16" t="s">
        <v>47</v>
      </c>
      <c r="D12" s="12" t="s">
        <v>35</v>
      </c>
      <c r="E12" s="12" t="s">
        <v>36</v>
      </c>
      <c r="F12" s="18" t="s">
        <v>27</v>
      </c>
      <c r="G12" s="20"/>
      <c r="H12" s="14" t="s">
        <v>14</v>
      </c>
      <c r="I12" s="12" t="s">
        <v>19</v>
      </c>
      <c r="J12" s="19" t="s">
        <v>48</v>
      </c>
    </row>
    <row r="13" ht="22.5" hidden="1" customHeight="1">
      <c r="A13" s="8" t="s">
        <v>49</v>
      </c>
      <c r="B13" s="9">
        <v>0.25</v>
      </c>
      <c r="C13" s="16" t="s">
        <v>50</v>
      </c>
      <c r="D13" s="12" t="s">
        <v>35</v>
      </c>
      <c r="E13" s="12" t="s">
        <v>36</v>
      </c>
      <c r="F13" s="18" t="s">
        <v>27</v>
      </c>
      <c r="G13" s="20"/>
      <c r="H13" s="14" t="s">
        <v>14</v>
      </c>
      <c r="I13" s="12" t="s">
        <v>19</v>
      </c>
      <c r="J13" s="19" t="s">
        <v>51</v>
      </c>
    </row>
    <row r="14" ht="22.5" hidden="1" customHeight="1">
      <c r="A14" s="8" t="s">
        <v>52</v>
      </c>
      <c r="B14" s="9">
        <v>0.25</v>
      </c>
      <c r="C14" s="16" t="s">
        <v>53</v>
      </c>
      <c r="D14" s="12" t="s">
        <v>35</v>
      </c>
      <c r="E14" s="12" t="s">
        <v>36</v>
      </c>
      <c r="F14" s="18" t="s">
        <v>27</v>
      </c>
      <c r="G14" s="20"/>
      <c r="H14" s="14" t="s">
        <v>14</v>
      </c>
      <c r="I14" s="12" t="s">
        <v>19</v>
      </c>
      <c r="J14" s="19" t="s">
        <v>54</v>
      </c>
    </row>
    <row r="15" ht="22.5" customHeight="1">
      <c r="A15" s="8" t="s">
        <v>55</v>
      </c>
      <c r="B15" s="9">
        <v>0.25</v>
      </c>
      <c r="C15" s="16" t="s">
        <v>56</v>
      </c>
      <c r="D15" s="12" t="s">
        <v>3</v>
      </c>
      <c r="E15" s="12" t="s">
        <v>12</v>
      </c>
      <c r="F15" s="17">
        <v>10000.0</v>
      </c>
      <c r="G15" s="22" t="s">
        <v>57</v>
      </c>
      <c r="H15" s="21" t="s">
        <v>28</v>
      </c>
      <c r="I15" s="12" t="s">
        <v>19</v>
      </c>
      <c r="J15" s="15" t="s">
        <v>58</v>
      </c>
    </row>
    <row r="16" ht="22.5" customHeight="1">
      <c r="A16" s="8" t="s">
        <v>59</v>
      </c>
      <c r="B16" s="9">
        <v>0.25</v>
      </c>
      <c r="C16" s="10" t="s">
        <v>60</v>
      </c>
      <c r="D16" s="12" t="s">
        <v>3</v>
      </c>
      <c r="E16" s="12" t="s">
        <v>12</v>
      </c>
      <c r="F16" s="18" t="s">
        <v>27</v>
      </c>
      <c r="G16" s="23" t="s">
        <v>61</v>
      </c>
      <c r="H16" s="14" t="s">
        <v>14</v>
      </c>
      <c r="I16" s="12" t="s">
        <v>19</v>
      </c>
      <c r="J16" s="15" t="s">
        <v>62</v>
      </c>
    </row>
    <row r="17" ht="22.5" customHeight="1">
      <c r="A17" s="8" t="s">
        <v>63</v>
      </c>
      <c r="B17" s="9">
        <v>0.25</v>
      </c>
      <c r="C17" s="10" t="s">
        <v>60</v>
      </c>
      <c r="D17" s="12" t="s">
        <v>3</v>
      </c>
      <c r="E17" s="12" t="s">
        <v>12</v>
      </c>
      <c r="F17" s="18" t="s">
        <v>27</v>
      </c>
      <c r="G17" s="23" t="s">
        <v>61</v>
      </c>
      <c r="H17" s="14" t="s">
        <v>14</v>
      </c>
      <c r="I17" s="12" t="s">
        <v>19</v>
      </c>
      <c r="J17" s="15" t="s">
        <v>64</v>
      </c>
    </row>
    <row r="18" ht="22.5" customHeight="1">
      <c r="A18" s="8" t="s">
        <v>65</v>
      </c>
      <c r="B18" s="9">
        <v>0.25</v>
      </c>
      <c r="C18" s="10" t="s">
        <v>60</v>
      </c>
      <c r="D18" s="12" t="s">
        <v>3</v>
      </c>
      <c r="E18" s="12" t="s">
        <v>12</v>
      </c>
      <c r="F18" s="18" t="s">
        <v>27</v>
      </c>
      <c r="G18" s="23" t="s">
        <v>61</v>
      </c>
      <c r="H18" s="14" t="s">
        <v>14</v>
      </c>
      <c r="I18" s="12" t="s">
        <v>19</v>
      </c>
      <c r="J18" s="15" t="s">
        <v>66</v>
      </c>
    </row>
    <row r="19" ht="22.5" customHeight="1">
      <c r="A19" s="8" t="s">
        <v>67</v>
      </c>
      <c r="B19" s="9">
        <v>0.25</v>
      </c>
      <c r="C19" s="10" t="s">
        <v>60</v>
      </c>
      <c r="D19" s="12" t="s">
        <v>3</v>
      </c>
      <c r="E19" s="12" t="s">
        <v>12</v>
      </c>
      <c r="F19" s="18" t="s">
        <v>27</v>
      </c>
      <c r="G19" s="23" t="s">
        <v>61</v>
      </c>
      <c r="H19" s="14" t="s">
        <v>14</v>
      </c>
      <c r="I19" s="12" t="s">
        <v>19</v>
      </c>
      <c r="J19" s="19" t="s">
        <v>68</v>
      </c>
    </row>
    <row r="20" ht="22.5" customHeight="1">
      <c r="A20" s="8" t="s">
        <v>69</v>
      </c>
      <c r="B20" s="9">
        <v>0.25</v>
      </c>
      <c r="C20" s="10" t="s">
        <v>60</v>
      </c>
      <c r="D20" s="12" t="s">
        <v>3</v>
      </c>
      <c r="E20" s="12" t="s">
        <v>12</v>
      </c>
      <c r="F20" s="18" t="s">
        <v>27</v>
      </c>
      <c r="G20" s="23" t="s">
        <v>61</v>
      </c>
      <c r="H20" s="14" t="s">
        <v>14</v>
      </c>
      <c r="I20" s="12" t="s">
        <v>19</v>
      </c>
      <c r="J20" s="15" t="s">
        <v>70</v>
      </c>
    </row>
    <row r="21" ht="22.5" customHeight="1">
      <c r="A21" s="8" t="s">
        <v>71</v>
      </c>
      <c r="B21" s="9">
        <v>0.25</v>
      </c>
      <c r="C21" s="10" t="s">
        <v>60</v>
      </c>
      <c r="D21" s="12" t="s">
        <v>3</v>
      </c>
      <c r="E21" s="12" t="s">
        <v>12</v>
      </c>
      <c r="F21" s="18" t="s">
        <v>27</v>
      </c>
      <c r="G21" s="23" t="s">
        <v>61</v>
      </c>
      <c r="H21" s="14" t="s">
        <v>14</v>
      </c>
      <c r="I21" s="12" t="s">
        <v>19</v>
      </c>
      <c r="J21" s="15" t="s">
        <v>72</v>
      </c>
    </row>
    <row r="22" ht="22.5" customHeight="1">
      <c r="A22" s="8" t="s">
        <v>73</v>
      </c>
      <c r="B22" s="9">
        <v>0.25</v>
      </c>
      <c r="C22" s="10" t="s">
        <v>74</v>
      </c>
      <c r="D22" s="11" t="s">
        <v>3</v>
      </c>
      <c r="E22" s="11" t="s">
        <v>12</v>
      </c>
      <c r="F22" s="18" t="s">
        <v>27</v>
      </c>
      <c r="G22" s="20" t="s">
        <v>75</v>
      </c>
      <c r="H22" s="21" t="s">
        <v>28</v>
      </c>
      <c r="I22" s="11" t="s">
        <v>76</v>
      </c>
      <c r="J22" s="15" t="s">
        <v>77</v>
      </c>
    </row>
    <row r="23" ht="22.5" customHeight="1">
      <c r="A23" s="8" t="s">
        <v>78</v>
      </c>
      <c r="B23" s="9">
        <v>0.25</v>
      </c>
      <c r="C23" s="10" t="s">
        <v>79</v>
      </c>
      <c r="D23" s="11" t="s">
        <v>3</v>
      </c>
      <c r="E23" s="11" t="s">
        <v>12</v>
      </c>
      <c r="F23" s="18" t="s">
        <v>27</v>
      </c>
      <c r="G23" s="20"/>
      <c r="H23" s="21" t="s">
        <v>28</v>
      </c>
      <c r="I23" s="11" t="s">
        <v>19</v>
      </c>
      <c r="J23" s="24"/>
    </row>
    <row r="24" ht="22.5" customHeight="1">
      <c r="A24" s="8" t="s">
        <v>80</v>
      </c>
      <c r="B24" s="25">
        <v>0.25</v>
      </c>
      <c r="C24" s="16" t="s">
        <v>81</v>
      </c>
      <c r="D24" s="11" t="s">
        <v>3</v>
      </c>
      <c r="E24" s="12" t="s">
        <v>12</v>
      </c>
      <c r="F24" s="18" t="s">
        <v>27</v>
      </c>
      <c r="G24" s="20"/>
      <c r="H24" s="14" t="s">
        <v>14</v>
      </c>
      <c r="I24" s="12" t="s">
        <v>19</v>
      </c>
      <c r="J24" s="24"/>
    </row>
    <row r="25" ht="22.5" customHeight="1">
      <c r="A25" s="8" t="s">
        <v>82</v>
      </c>
      <c r="B25" s="25">
        <v>0.25</v>
      </c>
      <c r="C25" s="16" t="s">
        <v>83</v>
      </c>
      <c r="D25" s="11" t="s">
        <v>3</v>
      </c>
      <c r="E25" s="12" t="s">
        <v>84</v>
      </c>
      <c r="F25" s="22" t="s">
        <v>85</v>
      </c>
      <c r="G25" s="23"/>
      <c r="H25" s="23"/>
      <c r="I25" s="12" t="s">
        <v>19</v>
      </c>
      <c r="J25" s="24"/>
    </row>
    <row r="26" ht="22.5" customHeight="1">
      <c r="A26" s="8" t="s">
        <v>86</v>
      </c>
      <c r="B26" s="25">
        <v>0.25</v>
      </c>
      <c r="C26" s="16" t="s">
        <v>87</v>
      </c>
      <c r="D26" s="12" t="s">
        <v>3</v>
      </c>
      <c r="E26" s="12" t="s">
        <v>36</v>
      </c>
      <c r="F26" s="18" t="s">
        <v>27</v>
      </c>
      <c r="G26" s="20"/>
      <c r="H26" s="21" t="s">
        <v>14</v>
      </c>
      <c r="I26" s="12" t="s">
        <v>19</v>
      </c>
      <c r="J26" s="15" t="s">
        <v>22</v>
      </c>
    </row>
    <row r="27" ht="22.5" customHeight="1">
      <c r="A27" s="8" t="s">
        <v>88</v>
      </c>
      <c r="B27" s="25">
        <v>0.25</v>
      </c>
      <c r="C27" s="16" t="s">
        <v>89</v>
      </c>
      <c r="D27" s="12" t="s">
        <v>3</v>
      </c>
      <c r="E27" s="12" t="s">
        <v>36</v>
      </c>
      <c r="F27" s="17">
        <v>10000.0</v>
      </c>
      <c r="G27" s="18" t="s">
        <v>90</v>
      </c>
      <c r="H27" s="21" t="s">
        <v>14</v>
      </c>
      <c r="I27" s="12" t="s">
        <v>19</v>
      </c>
      <c r="J27" s="15" t="s">
        <v>91</v>
      </c>
    </row>
    <row r="28" ht="22.5" customHeight="1">
      <c r="A28" s="8" t="s">
        <v>92</v>
      </c>
      <c r="B28" s="25">
        <v>0.3</v>
      </c>
      <c r="C28" s="16" t="s">
        <v>93</v>
      </c>
      <c r="D28" s="12" t="s">
        <v>3</v>
      </c>
      <c r="E28" s="12" t="s">
        <v>12</v>
      </c>
      <c r="F28" s="17">
        <v>5000.0</v>
      </c>
      <c r="G28" s="23" t="s">
        <v>94</v>
      </c>
      <c r="H28" s="14" t="s">
        <v>14</v>
      </c>
      <c r="I28" s="12" t="s">
        <v>19</v>
      </c>
      <c r="J28" s="15" t="s">
        <v>95</v>
      </c>
    </row>
    <row r="29" ht="22.5" customHeight="1">
      <c r="A29" s="26" t="s">
        <v>96</v>
      </c>
      <c r="B29" s="25">
        <v>0.3</v>
      </c>
      <c r="C29" s="16" t="s">
        <v>97</v>
      </c>
      <c r="D29" s="12" t="s">
        <v>3</v>
      </c>
      <c r="E29" s="12" t="s">
        <v>12</v>
      </c>
      <c r="F29" s="17">
        <v>5000.0</v>
      </c>
      <c r="G29" s="18"/>
      <c r="H29" s="21" t="s">
        <v>14</v>
      </c>
      <c r="I29" s="12" t="s">
        <v>19</v>
      </c>
      <c r="J29" s="15" t="s">
        <v>98</v>
      </c>
    </row>
    <row r="30" ht="22.5" customHeight="1">
      <c r="A30" s="8" t="s">
        <v>99</v>
      </c>
      <c r="B30" s="25">
        <v>0.3</v>
      </c>
      <c r="C30" s="16" t="s">
        <v>100</v>
      </c>
      <c r="D30" s="12" t="s">
        <v>3</v>
      </c>
      <c r="E30" s="12" t="s">
        <v>12</v>
      </c>
      <c r="F30" s="17">
        <v>5000.0</v>
      </c>
      <c r="G30" s="18" t="s">
        <v>101</v>
      </c>
      <c r="H30" s="21" t="s">
        <v>14</v>
      </c>
      <c r="I30" s="12" t="s">
        <v>19</v>
      </c>
      <c r="J30" s="27" t="s">
        <v>102</v>
      </c>
    </row>
    <row r="31" ht="22.5" customHeight="1">
      <c r="A31" s="8" t="s">
        <v>103</v>
      </c>
      <c r="B31" s="25">
        <v>0.3</v>
      </c>
      <c r="C31" s="16" t="s">
        <v>104</v>
      </c>
      <c r="D31" s="12" t="s">
        <v>3</v>
      </c>
      <c r="E31" s="12" t="s">
        <v>12</v>
      </c>
      <c r="F31" s="17">
        <v>10000.0</v>
      </c>
      <c r="G31" s="18"/>
      <c r="H31" s="21" t="s">
        <v>28</v>
      </c>
      <c r="I31" s="12" t="s">
        <v>15</v>
      </c>
      <c r="J31" s="15" t="s">
        <v>105</v>
      </c>
    </row>
    <row r="32" ht="22.5" customHeight="1">
      <c r="A32" s="8" t="s">
        <v>106</v>
      </c>
      <c r="B32" s="28">
        <v>0.3525</v>
      </c>
      <c r="C32" s="10" t="s">
        <v>107</v>
      </c>
      <c r="D32" s="12" t="s">
        <v>3</v>
      </c>
      <c r="E32" s="12" t="s">
        <v>12</v>
      </c>
      <c r="F32" s="17">
        <v>8000.0</v>
      </c>
      <c r="G32" s="18"/>
      <c r="H32" s="21" t="s">
        <v>14</v>
      </c>
      <c r="I32" s="12" t="s">
        <v>19</v>
      </c>
      <c r="J32" s="15" t="s">
        <v>108</v>
      </c>
    </row>
    <row r="33" ht="22.5" customHeight="1">
      <c r="A33" s="8" t="s">
        <v>109</v>
      </c>
      <c r="B33" s="29"/>
      <c r="C33" s="16" t="s">
        <v>110</v>
      </c>
      <c r="D33" s="12" t="s">
        <v>3</v>
      </c>
      <c r="E33" s="12" t="s">
        <v>111</v>
      </c>
      <c r="F33" s="30"/>
      <c r="G33" s="22" t="s">
        <v>112</v>
      </c>
      <c r="H33" s="31"/>
      <c r="I33" s="12" t="s">
        <v>76</v>
      </c>
      <c r="J33" s="32" t="s">
        <v>113</v>
      </c>
    </row>
    <row r="34" ht="22.5" customHeight="1">
      <c r="A34" s="8" t="s">
        <v>109</v>
      </c>
      <c r="B34" s="29"/>
      <c r="C34" s="16" t="s">
        <v>110</v>
      </c>
      <c r="D34" s="12" t="s">
        <v>3</v>
      </c>
      <c r="E34" s="12" t="s">
        <v>114</v>
      </c>
      <c r="F34" s="18" t="s">
        <v>27</v>
      </c>
      <c r="G34" s="22" t="s">
        <v>112</v>
      </c>
      <c r="H34" s="31"/>
      <c r="I34" s="12" t="s">
        <v>76</v>
      </c>
      <c r="J34" s="33"/>
    </row>
    <row r="35" ht="22.5" customHeight="1">
      <c r="A35" s="8" t="s">
        <v>109</v>
      </c>
      <c r="B35" s="29"/>
      <c r="C35" s="34" t="s">
        <v>110</v>
      </c>
      <c r="D35" s="35" t="s">
        <v>3</v>
      </c>
      <c r="E35" s="12" t="s">
        <v>115</v>
      </c>
      <c r="F35" s="30"/>
      <c r="G35" s="22" t="s">
        <v>112</v>
      </c>
      <c r="H35" s="31"/>
      <c r="I35" s="12" t="s">
        <v>76</v>
      </c>
      <c r="J35" s="36"/>
    </row>
    <row r="36" ht="22.5" customHeight="1">
      <c r="A36" s="8" t="s">
        <v>116</v>
      </c>
      <c r="B36" s="29"/>
      <c r="C36" s="16" t="s">
        <v>110</v>
      </c>
      <c r="D36" s="12" t="s">
        <v>3</v>
      </c>
      <c r="E36" s="12" t="s">
        <v>111</v>
      </c>
      <c r="F36" s="30"/>
      <c r="G36" s="22" t="s">
        <v>117</v>
      </c>
      <c r="H36" s="31"/>
      <c r="I36" s="12" t="s">
        <v>76</v>
      </c>
      <c r="J36" s="32" t="s">
        <v>118</v>
      </c>
    </row>
    <row r="37" ht="22.5" customHeight="1">
      <c r="A37" s="8" t="s">
        <v>116</v>
      </c>
      <c r="B37" s="29"/>
      <c r="C37" s="16" t="s">
        <v>110</v>
      </c>
      <c r="D37" s="12" t="s">
        <v>3</v>
      </c>
      <c r="E37" s="12" t="s">
        <v>114</v>
      </c>
      <c r="F37" s="18" t="s">
        <v>27</v>
      </c>
      <c r="G37" s="22" t="s">
        <v>117</v>
      </c>
      <c r="H37" s="31"/>
      <c r="I37" s="12" t="s">
        <v>76</v>
      </c>
      <c r="J37" s="33"/>
    </row>
    <row r="38" ht="22.5" customHeight="1">
      <c r="A38" s="8" t="s">
        <v>116</v>
      </c>
      <c r="B38" s="29"/>
      <c r="C38" s="34" t="s">
        <v>110</v>
      </c>
      <c r="D38" s="35" t="s">
        <v>3</v>
      </c>
      <c r="E38" s="12" t="s">
        <v>115</v>
      </c>
      <c r="F38" s="30"/>
      <c r="G38" s="22" t="s">
        <v>117</v>
      </c>
      <c r="H38" s="31"/>
      <c r="I38" s="12" t="s">
        <v>76</v>
      </c>
      <c r="J38" s="36"/>
    </row>
    <row r="39" ht="22.5" customHeight="1">
      <c r="A39" s="8" t="s">
        <v>119</v>
      </c>
      <c r="B39" s="29"/>
      <c r="C39" s="34" t="s">
        <v>110</v>
      </c>
      <c r="D39" s="37" t="s">
        <v>3</v>
      </c>
      <c r="E39" s="12" t="s">
        <v>111</v>
      </c>
      <c r="F39" s="30"/>
      <c r="G39" s="22" t="s">
        <v>120</v>
      </c>
      <c r="H39" s="31"/>
      <c r="I39" s="12" t="s">
        <v>76</v>
      </c>
      <c r="J39" s="38" t="s">
        <v>121</v>
      </c>
    </row>
    <row r="40" ht="22.5" customHeight="1">
      <c r="A40" s="8" t="s">
        <v>119</v>
      </c>
      <c r="B40" s="29"/>
      <c r="C40" s="34" t="s">
        <v>110</v>
      </c>
      <c r="D40" s="37" t="s">
        <v>3</v>
      </c>
      <c r="E40" s="12" t="s">
        <v>114</v>
      </c>
      <c r="F40" s="30"/>
      <c r="G40" s="22" t="s">
        <v>122</v>
      </c>
      <c r="H40" s="31"/>
      <c r="I40" s="12" t="s">
        <v>76</v>
      </c>
      <c r="J40" s="33"/>
    </row>
    <row r="41" ht="22.5" customHeight="1">
      <c r="A41" s="8" t="s">
        <v>119</v>
      </c>
      <c r="B41" s="29"/>
      <c r="C41" s="34" t="s">
        <v>110</v>
      </c>
      <c r="D41" s="35" t="s">
        <v>3</v>
      </c>
      <c r="E41" s="12" t="s">
        <v>115</v>
      </c>
      <c r="F41" s="17">
        <v>298000.0</v>
      </c>
      <c r="G41" s="22" t="s">
        <v>120</v>
      </c>
      <c r="H41" s="31"/>
      <c r="I41" s="12" t="s">
        <v>76</v>
      </c>
      <c r="J41" s="36"/>
    </row>
    <row r="42" ht="22.5" customHeight="1">
      <c r="A42" s="26" t="s">
        <v>123</v>
      </c>
      <c r="B42" s="29"/>
      <c r="C42" s="34" t="s">
        <v>110</v>
      </c>
      <c r="D42" s="11" t="s">
        <v>3</v>
      </c>
      <c r="E42" s="12" t="s">
        <v>124</v>
      </c>
      <c r="F42" s="17"/>
      <c r="G42" s="31"/>
      <c r="H42" s="21"/>
      <c r="I42" s="12" t="s">
        <v>76</v>
      </c>
      <c r="J42" s="32" t="s">
        <v>125</v>
      </c>
    </row>
    <row r="43" ht="22.5" customHeight="1">
      <c r="A43" s="26" t="s">
        <v>123</v>
      </c>
      <c r="B43" s="29"/>
      <c r="C43" s="34" t="s">
        <v>110</v>
      </c>
      <c r="D43" s="11" t="s">
        <v>3</v>
      </c>
      <c r="E43" s="12" t="s">
        <v>126</v>
      </c>
      <c r="F43" s="17"/>
      <c r="G43" s="31"/>
      <c r="H43" s="21"/>
      <c r="I43" s="12" t="s">
        <v>76</v>
      </c>
      <c r="J43" s="33"/>
    </row>
    <row r="44" ht="22.5" customHeight="1">
      <c r="A44" s="26" t="s">
        <v>123</v>
      </c>
      <c r="B44" s="25"/>
      <c r="C44" s="34" t="s">
        <v>110</v>
      </c>
      <c r="D44" s="11" t="s">
        <v>3</v>
      </c>
      <c r="E44" s="12" t="s">
        <v>127</v>
      </c>
      <c r="F44" s="17"/>
      <c r="G44" s="31"/>
      <c r="H44" s="21"/>
      <c r="I44" s="12" t="s">
        <v>76</v>
      </c>
      <c r="J44" s="36"/>
    </row>
    <row r="45" ht="22.5" customHeight="1">
      <c r="A45" s="8" t="s">
        <v>128</v>
      </c>
      <c r="B45" s="25">
        <v>0.3</v>
      </c>
      <c r="C45" s="34" t="s">
        <v>129</v>
      </c>
      <c r="D45" s="11" t="s">
        <v>3</v>
      </c>
      <c r="E45" s="12" t="s">
        <v>12</v>
      </c>
      <c r="F45" s="17">
        <v>10000.0</v>
      </c>
      <c r="G45" s="31"/>
      <c r="H45" s="21" t="s">
        <v>14</v>
      </c>
      <c r="I45" s="12" t="s">
        <v>19</v>
      </c>
      <c r="J45" s="15" t="s">
        <v>130</v>
      </c>
    </row>
    <row r="46" ht="22.5" customHeight="1">
      <c r="A46" s="39" t="s">
        <v>131</v>
      </c>
      <c r="B46" s="25">
        <v>0.3</v>
      </c>
      <c r="C46" s="34" t="s">
        <v>132</v>
      </c>
      <c r="D46" s="40" t="s">
        <v>3</v>
      </c>
      <c r="E46" s="41" t="s">
        <v>12</v>
      </c>
      <c r="F46" s="17">
        <v>5000.0</v>
      </c>
      <c r="G46" s="31"/>
      <c r="H46" s="21" t="s">
        <v>14</v>
      </c>
      <c r="I46" s="12" t="s">
        <v>19</v>
      </c>
      <c r="J46" s="15" t="s">
        <v>133</v>
      </c>
    </row>
    <row r="47" ht="22.5" customHeight="1">
      <c r="A47" s="8" t="s">
        <v>134</v>
      </c>
      <c r="B47" s="25">
        <v>0.3</v>
      </c>
      <c r="C47" s="10" t="s">
        <v>135</v>
      </c>
      <c r="D47" s="11" t="s">
        <v>3</v>
      </c>
      <c r="E47" s="12" t="s">
        <v>136</v>
      </c>
      <c r="F47" s="17">
        <v>5000.0</v>
      </c>
      <c r="G47" s="31"/>
      <c r="H47" s="31" t="s">
        <v>14</v>
      </c>
      <c r="I47" s="12" t="s">
        <v>19</v>
      </c>
      <c r="J47" s="42"/>
    </row>
    <row r="48" ht="22.5" customHeight="1">
      <c r="A48" s="39"/>
      <c r="B48" s="29"/>
      <c r="D48" s="43"/>
      <c r="E48" s="41"/>
      <c r="F48" s="30"/>
      <c r="G48" s="31"/>
      <c r="H48" s="31"/>
      <c r="I48" s="41"/>
      <c r="J48" s="42"/>
    </row>
    <row r="49" ht="22.5" customHeight="1">
      <c r="A49" s="39"/>
      <c r="B49" s="29"/>
      <c r="C49" s="16"/>
      <c r="D49" s="41"/>
      <c r="E49" s="41"/>
      <c r="F49" s="30"/>
      <c r="G49" s="31"/>
      <c r="H49" s="31"/>
      <c r="I49" s="41"/>
      <c r="J49" s="42"/>
    </row>
    <row r="50" ht="22.5" customHeight="1">
      <c r="A50" s="39"/>
      <c r="B50" s="29"/>
      <c r="C50" s="16"/>
      <c r="D50" s="41"/>
      <c r="E50" s="41"/>
      <c r="F50" s="30"/>
      <c r="G50" s="31"/>
      <c r="H50" s="31"/>
      <c r="I50" s="41"/>
      <c r="J50" s="42"/>
    </row>
    <row r="51" ht="22.5" hidden="1" customHeight="1">
      <c r="A51" s="8" t="s">
        <v>137</v>
      </c>
      <c r="B51" s="29"/>
      <c r="C51" s="44"/>
      <c r="D51" s="45" t="s">
        <v>138</v>
      </c>
      <c r="E51" s="41"/>
      <c r="F51" s="30"/>
      <c r="G51" s="31"/>
      <c r="H51" s="31"/>
      <c r="I51" s="41"/>
      <c r="J51" s="42"/>
    </row>
    <row r="52" ht="22.5" hidden="1" customHeight="1">
      <c r="A52" s="8" t="s">
        <v>139</v>
      </c>
      <c r="B52" s="29"/>
      <c r="C52" s="16"/>
      <c r="D52" s="12" t="s">
        <v>138</v>
      </c>
      <c r="E52" s="41"/>
      <c r="F52" s="30"/>
      <c r="G52" s="31"/>
      <c r="H52" s="31"/>
      <c r="I52" s="41"/>
      <c r="J52" s="42"/>
    </row>
    <row r="53" ht="22.5" hidden="1" customHeight="1">
      <c r="A53" s="8" t="s">
        <v>140</v>
      </c>
      <c r="B53" s="29"/>
      <c r="C53" s="16"/>
      <c r="D53" s="12" t="s">
        <v>138</v>
      </c>
      <c r="E53" s="41"/>
      <c r="F53" s="30"/>
      <c r="G53" s="31"/>
      <c r="H53" s="31"/>
      <c r="I53" s="41"/>
      <c r="J53" s="42"/>
    </row>
    <row r="54" ht="22.5" hidden="1" customHeight="1">
      <c r="A54" s="8" t="s">
        <v>141</v>
      </c>
      <c r="B54" s="29"/>
      <c r="C54" s="16"/>
      <c r="D54" s="12" t="s">
        <v>138</v>
      </c>
      <c r="E54" s="41"/>
      <c r="F54" s="30"/>
      <c r="G54" s="31"/>
      <c r="H54" s="31"/>
      <c r="I54" s="41"/>
      <c r="J54" s="42"/>
    </row>
    <row r="55" ht="22.5" customHeight="1">
      <c r="A55" s="39"/>
      <c r="B55" s="29"/>
      <c r="C55" s="16"/>
      <c r="D55" s="41"/>
      <c r="E55" s="41"/>
      <c r="F55" s="30"/>
      <c r="G55" s="31"/>
      <c r="H55" s="31"/>
      <c r="I55" s="41"/>
      <c r="J55" s="42"/>
    </row>
    <row r="56" ht="22.5" customHeight="1">
      <c r="A56" s="8" t="s">
        <v>142</v>
      </c>
      <c r="B56" s="25">
        <v>0.25</v>
      </c>
      <c r="C56" s="16">
        <v>1.001013801E9</v>
      </c>
      <c r="D56" s="41"/>
      <c r="E56" s="41"/>
      <c r="F56" s="30"/>
      <c r="G56" s="31"/>
      <c r="H56" s="31"/>
      <c r="I56" s="41"/>
      <c r="J56" s="42"/>
    </row>
    <row r="57" ht="22.5" customHeight="1">
      <c r="A57" s="8" t="s">
        <v>143</v>
      </c>
      <c r="B57" s="9">
        <v>0.25</v>
      </c>
      <c r="C57" s="16">
        <v>1.000547706E9</v>
      </c>
      <c r="D57" s="41"/>
      <c r="E57" s="41"/>
      <c r="F57" s="30"/>
      <c r="G57" s="31"/>
      <c r="H57" s="31"/>
      <c r="I57" s="41"/>
      <c r="J57" s="42"/>
    </row>
    <row r="58" ht="22.5" customHeight="1">
      <c r="A58" s="8" t="s">
        <v>144</v>
      </c>
      <c r="B58" s="9">
        <v>0.25</v>
      </c>
      <c r="C58" s="16"/>
      <c r="D58" s="41"/>
      <c r="E58" s="41"/>
      <c r="F58" s="30"/>
      <c r="G58" s="31"/>
      <c r="H58" s="31"/>
      <c r="I58" s="41"/>
      <c r="J58" s="42"/>
    </row>
    <row r="59" ht="22.5" customHeight="1">
      <c r="A59" s="8" t="s">
        <v>145</v>
      </c>
      <c r="B59" s="9">
        <v>0.25</v>
      </c>
      <c r="C59" s="16"/>
      <c r="D59" s="41"/>
      <c r="E59" s="41"/>
      <c r="F59" s="30"/>
      <c r="G59" s="31"/>
      <c r="H59" s="31"/>
      <c r="I59" s="41"/>
      <c r="J59" s="42"/>
    </row>
    <row r="60" ht="22.5" customHeight="1">
      <c r="A60" s="8" t="s">
        <v>146</v>
      </c>
      <c r="B60" s="9">
        <v>0.25</v>
      </c>
      <c r="C60" s="16"/>
      <c r="D60" s="41"/>
      <c r="E60" s="41"/>
      <c r="F60" s="30"/>
      <c r="G60" s="31"/>
      <c r="H60" s="31"/>
      <c r="I60" s="41"/>
      <c r="J60" s="42"/>
    </row>
    <row r="61" ht="22.5" customHeight="1">
      <c r="A61" s="8" t="s">
        <v>147</v>
      </c>
      <c r="B61" s="9">
        <v>0.25</v>
      </c>
      <c r="C61" s="16"/>
      <c r="D61" s="41"/>
      <c r="E61" s="41"/>
      <c r="F61" s="30"/>
      <c r="G61" s="31"/>
      <c r="H61" s="31"/>
      <c r="I61" s="41"/>
      <c r="J61" s="42"/>
    </row>
    <row r="62" ht="22.5" customHeight="1">
      <c r="A62" s="8" t="s">
        <v>148</v>
      </c>
      <c r="B62" s="9">
        <v>0.25</v>
      </c>
      <c r="C62" s="16"/>
      <c r="D62" s="41"/>
      <c r="E62" s="41"/>
      <c r="F62" s="30"/>
      <c r="G62" s="31"/>
      <c r="H62" s="31"/>
      <c r="I62" s="41"/>
      <c r="J62" s="42"/>
    </row>
    <row r="63" ht="22.5" customHeight="1">
      <c r="A63" s="8" t="s">
        <v>149</v>
      </c>
      <c r="B63" s="9">
        <v>0.25</v>
      </c>
      <c r="C63" s="16"/>
      <c r="D63" s="41"/>
      <c r="E63" s="41"/>
      <c r="F63" s="30"/>
      <c r="G63" s="31"/>
      <c r="H63" s="31"/>
      <c r="I63" s="41"/>
      <c r="J63" s="42"/>
    </row>
    <row r="64" ht="22.5" customHeight="1">
      <c r="A64" s="8" t="s">
        <v>150</v>
      </c>
      <c r="B64" s="9">
        <v>0.25</v>
      </c>
      <c r="C64" s="16"/>
      <c r="D64" s="41"/>
      <c r="E64" s="41"/>
      <c r="F64" s="30"/>
      <c r="G64" s="31"/>
      <c r="H64" s="31"/>
      <c r="I64" s="41"/>
      <c r="J64" s="42"/>
    </row>
    <row r="65" ht="22.5" customHeight="1">
      <c r="A65" s="8" t="s">
        <v>151</v>
      </c>
      <c r="B65" s="9">
        <v>0.25</v>
      </c>
      <c r="C65" s="16">
        <v>4.2885057E7</v>
      </c>
      <c r="D65" s="41"/>
      <c r="E65" s="41"/>
      <c r="F65" s="30"/>
      <c r="G65" s="31"/>
      <c r="H65" s="31"/>
      <c r="I65" s="41"/>
      <c r="J65" s="42"/>
    </row>
    <row r="66" ht="22.5" customHeight="1">
      <c r="A66" s="8" t="s">
        <v>152</v>
      </c>
      <c r="B66" s="9">
        <v>0.25</v>
      </c>
      <c r="C66" s="16"/>
      <c r="D66" s="41"/>
      <c r="E66" s="41"/>
      <c r="F66" s="30"/>
      <c r="G66" s="31"/>
      <c r="H66" s="31"/>
      <c r="I66" s="41"/>
      <c r="J66" s="42"/>
    </row>
    <row r="67" ht="22.5" customHeight="1">
      <c r="A67" s="8" t="s">
        <v>153</v>
      </c>
      <c r="B67" s="9">
        <v>0.25</v>
      </c>
      <c r="C67" s="16">
        <v>1.037653521E9</v>
      </c>
      <c r="D67" s="41"/>
      <c r="E67" s="41"/>
      <c r="F67" s="30"/>
      <c r="G67" s="31"/>
      <c r="H67" s="31"/>
      <c r="I67" s="41"/>
      <c r="J67" s="42"/>
    </row>
    <row r="68" ht="22.5" customHeight="1">
      <c r="A68" s="8" t="s">
        <v>154</v>
      </c>
      <c r="B68" s="9">
        <v>0.25</v>
      </c>
      <c r="C68" s="16">
        <v>1.017272942E9</v>
      </c>
      <c r="D68" s="41"/>
      <c r="E68" s="41"/>
      <c r="F68" s="30"/>
      <c r="G68" s="31"/>
      <c r="H68" s="31"/>
      <c r="I68" s="41"/>
      <c r="J68" s="42"/>
    </row>
    <row r="69" ht="22.5" customHeight="1">
      <c r="A69" s="8" t="s">
        <v>155</v>
      </c>
      <c r="B69" s="9">
        <v>0.25</v>
      </c>
      <c r="C69" s="16"/>
      <c r="D69" s="41"/>
      <c r="E69" s="41"/>
      <c r="F69" s="30"/>
      <c r="G69" s="31"/>
      <c r="H69" s="31"/>
      <c r="I69" s="41"/>
      <c r="J69" s="42"/>
    </row>
    <row r="70" ht="22.5" customHeight="1">
      <c r="A70" s="8" t="s">
        <v>156</v>
      </c>
      <c r="B70" s="9">
        <v>0.25</v>
      </c>
      <c r="C70" s="16"/>
      <c r="D70" s="41"/>
      <c r="E70" s="41"/>
      <c r="F70" s="30"/>
      <c r="G70" s="31"/>
      <c r="H70" s="31"/>
      <c r="I70" s="41"/>
      <c r="J70" s="42"/>
    </row>
    <row r="71" ht="22.5" customHeight="1">
      <c r="A71" s="8" t="s">
        <v>157</v>
      </c>
      <c r="B71" s="9">
        <v>0.25</v>
      </c>
      <c r="C71" s="16"/>
      <c r="D71" s="41"/>
      <c r="E71" s="41"/>
      <c r="F71" s="30"/>
      <c r="G71" s="31"/>
      <c r="H71" s="31"/>
      <c r="I71" s="41"/>
      <c r="J71" s="42"/>
    </row>
    <row r="72" ht="22.5" customHeight="1">
      <c r="A72" s="8" t="s">
        <v>158</v>
      </c>
      <c r="B72" s="9">
        <v>0.25</v>
      </c>
      <c r="C72" s="16"/>
      <c r="D72" s="41"/>
      <c r="E72" s="41"/>
      <c r="F72" s="30"/>
      <c r="G72" s="31"/>
      <c r="H72" s="31"/>
      <c r="I72" s="41"/>
      <c r="J72" s="42"/>
    </row>
    <row r="73" ht="22.5" customHeight="1">
      <c r="A73" s="8" t="s">
        <v>159</v>
      </c>
      <c r="B73" s="9">
        <v>0.25</v>
      </c>
      <c r="C73" s="16"/>
      <c r="D73" s="41"/>
      <c r="E73" s="41"/>
      <c r="F73" s="30"/>
      <c r="G73" s="31"/>
      <c r="H73" s="31"/>
      <c r="I73" s="41"/>
      <c r="J73" s="42"/>
    </row>
    <row r="74" ht="22.5" customHeight="1">
      <c r="A74" s="8" t="s">
        <v>160</v>
      </c>
      <c r="B74" s="9">
        <v>0.25</v>
      </c>
      <c r="C74" s="16"/>
      <c r="D74" s="41"/>
      <c r="E74" s="41"/>
      <c r="F74" s="30"/>
      <c r="G74" s="31"/>
      <c r="H74" s="31"/>
      <c r="I74" s="41"/>
      <c r="J74" s="42"/>
    </row>
    <row r="75" ht="22.5" customHeight="1">
      <c r="A75" s="8" t="s">
        <v>161</v>
      </c>
      <c r="B75" s="9">
        <v>0.25</v>
      </c>
      <c r="C75" s="16">
        <v>7.1577385E7</v>
      </c>
      <c r="D75" s="41"/>
      <c r="E75" s="41"/>
      <c r="F75" s="30"/>
      <c r="G75" s="31"/>
      <c r="H75" s="31"/>
      <c r="I75" s="41"/>
      <c r="J75" s="42"/>
    </row>
    <row r="76" ht="22.5" customHeight="1">
      <c r="A76" s="8" t="s">
        <v>162</v>
      </c>
      <c r="B76" s="25">
        <v>0.3</v>
      </c>
      <c r="C76" s="16">
        <v>1.045112518E9</v>
      </c>
      <c r="D76" s="41"/>
      <c r="E76" s="41"/>
      <c r="F76" s="30"/>
      <c r="G76" s="31"/>
      <c r="H76" s="31"/>
      <c r="I76" s="41"/>
      <c r="J76" s="42"/>
    </row>
    <row r="77" ht="22.5" customHeight="1">
      <c r="A77" s="8" t="s">
        <v>163</v>
      </c>
      <c r="B77" s="25">
        <v>0.3</v>
      </c>
      <c r="C77" s="16"/>
      <c r="D77" s="41"/>
      <c r="E77" s="41"/>
      <c r="F77" s="30"/>
      <c r="G77" s="31"/>
      <c r="H77" s="31"/>
      <c r="I77" s="41"/>
      <c r="J77" s="42"/>
    </row>
    <row r="78" ht="22.5" customHeight="1">
      <c r="A78" s="8" t="s">
        <v>164</v>
      </c>
      <c r="B78" s="25">
        <v>0.3</v>
      </c>
      <c r="C78" s="16"/>
      <c r="D78" s="41"/>
      <c r="E78" s="41"/>
      <c r="F78" s="30"/>
      <c r="G78" s="31"/>
      <c r="H78" s="31"/>
      <c r="I78" s="41"/>
      <c r="J78" s="42"/>
    </row>
    <row r="79" ht="22.5" customHeight="1">
      <c r="A79" s="8" t="s">
        <v>165</v>
      </c>
      <c r="B79" s="25">
        <v>0.3</v>
      </c>
      <c r="C79" s="16">
        <v>1.128326794E9</v>
      </c>
      <c r="D79" s="41"/>
      <c r="E79" s="41"/>
      <c r="F79" s="30"/>
      <c r="G79" s="31"/>
      <c r="H79" s="31"/>
      <c r="I79" s="41"/>
      <c r="J79" s="42"/>
    </row>
    <row r="80" ht="22.5" customHeight="1">
      <c r="A80" s="8" t="s">
        <v>166</v>
      </c>
      <c r="B80" s="25">
        <v>0.3</v>
      </c>
      <c r="C80" s="16">
        <v>1.001420512E9</v>
      </c>
      <c r="D80" s="41"/>
      <c r="E80" s="41"/>
      <c r="F80" s="30"/>
      <c r="G80" s="31"/>
      <c r="H80" s="31"/>
      <c r="I80" s="41"/>
      <c r="J80" s="42"/>
    </row>
    <row r="81" ht="22.5" customHeight="1">
      <c r="A81" s="8" t="s">
        <v>167</v>
      </c>
      <c r="B81" s="25">
        <v>1.0</v>
      </c>
      <c r="C81" s="16">
        <v>1.00136766E9</v>
      </c>
      <c r="D81" s="41"/>
      <c r="E81" s="41"/>
      <c r="F81" s="30"/>
      <c r="G81" s="31"/>
      <c r="H81" s="31"/>
      <c r="I81" s="41"/>
      <c r="J81" s="42"/>
    </row>
    <row r="82" ht="22.5" customHeight="1">
      <c r="A82" s="8" t="s">
        <v>168</v>
      </c>
      <c r="B82" s="25">
        <v>0.3</v>
      </c>
      <c r="C82" s="16">
        <v>1.8595631E7</v>
      </c>
      <c r="D82" s="41"/>
      <c r="E82" s="41"/>
      <c r="F82" s="30"/>
      <c r="G82" s="31"/>
      <c r="H82" s="31"/>
      <c r="I82" s="41"/>
      <c r="J82" s="42"/>
    </row>
    <row r="83" ht="22.5" customHeight="1">
      <c r="A83" s="8" t="s">
        <v>169</v>
      </c>
      <c r="B83" s="9">
        <v>0.25</v>
      </c>
      <c r="C83" s="16">
        <v>3.2076494E7</v>
      </c>
      <c r="D83" s="41"/>
      <c r="E83" s="41"/>
      <c r="F83" s="30"/>
      <c r="G83" s="31"/>
      <c r="H83" s="31"/>
      <c r="I83" s="41"/>
      <c r="J83" s="42"/>
    </row>
    <row r="84" ht="22.5" customHeight="1">
      <c r="A84" s="39"/>
      <c r="B84" s="29"/>
      <c r="C84" s="16"/>
      <c r="D84" s="41"/>
      <c r="E84" s="41"/>
      <c r="F84" s="30"/>
      <c r="G84" s="31"/>
      <c r="H84" s="31"/>
      <c r="I84" s="41"/>
      <c r="J84" s="42"/>
    </row>
    <row r="85" ht="22.5" customHeight="1">
      <c r="A85" s="39"/>
      <c r="B85" s="29"/>
      <c r="C85" s="16"/>
      <c r="D85" s="41"/>
      <c r="E85" s="41"/>
      <c r="F85" s="30"/>
      <c r="G85" s="31"/>
      <c r="H85" s="31"/>
      <c r="I85" s="41"/>
      <c r="J85" s="42"/>
    </row>
    <row r="86" ht="22.5" customHeight="1">
      <c r="A86" s="39"/>
      <c r="B86" s="29"/>
      <c r="C86" s="16"/>
      <c r="D86" s="41"/>
      <c r="E86" s="41"/>
      <c r="F86" s="30"/>
      <c r="G86" s="31"/>
      <c r="H86" s="31"/>
      <c r="I86" s="41"/>
      <c r="J86" s="42"/>
    </row>
    <row r="87" ht="22.5" customHeight="1">
      <c r="A87" s="39"/>
      <c r="B87" s="29"/>
      <c r="C87" s="16"/>
      <c r="D87" s="41"/>
      <c r="E87" s="41"/>
      <c r="F87" s="30"/>
      <c r="G87" s="31"/>
      <c r="H87" s="31"/>
      <c r="I87" s="41"/>
      <c r="J87" s="42"/>
    </row>
    <row r="88" ht="22.5" customHeight="1">
      <c r="A88" s="39"/>
      <c r="B88" s="29"/>
      <c r="C88" s="16"/>
      <c r="D88" s="41"/>
      <c r="E88" s="41"/>
      <c r="F88" s="30"/>
      <c r="G88" s="31"/>
      <c r="H88" s="31"/>
      <c r="I88" s="41"/>
      <c r="J88" s="42"/>
    </row>
    <row r="89" ht="22.5" customHeight="1">
      <c r="A89" s="39"/>
      <c r="B89" s="29"/>
      <c r="C89" s="16"/>
      <c r="D89" s="41"/>
      <c r="E89" s="41"/>
      <c r="F89" s="30"/>
      <c r="G89" s="31"/>
      <c r="H89" s="31"/>
      <c r="I89" s="41"/>
      <c r="J89" s="42"/>
    </row>
    <row r="90" ht="22.5" customHeight="1">
      <c r="A90" s="39"/>
      <c r="B90" s="29"/>
      <c r="C90" s="16"/>
      <c r="D90" s="41"/>
      <c r="E90" s="41"/>
      <c r="F90" s="30"/>
      <c r="G90" s="31"/>
      <c r="H90" s="31"/>
      <c r="I90" s="41"/>
      <c r="J90" s="42"/>
    </row>
    <row r="91" ht="22.5" customHeight="1">
      <c r="A91" s="39"/>
      <c r="B91" s="29"/>
      <c r="C91" s="16"/>
      <c r="D91" s="41"/>
      <c r="E91" s="41"/>
      <c r="F91" s="30"/>
      <c r="G91" s="31"/>
      <c r="H91" s="31"/>
      <c r="I91" s="41"/>
      <c r="J91" s="42"/>
    </row>
    <row r="92" ht="22.5" customHeight="1">
      <c r="A92" s="39"/>
      <c r="B92" s="29"/>
      <c r="C92" s="16"/>
      <c r="D92" s="41"/>
      <c r="E92" s="41"/>
      <c r="F92" s="30"/>
      <c r="G92" s="31"/>
      <c r="H92" s="31"/>
      <c r="I92" s="41"/>
      <c r="J92" s="42"/>
    </row>
    <row r="93" ht="22.5" customHeight="1">
      <c r="A93" s="39"/>
      <c r="B93" s="29"/>
      <c r="C93" s="16"/>
      <c r="D93" s="41"/>
      <c r="E93" s="41"/>
      <c r="F93" s="30"/>
      <c r="G93" s="31"/>
      <c r="H93" s="31"/>
      <c r="I93" s="41"/>
      <c r="J93" s="42"/>
    </row>
    <row r="94" ht="22.5" customHeight="1">
      <c r="A94" s="39"/>
      <c r="B94" s="29"/>
      <c r="C94" s="16"/>
      <c r="D94" s="41"/>
      <c r="E94" s="41"/>
      <c r="F94" s="30"/>
      <c r="G94" s="31"/>
      <c r="H94" s="31"/>
      <c r="I94" s="41"/>
      <c r="J94" s="42"/>
    </row>
    <row r="95" ht="22.5" customHeight="1">
      <c r="A95" s="39"/>
      <c r="B95" s="29"/>
      <c r="C95" s="16"/>
      <c r="D95" s="41"/>
      <c r="E95" s="41"/>
      <c r="F95" s="30"/>
      <c r="G95" s="31"/>
      <c r="H95" s="31"/>
      <c r="I95" s="41"/>
      <c r="J95" s="42"/>
    </row>
    <row r="96" ht="22.5" customHeight="1">
      <c r="A96" s="39"/>
      <c r="B96" s="29"/>
      <c r="C96" s="16"/>
      <c r="D96" s="41"/>
      <c r="E96" s="41"/>
      <c r="F96" s="30"/>
      <c r="G96" s="31"/>
      <c r="H96" s="31"/>
      <c r="I96" s="41"/>
      <c r="J96" s="42"/>
    </row>
    <row r="97" ht="22.5" customHeight="1">
      <c r="A97" s="39"/>
      <c r="B97" s="29"/>
      <c r="C97" s="16"/>
      <c r="D97" s="41"/>
      <c r="E97" s="41"/>
      <c r="F97" s="30"/>
      <c r="G97" s="31"/>
      <c r="H97" s="31"/>
      <c r="I97" s="41"/>
      <c r="J97" s="42"/>
    </row>
    <row r="98" ht="22.5" customHeight="1">
      <c r="A98" s="39"/>
      <c r="B98" s="29"/>
      <c r="C98" s="16"/>
      <c r="D98" s="41"/>
      <c r="E98" s="41"/>
      <c r="F98" s="30"/>
      <c r="G98" s="31"/>
      <c r="H98" s="31"/>
      <c r="I98" s="41"/>
      <c r="J98" s="42"/>
    </row>
    <row r="99" ht="22.5" customHeight="1">
      <c r="A99" s="39"/>
      <c r="B99" s="29"/>
      <c r="C99" s="16"/>
      <c r="D99" s="41"/>
      <c r="E99" s="41"/>
      <c r="F99" s="30"/>
      <c r="G99" s="31"/>
      <c r="H99" s="31"/>
      <c r="I99" s="41"/>
      <c r="J99" s="42"/>
    </row>
    <row r="100" ht="22.5" customHeight="1">
      <c r="A100" s="39"/>
      <c r="B100" s="29"/>
      <c r="C100" s="16"/>
      <c r="D100" s="41"/>
      <c r="E100" s="41"/>
      <c r="F100" s="30"/>
      <c r="G100" s="31"/>
      <c r="H100" s="31"/>
      <c r="I100" s="41"/>
      <c r="J100" s="42"/>
    </row>
    <row r="101" ht="22.5" customHeight="1">
      <c r="A101" s="39"/>
      <c r="B101" s="29"/>
      <c r="C101" s="16"/>
      <c r="D101" s="41"/>
      <c r="E101" s="41"/>
      <c r="F101" s="30"/>
      <c r="G101" s="31"/>
      <c r="H101" s="31"/>
      <c r="I101" s="41"/>
      <c r="J101" s="42"/>
    </row>
    <row r="102" ht="22.5" customHeight="1">
      <c r="A102" s="39"/>
      <c r="B102" s="29"/>
      <c r="C102" s="16"/>
      <c r="D102" s="41"/>
      <c r="E102" s="41"/>
      <c r="F102" s="30"/>
      <c r="G102" s="31"/>
      <c r="H102" s="31"/>
      <c r="I102" s="41"/>
      <c r="J102" s="42"/>
    </row>
    <row r="103" ht="22.5" customHeight="1">
      <c r="A103" s="39"/>
      <c r="B103" s="29"/>
      <c r="C103" s="16"/>
      <c r="D103" s="41"/>
      <c r="E103" s="41"/>
      <c r="F103" s="30"/>
      <c r="G103" s="31"/>
      <c r="H103" s="31"/>
      <c r="I103" s="41"/>
      <c r="J103" s="42"/>
    </row>
    <row r="104" ht="22.5" customHeight="1">
      <c r="A104" s="39"/>
      <c r="B104" s="29"/>
      <c r="C104" s="16"/>
      <c r="D104" s="41"/>
      <c r="E104" s="41"/>
      <c r="F104" s="30"/>
      <c r="G104" s="31"/>
      <c r="H104" s="31"/>
      <c r="I104" s="41"/>
      <c r="J104" s="42"/>
    </row>
    <row r="105" ht="22.5" customHeight="1">
      <c r="A105" s="39"/>
      <c r="B105" s="29"/>
      <c r="C105" s="16"/>
      <c r="D105" s="41"/>
      <c r="E105" s="41"/>
      <c r="F105" s="30"/>
      <c r="G105" s="31"/>
      <c r="H105" s="31"/>
      <c r="I105" s="41"/>
      <c r="J105" s="42"/>
    </row>
    <row r="106" ht="22.5" customHeight="1">
      <c r="A106" s="39"/>
      <c r="B106" s="29"/>
      <c r="C106" s="16"/>
      <c r="D106" s="41"/>
      <c r="E106" s="41"/>
      <c r="F106" s="30"/>
      <c r="G106" s="31"/>
      <c r="H106" s="31"/>
      <c r="I106" s="41"/>
      <c r="J106" s="42"/>
    </row>
    <row r="107" ht="22.5" customHeight="1">
      <c r="A107" s="39"/>
      <c r="B107" s="29"/>
      <c r="C107" s="16"/>
      <c r="D107" s="41"/>
      <c r="E107" s="41"/>
      <c r="F107" s="30"/>
      <c r="G107" s="31"/>
      <c r="H107" s="31"/>
      <c r="I107" s="41"/>
      <c r="J107" s="42"/>
    </row>
    <row r="108" ht="22.5" customHeight="1">
      <c r="A108" s="39"/>
      <c r="B108" s="29"/>
      <c r="C108" s="16"/>
      <c r="D108" s="41"/>
      <c r="E108" s="41"/>
      <c r="F108" s="30"/>
      <c r="G108" s="31"/>
      <c r="H108" s="31"/>
      <c r="I108" s="41"/>
      <c r="J108" s="42"/>
    </row>
    <row r="109" ht="22.5" customHeight="1">
      <c r="A109" s="39"/>
      <c r="B109" s="29"/>
      <c r="C109" s="16"/>
      <c r="D109" s="41"/>
      <c r="E109" s="41"/>
      <c r="F109" s="30"/>
      <c r="G109" s="31"/>
      <c r="H109" s="31"/>
      <c r="I109" s="41"/>
      <c r="J109" s="42"/>
    </row>
    <row r="110" ht="22.5" customHeight="1">
      <c r="A110" s="39"/>
      <c r="B110" s="29"/>
      <c r="C110" s="16"/>
      <c r="D110" s="41"/>
      <c r="E110" s="41"/>
      <c r="F110" s="30"/>
      <c r="G110" s="31"/>
      <c r="H110" s="31"/>
      <c r="I110" s="41"/>
      <c r="J110" s="42"/>
    </row>
    <row r="111" ht="22.5" customHeight="1">
      <c r="A111" s="39"/>
      <c r="B111" s="29"/>
      <c r="C111" s="16"/>
      <c r="D111" s="41"/>
      <c r="E111" s="41"/>
      <c r="F111" s="30"/>
      <c r="G111" s="31"/>
      <c r="H111" s="31"/>
      <c r="I111" s="41"/>
      <c r="J111" s="42"/>
    </row>
    <row r="112" ht="22.5" customHeight="1">
      <c r="A112" s="39"/>
      <c r="B112" s="29"/>
      <c r="C112" s="16"/>
      <c r="D112" s="41"/>
      <c r="E112" s="41"/>
      <c r="F112" s="30"/>
      <c r="G112" s="31"/>
      <c r="H112" s="31"/>
      <c r="I112" s="41"/>
      <c r="J112" s="42"/>
    </row>
    <row r="113" ht="22.5" customHeight="1">
      <c r="A113" s="39"/>
      <c r="B113" s="29"/>
      <c r="C113" s="16"/>
      <c r="D113" s="41"/>
      <c r="E113" s="41"/>
      <c r="F113" s="30"/>
      <c r="G113" s="31"/>
      <c r="H113" s="31"/>
      <c r="I113" s="41"/>
      <c r="J113" s="42"/>
    </row>
    <row r="114" ht="22.5" customHeight="1">
      <c r="A114" s="39"/>
      <c r="B114" s="29"/>
      <c r="C114" s="16"/>
      <c r="D114" s="41"/>
      <c r="E114" s="41"/>
      <c r="F114" s="30"/>
      <c r="G114" s="31"/>
      <c r="H114" s="31"/>
      <c r="I114" s="41"/>
      <c r="J114" s="42"/>
    </row>
    <row r="115" ht="22.5" customHeight="1">
      <c r="A115" s="39"/>
      <c r="B115" s="29"/>
      <c r="C115" s="16"/>
      <c r="D115" s="41"/>
      <c r="E115" s="41"/>
      <c r="F115" s="30"/>
      <c r="G115" s="31"/>
      <c r="H115" s="31"/>
      <c r="I115" s="41"/>
      <c r="J115" s="42"/>
    </row>
    <row r="116" ht="22.5" customHeight="1">
      <c r="A116" s="39"/>
      <c r="B116" s="29"/>
      <c r="C116" s="16"/>
      <c r="D116" s="41"/>
      <c r="E116" s="41"/>
      <c r="F116" s="30"/>
      <c r="G116" s="31"/>
      <c r="H116" s="31"/>
      <c r="I116" s="41"/>
      <c r="J116" s="42"/>
    </row>
    <row r="117" ht="22.5" customHeight="1">
      <c r="A117" s="39"/>
      <c r="B117" s="29"/>
      <c r="C117" s="16"/>
      <c r="D117" s="41"/>
      <c r="E117" s="41"/>
      <c r="F117" s="30"/>
      <c r="G117" s="31"/>
      <c r="H117" s="31"/>
      <c r="I117" s="41"/>
      <c r="J117" s="42"/>
    </row>
    <row r="118" ht="22.5" customHeight="1">
      <c r="A118" s="39"/>
      <c r="B118" s="29"/>
      <c r="C118" s="16"/>
      <c r="D118" s="41"/>
      <c r="E118" s="41"/>
      <c r="F118" s="30"/>
      <c r="G118" s="31"/>
      <c r="H118" s="31"/>
      <c r="I118" s="41"/>
      <c r="J118" s="42"/>
    </row>
    <row r="119" ht="22.5" customHeight="1">
      <c r="A119" s="39"/>
      <c r="B119" s="29"/>
      <c r="C119" s="16"/>
      <c r="D119" s="41"/>
      <c r="E119" s="41"/>
      <c r="F119" s="30"/>
      <c r="G119" s="31"/>
      <c r="H119" s="31"/>
      <c r="I119" s="41"/>
      <c r="J119" s="42"/>
    </row>
    <row r="120" ht="22.5" customHeight="1">
      <c r="A120" s="39"/>
      <c r="B120" s="29"/>
      <c r="C120" s="16"/>
      <c r="D120" s="41"/>
      <c r="E120" s="41"/>
      <c r="F120" s="30"/>
      <c r="G120" s="31"/>
      <c r="H120" s="31"/>
      <c r="I120" s="41"/>
      <c r="J120" s="42"/>
    </row>
    <row r="121" ht="22.5" customHeight="1">
      <c r="A121" s="39"/>
      <c r="B121" s="29"/>
      <c r="C121" s="16"/>
      <c r="D121" s="41"/>
      <c r="E121" s="41"/>
      <c r="F121" s="30"/>
      <c r="G121" s="31"/>
      <c r="H121" s="31"/>
      <c r="I121" s="41"/>
      <c r="J121" s="42"/>
    </row>
    <row r="122" ht="22.5" customHeight="1">
      <c r="A122" s="39"/>
      <c r="B122" s="29"/>
      <c r="C122" s="16"/>
      <c r="D122" s="41"/>
      <c r="E122" s="41"/>
      <c r="F122" s="30"/>
      <c r="G122" s="31"/>
      <c r="H122" s="31"/>
      <c r="I122" s="41"/>
      <c r="J122" s="42"/>
    </row>
    <row r="123" ht="22.5" customHeight="1">
      <c r="A123" s="39"/>
      <c r="B123" s="29"/>
      <c r="C123" s="16"/>
      <c r="D123" s="41"/>
      <c r="E123" s="41"/>
      <c r="F123" s="30"/>
      <c r="G123" s="31"/>
      <c r="H123" s="31"/>
      <c r="I123" s="41"/>
      <c r="J123" s="42"/>
    </row>
    <row r="124" ht="22.5" customHeight="1">
      <c r="A124" s="39"/>
      <c r="B124" s="29"/>
      <c r="C124" s="16"/>
      <c r="D124" s="41"/>
      <c r="E124" s="41"/>
      <c r="F124" s="30"/>
      <c r="G124" s="31"/>
      <c r="H124" s="31"/>
      <c r="I124" s="41"/>
      <c r="J124" s="42"/>
    </row>
    <row r="125" ht="22.5" customHeight="1">
      <c r="A125" s="39"/>
      <c r="B125" s="29"/>
      <c r="C125" s="16"/>
      <c r="D125" s="41"/>
      <c r="E125" s="41"/>
      <c r="F125" s="30"/>
      <c r="G125" s="31"/>
      <c r="H125" s="31"/>
      <c r="I125" s="41"/>
      <c r="J125" s="42"/>
    </row>
    <row r="126" ht="22.5" customHeight="1">
      <c r="A126" s="39"/>
      <c r="B126" s="29"/>
      <c r="C126" s="16"/>
      <c r="D126" s="41"/>
      <c r="E126" s="41"/>
      <c r="F126" s="30"/>
      <c r="G126" s="31"/>
      <c r="H126" s="31"/>
      <c r="I126" s="41"/>
      <c r="J126" s="42"/>
    </row>
    <row r="127" ht="22.5" customHeight="1">
      <c r="A127" s="39"/>
      <c r="B127" s="29"/>
      <c r="C127" s="16"/>
      <c r="D127" s="41"/>
      <c r="E127" s="41"/>
      <c r="F127" s="30"/>
      <c r="G127" s="31"/>
      <c r="H127" s="31"/>
      <c r="I127" s="41"/>
      <c r="J127" s="42"/>
    </row>
    <row r="128" ht="22.5" customHeight="1">
      <c r="A128" s="39"/>
      <c r="B128" s="29"/>
      <c r="C128" s="16"/>
      <c r="D128" s="41"/>
      <c r="E128" s="41"/>
      <c r="F128" s="30"/>
      <c r="G128" s="31"/>
      <c r="H128" s="31"/>
      <c r="I128" s="41"/>
      <c r="J128" s="42"/>
    </row>
    <row r="129" ht="22.5" customHeight="1">
      <c r="A129" s="39"/>
      <c r="B129" s="29"/>
      <c r="C129" s="16"/>
      <c r="D129" s="41"/>
      <c r="E129" s="41"/>
      <c r="F129" s="30"/>
      <c r="G129" s="31"/>
      <c r="H129" s="31"/>
      <c r="I129" s="41"/>
      <c r="J129" s="42"/>
    </row>
    <row r="130" ht="22.5" customHeight="1">
      <c r="A130" s="39"/>
      <c r="B130" s="29"/>
      <c r="C130" s="16"/>
      <c r="D130" s="41"/>
      <c r="E130" s="41"/>
      <c r="F130" s="30"/>
      <c r="G130" s="31"/>
      <c r="H130" s="31"/>
      <c r="I130" s="41"/>
      <c r="J130" s="42"/>
    </row>
    <row r="131" ht="22.5" customHeight="1">
      <c r="A131" s="39"/>
      <c r="B131" s="29"/>
      <c r="C131" s="16"/>
      <c r="D131" s="41"/>
      <c r="E131" s="41"/>
      <c r="F131" s="30"/>
      <c r="G131" s="31"/>
      <c r="H131" s="31"/>
      <c r="I131" s="41"/>
      <c r="J131" s="42"/>
    </row>
    <row r="132" ht="22.5" customHeight="1">
      <c r="A132" s="39"/>
      <c r="B132" s="29"/>
      <c r="C132" s="16"/>
      <c r="D132" s="41"/>
      <c r="E132" s="41"/>
      <c r="F132" s="30"/>
      <c r="G132" s="31"/>
      <c r="H132" s="31"/>
      <c r="I132" s="41"/>
      <c r="J132" s="42"/>
    </row>
    <row r="133" ht="22.5" customHeight="1">
      <c r="A133" s="39"/>
      <c r="B133" s="29"/>
      <c r="C133" s="16"/>
      <c r="D133" s="41"/>
      <c r="E133" s="41"/>
      <c r="F133" s="30"/>
      <c r="G133" s="31"/>
      <c r="H133" s="31"/>
      <c r="I133" s="41"/>
      <c r="J133" s="42"/>
    </row>
    <row r="134" ht="22.5" customHeight="1">
      <c r="A134" s="39"/>
      <c r="B134" s="29"/>
      <c r="C134" s="16"/>
      <c r="D134" s="41"/>
      <c r="E134" s="41"/>
      <c r="F134" s="30"/>
      <c r="G134" s="31"/>
      <c r="H134" s="31"/>
      <c r="I134" s="41"/>
      <c r="J134" s="42"/>
    </row>
    <row r="135" ht="22.5" customHeight="1">
      <c r="A135" s="39"/>
      <c r="B135" s="29"/>
      <c r="C135" s="16"/>
      <c r="D135" s="41"/>
      <c r="E135" s="41"/>
      <c r="F135" s="30"/>
      <c r="G135" s="31"/>
      <c r="H135" s="31"/>
      <c r="I135" s="41"/>
      <c r="J135" s="42"/>
    </row>
    <row r="136" ht="22.5" customHeight="1">
      <c r="A136" s="39"/>
      <c r="B136" s="29"/>
      <c r="C136" s="16"/>
      <c r="D136" s="41"/>
      <c r="E136" s="41"/>
      <c r="F136" s="30"/>
      <c r="G136" s="31"/>
      <c r="H136" s="31"/>
      <c r="I136" s="41"/>
      <c r="J136" s="42"/>
    </row>
    <row r="137" ht="22.5" customHeight="1">
      <c r="A137" s="39"/>
      <c r="B137" s="29"/>
      <c r="C137" s="16"/>
      <c r="D137" s="41"/>
      <c r="E137" s="41"/>
      <c r="F137" s="30"/>
      <c r="G137" s="31"/>
      <c r="H137" s="31"/>
      <c r="I137" s="41"/>
      <c r="J137" s="42"/>
    </row>
    <row r="138" ht="22.5" customHeight="1">
      <c r="A138" s="39"/>
      <c r="B138" s="29"/>
      <c r="C138" s="16"/>
      <c r="D138" s="41"/>
      <c r="E138" s="41"/>
      <c r="F138" s="30"/>
      <c r="G138" s="31"/>
      <c r="H138" s="31"/>
      <c r="I138" s="41"/>
      <c r="J138" s="42"/>
    </row>
    <row r="139" ht="22.5" customHeight="1">
      <c r="A139" s="39"/>
      <c r="B139" s="29"/>
      <c r="C139" s="16"/>
      <c r="D139" s="41"/>
      <c r="E139" s="41"/>
      <c r="F139" s="30"/>
      <c r="G139" s="31"/>
      <c r="H139" s="31"/>
      <c r="I139" s="41"/>
      <c r="J139" s="42"/>
    </row>
    <row r="140" ht="22.5" customHeight="1">
      <c r="A140" s="39"/>
      <c r="B140" s="29"/>
      <c r="C140" s="16"/>
      <c r="D140" s="41"/>
      <c r="E140" s="41"/>
      <c r="F140" s="30"/>
      <c r="G140" s="31"/>
      <c r="H140" s="31"/>
      <c r="I140" s="41"/>
      <c r="J140" s="42"/>
    </row>
    <row r="141" ht="22.5" customHeight="1">
      <c r="A141" s="39"/>
      <c r="B141" s="29"/>
      <c r="C141" s="16"/>
      <c r="D141" s="41"/>
      <c r="E141" s="41"/>
      <c r="F141" s="30"/>
      <c r="G141" s="31"/>
      <c r="H141" s="31"/>
      <c r="I141" s="41"/>
      <c r="J141" s="42"/>
    </row>
    <row r="142" ht="22.5" customHeight="1">
      <c r="A142" s="39"/>
      <c r="B142" s="29"/>
      <c r="C142" s="16"/>
      <c r="D142" s="41"/>
      <c r="E142" s="41"/>
      <c r="F142" s="30"/>
      <c r="G142" s="31"/>
      <c r="H142" s="31"/>
      <c r="I142" s="41"/>
      <c r="J142" s="42"/>
    </row>
    <row r="143" ht="22.5" customHeight="1">
      <c r="A143" s="39"/>
      <c r="B143" s="29"/>
      <c r="C143" s="16"/>
      <c r="D143" s="41"/>
      <c r="E143" s="41"/>
      <c r="F143" s="30"/>
      <c r="G143" s="31"/>
      <c r="H143" s="31"/>
      <c r="I143" s="41"/>
      <c r="J143" s="42"/>
    </row>
    <row r="144" ht="22.5" customHeight="1">
      <c r="A144" s="39"/>
      <c r="B144" s="29"/>
      <c r="C144" s="16"/>
      <c r="D144" s="41"/>
      <c r="E144" s="41"/>
      <c r="F144" s="30"/>
      <c r="G144" s="31"/>
      <c r="H144" s="31"/>
      <c r="I144" s="41"/>
      <c r="J144" s="42"/>
    </row>
    <row r="145" ht="22.5" customHeight="1">
      <c r="A145" s="39"/>
      <c r="B145" s="29"/>
      <c r="C145" s="16"/>
      <c r="D145" s="41"/>
      <c r="E145" s="41"/>
      <c r="F145" s="30"/>
      <c r="G145" s="31"/>
      <c r="H145" s="31"/>
      <c r="I145" s="41"/>
      <c r="J145" s="42"/>
    </row>
    <row r="146" ht="22.5" customHeight="1">
      <c r="A146" s="39"/>
      <c r="B146" s="29"/>
      <c r="C146" s="16"/>
      <c r="D146" s="41"/>
      <c r="E146" s="41"/>
      <c r="F146" s="30"/>
      <c r="G146" s="31"/>
      <c r="H146" s="31"/>
      <c r="I146" s="41"/>
      <c r="J146" s="42"/>
    </row>
    <row r="147" ht="22.5" customHeight="1">
      <c r="A147" s="39"/>
      <c r="B147" s="29"/>
      <c r="C147" s="16"/>
      <c r="D147" s="41"/>
      <c r="E147" s="41"/>
      <c r="F147" s="30"/>
      <c r="G147" s="31"/>
      <c r="H147" s="31"/>
      <c r="I147" s="41"/>
      <c r="J147" s="42"/>
    </row>
    <row r="148" ht="22.5" customHeight="1">
      <c r="A148" s="39"/>
      <c r="B148" s="29"/>
      <c r="C148" s="16"/>
      <c r="D148" s="41"/>
      <c r="E148" s="41"/>
      <c r="F148" s="30"/>
      <c r="G148" s="31"/>
      <c r="H148" s="31"/>
      <c r="I148" s="41"/>
      <c r="J148" s="42"/>
    </row>
    <row r="149" ht="22.5" customHeight="1">
      <c r="A149" s="39"/>
      <c r="B149" s="29"/>
      <c r="C149" s="16"/>
      <c r="D149" s="41"/>
      <c r="E149" s="41"/>
      <c r="F149" s="30"/>
      <c r="G149" s="31"/>
      <c r="H149" s="31"/>
      <c r="I149" s="41"/>
      <c r="J149" s="42"/>
    </row>
    <row r="150" ht="22.5" customHeight="1">
      <c r="A150" s="39"/>
      <c r="B150" s="29"/>
      <c r="C150" s="16"/>
      <c r="D150" s="41"/>
      <c r="E150" s="41"/>
      <c r="F150" s="30"/>
      <c r="G150" s="31"/>
      <c r="H150" s="31"/>
      <c r="I150" s="41"/>
      <c r="J150" s="42"/>
    </row>
    <row r="151" ht="22.5" customHeight="1">
      <c r="A151" s="39"/>
      <c r="B151" s="29"/>
      <c r="C151" s="16"/>
      <c r="D151" s="41"/>
      <c r="E151" s="41"/>
      <c r="F151" s="30"/>
      <c r="G151" s="31"/>
      <c r="H151" s="31"/>
      <c r="I151" s="41"/>
      <c r="J151" s="42"/>
    </row>
    <row r="152" ht="22.5" customHeight="1">
      <c r="A152" s="39"/>
      <c r="B152" s="29"/>
      <c r="C152" s="16"/>
      <c r="D152" s="41"/>
      <c r="E152" s="41"/>
      <c r="F152" s="30"/>
      <c r="G152" s="31"/>
      <c r="H152" s="31"/>
      <c r="I152" s="41"/>
      <c r="J152" s="42"/>
    </row>
    <row r="153" ht="22.5" customHeight="1">
      <c r="A153" s="39"/>
      <c r="B153" s="29"/>
      <c r="C153" s="16"/>
      <c r="D153" s="41"/>
      <c r="E153" s="41"/>
      <c r="F153" s="30"/>
      <c r="G153" s="31"/>
      <c r="H153" s="31"/>
      <c r="I153" s="41"/>
      <c r="J153" s="42"/>
    </row>
    <row r="154" ht="22.5" customHeight="1">
      <c r="A154" s="39"/>
      <c r="B154" s="29"/>
      <c r="C154" s="16"/>
      <c r="D154" s="41"/>
      <c r="E154" s="41"/>
      <c r="F154" s="30"/>
      <c r="G154" s="31"/>
      <c r="H154" s="31"/>
      <c r="I154" s="41"/>
      <c r="J154" s="42"/>
    </row>
    <row r="155" ht="22.5" customHeight="1">
      <c r="A155" s="39"/>
      <c r="B155" s="29"/>
      <c r="C155" s="16"/>
      <c r="D155" s="41"/>
      <c r="E155" s="41"/>
      <c r="F155" s="30"/>
      <c r="G155" s="31"/>
      <c r="H155" s="31"/>
      <c r="I155" s="41"/>
      <c r="J155" s="42"/>
    </row>
    <row r="156" ht="22.5" customHeight="1">
      <c r="A156" s="39"/>
      <c r="B156" s="29"/>
      <c r="C156" s="16"/>
      <c r="D156" s="41"/>
      <c r="E156" s="41"/>
      <c r="F156" s="30"/>
      <c r="G156" s="31"/>
      <c r="H156" s="31"/>
      <c r="I156" s="41"/>
      <c r="J156" s="42"/>
    </row>
    <row r="157" ht="22.5" customHeight="1">
      <c r="A157" s="39"/>
      <c r="B157" s="29"/>
      <c r="C157" s="16"/>
      <c r="D157" s="41"/>
      <c r="E157" s="41"/>
      <c r="F157" s="30"/>
      <c r="G157" s="31"/>
      <c r="H157" s="31"/>
      <c r="I157" s="41"/>
      <c r="J157" s="42"/>
    </row>
    <row r="158" ht="22.5" customHeight="1">
      <c r="A158" s="39"/>
      <c r="B158" s="29"/>
      <c r="C158" s="16"/>
      <c r="D158" s="41"/>
      <c r="E158" s="41"/>
      <c r="F158" s="30"/>
      <c r="G158" s="31"/>
      <c r="H158" s="31"/>
      <c r="I158" s="41"/>
      <c r="J158" s="42"/>
    </row>
    <row r="159" ht="22.5" customHeight="1">
      <c r="A159" s="39"/>
      <c r="B159" s="29"/>
      <c r="C159" s="16"/>
      <c r="D159" s="41"/>
      <c r="E159" s="41"/>
      <c r="F159" s="30"/>
      <c r="G159" s="31"/>
      <c r="H159" s="31"/>
      <c r="I159" s="41"/>
      <c r="J159" s="42"/>
    </row>
    <row r="160" ht="22.5" customHeight="1">
      <c r="A160" s="39"/>
      <c r="B160" s="29"/>
      <c r="C160" s="16"/>
      <c r="D160" s="41"/>
      <c r="E160" s="41"/>
      <c r="F160" s="30"/>
      <c r="G160" s="31"/>
      <c r="H160" s="31"/>
      <c r="I160" s="41"/>
      <c r="J160" s="42"/>
    </row>
    <row r="161" ht="22.5" customHeight="1">
      <c r="A161" s="39"/>
      <c r="B161" s="29"/>
      <c r="C161" s="16"/>
      <c r="D161" s="41"/>
      <c r="E161" s="41"/>
      <c r="F161" s="30"/>
      <c r="G161" s="31"/>
      <c r="H161" s="31"/>
      <c r="I161" s="41"/>
      <c r="J161" s="42"/>
    </row>
    <row r="162" ht="22.5" customHeight="1">
      <c r="A162" s="39"/>
      <c r="B162" s="29"/>
      <c r="C162" s="16"/>
      <c r="D162" s="41"/>
      <c r="E162" s="41"/>
      <c r="F162" s="30"/>
      <c r="G162" s="31"/>
      <c r="H162" s="31"/>
      <c r="I162" s="41"/>
      <c r="J162" s="42"/>
    </row>
    <row r="163" ht="22.5" customHeight="1">
      <c r="A163" s="39"/>
      <c r="B163" s="29"/>
      <c r="C163" s="16"/>
      <c r="D163" s="41"/>
      <c r="E163" s="41"/>
      <c r="F163" s="30"/>
      <c r="G163" s="31"/>
      <c r="H163" s="31"/>
      <c r="I163" s="41"/>
      <c r="J163" s="42"/>
    </row>
    <row r="164" ht="22.5" customHeight="1">
      <c r="A164" s="39"/>
      <c r="B164" s="29"/>
      <c r="C164" s="16"/>
      <c r="D164" s="41"/>
      <c r="E164" s="41"/>
      <c r="F164" s="30"/>
      <c r="G164" s="31"/>
      <c r="H164" s="31"/>
      <c r="I164" s="41"/>
      <c r="J164" s="42"/>
    </row>
    <row r="165" ht="22.5" customHeight="1">
      <c r="A165" s="39"/>
      <c r="B165" s="29"/>
      <c r="C165" s="16"/>
      <c r="D165" s="41"/>
      <c r="E165" s="41"/>
      <c r="F165" s="30"/>
      <c r="G165" s="31"/>
      <c r="H165" s="31"/>
      <c r="I165" s="41"/>
      <c r="J165" s="42"/>
    </row>
    <row r="166" ht="22.5" customHeight="1">
      <c r="A166" s="39"/>
      <c r="B166" s="29"/>
      <c r="C166" s="16"/>
      <c r="D166" s="41"/>
      <c r="E166" s="41"/>
      <c r="F166" s="30"/>
      <c r="G166" s="31"/>
      <c r="H166" s="31"/>
      <c r="I166" s="41"/>
      <c r="J166" s="42"/>
    </row>
    <row r="167" ht="22.5" customHeight="1">
      <c r="A167" s="39"/>
      <c r="B167" s="29"/>
      <c r="C167" s="16"/>
      <c r="D167" s="41"/>
      <c r="E167" s="41"/>
      <c r="F167" s="30"/>
      <c r="G167" s="31"/>
      <c r="H167" s="31"/>
      <c r="I167" s="41"/>
      <c r="J167" s="42"/>
    </row>
    <row r="168" ht="22.5" customHeight="1">
      <c r="A168" s="39"/>
      <c r="B168" s="29"/>
      <c r="C168" s="16"/>
      <c r="D168" s="41"/>
      <c r="E168" s="41"/>
      <c r="F168" s="30"/>
      <c r="G168" s="31"/>
      <c r="H168" s="31"/>
      <c r="I168" s="41"/>
      <c r="J168" s="42"/>
    </row>
    <row r="169" ht="22.5" customHeight="1">
      <c r="A169" s="39"/>
      <c r="B169" s="29"/>
      <c r="C169" s="16"/>
      <c r="D169" s="41"/>
      <c r="E169" s="41"/>
      <c r="F169" s="30"/>
      <c r="G169" s="31"/>
      <c r="H169" s="31"/>
      <c r="I169" s="41"/>
      <c r="J169" s="42"/>
    </row>
    <row r="170" ht="22.5" customHeight="1">
      <c r="A170" s="39"/>
      <c r="B170" s="29"/>
      <c r="C170" s="16"/>
      <c r="D170" s="41"/>
      <c r="E170" s="41"/>
      <c r="F170" s="30"/>
      <c r="G170" s="31"/>
      <c r="H170" s="31"/>
      <c r="I170" s="41"/>
      <c r="J170" s="42"/>
    </row>
    <row r="171" ht="22.5" customHeight="1">
      <c r="A171" s="39"/>
      <c r="B171" s="29"/>
      <c r="C171" s="16"/>
      <c r="D171" s="41"/>
      <c r="E171" s="41"/>
      <c r="F171" s="30"/>
      <c r="G171" s="31"/>
      <c r="H171" s="31"/>
      <c r="I171" s="41"/>
      <c r="J171" s="42"/>
    </row>
    <row r="172" ht="22.5" customHeight="1">
      <c r="A172" s="39"/>
      <c r="B172" s="29"/>
      <c r="C172" s="16"/>
      <c r="D172" s="41"/>
      <c r="E172" s="41"/>
      <c r="F172" s="30"/>
      <c r="G172" s="31"/>
      <c r="H172" s="31"/>
      <c r="I172" s="41"/>
      <c r="J172" s="42"/>
    </row>
    <row r="173" ht="22.5" customHeight="1">
      <c r="A173" s="39"/>
      <c r="B173" s="29"/>
      <c r="C173" s="16"/>
      <c r="D173" s="41"/>
      <c r="E173" s="41"/>
      <c r="F173" s="30"/>
      <c r="G173" s="31"/>
      <c r="H173" s="31"/>
      <c r="I173" s="41"/>
      <c r="J173" s="42"/>
    </row>
    <row r="174" ht="22.5" customHeight="1">
      <c r="A174" s="39"/>
      <c r="B174" s="29"/>
      <c r="C174" s="16"/>
      <c r="D174" s="41"/>
      <c r="E174" s="41"/>
      <c r="F174" s="30"/>
      <c r="G174" s="31"/>
      <c r="H174" s="31"/>
      <c r="I174" s="41"/>
      <c r="J174" s="42"/>
    </row>
    <row r="175" ht="22.5" customHeight="1">
      <c r="A175" s="39"/>
      <c r="B175" s="29"/>
      <c r="C175" s="16"/>
      <c r="D175" s="41"/>
      <c r="E175" s="41"/>
      <c r="F175" s="30"/>
      <c r="G175" s="31"/>
      <c r="H175" s="31"/>
      <c r="I175" s="41"/>
      <c r="J175" s="42"/>
    </row>
    <row r="176" ht="22.5" customHeight="1">
      <c r="A176" s="39"/>
      <c r="B176" s="29"/>
      <c r="C176" s="16"/>
      <c r="D176" s="41"/>
      <c r="E176" s="41"/>
      <c r="F176" s="30"/>
      <c r="G176" s="31"/>
      <c r="H176" s="31"/>
      <c r="I176" s="41"/>
      <c r="J176" s="42"/>
    </row>
    <row r="177" ht="22.5" customHeight="1">
      <c r="A177" s="39"/>
      <c r="B177" s="29"/>
      <c r="C177" s="16"/>
      <c r="D177" s="41"/>
      <c r="E177" s="41"/>
      <c r="F177" s="30"/>
      <c r="G177" s="31"/>
      <c r="H177" s="31"/>
      <c r="I177" s="41"/>
      <c r="J177" s="42"/>
    </row>
    <row r="178" ht="22.5" customHeight="1">
      <c r="A178" s="39"/>
      <c r="B178" s="29"/>
      <c r="C178" s="16"/>
      <c r="D178" s="41"/>
      <c r="E178" s="41"/>
      <c r="F178" s="30"/>
      <c r="G178" s="31"/>
      <c r="H178" s="31"/>
      <c r="I178" s="41"/>
      <c r="J178" s="42"/>
    </row>
    <row r="179" ht="22.5" customHeight="1">
      <c r="A179" s="39"/>
      <c r="B179" s="29"/>
      <c r="C179" s="16"/>
      <c r="D179" s="41"/>
      <c r="E179" s="41"/>
      <c r="F179" s="30"/>
      <c r="G179" s="31"/>
      <c r="H179" s="31"/>
      <c r="I179" s="41"/>
      <c r="J179" s="42"/>
    </row>
    <row r="180" ht="22.5" customHeight="1">
      <c r="A180" s="39"/>
      <c r="B180" s="29"/>
      <c r="C180" s="16"/>
      <c r="D180" s="41"/>
      <c r="E180" s="41"/>
      <c r="F180" s="30"/>
      <c r="G180" s="31"/>
      <c r="H180" s="31"/>
      <c r="I180" s="41"/>
      <c r="J180" s="42"/>
    </row>
    <row r="181" ht="22.5" customHeight="1">
      <c r="A181" s="39"/>
      <c r="B181" s="29"/>
      <c r="C181" s="16"/>
      <c r="D181" s="41"/>
      <c r="E181" s="41"/>
      <c r="F181" s="30"/>
      <c r="G181" s="31"/>
      <c r="H181" s="31"/>
      <c r="I181" s="41"/>
      <c r="J181" s="42"/>
    </row>
    <row r="182" ht="22.5" customHeight="1">
      <c r="A182" s="39"/>
      <c r="B182" s="29"/>
      <c r="C182" s="16"/>
      <c r="D182" s="41"/>
      <c r="E182" s="41"/>
      <c r="F182" s="30"/>
      <c r="G182" s="31"/>
      <c r="H182" s="31"/>
      <c r="I182" s="41"/>
      <c r="J182" s="42"/>
    </row>
    <row r="183" ht="22.5" customHeight="1">
      <c r="A183" s="39"/>
      <c r="B183" s="29"/>
      <c r="C183" s="16"/>
      <c r="D183" s="41"/>
      <c r="E183" s="41"/>
      <c r="F183" s="30"/>
      <c r="G183" s="31"/>
      <c r="H183" s="31"/>
      <c r="I183" s="41"/>
      <c r="J183" s="42"/>
    </row>
    <row r="184" ht="22.5" customHeight="1">
      <c r="A184" s="39"/>
      <c r="B184" s="29"/>
      <c r="C184" s="16"/>
      <c r="D184" s="41"/>
      <c r="E184" s="41"/>
      <c r="F184" s="30"/>
      <c r="G184" s="31"/>
      <c r="H184" s="31"/>
      <c r="I184" s="41"/>
      <c r="J184" s="42"/>
    </row>
    <row r="185" ht="22.5" customHeight="1">
      <c r="A185" s="39"/>
      <c r="B185" s="29"/>
      <c r="C185" s="16"/>
      <c r="D185" s="41"/>
      <c r="E185" s="41"/>
      <c r="F185" s="30"/>
      <c r="G185" s="31"/>
      <c r="H185" s="31"/>
      <c r="I185" s="41"/>
      <c r="J185" s="42"/>
    </row>
    <row r="186" ht="22.5" customHeight="1">
      <c r="A186" s="39"/>
      <c r="B186" s="29"/>
      <c r="C186" s="16"/>
      <c r="D186" s="41"/>
      <c r="E186" s="41"/>
      <c r="F186" s="30"/>
      <c r="G186" s="31"/>
      <c r="H186" s="31"/>
      <c r="I186" s="41"/>
      <c r="J186" s="42"/>
    </row>
    <row r="187" ht="22.5" customHeight="1">
      <c r="A187" s="39"/>
      <c r="B187" s="29"/>
      <c r="C187" s="16"/>
      <c r="D187" s="41"/>
      <c r="E187" s="41"/>
      <c r="F187" s="30"/>
      <c r="G187" s="31"/>
      <c r="H187" s="31"/>
      <c r="I187" s="41"/>
      <c r="J187" s="42"/>
    </row>
    <row r="188" ht="22.5" customHeight="1">
      <c r="A188" s="39"/>
      <c r="B188" s="29"/>
      <c r="C188" s="16"/>
      <c r="D188" s="41"/>
      <c r="E188" s="41"/>
      <c r="F188" s="30"/>
      <c r="G188" s="31"/>
      <c r="H188" s="31"/>
      <c r="I188" s="41"/>
      <c r="J188" s="42"/>
    </row>
    <row r="189" ht="22.5" customHeight="1">
      <c r="A189" s="39"/>
      <c r="B189" s="29"/>
      <c r="C189" s="16"/>
      <c r="D189" s="41"/>
      <c r="E189" s="41"/>
      <c r="F189" s="30"/>
      <c r="G189" s="31"/>
      <c r="H189" s="31"/>
      <c r="I189" s="41"/>
      <c r="J189" s="42"/>
    </row>
    <row r="190" ht="22.5" customHeight="1">
      <c r="A190" s="39"/>
      <c r="B190" s="29"/>
      <c r="C190" s="16"/>
      <c r="D190" s="41"/>
      <c r="E190" s="41"/>
      <c r="F190" s="30"/>
      <c r="G190" s="31"/>
      <c r="H190" s="31"/>
      <c r="I190" s="41"/>
      <c r="J190" s="42"/>
    </row>
    <row r="191" ht="22.5" customHeight="1">
      <c r="A191" s="39"/>
      <c r="B191" s="29"/>
      <c r="C191" s="16"/>
      <c r="D191" s="41"/>
      <c r="E191" s="41"/>
      <c r="F191" s="30"/>
      <c r="G191" s="31"/>
      <c r="H191" s="31"/>
      <c r="I191" s="41"/>
      <c r="J191" s="42"/>
    </row>
    <row r="192" ht="22.5" customHeight="1">
      <c r="A192" s="39"/>
      <c r="B192" s="29"/>
      <c r="C192" s="16"/>
      <c r="D192" s="41"/>
      <c r="E192" s="41"/>
      <c r="F192" s="30"/>
      <c r="G192" s="31"/>
      <c r="H192" s="31"/>
      <c r="I192" s="41"/>
      <c r="J192" s="42"/>
    </row>
    <row r="193" ht="22.5" customHeight="1">
      <c r="A193" s="39"/>
      <c r="B193" s="29"/>
      <c r="C193" s="16"/>
      <c r="D193" s="41"/>
      <c r="E193" s="41"/>
      <c r="F193" s="30"/>
      <c r="G193" s="31"/>
      <c r="H193" s="31"/>
      <c r="I193" s="41"/>
      <c r="J193" s="42"/>
    </row>
    <row r="194" ht="22.5" customHeight="1">
      <c r="A194" s="39"/>
      <c r="B194" s="29"/>
      <c r="C194" s="16"/>
      <c r="D194" s="41"/>
      <c r="E194" s="41"/>
      <c r="F194" s="30"/>
      <c r="G194" s="31"/>
      <c r="H194" s="31"/>
      <c r="I194" s="41"/>
      <c r="J194" s="42"/>
    </row>
    <row r="195" ht="22.5" customHeight="1">
      <c r="A195" s="39"/>
      <c r="B195" s="29"/>
      <c r="C195" s="16"/>
      <c r="D195" s="41"/>
      <c r="E195" s="41"/>
      <c r="F195" s="30"/>
      <c r="G195" s="31"/>
      <c r="H195" s="31"/>
      <c r="I195" s="41"/>
      <c r="J195" s="42"/>
    </row>
    <row r="196" ht="22.5" customHeight="1">
      <c r="A196" s="39"/>
      <c r="B196" s="29"/>
      <c r="C196" s="16"/>
      <c r="D196" s="41"/>
      <c r="E196" s="41"/>
      <c r="F196" s="30"/>
      <c r="G196" s="31"/>
      <c r="H196" s="31"/>
      <c r="I196" s="41"/>
      <c r="J196" s="42"/>
    </row>
    <row r="197" ht="22.5" customHeight="1">
      <c r="A197" s="39"/>
      <c r="B197" s="29"/>
      <c r="C197" s="16"/>
      <c r="D197" s="41"/>
      <c r="E197" s="41"/>
      <c r="F197" s="30"/>
      <c r="G197" s="31"/>
      <c r="H197" s="31"/>
      <c r="I197" s="41"/>
      <c r="J197" s="42"/>
    </row>
    <row r="198" ht="22.5" customHeight="1">
      <c r="A198" s="39"/>
      <c r="B198" s="29"/>
      <c r="C198" s="16"/>
      <c r="D198" s="41"/>
      <c r="E198" s="41"/>
      <c r="F198" s="30"/>
      <c r="G198" s="31"/>
      <c r="H198" s="31"/>
      <c r="I198" s="41"/>
      <c r="J198" s="42"/>
    </row>
    <row r="199" ht="22.5" customHeight="1">
      <c r="A199" s="39"/>
      <c r="B199" s="29"/>
      <c r="C199" s="16"/>
      <c r="D199" s="41"/>
      <c r="E199" s="41"/>
      <c r="F199" s="30"/>
      <c r="G199" s="31"/>
      <c r="H199" s="31"/>
      <c r="I199" s="41"/>
      <c r="J199" s="42"/>
    </row>
    <row r="200" ht="22.5" customHeight="1">
      <c r="A200" s="39"/>
      <c r="B200" s="29"/>
      <c r="C200" s="16"/>
      <c r="D200" s="41"/>
      <c r="E200" s="41"/>
      <c r="F200" s="30"/>
      <c r="G200" s="31"/>
      <c r="H200" s="31"/>
      <c r="I200" s="41"/>
      <c r="J200" s="42"/>
    </row>
    <row r="201" ht="22.5" customHeight="1">
      <c r="A201" s="39"/>
      <c r="B201" s="29"/>
      <c r="C201" s="16"/>
      <c r="D201" s="41"/>
      <c r="E201" s="41"/>
      <c r="F201" s="30"/>
      <c r="G201" s="31"/>
      <c r="H201" s="31"/>
      <c r="I201" s="41"/>
      <c r="J201" s="42"/>
    </row>
    <row r="202" ht="22.5" customHeight="1">
      <c r="A202" s="39"/>
      <c r="B202" s="29"/>
      <c r="C202" s="16"/>
      <c r="D202" s="41"/>
      <c r="E202" s="41"/>
      <c r="F202" s="30"/>
      <c r="G202" s="31"/>
      <c r="H202" s="31"/>
      <c r="I202" s="41"/>
      <c r="J202" s="42"/>
    </row>
    <row r="203" ht="22.5" customHeight="1">
      <c r="A203" s="39"/>
      <c r="B203" s="29"/>
      <c r="C203" s="16"/>
      <c r="D203" s="41"/>
      <c r="E203" s="41"/>
      <c r="F203" s="30"/>
      <c r="G203" s="31"/>
      <c r="H203" s="31"/>
      <c r="I203" s="41"/>
      <c r="J203" s="42"/>
    </row>
    <row r="204" ht="22.5" customHeight="1">
      <c r="A204" s="39"/>
      <c r="B204" s="29"/>
      <c r="C204" s="16"/>
      <c r="D204" s="41"/>
      <c r="E204" s="41"/>
      <c r="F204" s="30"/>
      <c r="G204" s="31"/>
      <c r="H204" s="31"/>
      <c r="I204" s="41"/>
      <c r="J204" s="42"/>
    </row>
    <row r="205" ht="22.5" customHeight="1">
      <c r="A205" s="39"/>
      <c r="B205" s="29"/>
      <c r="C205" s="16"/>
      <c r="D205" s="41"/>
      <c r="E205" s="41"/>
      <c r="F205" s="30"/>
      <c r="G205" s="31"/>
      <c r="H205" s="31"/>
      <c r="I205" s="41"/>
      <c r="J205" s="42"/>
    </row>
    <row r="206" ht="22.5" customHeight="1">
      <c r="A206" s="39"/>
      <c r="B206" s="29"/>
      <c r="C206" s="16"/>
      <c r="D206" s="41"/>
      <c r="E206" s="41"/>
      <c r="F206" s="30"/>
      <c r="G206" s="31"/>
      <c r="H206" s="31"/>
      <c r="I206" s="41"/>
      <c r="J206" s="42"/>
    </row>
    <row r="207" ht="22.5" customHeight="1">
      <c r="A207" s="39"/>
      <c r="B207" s="29"/>
      <c r="C207" s="16"/>
      <c r="D207" s="41"/>
      <c r="E207" s="41"/>
      <c r="F207" s="30"/>
      <c r="G207" s="31"/>
      <c r="H207" s="31"/>
      <c r="I207" s="41"/>
      <c r="J207" s="42"/>
    </row>
    <row r="208" ht="22.5" customHeight="1">
      <c r="A208" s="39"/>
      <c r="B208" s="29"/>
      <c r="C208" s="16"/>
      <c r="D208" s="41"/>
      <c r="E208" s="41"/>
      <c r="F208" s="30"/>
      <c r="G208" s="31"/>
      <c r="H208" s="31"/>
      <c r="I208" s="41"/>
      <c r="J208" s="42"/>
    </row>
    <row r="209" ht="22.5" customHeight="1">
      <c r="A209" s="39"/>
      <c r="B209" s="29"/>
      <c r="C209" s="16"/>
      <c r="D209" s="41"/>
      <c r="E209" s="41"/>
      <c r="F209" s="30"/>
      <c r="G209" s="31"/>
      <c r="H209" s="31"/>
      <c r="I209" s="41"/>
      <c r="J209" s="42"/>
    </row>
    <row r="210" ht="22.5" customHeight="1">
      <c r="A210" s="39"/>
      <c r="B210" s="29"/>
      <c r="C210" s="16"/>
      <c r="D210" s="41"/>
      <c r="E210" s="41"/>
      <c r="F210" s="30"/>
      <c r="G210" s="31"/>
      <c r="H210" s="31"/>
      <c r="I210" s="41"/>
      <c r="J210" s="42"/>
    </row>
    <row r="211" ht="22.5" customHeight="1">
      <c r="A211" s="39"/>
      <c r="B211" s="29"/>
      <c r="C211" s="16"/>
      <c r="D211" s="41"/>
      <c r="E211" s="41"/>
      <c r="F211" s="30"/>
      <c r="G211" s="31"/>
      <c r="H211" s="31"/>
      <c r="I211" s="41"/>
      <c r="J211" s="42"/>
    </row>
    <row r="212" ht="22.5" customHeight="1">
      <c r="A212" s="39"/>
      <c r="B212" s="29"/>
      <c r="C212" s="16"/>
      <c r="D212" s="41"/>
      <c r="E212" s="41"/>
      <c r="F212" s="30"/>
      <c r="G212" s="31"/>
      <c r="H212" s="31"/>
      <c r="I212" s="41"/>
      <c r="J212" s="42"/>
    </row>
    <row r="213" ht="22.5" customHeight="1">
      <c r="A213" s="39"/>
      <c r="B213" s="29"/>
      <c r="C213" s="16"/>
      <c r="D213" s="41"/>
      <c r="E213" s="41"/>
      <c r="F213" s="30"/>
      <c r="G213" s="31"/>
      <c r="H213" s="31"/>
      <c r="I213" s="41"/>
      <c r="J213" s="42"/>
    </row>
    <row r="214" ht="22.5" customHeight="1">
      <c r="A214" s="39"/>
      <c r="B214" s="29"/>
      <c r="C214" s="16"/>
      <c r="D214" s="41"/>
      <c r="E214" s="41"/>
      <c r="F214" s="30"/>
      <c r="G214" s="31"/>
      <c r="H214" s="31"/>
      <c r="I214" s="41"/>
      <c r="J214" s="42"/>
    </row>
    <row r="215" ht="22.5" customHeight="1">
      <c r="A215" s="39"/>
      <c r="B215" s="29"/>
      <c r="C215" s="16"/>
      <c r="D215" s="41"/>
      <c r="E215" s="41"/>
      <c r="F215" s="30"/>
      <c r="G215" s="31"/>
      <c r="H215" s="31"/>
      <c r="I215" s="41"/>
      <c r="J215" s="42"/>
    </row>
    <row r="216" ht="22.5" customHeight="1">
      <c r="A216" s="39"/>
      <c r="B216" s="29"/>
      <c r="C216" s="16"/>
      <c r="D216" s="41"/>
      <c r="E216" s="41"/>
      <c r="F216" s="30"/>
      <c r="G216" s="31"/>
      <c r="H216" s="31"/>
      <c r="I216" s="41"/>
      <c r="J216" s="42"/>
    </row>
    <row r="217" ht="22.5" customHeight="1">
      <c r="A217" s="39"/>
      <c r="B217" s="29"/>
      <c r="C217" s="16"/>
      <c r="D217" s="41"/>
      <c r="E217" s="41"/>
      <c r="F217" s="30"/>
      <c r="G217" s="31"/>
      <c r="H217" s="31"/>
      <c r="I217" s="41"/>
      <c r="J217" s="42"/>
    </row>
    <row r="218" ht="22.5" customHeight="1">
      <c r="A218" s="39"/>
      <c r="B218" s="29"/>
      <c r="C218" s="16"/>
      <c r="D218" s="41"/>
      <c r="E218" s="41"/>
      <c r="F218" s="30"/>
      <c r="G218" s="31"/>
      <c r="H218" s="31"/>
      <c r="I218" s="41"/>
      <c r="J218" s="42"/>
    </row>
    <row r="219" ht="22.5" customHeight="1">
      <c r="A219" s="39"/>
      <c r="B219" s="29"/>
      <c r="C219" s="16"/>
      <c r="D219" s="41"/>
      <c r="E219" s="41"/>
      <c r="F219" s="30"/>
      <c r="G219" s="31"/>
      <c r="H219" s="31"/>
      <c r="I219" s="41"/>
      <c r="J219" s="42"/>
    </row>
    <row r="220" ht="22.5" customHeight="1">
      <c r="A220" s="39"/>
      <c r="B220" s="29"/>
      <c r="C220" s="16"/>
      <c r="D220" s="41"/>
      <c r="E220" s="41"/>
      <c r="F220" s="30"/>
      <c r="G220" s="31"/>
      <c r="H220" s="31"/>
      <c r="I220" s="41"/>
      <c r="J220" s="42"/>
    </row>
    <row r="221" ht="22.5" customHeight="1">
      <c r="A221" s="39"/>
      <c r="B221" s="29"/>
      <c r="C221" s="16"/>
      <c r="D221" s="41"/>
      <c r="E221" s="41"/>
      <c r="F221" s="30"/>
      <c r="G221" s="31"/>
      <c r="H221" s="31"/>
      <c r="I221" s="41"/>
      <c r="J221" s="42"/>
    </row>
    <row r="222" ht="22.5" customHeight="1">
      <c r="A222" s="39"/>
      <c r="B222" s="29"/>
      <c r="C222" s="16"/>
      <c r="D222" s="41"/>
      <c r="E222" s="41"/>
      <c r="F222" s="30"/>
      <c r="G222" s="31"/>
      <c r="H222" s="31"/>
      <c r="I222" s="41"/>
      <c r="J222" s="42"/>
    </row>
    <row r="223" ht="22.5" customHeight="1">
      <c r="A223" s="39"/>
      <c r="B223" s="29"/>
      <c r="C223" s="16"/>
      <c r="D223" s="41"/>
      <c r="E223" s="41"/>
      <c r="F223" s="30"/>
      <c r="G223" s="31"/>
      <c r="H223" s="31"/>
      <c r="I223" s="41"/>
      <c r="J223" s="42"/>
    </row>
    <row r="224" ht="22.5" customHeight="1">
      <c r="A224" s="39"/>
      <c r="B224" s="29"/>
      <c r="C224" s="16"/>
      <c r="D224" s="41"/>
      <c r="E224" s="41"/>
      <c r="F224" s="30"/>
      <c r="G224" s="31"/>
      <c r="H224" s="31"/>
      <c r="I224" s="41"/>
      <c r="J224" s="42"/>
    </row>
    <row r="225" ht="22.5" customHeight="1">
      <c r="A225" s="39"/>
      <c r="B225" s="29"/>
      <c r="C225" s="16"/>
      <c r="D225" s="41"/>
      <c r="E225" s="41"/>
      <c r="F225" s="30"/>
      <c r="G225" s="31"/>
      <c r="H225" s="31"/>
      <c r="I225" s="41"/>
      <c r="J225" s="42"/>
    </row>
    <row r="226" ht="22.5" customHeight="1">
      <c r="A226" s="39"/>
      <c r="B226" s="29"/>
      <c r="C226" s="16"/>
      <c r="D226" s="41"/>
      <c r="E226" s="41"/>
      <c r="F226" s="30"/>
      <c r="G226" s="31"/>
      <c r="H226" s="31"/>
      <c r="I226" s="41"/>
      <c r="J226" s="42"/>
    </row>
    <row r="227" ht="22.5" customHeight="1">
      <c r="A227" s="39"/>
      <c r="B227" s="29"/>
      <c r="C227" s="16"/>
      <c r="D227" s="41"/>
      <c r="E227" s="41"/>
      <c r="F227" s="30"/>
      <c r="G227" s="31"/>
      <c r="H227" s="31"/>
      <c r="I227" s="41"/>
      <c r="J227" s="42"/>
    </row>
    <row r="228" ht="22.5" customHeight="1">
      <c r="A228" s="39"/>
      <c r="B228" s="29"/>
      <c r="C228" s="16"/>
      <c r="D228" s="41"/>
      <c r="E228" s="41"/>
      <c r="F228" s="30"/>
      <c r="G228" s="31"/>
      <c r="H228" s="31"/>
      <c r="I228" s="41"/>
      <c r="J228" s="42"/>
    </row>
    <row r="229" ht="22.5" customHeight="1">
      <c r="A229" s="39"/>
      <c r="B229" s="29"/>
      <c r="C229" s="16"/>
      <c r="D229" s="41"/>
      <c r="E229" s="41"/>
      <c r="F229" s="30"/>
      <c r="G229" s="31"/>
      <c r="H229" s="31"/>
      <c r="I229" s="41"/>
      <c r="J229" s="42"/>
    </row>
    <row r="230" ht="22.5" customHeight="1">
      <c r="A230" s="39"/>
      <c r="B230" s="29"/>
      <c r="C230" s="16"/>
      <c r="D230" s="41"/>
      <c r="E230" s="41"/>
      <c r="F230" s="30"/>
      <c r="G230" s="31"/>
      <c r="H230" s="31"/>
      <c r="I230" s="41"/>
      <c r="J230" s="42"/>
    </row>
    <row r="231" ht="22.5" customHeight="1">
      <c r="A231" s="39"/>
      <c r="B231" s="29"/>
      <c r="C231" s="16"/>
      <c r="D231" s="41"/>
      <c r="E231" s="41"/>
      <c r="F231" s="30"/>
      <c r="G231" s="31"/>
      <c r="H231" s="31"/>
      <c r="I231" s="41"/>
      <c r="J231" s="42"/>
    </row>
    <row r="232" ht="22.5" customHeight="1">
      <c r="A232" s="39"/>
      <c r="B232" s="29"/>
      <c r="C232" s="16"/>
      <c r="D232" s="41"/>
      <c r="E232" s="41"/>
      <c r="F232" s="30"/>
      <c r="G232" s="31"/>
      <c r="H232" s="31"/>
      <c r="I232" s="41"/>
      <c r="J232" s="42"/>
    </row>
    <row r="233" ht="22.5" customHeight="1">
      <c r="A233" s="39"/>
      <c r="B233" s="29"/>
      <c r="C233" s="16"/>
      <c r="D233" s="41"/>
      <c r="E233" s="41"/>
      <c r="F233" s="30"/>
      <c r="G233" s="31"/>
      <c r="H233" s="31"/>
      <c r="I233" s="41"/>
      <c r="J233" s="42"/>
    </row>
    <row r="234" ht="22.5" customHeight="1">
      <c r="A234" s="39"/>
      <c r="B234" s="29"/>
      <c r="C234" s="16"/>
      <c r="D234" s="41"/>
      <c r="E234" s="41"/>
      <c r="F234" s="30"/>
      <c r="G234" s="31"/>
      <c r="H234" s="31"/>
      <c r="I234" s="41"/>
      <c r="J234" s="42"/>
    </row>
    <row r="235" ht="22.5" customHeight="1">
      <c r="A235" s="39"/>
      <c r="B235" s="29"/>
      <c r="C235" s="16"/>
      <c r="D235" s="41"/>
      <c r="E235" s="41"/>
      <c r="F235" s="30"/>
      <c r="G235" s="31"/>
      <c r="H235" s="31"/>
      <c r="I235" s="41"/>
      <c r="J235" s="42"/>
    </row>
    <row r="236" ht="22.5" customHeight="1">
      <c r="A236" s="39"/>
      <c r="B236" s="29"/>
      <c r="C236" s="16"/>
      <c r="D236" s="41"/>
      <c r="E236" s="41"/>
      <c r="F236" s="30"/>
      <c r="G236" s="31"/>
      <c r="H236" s="31"/>
      <c r="I236" s="41"/>
      <c r="J236" s="42"/>
    </row>
    <row r="237" ht="22.5" customHeight="1">
      <c r="A237" s="39"/>
      <c r="B237" s="29"/>
      <c r="C237" s="16"/>
      <c r="D237" s="41"/>
      <c r="E237" s="41"/>
      <c r="F237" s="30"/>
      <c r="G237" s="31"/>
      <c r="H237" s="31"/>
      <c r="I237" s="41"/>
      <c r="J237" s="42"/>
    </row>
    <row r="238" ht="22.5" customHeight="1">
      <c r="A238" s="39"/>
      <c r="B238" s="29"/>
      <c r="C238" s="16"/>
      <c r="D238" s="41"/>
      <c r="E238" s="41"/>
      <c r="F238" s="30"/>
      <c r="G238" s="31"/>
      <c r="H238" s="31"/>
      <c r="I238" s="41"/>
      <c r="J238" s="42"/>
    </row>
    <row r="239" ht="22.5" customHeight="1">
      <c r="A239" s="39"/>
      <c r="B239" s="29"/>
      <c r="C239" s="16"/>
      <c r="D239" s="41"/>
      <c r="E239" s="41"/>
      <c r="F239" s="30"/>
      <c r="G239" s="31"/>
      <c r="H239" s="31"/>
      <c r="I239" s="41"/>
      <c r="J239" s="42"/>
    </row>
    <row r="240" ht="22.5" customHeight="1">
      <c r="A240" s="39"/>
      <c r="B240" s="29"/>
      <c r="C240" s="16"/>
      <c r="D240" s="41"/>
      <c r="E240" s="41"/>
      <c r="F240" s="30"/>
      <c r="G240" s="31"/>
      <c r="H240" s="31"/>
      <c r="I240" s="41"/>
      <c r="J240" s="42"/>
    </row>
    <row r="241" ht="22.5" customHeight="1">
      <c r="A241" s="39"/>
      <c r="B241" s="29"/>
      <c r="C241" s="16"/>
      <c r="D241" s="41"/>
      <c r="E241" s="41"/>
      <c r="F241" s="30"/>
      <c r="G241" s="31"/>
      <c r="H241" s="31"/>
      <c r="I241" s="41"/>
      <c r="J241" s="42"/>
    </row>
    <row r="242" ht="22.5" customHeight="1">
      <c r="A242" s="39"/>
      <c r="B242" s="29"/>
      <c r="C242" s="16"/>
      <c r="D242" s="41"/>
      <c r="E242" s="41"/>
      <c r="F242" s="30"/>
      <c r="G242" s="31"/>
      <c r="H242" s="31"/>
      <c r="I242" s="41"/>
      <c r="J242" s="42"/>
    </row>
    <row r="243" ht="22.5" customHeight="1">
      <c r="A243" s="39"/>
      <c r="B243" s="29"/>
      <c r="C243" s="16"/>
      <c r="D243" s="41"/>
      <c r="E243" s="41"/>
      <c r="F243" s="30"/>
      <c r="G243" s="31"/>
      <c r="H243" s="31"/>
      <c r="I243" s="41"/>
      <c r="J243" s="42"/>
    </row>
    <row r="244" ht="22.5" customHeight="1">
      <c r="A244" s="39"/>
      <c r="B244" s="29"/>
      <c r="C244" s="16"/>
      <c r="D244" s="41"/>
      <c r="E244" s="41"/>
      <c r="F244" s="30"/>
      <c r="G244" s="31"/>
      <c r="H244" s="31"/>
      <c r="I244" s="41"/>
      <c r="J244" s="42"/>
    </row>
    <row r="245" ht="22.5" customHeight="1">
      <c r="A245" s="39"/>
      <c r="B245" s="29"/>
      <c r="C245" s="16"/>
      <c r="D245" s="41"/>
      <c r="E245" s="41"/>
      <c r="F245" s="30"/>
      <c r="G245" s="31"/>
      <c r="H245" s="31"/>
      <c r="I245" s="41"/>
      <c r="J245" s="42"/>
    </row>
    <row r="246" ht="22.5" customHeight="1">
      <c r="A246" s="39"/>
      <c r="B246" s="29"/>
      <c r="C246" s="16"/>
      <c r="D246" s="41"/>
      <c r="E246" s="41"/>
      <c r="F246" s="30"/>
      <c r="G246" s="31"/>
      <c r="H246" s="31"/>
      <c r="I246" s="41"/>
      <c r="J246" s="42"/>
    </row>
    <row r="247" ht="22.5" customHeight="1">
      <c r="A247" s="39"/>
      <c r="B247" s="29"/>
      <c r="C247" s="16"/>
      <c r="D247" s="41"/>
      <c r="E247" s="41"/>
      <c r="F247" s="30"/>
      <c r="G247" s="31"/>
      <c r="H247" s="31"/>
      <c r="I247" s="41"/>
      <c r="J247" s="42"/>
    </row>
    <row r="248" ht="22.5" customHeight="1">
      <c r="A248" s="39"/>
      <c r="B248" s="29"/>
      <c r="C248" s="16"/>
      <c r="D248" s="41"/>
      <c r="E248" s="41"/>
      <c r="F248" s="30"/>
      <c r="G248" s="31"/>
      <c r="H248" s="31"/>
      <c r="I248" s="41"/>
      <c r="J248" s="42"/>
    </row>
    <row r="249" ht="22.5" customHeight="1">
      <c r="A249" s="39"/>
      <c r="B249" s="29"/>
      <c r="C249" s="16"/>
      <c r="D249" s="41"/>
      <c r="E249" s="41"/>
      <c r="F249" s="30"/>
      <c r="G249" s="31"/>
      <c r="H249" s="31"/>
      <c r="I249" s="41"/>
      <c r="J249" s="42"/>
    </row>
    <row r="250" ht="22.5" customHeight="1">
      <c r="A250" s="39"/>
      <c r="B250" s="29"/>
      <c r="C250" s="16"/>
      <c r="D250" s="41"/>
      <c r="E250" s="41"/>
      <c r="F250" s="30"/>
      <c r="G250" s="31"/>
      <c r="H250" s="31"/>
      <c r="I250" s="41"/>
      <c r="J250" s="42"/>
    </row>
    <row r="251" ht="22.5" customHeight="1">
      <c r="A251" s="39"/>
      <c r="B251" s="29"/>
      <c r="C251" s="16"/>
      <c r="D251" s="41"/>
      <c r="E251" s="41"/>
      <c r="F251" s="30"/>
      <c r="G251" s="31"/>
      <c r="H251" s="31"/>
      <c r="I251" s="41"/>
      <c r="J251" s="42"/>
    </row>
    <row r="252" ht="22.5" customHeight="1">
      <c r="A252" s="39"/>
      <c r="B252" s="29"/>
      <c r="C252" s="16"/>
      <c r="D252" s="41"/>
      <c r="E252" s="41"/>
      <c r="F252" s="30"/>
      <c r="G252" s="31"/>
      <c r="H252" s="31"/>
      <c r="I252" s="41"/>
      <c r="J252" s="42"/>
    </row>
    <row r="253" ht="22.5" customHeight="1">
      <c r="A253" s="39"/>
      <c r="B253" s="29"/>
      <c r="C253" s="16"/>
      <c r="D253" s="41"/>
      <c r="E253" s="41"/>
      <c r="F253" s="30"/>
      <c r="G253" s="31"/>
      <c r="H253" s="31"/>
      <c r="I253" s="41"/>
      <c r="J253" s="42"/>
    </row>
    <row r="254" ht="22.5" customHeight="1">
      <c r="A254" s="39"/>
      <c r="B254" s="29"/>
      <c r="C254" s="16"/>
      <c r="D254" s="41"/>
      <c r="E254" s="41"/>
      <c r="F254" s="30"/>
      <c r="G254" s="31"/>
      <c r="H254" s="31"/>
      <c r="I254" s="41"/>
      <c r="J254" s="42"/>
    </row>
    <row r="255" ht="22.5" customHeight="1">
      <c r="A255" s="39"/>
      <c r="B255" s="29"/>
      <c r="C255" s="16"/>
      <c r="D255" s="41"/>
      <c r="E255" s="41"/>
      <c r="F255" s="30"/>
      <c r="G255" s="31"/>
      <c r="H255" s="31"/>
      <c r="I255" s="41"/>
      <c r="J255" s="42"/>
    </row>
    <row r="256" ht="22.5" customHeight="1">
      <c r="A256" s="39"/>
      <c r="B256" s="29"/>
      <c r="C256" s="16"/>
      <c r="D256" s="41"/>
      <c r="E256" s="41"/>
      <c r="F256" s="30"/>
      <c r="G256" s="31"/>
      <c r="H256" s="31"/>
      <c r="I256" s="41"/>
      <c r="J256" s="42"/>
    </row>
    <row r="257" ht="22.5" customHeight="1">
      <c r="A257" s="39"/>
      <c r="B257" s="29"/>
      <c r="C257" s="16"/>
      <c r="D257" s="41"/>
      <c r="E257" s="41"/>
      <c r="F257" s="30"/>
      <c r="G257" s="31"/>
      <c r="H257" s="31"/>
      <c r="I257" s="41"/>
      <c r="J257" s="42"/>
    </row>
    <row r="258" ht="22.5" customHeight="1">
      <c r="A258" s="39"/>
      <c r="B258" s="29"/>
      <c r="C258" s="16"/>
      <c r="D258" s="41"/>
      <c r="E258" s="41"/>
      <c r="F258" s="30"/>
      <c r="G258" s="31"/>
      <c r="H258" s="31"/>
      <c r="I258" s="41"/>
      <c r="J258" s="42"/>
    </row>
    <row r="259" ht="22.5" customHeight="1">
      <c r="A259" s="39"/>
      <c r="B259" s="29"/>
      <c r="C259" s="16"/>
      <c r="D259" s="41"/>
      <c r="E259" s="41"/>
      <c r="F259" s="30"/>
      <c r="G259" s="31"/>
      <c r="H259" s="31"/>
      <c r="I259" s="41"/>
      <c r="J259" s="42"/>
    </row>
    <row r="260" ht="22.5" customHeight="1">
      <c r="A260" s="39"/>
      <c r="B260" s="29"/>
      <c r="C260" s="16"/>
      <c r="D260" s="41"/>
      <c r="E260" s="41"/>
      <c r="F260" s="30"/>
      <c r="G260" s="31"/>
      <c r="H260" s="31"/>
      <c r="I260" s="41"/>
      <c r="J260" s="42"/>
    </row>
    <row r="261" ht="22.5" customHeight="1">
      <c r="A261" s="39"/>
      <c r="B261" s="29"/>
      <c r="C261" s="16"/>
      <c r="D261" s="41"/>
      <c r="E261" s="41"/>
      <c r="F261" s="30"/>
      <c r="G261" s="31"/>
      <c r="H261" s="31"/>
      <c r="I261" s="41"/>
      <c r="J261" s="42"/>
    </row>
    <row r="262" ht="22.5" customHeight="1">
      <c r="A262" s="39"/>
      <c r="B262" s="29"/>
      <c r="C262" s="16"/>
      <c r="D262" s="41"/>
      <c r="E262" s="41"/>
      <c r="F262" s="30"/>
      <c r="G262" s="31"/>
      <c r="H262" s="31"/>
      <c r="I262" s="41"/>
      <c r="J262" s="42"/>
    </row>
    <row r="263" ht="22.5" customHeight="1">
      <c r="A263" s="39"/>
      <c r="B263" s="29"/>
      <c r="C263" s="16"/>
      <c r="D263" s="41"/>
      <c r="E263" s="41"/>
      <c r="F263" s="30"/>
      <c r="G263" s="31"/>
      <c r="H263" s="31"/>
      <c r="I263" s="41"/>
      <c r="J263" s="42"/>
    </row>
    <row r="264" ht="22.5" customHeight="1">
      <c r="A264" s="39"/>
      <c r="B264" s="29"/>
      <c r="C264" s="16"/>
      <c r="D264" s="41"/>
      <c r="E264" s="41"/>
      <c r="F264" s="30"/>
      <c r="G264" s="31"/>
      <c r="H264" s="31"/>
      <c r="I264" s="41"/>
      <c r="J264" s="42"/>
    </row>
    <row r="265" ht="22.5" customHeight="1">
      <c r="A265" s="39"/>
      <c r="B265" s="29"/>
      <c r="C265" s="16"/>
      <c r="D265" s="41"/>
      <c r="E265" s="41"/>
      <c r="F265" s="30"/>
      <c r="G265" s="31"/>
      <c r="H265" s="31"/>
      <c r="I265" s="41"/>
      <c r="J265" s="42"/>
    </row>
    <row r="266" ht="22.5" customHeight="1">
      <c r="A266" s="39"/>
      <c r="B266" s="29"/>
      <c r="C266" s="16"/>
      <c r="D266" s="41"/>
      <c r="E266" s="41"/>
      <c r="F266" s="30"/>
      <c r="G266" s="31"/>
      <c r="H266" s="31"/>
      <c r="I266" s="41"/>
      <c r="J266" s="42"/>
    </row>
    <row r="267" ht="22.5" customHeight="1">
      <c r="A267" s="39"/>
      <c r="B267" s="29"/>
      <c r="C267" s="16"/>
      <c r="D267" s="41"/>
      <c r="E267" s="41"/>
      <c r="F267" s="30"/>
      <c r="G267" s="31"/>
      <c r="H267" s="31"/>
      <c r="I267" s="41"/>
      <c r="J267" s="42"/>
    </row>
    <row r="268" ht="22.5" customHeight="1">
      <c r="A268" s="39"/>
      <c r="B268" s="29"/>
      <c r="C268" s="16"/>
      <c r="D268" s="41"/>
      <c r="E268" s="41"/>
      <c r="F268" s="30"/>
      <c r="G268" s="31"/>
      <c r="H268" s="31"/>
      <c r="I268" s="41"/>
      <c r="J268" s="42"/>
    </row>
    <row r="269" ht="22.5" customHeight="1">
      <c r="A269" s="39"/>
      <c r="B269" s="29"/>
      <c r="C269" s="16"/>
      <c r="D269" s="41"/>
      <c r="E269" s="41"/>
      <c r="F269" s="30"/>
      <c r="G269" s="31"/>
      <c r="H269" s="31"/>
      <c r="I269" s="41"/>
      <c r="J269" s="42"/>
    </row>
    <row r="270" ht="22.5" customHeight="1">
      <c r="A270" s="39"/>
      <c r="B270" s="29"/>
      <c r="C270" s="16"/>
      <c r="D270" s="41"/>
      <c r="E270" s="41"/>
      <c r="F270" s="30"/>
      <c r="G270" s="31"/>
      <c r="H270" s="31"/>
      <c r="I270" s="41"/>
      <c r="J270" s="42"/>
    </row>
    <row r="271" ht="22.5" customHeight="1">
      <c r="A271" s="39"/>
      <c r="B271" s="29"/>
      <c r="C271" s="16"/>
      <c r="D271" s="41"/>
      <c r="E271" s="41"/>
      <c r="F271" s="30"/>
      <c r="G271" s="31"/>
      <c r="H271" s="31"/>
      <c r="I271" s="41"/>
      <c r="J271" s="42"/>
    </row>
    <row r="272" ht="22.5" customHeight="1">
      <c r="A272" s="39"/>
      <c r="B272" s="29"/>
      <c r="C272" s="16"/>
      <c r="D272" s="41"/>
      <c r="E272" s="41"/>
      <c r="F272" s="30"/>
      <c r="G272" s="31"/>
      <c r="H272" s="31"/>
      <c r="I272" s="41"/>
      <c r="J272" s="42"/>
    </row>
    <row r="273" ht="22.5" customHeight="1">
      <c r="A273" s="39"/>
      <c r="B273" s="29"/>
      <c r="C273" s="16"/>
      <c r="D273" s="41"/>
      <c r="E273" s="41"/>
      <c r="F273" s="30"/>
      <c r="G273" s="31"/>
      <c r="H273" s="31"/>
      <c r="I273" s="41"/>
      <c r="J273" s="42"/>
    </row>
    <row r="274" ht="22.5" customHeight="1">
      <c r="A274" s="39"/>
      <c r="B274" s="29"/>
      <c r="C274" s="16"/>
      <c r="D274" s="41"/>
      <c r="E274" s="41"/>
      <c r="F274" s="30"/>
      <c r="G274" s="31"/>
      <c r="H274" s="31"/>
      <c r="I274" s="41"/>
      <c r="J274" s="42"/>
    </row>
    <row r="275" ht="22.5" customHeight="1">
      <c r="A275" s="39"/>
      <c r="B275" s="29"/>
      <c r="C275" s="16"/>
      <c r="D275" s="41"/>
      <c r="E275" s="41"/>
      <c r="F275" s="30"/>
      <c r="G275" s="31"/>
      <c r="H275" s="31"/>
      <c r="I275" s="41"/>
      <c r="J275" s="42"/>
    </row>
    <row r="276" ht="22.5" customHeight="1">
      <c r="A276" s="39"/>
      <c r="B276" s="29"/>
      <c r="C276" s="16"/>
      <c r="D276" s="41"/>
      <c r="E276" s="41"/>
      <c r="F276" s="30"/>
      <c r="G276" s="31"/>
      <c r="H276" s="31"/>
      <c r="I276" s="41"/>
      <c r="J276" s="42"/>
    </row>
    <row r="277" ht="22.5" customHeight="1">
      <c r="A277" s="39"/>
      <c r="B277" s="29"/>
      <c r="C277" s="16"/>
      <c r="D277" s="41"/>
      <c r="E277" s="41"/>
      <c r="F277" s="30"/>
      <c r="G277" s="31"/>
      <c r="H277" s="31"/>
      <c r="I277" s="41"/>
      <c r="J277" s="42"/>
    </row>
    <row r="278" ht="22.5" customHeight="1">
      <c r="A278" s="39"/>
      <c r="B278" s="29"/>
      <c r="C278" s="16"/>
      <c r="D278" s="41"/>
      <c r="E278" s="41"/>
      <c r="F278" s="30"/>
      <c r="G278" s="31"/>
      <c r="H278" s="31"/>
      <c r="I278" s="41"/>
      <c r="J278" s="42"/>
    </row>
    <row r="279" ht="22.5" customHeight="1">
      <c r="A279" s="39"/>
      <c r="B279" s="29"/>
      <c r="C279" s="16"/>
      <c r="D279" s="41"/>
      <c r="E279" s="41"/>
      <c r="F279" s="30"/>
      <c r="G279" s="31"/>
      <c r="H279" s="31"/>
      <c r="I279" s="41"/>
      <c r="J279" s="42"/>
    </row>
    <row r="280" ht="22.5" customHeight="1">
      <c r="A280" s="39"/>
      <c r="B280" s="29"/>
      <c r="C280" s="16"/>
      <c r="D280" s="41"/>
      <c r="E280" s="41"/>
      <c r="F280" s="30"/>
      <c r="G280" s="31"/>
      <c r="H280" s="31"/>
      <c r="I280" s="41"/>
      <c r="J280" s="42"/>
    </row>
    <row r="281" ht="22.5" customHeight="1">
      <c r="A281" s="39"/>
      <c r="B281" s="29"/>
      <c r="C281" s="16"/>
      <c r="D281" s="41"/>
      <c r="E281" s="41"/>
      <c r="F281" s="30"/>
      <c r="G281" s="31"/>
      <c r="H281" s="31"/>
      <c r="I281" s="41"/>
      <c r="J281" s="42"/>
    </row>
    <row r="282" ht="22.5" customHeight="1">
      <c r="A282" s="39"/>
      <c r="B282" s="29"/>
      <c r="C282" s="16"/>
      <c r="D282" s="41"/>
      <c r="E282" s="41"/>
      <c r="F282" s="30"/>
      <c r="G282" s="31"/>
      <c r="H282" s="31"/>
      <c r="I282" s="41"/>
      <c r="J282" s="42"/>
    </row>
    <row r="283" ht="22.5" customHeight="1">
      <c r="A283" s="39"/>
      <c r="B283" s="29"/>
      <c r="C283" s="16"/>
      <c r="D283" s="41"/>
      <c r="E283" s="41"/>
      <c r="F283" s="30"/>
      <c r="G283" s="31"/>
      <c r="H283" s="31"/>
      <c r="I283" s="41"/>
      <c r="J283" s="42"/>
    </row>
    <row r="284" ht="22.5" customHeight="1">
      <c r="A284" s="39"/>
      <c r="B284" s="29"/>
      <c r="C284" s="16"/>
      <c r="D284" s="41"/>
      <c r="E284" s="41"/>
      <c r="F284" s="30"/>
      <c r="G284" s="31"/>
      <c r="H284" s="31"/>
      <c r="I284" s="41"/>
      <c r="J284" s="42"/>
    </row>
    <row r="285" ht="22.5" customHeight="1">
      <c r="A285" s="39"/>
      <c r="B285" s="29"/>
      <c r="C285" s="16"/>
      <c r="D285" s="41"/>
      <c r="E285" s="41"/>
      <c r="F285" s="30"/>
      <c r="G285" s="31"/>
      <c r="H285" s="31"/>
      <c r="I285" s="41"/>
      <c r="J285" s="42"/>
    </row>
    <row r="286" ht="22.5" customHeight="1">
      <c r="A286" s="39"/>
      <c r="B286" s="29"/>
      <c r="C286" s="16"/>
      <c r="D286" s="41"/>
      <c r="E286" s="41"/>
      <c r="F286" s="30"/>
      <c r="G286" s="31"/>
      <c r="H286" s="31"/>
      <c r="I286" s="41"/>
      <c r="J286" s="42"/>
    </row>
    <row r="287" ht="22.5" customHeight="1">
      <c r="A287" s="39"/>
      <c r="B287" s="29"/>
      <c r="C287" s="16"/>
      <c r="D287" s="41"/>
      <c r="E287" s="41"/>
      <c r="F287" s="30"/>
      <c r="G287" s="31"/>
      <c r="H287" s="31"/>
      <c r="I287" s="41"/>
      <c r="J287" s="42"/>
    </row>
    <row r="288" ht="22.5" customHeight="1">
      <c r="A288" s="39"/>
      <c r="B288" s="29"/>
      <c r="C288" s="16"/>
      <c r="D288" s="41"/>
      <c r="E288" s="41"/>
      <c r="F288" s="30"/>
      <c r="G288" s="31"/>
      <c r="H288" s="31"/>
      <c r="I288" s="41"/>
      <c r="J288" s="42"/>
    </row>
    <row r="289" ht="22.5" customHeight="1">
      <c r="A289" s="39"/>
      <c r="B289" s="29"/>
      <c r="C289" s="16"/>
      <c r="D289" s="41"/>
      <c r="E289" s="41"/>
      <c r="F289" s="30"/>
      <c r="G289" s="31"/>
      <c r="H289" s="31"/>
      <c r="I289" s="41"/>
      <c r="J289" s="42"/>
    </row>
    <row r="290" ht="22.5" customHeight="1">
      <c r="A290" s="39"/>
      <c r="B290" s="29"/>
      <c r="C290" s="16"/>
      <c r="D290" s="41"/>
      <c r="E290" s="41"/>
      <c r="F290" s="30"/>
      <c r="G290" s="31"/>
      <c r="H290" s="31"/>
      <c r="I290" s="41"/>
      <c r="J290" s="42"/>
    </row>
    <row r="291" ht="22.5" customHeight="1">
      <c r="A291" s="39"/>
      <c r="B291" s="29"/>
      <c r="C291" s="16"/>
      <c r="D291" s="41"/>
      <c r="E291" s="41"/>
      <c r="F291" s="30"/>
      <c r="G291" s="31"/>
      <c r="H291" s="31"/>
      <c r="I291" s="41"/>
      <c r="J291" s="42"/>
    </row>
    <row r="292" ht="22.5" customHeight="1">
      <c r="A292" s="39"/>
      <c r="B292" s="29"/>
      <c r="C292" s="16"/>
      <c r="D292" s="41"/>
      <c r="E292" s="41"/>
      <c r="F292" s="30"/>
      <c r="G292" s="31"/>
      <c r="H292" s="31"/>
      <c r="I292" s="41"/>
      <c r="J292" s="42"/>
    </row>
    <row r="293" ht="22.5" customHeight="1">
      <c r="A293" s="39"/>
      <c r="B293" s="29"/>
      <c r="C293" s="16"/>
      <c r="D293" s="41"/>
      <c r="E293" s="41"/>
      <c r="F293" s="30"/>
      <c r="G293" s="31"/>
      <c r="H293" s="31"/>
      <c r="I293" s="41"/>
      <c r="J293" s="42"/>
    </row>
    <row r="294" ht="22.5" customHeight="1">
      <c r="A294" s="39"/>
      <c r="B294" s="29"/>
      <c r="C294" s="16"/>
      <c r="D294" s="41"/>
      <c r="E294" s="41"/>
      <c r="F294" s="30"/>
      <c r="G294" s="31"/>
      <c r="H294" s="31"/>
      <c r="I294" s="41"/>
      <c r="J294" s="42"/>
    </row>
    <row r="295" ht="22.5" customHeight="1">
      <c r="A295" s="39"/>
      <c r="B295" s="29"/>
      <c r="C295" s="16"/>
      <c r="D295" s="41"/>
      <c r="E295" s="41"/>
      <c r="F295" s="30"/>
      <c r="G295" s="31"/>
      <c r="H295" s="31"/>
      <c r="I295" s="41"/>
      <c r="J295" s="42"/>
    </row>
    <row r="296" ht="22.5" customHeight="1">
      <c r="A296" s="39"/>
      <c r="B296" s="29"/>
      <c r="C296" s="16"/>
      <c r="D296" s="41"/>
      <c r="E296" s="41"/>
      <c r="F296" s="30"/>
      <c r="G296" s="31"/>
      <c r="H296" s="31"/>
      <c r="I296" s="41"/>
      <c r="J296" s="42"/>
    </row>
    <row r="297" ht="22.5" customHeight="1">
      <c r="A297" s="39"/>
      <c r="B297" s="29"/>
      <c r="C297" s="16"/>
      <c r="D297" s="41"/>
      <c r="E297" s="41"/>
      <c r="F297" s="30"/>
      <c r="G297" s="31"/>
      <c r="H297" s="31"/>
      <c r="I297" s="41"/>
      <c r="J297" s="42"/>
    </row>
    <row r="298" ht="22.5" customHeight="1">
      <c r="A298" s="39"/>
      <c r="B298" s="29"/>
      <c r="C298" s="16"/>
      <c r="D298" s="41"/>
      <c r="E298" s="41"/>
      <c r="F298" s="30"/>
      <c r="G298" s="31"/>
      <c r="H298" s="31"/>
      <c r="I298" s="41"/>
      <c r="J298" s="42"/>
    </row>
    <row r="299" ht="22.5" customHeight="1">
      <c r="A299" s="39"/>
      <c r="B299" s="29"/>
      <c r="C299" s="16"/>
      <c r="D299" s="41"/>
      <c r="E299" s="41"/>
      <c r="F299" s="30"/>
      <c r="G299" s="31"/>
      <c r="H299" s="31"/>
      <c r="I299" s="41"/>
      <c r="J299" s="42"/>
    </row>
    <row r="300" ht="22.5" customHeight="1">
      <c r="A300" s="39"/>
      <c r="B300" s="29"/>
      <c r="C300" s="16"/>
      <c r="D300" s="41"/>
      <c r="E300" s="41"/>
      <c r="F300" s="30"/>
      <c r="G300" s="31"/>
      <c r="H300" s="31"/>
      <c r="I300" s="41"/>
      <c r="J300" s="42"/>
    </row>
    <row r="301" ht="22.5" customHeight="1">
      <c r="A301" s="39"/>
      <c r="B301" s="29"/>
      <c r="C301" s="16"/>
      <c r="D301" s="41"/>
      <c r="E301" s="41"/>
      <c r="F301" s="30"/>
      <c r="G301" s="31"/>
      <c r="H301" s="31"/>
      <c r="I301" s="41"/>
      <c r="J301" s="42"/>
    </row>
    <row r="302" ht="22.5" customHeight="1">
      <c r="A302" s="39"/>
      <c r="B302" s="29"/>
      <c r="C302" s="16"/>
      <c r="D302" s="41"/>
      <c r="E302" s="41"/>
      <c r="F302" s="30"/>
      <c r="G302" s="31"/>
      <c r="H302" s="31"/>
      <c r="I302" s="41"/>
      <c r="J302" s="42"/>
    </row>
    <row r="303" ht="22.5" customHeight="1">
      <c r="A303" s="39"/>
      <c r="B303" s="29"/>
      <c r="C303" s="16"/>
      <c r="D303" s="41"/>
      <c r="E303" s="41"/>
      <c r="F303" s="30"/>
      <c r="G303" s="31"/>
      <c r="H303" s="31"/>
      <c r="I303" s="41"/>
      <c r="J303" s="42"/>
    </row>
    <row r="304" ht="22.5" customHeight="1">
      <c r="A304" s="39"/>
      <c r="B304" s="29"/>
      <c r="C304" s="16"/>
      <c r="D304" s="41"/>
      <c r="E304" s="41"/>
      <c r="F304" s="30"/>
      <c r="G304" s="31"/>
      <c r="H304" s="31"/>
      <c r="I304" s="41"/>
      <c r="J304" s="42"/>
    </row>
    <row r="305" ht="22.5" customHeight="1">
      <c r="A305" s="39"/>
      <c r="B305" s="29"/>
      <c r="C305" s="16"/>
      <c r="D305" s="41"/>
      <c r="E305" s="41"/>
      <c r="F305" s="30"/>
      <c r="G305" s="31"/>
      <c r="H305" s="31"/>
      <c r="I305" s="41"/>
      <c r="J305" s="42"/>
    </row>
    <row r="306" ht="22.5" customHeight="1">
      <c r="A306" s="39"/>
      <c r="B306" s="29"/>
      <c r="C306" s="16"/>
      <c r="D306" s="41"/>
      <c r="E306" s="41"/>
      <c r="F306" s="30"/>
      <c r="G306" s="31"/>
      <c r="H306" s="31"/>
      <c r="I306" s="41"/>
      <c r="J306" s="42"/>
    </row>
    <row r="307" ht="22.5" customHeight="1">
      <c r="A307" s="39"/>
      <c r="B307" s="29"/>
      <c r="C307" s="16"/>
      <c r="D307" s="41"/>
      <c r="E307" s="41"/>
      <c r="F307" s="30"/>
      <c r="G307" s="31"/>
      <c r="H307" s="31"/>
      <c r="I307" s="41"/>
      <c r="J307" s="42"/>
    </row>
    <row r="308" ht="22.5" customHeight="1">
      <c r="A308" s="39"/>
      <c r="B308" s="29"/>
      <c r="C308" s="16"/>
      <c r="D308" s="41"/>
      <c r="E308" s="41"/>
      <c r="F308" s="30"/>
      <c r="G308" s="31"/>
      <c r="H308" s="31"/>
      <c r="I308" s="41"/>
      <c r="J308" s="42"/>
    </row>
    <row r="309" ht="22.5" customHeight="1">
      <c r="A309" s="39"/>
      <c r="B309" s="29"/>
      <c r="C309" s="16"/>
      <c r="D309" s="41"/>
      <c r="E309" s="41"/>
      <c r="F309" s="30"/>
      <c r="G309" s="31"/>
      <c r="H309" s="31"/>
      <c r="I309" s="41"/>
      <c r="J309" s="42"/>
    </row>
    <row r="310" ht="22.5" customHeight="1">
      <c r="A310" s="39"/>
      <c r="B310" s="29"/>
      <c r="C310" s="16"/>
      <c r="D310" s="41"/>
      <c r="E310" s="41"/>
      <c r="F310" s="30"/>
      <c r="G310" s="31"/>
      <c r="H310" s="31"/>
      <c r="I310" s="41"/>
      <c r="J310" s="42"/>
    </row>
    <row r="311" ht="22.5" customHeight="1">
      <c r="A311" s="39"/>
      <c r="B311" s="29"/>
      <c r="C311" s="16"/>
      <c r="D311" s="41"/>
      <c r="E311" s="41"/>
      <c r="F311" s="30"/>
      <c r="G311" s="31"/>
      <c r="H311" s="31"/>
      <c r="I311" s="41"/>
      <c r="J311" s="42"/>
    </row>
    <row r="312" ht="22.5" customHeight="1">
      <c r="A312" s="39"/>
      <c r="B312" s="29"/>
      <c r="C312" s="16"/>
      <c r="D312" s="41"/>
      <c r="E312" s="41"/>
      <c r="F312" s="30"/>
      <c r="G312" s="31"/>
      <c r="H312" s="31"/>
      <c r="I312" s="41"/>
      <c r="J312" s="42"/>
    </row>
    <row r="313" ht="22.5" customHeight="1">
      <c r="A313" s="39"/>
      <c r="B313" s="29"/>
      <c r="C313" s="16"/>
      <c r="D313" s="41"/>
      <c r="E313" s="41"/>
      <c r="F313" s="30"/>
      <c r="G313" s="31"/>
      <c r="H313" s="31"/>
      <c r="I313" s="41"/>
      <c r="J313" s="42"/>
    </row>
    <row r="314" ht="22.5" customHeight="1">
      <c r="A314" s="39"/>
      <c r="B314" s="29"/>
      <c r="C314" s="16"/>
      <c r="D314" s="41"/>
      <c r="E314" s="41"/>
      <c r="F314" s="30"/>
      <c r="G314" s="31"/>
      <c r="H314" s="31"/>
      <c r="I314" s="41"/>
      <c r="J314" s="42"/>
    </row>
    <row r="315" ht="22.5" customHeight="1">
      <c r="A315" s="39"/>
      <c r="B315" s="29"/>
      <c r="C315" s="16"/>
      <c r="D315" s="41"/>
      <c r="E315" s="41"/>
      <c r="F315" s="30"/>
      <c r="G315" s="31"/>
      <c r="H315" s="31"/>
      <c r="I315" s="41"/>
      <c r="J315" s="42"/>
    </row>
    <row r="316" ht="22.5" customHeight="1">
      <c r="A316" s="39"/>
      <c r="B316" s="29"/>
      <c r="C316" s="16"/>
      <c r="D316" s="41"/>
      <c r="E316" s="41"/>
      <c r="F316" s="30"/>
      <c r="G316" s="31"/>
      <c r="H316" s="31"/>
      <c r="I316" s="41"/>
      <c r="J316" s="42"/>
    </row>
    <row r="317" ht="22.5" customHeight="1">
      <c r="A317" s="39"/>
      <c r="B317" s="29"/>
      <c r="C317" s="16"/>
      <c r="D317" s="41"/>
      <c r="E317" s="41"/>
      <c r="F317" s="30"/>
      <c r="G317" s="31"/>
      <c r="H317" s="31"/>
      <c r="I317" s="41"/>
      <c r="J317" s="42"/>
    </row>
    <row r="318" ht="22.5" customHeight="1">
      <c r="A318" s="39"/>
      <c r="B318" s="29"/>
      <c r="C318" s="16"/>
      <c r="D318" s="41"/>
      <c r="E318" s="41"/>
      <c r="F318" s="30"/>
      <c r="G318" s="31"/>
      <c r="H318" s="31"/>
      <c r="I318" s="41"/>
      <c r="J318" s="42"/>
    </row>
    <row r="319" ht="22.5" customHeight="1">
      <c r="A319" s="39"/>
      <c r="B319" s="29"/>
      <c r="C319" s="16"/>
      <c r="D319" s="41"/>
      <c r="E319" s="41"/>
      <c r="F319" s="30"/>
      <c r="G319" s="31"/>
      <c r="H319" s="31"/>
      <c r="I319" s="41"/>
      <c r="J319" s="42"/>
    </row>
    <row r="320" ht="22.5" customHeight="1">
      <c r="A320" s="39"/>
      <c r="B320" s="29"/>
      <c r="C320" s="16"/>
      <c r="D320" s="41"/>
      <c r="E320" s="41"/>
      <c r="F320" s="30"/>
      <c r="G320" s="31"/>
      <c r="H320" s="31"/>
      <c r="I320" s="41"/>
      <c r="J320" s="42"/>
    </row>
    <row r="321" ht="22.5" customHeight="1">
      <c r="A321" s="39"/>
      <c r="B321" s="29"/>
      <c r="C321" s="16"/>
      <c r="D321" s="41"/>
      <c r="E321" s="41"/>
      <c r="F321" s="30"/>
      <c r="G321" s="31"/>
      <c r="H321" s="31"/>
      <c r="I321" s="41"/>
      <c r="J321" s="42"/>
    </row>
    <row r="322" ht="22.5" customHeight="1">
      <c r="A322" s="39"/>
      <c r="B322" s="29"/>
      <c r="C322" s="16"/>
      <c r="D322" s="41"/>
      <c r="E322" s="41"/>
      <c r="F322" s="30"/>
      <c r="G322" s="31"/>
      <c r="H322" s="31"/>
      <c r="I322" s="41"/>
      <c r="J322" s="42"/>
    </row>
    <row r="323" ht="22.5" customHeight="1">
      <c r="A323" s="39"/>
      <c r="B323" s="29"/>
      <c r="C323" s="16"/>
      <c r="D323" s="41"/>
      <c r="E323" s="41"/>
      <c r="F323" s="30"/>
      <c r="G323" s="31"/>
      <c r="H323" s="31"/>
      <c r="I323" s="41"/>
      <c r="J323" s="42"/>
    </row>
    <row r="324" ht="22.5" customHeight="1">
      <c r="A324" s="39"/>
      <c r="B324" s="29"/>
      <c r="C324" s="16"/>
      <c r="D324" s="41"/>
      <c r="E324" s="41"/>
      <c r="F324" s="30"/>
      <c r="G324" s="31"/>
      <c r="H324" s="31"/>
      <c r="I324" s="41"/>
      <c r="J324" s="42"/>
    </row>
    <row r="325" ht="22.5" customHeight="1">
      <c r="A325" s="39"/>
      <c r="B325" s="29"/>
      <c r="C325" s="16"/>
      <c r="D325" s="41"/>
      <c r="E325" s="41"/>
      <c r="F325" s="30"/>
      <c r="G325" s="31"/>
      <c r="H325" s="31"/>
      <c r="I325" s="41"/>
      <c r="J325" s="42"/>
    </row>
    <row r="326" ht="22.5" customHeight="1">
      <c r="A326" s="39"/>
      <c r="B326" s="29"/>
      <c r="C326" s="16"/>
      <c r="D326" s="41"/>
      <c r="E326" s="41"/>
      <c r="F326" s="30"/>
      <c r="G326" s="31"/>
      <c r="H326" s="31"/>
      <c r="I326" s="41"/>
      <c r="J326" s="42"/>
    </row>
    <row r="327" ht="22.5" customHeight="1">
      <c r="A327" s="39"/>
      <c r="B327" s="29"/>
      <c r="C327" s="16"/>
      <c r="D327" s="41"/>
      <c r="E327" s="41"/>
      <c r="F327" s="30"/>
      <c r="G327" s="31"/>
      <c r="H327" s="31"/>
      <c r="I327" s="41"/>
      <c r="J327" s="42"/>
    </row>
    <row r="328" ht="22.5" customHeight="1">
      <c r="A328" s="39"/>
      <c r="B328" s="29"/>
      <c r="C328" s="16"/>
      <c r="D328" s="41"/>
      <c r="E328" s="41"/>
      <c r="F328" s="30"/>
      <c r="G328" s="31"/>
      <c r="H328" s="31"/>
      <c r="I328" s="41"/>
      <c r="J328" s="42"/>
    </row>
    <row r="329" ht="22.5" customHeight="1">
      <c r="A329" s="39"/>
      <c r="B329" s="29"/>
      <c r="C329" s="16"/>
      <c r="D329" s="41"/>
      <c r="E329" s="41"/>
      <c r="F329" s="30"/>
      <c r="G329" s="31"/>
      <c r="H329" s="31"/>
      <c r="I329" s="41"/>
      <c r="J329" s="42"/>
    </row>
    <row r="330" ht="22.5" customHeight="1">
      <c r="A330" s="39"/>
      <c r="B330" s="29"/>
      <c r="C330" s="16"/>
      <c r="D330" s="41"/>
      <c r="E330" s="41"/>
      <c r="F330" s="30"/>
      <c r="G330" s="31"/>
      <c r="H330" s="31"/>
      <c r="I330" s="41"/>
      <c r="J330" s="42"/>
    </row>
    <row r="331" ht="22.5" customHeight="1">
      <c r="A331" s="39"/>
      <c r="B331" s="29"/>
      <c r="C331" s="16"/>
      <c r="D331" s="41"/>
      <c r="E331" s="41"/>
      <c r="F331" s="30"/>
      <c r="G331" s="31"/>
      <c r="H331" s="31"/>
      <c r="I331" s="41"/>
      <c r="J331" s="42"/>
    </row>
    <row r="332" ht="22.5" customHeight="1">
      <c r="A332" s="39"/>
      <c r="B332" s="29"/>
      <c r="C332" s="16"/>
      <c r="D332" s="41"/>
      <c r="E332" s="41"/>
      <c r="F332" s="30"/>
      <c r="G332" s="31"/>
      <c r="H332" s="31"/>
      <c r="I332" s="41"/>
      <c r="J332" s="42"/>
    </row>
    <row r="333" ht="22.5" customHeight="1">
      <c r="A333" s="39"/>
      <c r="B333" s="29"/>
      <c r="C333" s="16"/>
      <c r="D333" s="41"/>
      <c r="E333" s="41"/>
      <c r="F333" s="30"/>
      <c r="G333" s="31"/>
      <c r="H333" s="31"/>
      <c r="I333" s="41"/>
      <c r="J333" s="42"/>
    </row>
    <row r="334" ht="22.5" customHeight="1">
      <c r="A334" s="39"/>
      <c r="B334" s="29"/>
      <c r="C334" s="16"/>
      <c r="D334" s="41"/>
      <c r="E334" s="41"/>
      <c r="F334" s="30"/>
      <c r="G334" s="31"/>
      <c r="H334" s="31"/>
      <c r="I334" s="41"/>
      <c r="J334" s="42"/>
    </row>
    <row r="335" ht="22.5" customHeight="1">
      <c r="A335" s="39"/>
      <c r="B335" s="29"/>
      <c r="C335" s="16"/>
      <c r="D335" s="41"/>
      <c r="E335" s="41"/>
      <c r="F335" s="30"/>
      <c r="G335" s="31"/>
      <c r="H335" s="31"/>
      <c r="I335" s="41"/>
      <c r="J335" s="42"/>
    </row>
    <row r="336" ht="22.5" customHeight="1">
      <c r="A336" s="39"/>
      <c r="B336" s="29"/>
      <c r="C336" s="16"/>
      <c r="D336" s="41"/>
      <c r="E336" s="41"/>
      <c r="F336" s="30"/>
      <c r="G336" s="31"/>
      <c r="H336" s="31"/>
      <c r="I336" s="41"/>
      <c r="J336" s="42"/>
    </row>
    <row r="337" ht="22.5" customHeight="1">
      <c r="A337" s="39"/>
      <c r="B337" s="29"/>
      <c r="C337" s="16"/>
      <c r="D337" s="41"/>
      <c r="E337" s="41"/>
      <c r="F337" s="30"/>
      <c r="G337" s="31"/>
      <c r="H337" s="31"/>
      <c r="I337" s="41"/>
      <c r="J337" s="42"/>
    </row>
    <row r="338" ht="22.5" customHeight="1">
      <c r="A338" s="39"/>
      <c r="B338" s="29"/>
      <c r="C338" s="16"/>
      <c r="D338" s="41"/>
      <c r="E338" s="41"/>
      <c r="F338" s="30"/>
      <c r="G338" s="31"/>
      <c r="H338" s="31"/>
      <c r="I338" s="41"/>
      <c r="J338" s="42"/>
    </row>
    <row r="339" ht="22.5" customHeight="1">
      <c r="A339" s="39"/>
      <c r="B339" s="29"/>
      <c r="C339" s="16"/>
      <c r="D339" s="41"/>
      <c r="E339" s="41"/>
      <c r="F339" s="30"/>
      <c r="G339" s="31"/>
      <c r="H339" s="31"/>
      <c r="I339" s="41"/>
      <c r="J339" s="42"/>
    </row>
    <row r="340" ht="22.5" customHeight="1">
      <c r="A340" s="39"/>
      <c r="B340" s="29"/>
      <c r="C340" s="16"/>
      <c r="D340" s="41"/>
      <c r="E340" s="41"/>
      <c r="F340" s="30"/>
      <c r="G340" s="31"/>
      <c r="H340" s="31"/>
      <c r="I340" s="41"/>
      <c r="J340" s="42"/>
    </row>
    <row r="341" ht="22.5" customHeight="1">
      <c r="A341" s="39"/>
      <c r="B341" s="29"/>
      <c r="C341" s="16"/>
      <c r="D341" s="41"/>
      <c r="E341" s="41"/>
      <c r="F341" s="30"/>
      <c r="G341" s="31"/>
      <c r="H341" s="31"/>
      <c r="I341" s="41"/>
      <c r="J341" s="42"/>
    </row>
    <row r="342" ht="22.5" customHeight="1">
      <c r="A342" s="39"/>
      <c r="B342" s="29"/>
      <c r="C342" s="16"/>
      <c r="D342" s="41"/>
      <c r="E342" s="41"/>
      <c r="F342" s="30"/>
      <c r="G342" s="31"/>
      <c r="H342" s="31"/>
      <c r="I342" s="41"/>
      <c r="J342" s="42"/>
    </row>
    <row r="343" ht="22.5" customHeight="1">
      <c r="A343" s="39"/>
      <c r="B343" s="29"/>
      <c r="C343" s="16"/>
      <c r="D343" s="41"/>
      <c r="E343" s="41"/>
      <c r="F343" s="30"/>
      <c r="G343" s="31"/>
      <c r="H343" s="31"/>
      <c r="I343" s="41"/>
      <c r="J343" s="42"/>
    </row>
    <row r="344" ht="22.5" customHeight="1">
      <c r="A344" s="39"/>
      <c r="B344" s="29"/>
      <c r="C344" s="16"/>
      <c r="D344" s="41"/>
      <c r="E344" s="41"/>
      <c r="F344" s="30"/>
      <c r="G344" s="31"/>
      <c r="H344" s="31"/>
      <c r="I344" s="41"/>
      <c r="J344" s="42"/>
    </row>
    <row r="345" ht="22.5" customHeight="1">
      <c r="A345" s="39"/>
      <c r="B345" s="29"/>
      <c r="C345" s="16"/>
      <c r="D345" s="41"/>
      <c r="E345" s="41"/>
      <c r="F345" s="30"/>
      <c r="G345" s="31"/>
      <c r="H345" s="31"/>
      <c r="I345" s="41"/>
      <c r="J345" s="42"/>
    </row>
    <row r="346" ht="22.5" customHeight="1">
      <c r="A346" s="39"/>
      <c r="B346" s="29"/>
      <c r="C346" s="16"/>
      <c r="D346" s="41"/>
      <c r="E346" s="41"/>
      <c r="F346" s="30"/>
      <c r="G346" s="31"/>
      <c r="H346" s="31"/>
      <c r="I346" s="41"/>
      <c r="J346" s="42"/>
    </row>
    <row r="347" ht="22.5" customHeight="1">
      <c r="A347" s="39"/>
      <c r="B347" s="29"/>
      <c r="C347" s="16"/>
      <c r="D347" s="41"/>
      <c r="E347" s="41"/>
      <c r="F347" s="30"/>
      <c r="G347" s="31"/>
      <c r="H347" s="31"/>
      <c r="I347" s="41"/>
      <c r="J347" s="42"/>
    </row>
    <row r="348" ht="22.5" customHeight="1">
      <c r="A348" s="39"/>
      <c r="B348" s="29"/>
      <c r="C348" s="16"/>
      <c r="D348" s="41"/>
      <c r="E348" s="41"/>
      <c r="F348" s="30"/>
      <c r="G348" s="31"/>
      <c r="H348" s="31"/>
      <c r="I348" s="41"/>
      <c r="J348" s="42"/>
    </row>
    <row r="349" ht="22.5" customHeight="1">
      <c r="A349" s="39"/>
      <c r="B349" s="29"/>
      <c r="C349" s="16"/>
      <c r="D349" s="41"/>
      <c r="E349" s="41"/>
      <c r="F349" s="30"/>
      <c r="G349" s="31"/>
      <c r="H349" s="31"/>
      <c r="I349" s="41"/>
      <c r="J349" s="42"/>
    </row>
    <row r="350" ht="22.5" customHeight="1">
      <c r="A350" s="39"/>
      <c r="B350" s="29"/>
      <c r="C350" s="16"/>
      <c r="D350" s="41"/>
      <c r="E350" s="41"/>
      <c r="F350" s="30"/>
      <c r="G350" s="31"/>
      <c r="H350" s="31"/>
      <c r="I350" s="41"/>
      <c r="J350" s="42"/>
    </row>
    <row r="351" ht="22.5" customHeight="1">
      <c r="A351" s="39"/>
      <c r="B351" s="29"/>
      <c r="C351" s="16"/>
      <c r="D351" s="41"/>
      <c r="E351" s="41"/>
      <c r="F351" s="30"/>
      <c r="G351" s="31"/>
      <c r="H351" s="31"/>
      <c r="I351" s="41"/>
      <c r="J351" s="42"/>
    </row>
    <row r="352" ht="22.5" customHeight="1">
      <c r="A352" s="39"/>
      <c r="B352" s="29"/>
      <c r="C352" s="16"/>
      <c r="D352" s="41"/>
      <c r="E352" s="41"/>
      <c r="F352" s="30"/>
      <c r="G352" s="31"/>
      <c r="H352" s="31"/>
      <c r="I352" s="41"/>
      <c r="J352" s="42"/>
    </row>
    <row r="353" ht="22.5" customHeight="1">
      <c r="A353" s="39"/>
      <c r="B353" s="29"/>
      <c r="C353" s="16"/>
      <c r="D353" s="41"/>
      <c r="E353" s="41"/>
      <c r="F353" s="30"/>
      <c r="G353" s="31"/>
      <c r="H353" s="31"/>
      <c r="I353" s="41"/>
      <c r="J353" s="42"/>
    </row>
    <row r="354" ht="22.5" customHeight="1">
      <c r="A354" s="39"/>
      <c r="B354" s="29"/>
      <c r="C354" s="16"/>
      <c r="D354" s="41"/>
      <c r="E354" s="41"/>
      <c r="F354" s="30"/>
      <c r="G354" s="31"/>
      <c r="H354" s="31"/>
      <c r="I354" s="41"/>
      <c r="J354" s="42"/>
    </row>
    <row r="355" ht="22.5" customHeight="1">
      <c r="A355" s="39"/>
      <c r="B355" s="29"/>
      <c r="C355" s="16"/>
      <c r="D355" s="41"/>
      <c r="E355" s="41"/>
      <c r="F355" s="30"/>
      <c r="G355" s="31"/>
      <c r="H355" s="31"/>
      <c r="I355" s="41"/>
      <c r="J355" s="42"/>
    </row>
    <row r="356" ht="22.5" customHeight="1">
      <c r="A356" s="39"/>
      <c r="B356" s="29"/>
      <c r="C356" s="16"/>
      <c r="D356" s="41"/>
      <c r="E356" s="41"/>
      <c r="F356" s="30"/>
      <c r="G356" s="31"/>
      <c r="H356" s="31"/>
      <c r="I356" s="41"/>
      <c r="J356" s="42"/>
    </row>
    <row r="357" ht="22.5" customHeight="1">
      <c r="A357" s="39"/>
      <c r="B357" s="29"/>
      <c r="C357" s="16"/>
      <c r="D357" s="41"/>
      <c r="E357" s="41"/>
      <c r="F357" s="30"/>
      <c r="G357" s="31"/>
      <c r="H357" s="31"/>
      <c r="I357" s="41"/>
      <c r="J357" s="42"/>
    </row>
    <row r="358" ht="22.5" customHeight="1">
      <c r="A358" s="39"/>
      <c r="B358" s="29"/>
      <c r="C358" s="16"/>
      <c r="D358" s="41"/>
      <c r="E358" s="41"/>
      <c r="F358" s="30"/>
      <c r="G358" s="31"/>
      <c r="H358" s="31"/>
      <c r="I358" s="41"/>
      <c r="J358" s="42"/>
    </row>
    <row r="359" ht="22.5" customHeight="1">
      <c r="A359" s="39"/>
      <c r="B359" s="29"/>
      <c r="C359" s="16"/>
      <c r="D359" s="41"/>
      <c r="E359" s="41"/>
      <c r="F359" s="30"/>
      <c r="G359" s="31"/>
      <c r="H359" s="31"/>
      <c r="I359" s="41"/>
      <c r="J359" s="42"/>
    </row>
    <row r="360" ht="22.5" customHeight="1">
      <c r="A360" s="39"/>
      <c r="B360" s="29"/>
      <c r="C360" s="16"/>
      <c r="D360" s="41"/>
      <c r="E360" s="41"/>
      <c r="F360" s="30"/>
      <c r="G360" s="31"/>
      <c r="H360" s="31"/>
      <c r="I360" s="41"/>
      <c r="J360" s="42"/>
    </row>
    <row r="361" ht="22.5" customHeight="1">
      <c r="A361" s="39"/>
      <c r="B361" s="29"/>
      <c r="C361" s="16"/>
      <c r="D361" s="41"/>
      <c r="E361" s="41"/>
      <c r="F361" s="30"/>
      <c r="G361" s="31"/>
      <c r="H361" s="31"/>
      <c r="I361" s="41"/>
      <c r="J361" s="42"/>
    </row>
    <row r="362" ht="22.5" customHeight="1">
      <c r="A362" s="39"/>
      <c r="B362" s="29"/>
      <c r="C362" s="16"/>
      <c r="D362" s="41"/>
      <c r="E362" s="41"/>
      <c r="F362" s="30"/>
      <c r="G362" s="31"/>
      <c r="H362" s="31"/>
      <c r="I362" s="41"/>
      <c r="J362" s="42"/>
    </row>
    <row r="363" ht="22.5" customHeight="1">
      <c r="A363" s="39"/>
      <c r="B363" s="29"/>
      <c r="C363" s="16"/>
      <c r="D363" s="41"/>
      <c r="E363" s="41"/>
      <c r="F363" s="30"/>
      <c r="G363" s="31"/>
      <c r="H363" s="31"/>
      <c r="I363" s="41"/>
      <c r="J363" s="42"/>
    </row>
    <row r="364" ht="22.5" customHeight="1">
      <c r="A364" s="39"/>
      <c r="B364" s="29"/>
      <c r="C364" s="16"/>
      <c r="D364" s="41"/>
      <c r="E364" s="41"/>
      <c r="F364" s="30"/>
      <c r="G364" s="31"/>
      <c r="H364" s="31"/>
      <c r="I364" s="41"/>
      <c r="J364" s="42"/>
    </row>
    <row r="365" ht="22.5" customHeight="1">
      <c r="A365" s="39"/>
      <c r="B365" s="29"/>
      <c r="C365" s="16"/>
      <c r="D365" s="41"/>
      <c r="E365" s="41"/>
      <c r="F365" s="30"/>
      <c r="G365" s="31"/>
      <c r="H365" s="31"/>
      <c r="I365" s="41"/>
      <c r="J365" s="42"/>
    </row>
    <row r="366" ht="22.5" customHeight="1">
      <c r="A366" s="39"/>
      <c r="B366" s="29"/>
      <c r="C366" s="16"/>
      <c r="D366" s="41"/>
      <c r="E366" s="41"/>
      <c r="F366" s="30"/>
      <c r="G366" s="31"/>
      <c r="H366" s="31"/>
      <c r="I366" s="41"/>
      <c r="J366" s="42"/>
    </row>
    <row r="367" ht="22.5" customHeight="1">
      <c r="A367" s="39"/>
      <c r="B367" s="29"/>
      <c r="C367" s="16"/>
      <c r="D367" s="41"/>
      <c r="E367" s="41"/>
      <c r="F367" s="30"/>
      <c r="G367" s="31"/>
      <c r="H367" s="31"/>
      <c r="I367" s="41"/>
      <c r="J367" s="42"/>
    </row>
    <row r="368" ht="22.5" customHeight="1">
      <c r="A368" s="39"/>
      <c r="B368" s="29"/>
      <c r="C368" s="16"/>
      <c r="D368" s="41"/>
      <c r="E368" s="41"/>
      <c r="F368" s="30"/>
      <c r="G368" s="31"/>
      <c r="H368" s="31"/>
      <c r="I368" s="41"/>
      <c r="J368" s="42"/>
    </row>
    <row r="369" ht="22.5" customHeight="1">
      <c r="A369" s="39"/>
      <c r="B369" s="29"/>
      <c r="C369" s="16"/>
      <c r="D369" s="41"/>
      <c r="E369" s="41"/>
      <c r="F369" s="30"/>
      <c r="G369" s="31"/>
      <c r="H369" s="31"/>
      <c r="I369" s="41"/>
      <c r="J369" s="42"/>
    </row>
    <row r="370" ht="22.5" customHeight="1">
      <c r="A370" s="39"/>
      <c r="B370" s="29"/>
      <c r="C370" s="16"/>
      <c r="D370" s="41"/>
      <c r="E370" s="41"/>
      <c r="F370" s="30"/>
      <c r="G370" s="31"/>
      <c r="H370" s="31"/>
      <c r="I370" s="41"/>
      <c r="J370" s="42"/>
    </row>
    <row r="371" ht="22.5" customHeight="1">
      <c r="A371" s="39"/>
      <c r="B371" s="29"/>
      <c r="C371" s="16"/>
      <c r="D371" s="41"/>
      <c r="E371" s="41"/>
      <c r="F371" s="30"/>
      <c r="G371" s="31"/>
      <c r="H371" s="31"/>
      <c r="I371" s="41"/>
      <c r="J371" s="42"/>
    </row>
    <row r="372" ht="22.5" customHeight="1">
      <c r="A372" s="39"/>
      <c r="B372" s="29"/>
      <c r="C372" s="16"/>
      <c r="D372" s="41"/>
      <c r="E372" s="41"/>
      <c r="F372" s="30"/>
      <c r="G372" s="31"/>
      <c r="H372" s="31"/>
      <c r="I372" s="41"/>
      <c r="J372" s="42"/>
    </row>
    <row r="373" ht="22.5" customHeight="1">
      <c r="A373" s="39"/>
      <c r="B373" s="29"/>
      <c r="C373" s="16"/>
      <c r="D373" s="41"/>
      <c r="E373" s="41"/>
      <c r="F373" s="30"/>
      <c r="G373" s="31"/>
      <c r="H373" s="31"/>
      <c r="I373" s="41"/>
      <c r="J373" s="42"/>
    </row>
    <row r="374" ht="22.5" customHeight="1">
      <c r="A374" s="39"/>
      <c r="B374" s="29"/>
      <c r="C374" s="16"/>
      <c r="D374" s="41"/>
      <c r="E374" s="41"/>
      <c r="F374" s="30"/>
      <c r="G374" s="31"/>
      <c r="H374" s="31"/>
      <c r="I374" s="41"/>
      <c r="J374" s="42"/>
    </row>
    <row r="375" ht="22.5" customHeight="1">
      <c r="A375" s="39"/>
      <c r="B375" s="29"/>
      <c r="C375" s="16"/>
      <c r="D375" s="41"/>
      <c r="E375" s="41"/>
      <c r="F375" s="30"/>
      <c r="G375" s="31"/>
      <c r="H375" s="31"/>
      <c r="I375" s="41"/>
      <c r="J375" s="42"/>
    </row>
    <row r="376" ht="22.5" customHeight="1">
      <c r="A376" s="39"/>
      <c r="B376" s="29"/>
      <c r="C376" s="16"/>
      <c r="D376" s="41"/>
      <c r="E376" s="41"/>
      <c r="F376" s="30"/>
      <c r="G376" s="31"/>
      <c r="H376" s="31"/>
      <c r="I376" s="41"/>
      <c r="J376" s="42"/>
    </row>
    <row r="377" ht="22.5" customHeight="1">
      <c r="A377" s="39"/>
      <c r="B377" s="29"/>
      <c r="C377" s="16"/>
      <c r="D377" s="41"/>
      <c r="E377" s="41"/>
      <c r="F377" s="30"/>
      <c r="G377" s="31"/>
      <c r="H377" s="31"/>
      <c r="I377" s="41"/>
      <c r="J377" s="42"/>
    </row>
    <row r="378" ht="22.5" customHeight="1">
      <c r="A378" s="39"/>
      <c r="B378" s="29"/>
      <c r="C378" s="16"/>
      <c r="D378" s="41"/>
      <c r="E378" s="41"/>
      <c r="F378" s="30"/>
      <c r="G378" s="31"/>
      <c r="H378" s="31"/>
      <c r="I378" s="41"/>
      <c r="J378" s="42"/>
    </row>
    <row r="379" ht="22.5" customHeight="1">
      <c r="A379" s="39"/>
      <c r="B379" s="29"/>
      <c r="C379" s="16"/>
      <c r="D379" s="41"/>
      <c r="E379" s="41"/>
      <c r="F379" s="30"/>
      <c r="G379" s="31"/>
      <c r="H379" s="31"/>
      <c r="I379" s="41"/>
      <c r="J379" s="42"/>
    </row>
    <row r="380" ht="22.5" customHeight="1">
      <c r="A380" s="39"/>
      <c r="B380" s="29"/>
      <c r="C380" s="16"/>
      <c r="D380" s="41"/>
      <c r="E380" s="41"/>
      <c r="F380" s="30"/>
      <c r="G380" s="31"/>
      <c r="H380" s="31"/>
      <c r="I380" s="41"/>
      <c r="J380" s="42"/>
    </row>
    <row r="381" ht="22.5" customHeight="1">
      <c r="A381" s="39"/>
      <c r="B381" s="29"/>
      <c r="C381" s="16"/>
      <c r="D381" s="41"/>
      <c r="E381" s="41"/>
      <c r="F381" s="30"/>
      <c r="G381" s="31"/>
      <c r="H381" s="31"/>
      <c r="I381" s="41"/>
      <c r="J381" s="42"/>
    </row>
    <row r="382" ht="22.5" customHeight="1">
      <c r="A382" s="39"/>
      <c r="B382" s="29"/>
      <c r="C382" s="16"/>
      <c r="D382" s="41"/>
      <c r="E382" s="41"/>
      <c r="F382" s="30"/>
      <c r="G382" s="31"/>
      <c r="H382" s="31"/>
      <c r="I382" s="41"/>
      <c r="J382" s="42"/>
    </row>
    <row r="383" ht="22.5" customHeight="1">
      <c r="A383" s="39"/>
      <c r="B383" s="29"/>
      <c r="C383" s="16"/>
      <c r="D383" s="41"/>
      <c r="E383" s="41"/>
      <c r="F383" s="30"/>
      <c r="G383" s="31"/>
      <c r="H383" s="31"/>
      <c r="I383" s="41"/>
      <c r="J383" s="42"/>
    </row>
    <row r="384" ht="22.5" customHeight="1">
      <c r="A384" s="39"/>
      <c r="B384" s="29"/>
      <c r="C384" s="16"/>
      <c r="D384" s="41"/>
      <c r="E384" s="41"/>
      <c r="F384" s="30"/>
      <c r="G384" s="31"/>
      <c r="H384" s="31"/>
      <c r="I384" s="41"/>
      <c r="J384" s="42"/>
    </row>
    <row r="385" ht="22.5" customHeight="1">
      <c r="A385" s="39"/>
      <c r="B385" s="29"/>
      <c r="C385" s="16"/>
      <c r="D385" s="41"/>
      <c r="E385" s="41"/>
      <c r="F385" s="30"/>
      <c r="G385" s="31"/>
      <c r="H385" s="31"/>
      <c r="I385" s="41"/>
      <c r="J385" s="42"/>
    </row>
    <row r="386" ht="22.5" customHeight="1">
      <c r="A386" s="39"/>
      <c r="B386" s="29"/>
      <c r="C386" s="16"/>
      <c r="D386" s="41"/>
      <c r="E386" s="41"/>
      <c r="F386" s="30"/>
      <c r="G386" s="31"/>
      <c r="H386" s="31"/>
      <c r="I386" s="41"/>
      <c r="J386" s="42"/>
    </row>
    <row r="387" ht="22.5" customHeight="1">
      <c r="A387" s="39"/>
      <c r="B387" s="29"/>
      <c r="C387" s="16"/>
      <c r="D387" s="41"/>
      <c r="E387" s="41"/>
      <c r="F387" s="30"/>
      <c r="G387" s="31"/>
      <c r="H387" s="31"/>
      <c r="I387" s="41"/>
      <c r="J387" s="42"/>
    </row>
    <row r="388" ht="22.5" customHeight="1">
      <c r="A388" s="39"/>
      <c r="B388" s="29"/>
      <c r="C388" s="16"/>
      <c r="D388" s="41"/>
      <c r="E388" s="41"/>
      <c r="F388" s="30"/>
      <c r="G388" s="31"/>
      <c r="H388" s="31"/>
      <c r="I388" s="41"/>
      <c r="J388" s="42"/>
    </row>
    <row r="389" ht="22.5" customHeight="1">
      <c r="A389" s="39"/>
      <c r="B389" s="29"/>
      <c r="C389" s="16"/>
      <c r="D389" s="41"/>
      <c r="E389" s="41"/>
      <c r="F389" s="30"/>
      <c r="G389" s="31"/>
      <c r="H389" s="31"/>
      <c r="I389" s="41"/>
      <c r="J389" s="42"/>
    </row>
    <row r="390" ht="22.5" customHeight="1">
      <c r="A390" s="39"/>
      <c r="B390" s="29"/>
      <c r="C390" s="16"/>
      <c r="D390" s="41"/>
      <c r="E390" s="41"/>
      <c r="F390" s="30"/>
      <c r="G390" s="31"/>
      <c r="H390" s="31"/>
      <c r="I390" s="41"/>
      <c r="J390" s="42"/>
    </row>
    <row r="391" ht="22.5" customHeight="1">
      <c r="A391" s="39"/>
      <c r="B391" s="29"/>
      <c r="C391" s="16"/>
      <c r="D391" s="41"/>
      <c r="E391" s="41"/>
      <c r="F391" s="30"/>
      <c r="G391" s="31"/>
      <c r="H391" s="31"/>
      <c r="I391" s="41"/>
      <c r="J391" s="42"/>
    </row>
    <row r="392" ht="22.5" customHeight="1">
      <c r="A392" s="39"/>
      <c r="B392" s="29"/>
      <c r="C392" s="16"/>
      <c r="D392" s="41"/>
      <c r="E392" s="41"/>
      <c r="F392" s="30"/>
      <c r="G392" s="31"/>
      <c r="H392" s="31"/>
      <c r="I392" s="41"/>
      <c r="J392" s="42"/>
    </row>
    <row r="393" ht="22.5" customHeight="1">
      <c r="A393" s="39"/>
      <c r="B393" s="29"/>
      <c r="C393" s="16"/>
      <c r="D393" s="41"/>
      <c r="E393" s="41"/>
      <c r="F393" s="30"/>
      <c r="G393" s="31"/>
      <c r="H393" s="31"/>
      <c r="I393" s="41"/>
      <c r="J393" s="42"/>
    </row>
    <row r="394" ht="22.5" customHeight="1">
      <c r="A394" s="39"/>
      <c r="B394" s="29"/>
      <c r="C394" s="16"/>
      <c r="D394" s="41"/>
      <c r="E394" s="41"/>
      <c r="F394" s="30"/>
      <c r="G394" s="31"/>
      <c r="H394" s="31"/>
      <c r="I394" s="41"/>
      <c r="J394" s="42"/>
    </row>
    <row r="395" ht="22.5" customHeight="1">
      <c r="A395" s="39"/>
      <c r="B395" s="29"/>
      <c r="C395" s="16"/>
      <c r="D395" s="41"/>
      <c r="E395" s="41"/>
      <c r="F395" s="30"/>
      <c r="G395" s="31"/>
      <c r="H395" s="31"/>
      <c r="I395" s="41"/>
      <c r="J395" s="42"/>
    </row>
    <row r="396" ht="22.5" customHeight="1">
      <c r="A396" s="39"/>
      <c r="B396" s="29"/>
      <c r="C396" s="16"/>
      <c r="D396" s="41"/>
      <c r="E396" s="41"/>
      <c r="F396" s="30"/>
      <c r="G396" s="31"/>
      <c r="H396" s="31"/>
      <c r="I396" s="41"/>
      <c r="J396" s="42"/>
    </row>
    <row r="397" ht="22.5" customHeight="1">
      <c r="A397" s="39"/>
      <c r="B397" s="29"/>
      <c r="C397" s="16"/>
      <c r="D397" s="41"/>
      <c r="E397" s="41"/>
      <c r="F397" s="30"/>
      <c r="G397" s="31"/>
      <c r="H397" s="31"/>
      <c r="I397" s="41"/>
      <c r="J397" s="42"/>
    </row>
    <row r="398" ht="22.5" customHeight="1">
      <c r="A398" s="39"/>
      <c r="B398" s="29"/>
      <c r="C398" s="16"/>
      <c r="D398" s="41"/>
      <c r="E398" s="41"/>
      <c r="F398" s="30"/>
      <c r="G398" s="31"/>
      <c r="H398" s="31"/>
      <c r="I398" s="41"/>
      <c r="J398" s="42"/>
    </row>
    <row r="399" ht="22.5" customHeight="1">
      <c r="A399" s="39"/>
      <c r="B399" s="29"/>
      <c r="C399" s="16"/>
      <c r="D399" s="41"/>
      <c r="E399" s="41"/>
      <c r="F399" s="30"/>
      <c r="G399" s="31"/>
      <c r="H399" s="31"/>
      <c r="I399" s="41"/>
      <c r="J399" s="42"/>
    </row>
    <row r="400" ht="22.5" customHeight="1">
      <c r="A400" s="39"/>
      <c r="B400" s="29"/>
      <c r="C400" s="16"/>
      <c r="D400" s="41"/>
      <c r="E400" s="41"/>
      <c r="F400" s="30"/>
      <c r="G400" s="31"/>
      <c r="H400" s="31"/>
      <c r="I400" s="41"/>
      <c r="J400" s="42"/>
    </row>
    <row r="401" ht="22.5" customHeight="1">
      <c r="A401" s="39"/>
      <c r="B401" s="29"/>
      <c r="C401" s="16"/>
      <c r="D401" s="41"/>
      <c r="E401" s="41"/>
      <c r="F401" s="30"/>
      <c r="G401" s="31"/>
      <c r="H401" s="31"/>
      <c r="I401" s="41"/>
      <c r="J401" s="42"/>
    </row>
    <row r="402" ht="22.5" customHeight="1">
      <c r="A402" s="39"/>
      <c r="B402" s="29"/>
      <c r="C402" s="16"/>
      <c r="D402" s="41"/>
      <c r="E402" s="41"/>
      <c r="F402" s="30"/>
      <c r="G402" s="31"/>
      <c r="H402" s="31"/>
      <c r="I402" s="41"/>
      <c r="J402" s="42"/>
    </row>
    <row r="403" ht="22.5" customHeight="1">
      <c r="A403" s="39"/>
      <c r="B403" s="29"/>
      <c r="C403" s="16"/>
      <c r="D403" s="41"/>
      <c r="E403" s="41"/>
      <c r="F403" s="30"/>
      <c r="G403" s="31"/>
      <c r="H403" s="31"/>
      <c r="I403" s="41"/>
      <c r="J403" s="42"/>
    </row>
    <row r="404" ht="22.5" customHeight="1">
      <c r="A404" s="39"/>
      <c r="B404" s="29"/>
      <c r="C404" s="16"/>
      <c r="D404" s="41"/>
      <c r="E404" s="41"/>
      <c r="F404" s="30"/>
      <c r="G404" s="31"/>
      <c r="H404" s="31"/>
      <c r="I404" s="41"/>
      <c r="J404" s="42"/>
    </row>
    <row r="405" ht="22.5" customHeight="1">
      <c r="A405" s="39"/>
      <c r="B405" s="29"/>
      <c r="C405" s="16"/>
      <c r="D405" s="41"/>
      <c r="E405" s="41"/>
      <c r="F405" s="30"/>
      <c r="G405" s="31"/>
      <c r="H405" s="31"/>
      <c r="I405" s="41"/>
      <c r="J405" s="42"/>
    </row>
    <row r="406" ht="22.5" customHeight="1">
      <c r="A406" s="39"/>
      <c r="B406" s="29"/>
      <c r="C406" s="16"/>
      <c r="D406" s="41"/>
      <c r="E406" s="41"/>
      <c r="F406" s="30"/>
      <c r="G406" s="31"/>
      <c r="H406" s="31"/>
      <c r="I406" s="41"/>
      <c r="J406" s="42"/>
    </row>
    <row r="407" ht="22.5" customHeight="1">
      <c r="A407" s="39"/>
      <c r="B407" s="29"/>
      <c r="C407" s="16"/>
      <c r="D407" s="41"/>
      <c r="E407" s="41"/>
      <c r="F407" s="30"/>
      <c r="G407" s="31"/>
      <c r="H407" s="31"/>
      <c r="I407" s="41"/>
      <c r="J407" s="42"/>
    </row>
    <row r="408" ht="22.5" customHeight="1">
      <c r="A408" s="39"/>
      <c r="B408" s="29"/>
      <c r="C408" s="16"/>
      <c r="D408" s="41"/>
      <c r="E408" s="41"/>
      <c r="F408" s="30"/>
      <c r="G408" s="31"/>
      <c r="H408" s="31"/>
      <c r="I408" s="41"/>
      <c r="J408" s="42"/>
    </row>
    <row r="409" ht="22.5" customHeight="1">
      <c r="A409" s="39"/>
      <c r="B409" s="29"/>
      <c r="C409" s="16"/>
      <c r="D409" s="41"/>
      <c r="E409" s="41"/>
      <c r="F409" s="30"/>
      <c r="G409" s="31"/>
      <c r="H409" s="31"/>
      <c r="I409" s="41"/>
      <c r="J409" s="42"/>
    </row>
    <row r="410" ht="22.5" customHeight="1">
      <c r="A410" s="39"/>
      <c r="B410" s="29"/>
      <c r="C410" s="16"/>
      <c r="D410" s="41"/>
      <c r="E410" s="41"/>
      <c r="F410" s="30"/>
      <c r="G410" s="31"/>
      <c r="H410" s="31"/>
      <c r="I410" s="41"/>
      <c r="J410" s="42"/>
    </row>
    <row r="411" ht="22.5" customHeight="1">
      <c r="A411" s="39"/>
      <c r="B411" s="29"/>
      <c r="C411" s="16"/>
      <c r="D411" s="41"/>
      <c r="E411" s="41"/>
      <c r="F411" s="30"/>
      <c r="G411" s="31"/>
      <c r="H411" s="31"/>
      <c r="I411" s="41"/>
      <c r="J411" s="42"/>
    </row>
    <row r="412" ht="22.5" customHeight="1">
      <c r="A412" s="39"/>
      <c r="B412" s="29"/>
      <c r="C412" s="16"/>
      <c r="D412" s="41"/>
      <c r="E412" s="41"/>
      <c r="F412" s="30"/>
      <c r="G412" s="31"/>
      <c r="H412" s="31"/>
      <c r="I412" s="41"/>
      <c r="J412" s="42"/>
    </row>
    <row r="413" ht="22.5" customHeight="1">
      <c r="A413" s="39"/>
      <c r="B413" s="29"/>
      <c r="C413" s="16"/>
      <c r="D413" s="41"/>
      <c r="E413" s="41"/>
      <c r="F413" s="30"/>
      <c r="G413" s="31"/>
      <c r="H413" s="31"/>
      <c r="I413" s="41"/>
      <c r="J413" s="42"/>
    </row>
    <row r="414" ht="22.5" customHeight="1">
      <c r="A414" s="39"/>
      <c r="B414" s="29"/>
      <c r="C414" s="16"/>
      <c r="D414" s="41"/>
      <c r="E414" s="41"/>
      <c r="F414" s="30"/>
      <c r="G414" s="31"/>
      <c r="H414" s="31"/>
      <c r="I414" s="41"/>
      <c r="J414" s="42"/>
    </row>
    <row r="415" ht="22.5" customHeight="1">
      <c r="A415" s="39"/>
      <c r="B415" s="29"/>
      <c r="C415" s="16"/>
      <c r="D415" s="41"/>
      <c r="E415" s="41"/>
      <c r="F415" s="30"/>
      <c r="G415" s="31"/>
      <c r="H415" s="31"/>
      <c r="I415" s="41"/>
      <c r="J415" s="42"/>
    </row>
    <row r="416" ht="22.5" customHeight="1">
      <c r="A416" s="39"/>
      <c r="B416" s="29"/>
      <c r="C416" s="16"/>
      <c r="D416" s="41"/>
      <c r="E416" s="41"/>
      <c r="F416" s="30"/>
      <c r="G416" s="31"/>
      <c r="H416" s="31"/>
      <c r="I416" s="41"/>
      <c r="J416" s="42"/>
    </row>
    <row r="417" ht="22.5" customHeight="1">
      <c r="A417" s="39"/>
      <c r="B417" s="29"/>
      <c r="C417" s="16"/>
      <c r="D417" s="41"/>
      <c r="E417" s="41"/>
      <c r="F417" s="30"/>
      <c r="G417" s="31"/>
      <c r="H417" s="31"/>
      <c r="I417" s="41"/>
      <c r="J417" s="42"/>
    </row>
    <row r="418" ht="22.5" customHeight="1">
      <c r="A418" s="39"/>
      <c r="B418" s="29"/>
      <c r="C418" s="16"/>
      <c r="D418" s="41"/>
      <c r="E418" s="41"/>
      <c r="F418" s="30"/>
      <c r="G418" s="31"/>
      <c r="H418" s="31"/>
      <c r="I418" s="41"/>
      <c r="J418" s="42"/>
    </row>
    <row r="419" ht="22.5" customHeight="1">
      <c r="A419" s="39"/>
      <c r="B419" s="29"/>
      <c r="C419" s="16"/>
      <c r="D419" s="41"/>
      <c r="E419" s="41"/>
      <c r="F419" s="30"/>
      <c r="G419" s="31"/>
      <c r="H419" s="31"/>
      <c r="I419" s="41"/>
      <c r="J419" s="42"/>
    </row>
    <row r="420" ht="22.5" customHeight="1">
      <c r="A420" s="39"/>
      <c r="B420" s="29"/>
      <c r="C420" s="16"/>
      <c r="D420" s="41"/>
      <c r="E420" s="41"/>
      <c r="F420" s="30"/>
      <c r="G420" s="31"/>
      <c r="H420" s="31"/>
      <c r="I420" s="41"/>
      <c r="J420" s="42"/>
    </row>
    <row r="421" ht="22.5" customHeight="1">
      <c r="A421" s="39"/>
      <c r="B421" s="29"/>
      <c r="C421" s="16"/>
      <c r="D421" s="41"/>
      <c r="E421" s="41"/>
      <c r="F421" s="30"/>
      <c r="G421" s="31"/>
      <c r="H421" s="31"/>
      <c r="I421" s="41"/>
      <c r="J421" s="42"/>
    </row>
    <row r="422" ht="22.5" customHeight="1">
      <c r="A422" s="39"/>
      <c r="B422" s="29"/>
      <c r="C422" s="16"/>
      <c r="D422" s="41"/>
      <c r="E422" s="41"/>
      <c r="F422" s="30"/>
      <c r="G422" s="31"/>
      <c r="H422" s="31"/>
      <c r="I422" s="41"/>
      <c r="J422" s="42"/>
    </row>
    <row r="423" ht="22.5" customHeight="1">
      <c r="A423" s="39"/>
      <c r="B423" s="29"/>
      <c r="C423" s="16"/>
      <c r="D423" s="41"/>
      <c r="E423" s="41"/>
      <c r="F423" s="30"/>
      <c r="G423" s="31"/>
      <c r="H423" s="31"/>
      <c r="I423" s="41"/>
      <c r="J423" s="42"/>
    </row>
    <row r="424" ht="22.5" customHeight="1">
      <c r="A424" s="39"/>
      <c r="B424" s="29"/>
      <c r="C424" s="16"/>
      <c r="D424" s="41"/>
      <c r="E424" s="41"/>
      <c r="F424" s="30"/>
      <c r="G424" s="31"/>
      <c r="H424" s="31"/>
      <c r="I424" s="41"/>
      <c r="J424" s="42"/>
    </row>
    <row r="425" ht="22.5" customHeight="1">
      <c r="A425" s="39"/>
      <c r="B425" s="29"/>
      <c r="C425" s="16"/>
      <c r="D425" s="41"/>
      <c r="E425" s="41"/>
      <c r="F425" s="30"/>
      <c r="G425" s="31"/>
      <c r="H425" s="31"/>
      <c r="I425" s="41"/>
      <c r="J425" s="42"/>
    </row>
    <row r="426" ht="22.5" customHeight="1">
      <c r="A426" s="39"/>
      <c r="B426" s="29"/>
      <c r="C426" s="16"/>
      <c r="D426" s="41"/>
      <c r="E426" s="41"/>
      <c r="F426" s="30"/>
      <c r="G426" s="31"/>
      <c r="H426" s="31"/>
      <c r="I426" s="41"/>
      <c r="J426" s="42"/>
    </row>
    <row r="427" ht="22.5" customHeight="1">
      <c r="A427" s="39"/>
      <c r="B427" s="29"/>
      <c r="C427" s="16"/>
      <c r="D427" s="41"/>
      <c r="E427" s="41"/>
      <c r="F427" s="30"/>
      <c r="G427" s="31"/>
      <c r="H427" s="31"/>
      <c r="I427" s="41"/>
      <c r="J427" s="42"/>
    </row>
    <row r="428" ht="22.5" customHeight="1">
      <c r="A428" s="39"/>
      <c r="B428" s="29"/>
      <c r="C428" s="16"/>
      <c r="D428" s="41"/>
      <c r="E428" s="41"/>
      <c r="F428" s="30"/>
      <c r="G428" s="31"/>
      <c r="H428" s="31"/>
      <c r="I428" s="41"/>
      <c r="J428" s="42"/>
    </row>
    <row r="429" ht="22.5" customHeight="1">
      <c r="A429" s="39"/>
      <c r="B429" s="29"/>
      <c r="C429" s="16"/>
      <c r="D429" s="41"/>
      <c r="E429" s="41"/>
      <c r="F429" s="30"/>
      <c r="G429" s="31"/>
      <c r="H429" s="31"/>
      <c r="I429" s="41"/>
      <c r="J429" s="42"/>
    </row>
    <row r="430" ht="22.5" customHeight="1">
      <c r="A430" s="39"/>
      <c r="B430" s="29"/>
      <c r="C430" s="16"/>
      <c r="D430" s="41"/>
      <c r="E430" s="41"/>
      <c r="F430" s="30"/>
      <c r="G430" s="31"/>
      <c r="H430" s="31"/>
      <c r="I430" s="41"/>
      <c r="J430" s="42"/>
    </row>
    <row r="431" ht="22.5" customHeight="1">
      <c r="A431" s="39"/>
      <c r="B431" s="29"/>
      <c r="C431" s="16"/>
      <c r="D431" s="41"/>
      <c r="E431" s="41"/>
      <c r="F431" s="30"/>
      <c r="G431" s="31"/>
      <c r="H431" s="31"/>
      <c r="I431" s="41"/>
      <c r="J431" s="42"/>
    </row>
    <row r="432" ht="22.5" customHeight="1">
      <c r="A432" s="39"/>
      <c r="B432" s="29"/>
      <c r="C432" s="16"/>
      <c r="D432" s="41"/>
      <c r="E432" s="41"/>
      <c r="F432" s="30"/>
      <c r="G432" s="31"/>
      <c r="H432" s="31"/>
      <c r="I432" s="41"/>
      <c r="J432" s="42"/>
    </row>
    <row r="433" ht="22.5" customHeight="1">
      <c r="A433" s="39"/>
      <c r="B433" s="29"/>
      <c r="C433" s="16"/>
      <c r="D433" s="41"/>
      <c r="E433" s="41"/>
      <c r="F433" s="30"/>
      <c r="G433" s="31"/>
      <c r="H433" s="31"/>
      <c r="I433" s="41"/>
      <c r="J433" s="42"/>
    </row>
    <row r="434" ht="22.5" customHeight="1">
      <c r="A434" s="39"/>
      <c r="B434" s="29"/>
      <c r="C434" s="16"/>
      <c r="D434" s="41"/>
      <c r="E434" s="41"/>
      <c r="F434" s="30"/>
      <c r="G434" s="31"/>
      <c r="H434" s="31"/>
      <c r="I434" s="41"/>
      <c r="J434" s="42"/>
    </row>
    <row r="435" ht="22.5" customHeight="1">
      <c r="A435" s="39"/>
      <c r="B435" s="29"/>
      <c r="C435" s="16"/>
      <c r="D435" s="41"/>
      <c r="E435" s="41"/>
      <c r="F435" s="30"/>
      <c r="G435" s="31"/>
      <c r="H435" s="31"/>
      <c r="I435" s="41"/>
      <c r="J435" s="42"/>
    </row>
    <row r="436" ht="22.5" customHeight="1">
      <c r="A436" s="39"/>
      <c r="B436" s="29"/>
      <c r="C436" s="16"/>
      <c r="D436" s="41"/>
      <c r="E436" s="41"/>
      <c r="F436" s="30"/>
      <c r="G436" s="31"/>
      <c r="H436" s="31"/>
      <c r="I436" s="41"/>
      <c r="J436" s="42"/>
    </row>
    <row r="437" ht="22.5" customHeight="1">
      <c r="A437" s="39"/>
      <c r="B437" s="29"/>
      <c r="C437" s="16"/>
      <c r="D437" s="41"/>
      <c r="E437" s="41"/>
      <c r="F437" s="30"/>
      <c r="G437" s="31"/>
      <c r="H437" s="31"/>
      <c r="I437" s="41"/>
      <c r="J437" s="42"/>
    </row>
    <row r="438" ht="22.5" customHeight="1">
      <c r="A438" s="39"/>
      <c r="B438" s="29"/>
      <c r="C438" s="16"/>
      <c r="D438" s="41"/>
      <c r="E438" s="41"/>
      <c r="F438" s="30"/>
      <c r="G438" s="31"/>
      <c r="H438" s="31"/>
      <c r="I438" s="41"/>
      <c r="J438" s="42"/>
    </row>
    <row r="439" ht="22.5" customHeight="1">
      <c r="A439" s="39"/>
      <c r="B439" s="29"/>
      <c r="C439" s="16"/>
      <c r="D439" s="41"/>
      <c r="E439" s="41"/>
      <c r="F439" s="30"/>
      <c r="G439" s="31"/>
      <c r="H439" s="31"/>
      <c r="I439" s="41"/>
      <c r="J439" s="42"/>
    </row>
    <row r="440" ht="22.5" customHeight="1">
      <c r="A440" s="39"/>
      <c r="B440" s="29"/>
      <c r="C440" s="16"/>
      <c r="D440" s="41"/>
      <c r="E440" s="41"/>
      <c r="F440" s="30"/>
      <c r="G440" s="31"/>
      <c r="H440" s="31"/>
      <c r="I440" s="41"/>
      <c r="J440" s="42"/>
    </row>
    <row r="441" ht="22.5" customHeight="1">
      <c r="A441" s="39"/>
      <c r="B441" s="29"/>
      <c r="C441" s="16"/>
      <c r="D441" s="41"/>
      <c r="E441" s="41"/>
      <c r="F441" s="30"/>
      <c r="G441" s="31"/>
      <c r="H441" s="31"/>
      <c r="I441" s="41"/>
      <c r="J441" s="42"/>
    </row>
    <row r="442" ht="22.5" customHeight="1">
      <c r="A442" s="39"/>
      <c r="B442" s="29"/>
      <c r="C442" s="16"/>
      <c r="D442" s="41"/>
      <c r="E442" s="41"/>
      <c r="F442" s="30"/>
      <c r="G442" s="31"/>
      <c r="H442" s="31"/>
      <c r="I442" s="41"/>
      <c r="J442" s="42"/>
    </row>
    <row r="443" ht="22.5" customHeight="1">
      <c r="A443" s="39"/>
      <c r="B443" s="29"/>
      <c r="C443" s="16"/>
      <c r="D443" s="41"/>
      <c r="E443" s="41"/>
      <c r="F443" s="30"/>
      <c r="G443" s="31"/>
      <c r="H443" s="31"/>
      <c r="I443" s="41"/>
      <c r="J443" s="42"/>
    </row>
    <row r="444" ht="22.5" customHeight="1">
      <c r="A444" s="39"/>
      <c r="B444" s="29"/>
      <c r="C444" s="16"/>
      <c r="D444" s="41"/>
      <c r="E444" s="41"/>
      <c r="F444" s="30"/>
      <c r="G444" s="31"/>
      <c r="H444" s="31"/>
      <c r="I444" s="41"/>
      <c r="J444" s="42"/>
    </row>
    <row r="445" ht="22.5" customHeight="1">
      <c r="A445" s="39"/>
      <c r="B445" s="29"/>
      <c r="C445" s="16"/>
      <c r="D445" s="41"/>
      <c r="E445" s="41"/>
      <c r="F445" s="30"/>
      <c r="G445" s="31"/>
      <c r="H445" s="31"/>
      <c r="I445" s="41"/>
      <c r="J445" s="42"/>
    </row>
    <row r="446" ht="22.5" customHeight="1">
      <c r="A446" s="39"/>
      <c r="B446" s="29"/>
      <c r="C446" s="16"/>
      <c r="D446" s="41"/>
      <c r="E446" s="41"/>
      <c r="F446" s="30"/>
      <c r="G446" s="31"/>
      <c r="H446" s="31"/>
      <c r="I446" s="41"/>
      <c r="J446" s="42"/>
    </row>
    <row r="447" ht="22.5" customHeight="1">
      <c r="A447" s="39"/>
      <c r="B447" s="29"/>
      <c r="C447" s="16"/>
      <c r="D447" s="41"/>
      <c r="E447" s="41"/>
      <c r="F447" s="30"/>
      <c r="G447" s="31"/>
      <c r="H447" s="31"/>
      <c r="I447" s="41"/>
      <c r="J447" s="42"/>
    </row>
    <row r="448" ht="22.5" customHeight="1">
      <c r="A448" s="39"/>
      <c r="B448" s="29"/>
      <c r="C448" s="16"/>
      <c r="D448" s="41"/>
      <c r="E448" s="41"/>
      <c r="F448" s="30"/>
      <c r="G448" s="31"/>
      <c r="H448" s="31"/>
      <c r="I448" s="41"/>
      <c r="J448" s="42"/>
    </row>
    <row r="449" ht="22.5" customHeight="1">
      <c r="A449" s="39"/>
      <c r="B449" s="29"/>
      <c r="C449" s="16"/>
      <c r="D449" s="41"/>
      <c r="E449" s="41"/>
      <c r="F449" s="30"/>
      <c r="G449" s="31"/>
      <c r="H449" s="31"/>
      <c r="I449" s="41"/>
      <c r="J449" s="42"/>
    </row>
    <row r="450" ht="22.5" customHeight="1">
      <c r="A450" s="39"/>
      <c r="B450" s="29"/>
      <c r="C450" s="16"/>
      <c r="D450" s="41"/>
      <c r="E450" s="41"/>
      <c r="F450" s="30"/>
      <c r="G450" s="31"/>
      <c r="H450" s="31"/>
      <c r="I450" s="41"/>
      <c r="J450" s="42"/>
    </row>
    <row r="451" ht="22.5" customHeight="1">
      <c r="A451" s="39"/>
      <c r="B451" s="29"/>
      <c r="C451" s="16"/>
      <c r="D451" s="41"/>
      <c r="E451" s="41"/>
      <c r="F451" s="30"/>
      <c r="G451" s="31"/>
      <c r="H451" s="31"/>
      <c r="I451" s="41"/>
      <c r="J451" s="42"/>
    </row>
    <row r="452" ht="22.5" customHeight="1">
      <c r="A452" s="39"/>
      <c r="B452" s="29"/>
      <c r="C452" s="16"/>
      <c r="D452" s="41"/>
      <c r="E452" s="41"/>
      <c r="F452" s="30"/>
      <c r="G452" s="31"/>
      <c r="H452" s="31"/>
      <c r="I452" s="41"/>
      <c r="J452" s="42"/>
    </row>
    <row r="453" ht="22.5" customHeight="1">
      <c r="A453" s="39"/>
      <c r="B453" s="29"/>
      <c r="C453" s="16"/>
      <c r="D453" s="41"/>
      <c r="E453" s="41"/>
      <c r="F453" s="30"/>
      <c r="G453" s="31"/>
      <c r="H453" s="31"/>
      <c r="I453" s="41"/>
      <c r="J453" s="42"/>
    </row>
    <row r="454" ht="22.5" customHeight="1">
      <c r="A454" s="39"/>
      <c r="B454" s="29"/>
      <c r="C454" s="16"/>
      <c r="D454" s="41"/>
      <c r="E454" s="41"/>
      <c r="F454" s="30"/>
      <c r="G454" s="31"/>
      <c r="H454" s="31"/>
      <c r="I454" s="41"/>
      <c r="J454" s="42"/>
    </row>
    <row r="455" ht="22.5" customHeight="1">
      <c r="A455" s="39"/>
      <c r="B455" s="29"/>
      <c r="C455" s="16"/>
      <c r="D455" s="41"/>
      <c r="E455" s="41"/>
      <c r="F455" s="30"/>
      <c r="G455" s="31"/>
      <c r="H455" s="31"/>
      <c r="I455" s="41"/>
      <c r="J455" s="42"/>
    </row>
    <row r="456" ht="22.5" customHeight="1">
      <c r="A456" s="39"/>
      <c r="B456" s="29"/>
      <c r="C456" s="16"/>
      <c r="D456" s="41"/>
      <c r="E456" s="41"/>
      <c r="F456" s="30"/>
      <c r="G456" s="31"/>
      <c r="H456" s="31"/>
      <c r="I456" s="41"/>
      <c r="J456" s="42"/>
    </row>
    <row r="457" ht="22.5" customHeight="1">
      <c r="A457" s="39"/>
      <c r="B457" s="29"/>
      <c r="C457" s="16"/>
      <c r="D457" s="41"/>
      <c r="E457" s="41"/>
      <c r="F457" s="30"/>
      <c r="G457" s="31"/>
      <c r="H457" s="31"/>
      <c r="I457" s="41"/>
      <c r="J457" s="42"/>
    </row>
    <row r="458" ht="22.5" customHeight="1">
      <c r="A458" s="39"/>
      <c r="B458" s="29"/>
      <c r="C458" s="16"/>
      <c r="D458" s="41"/>
      <c r="E458" s="41"/>
      <c r="F458" s="30"/>
      <c r="G458" s="31"/>
      <c r="H458" s="31"/>
      <c r="I458" s="41"/>
      <c r="J458" s="42"/>
    </row>
    <row r="459" ht="22.5" customHeight="1">
      <c r="A459" s="39"/>
      <c r="B459" s="29"/>
      <c r="C459" s="16"/>
      <c r="D459" s="41"/>
      <c r="E459" s="41"/>
      <c r="F459" s="30"/>
      <c r="G459" s="31"/>
      <c r="H459" s="31"/>
      <c r="I459" s="41"/>
      <c r="J459" s="42"/>
    </row>
    <row r="460" ht="22.5" customHeight="1">
      <c r="A460" s="39"/>
      <c r="B460" s="29"/>
      <c r="C460" s="16"/>
      <c r="D460" s="41"/>
      <c r="E460" s="41"/>
      <c r="F460" s="30"/>
      <c r="G460" s="31"/>
      <c r="H460" s="31"/>
      <c r="I460" s="41"/>
      <c r="J460" s="42"/>
    </row>
    <row r="461" ht="22.5" customHeight="1">
      <c r="A461" s="39"/>
      <c r="B461" s="29"/>
      <c r="C461" s="16"/>
      <c r="D461" s="41"/>
      <c r="E461" s="41"/>
      <c r="F461" s="30"/>
      <c r="G461" s="31"/>
      <c r="H461" s="31"/>
      <c r="I461" s="41"/>
      <c r="J461" s="42"/>
    </row>
    <row r="462" ht="22.5" customHeight="1">
      <c r="A462" s="39"/>
      <c r="B462" s="29"/>
      <c r="C462" s="16"/>
      <c r="D462" s="41"/>
      <c r="E462" s="41"/>
      <c r="F462" s="30"/>
      <c r="G462" s="31"/>
      <c r="H462" s="31"/>
      <c r="I462" s="41"/>
      <c r="J462" s="42"/>
    </row>
    <row r="463" ht="22.5" customHeight="1">
      <c r="A463" s="39"/>
      <c r="B463" s="29"/>
      <c r="C463" s="16"/>
      <c r="D463" s="41"/>
      <c r="E463" s="41"/>
      <c r="F463" s="30"/>
      <c r="G463" s="31"/>
      <c r="H463" s="31"/>
      <c r="I463" s="41"/>
      <c r="J463" s="42"/>
    </row>
    <row r="464" ht="22.5" customHeight="1">
      <c r="A464" s="39"/>
      <c r="B464" s="29"/>
      <c r="C464" s="16"/>
      <c r="D464" s="41"/>
      <c r="E464" s="41"/>
      <c r="F464" s="30"/>
      <c r="G464" s="31"/>
      <c r="H464" s="31"/>
      <c r="I464" s="41"/>
      <c r="J464" s="42"/>
    </row>
    <row r="465" ht="22.5" customHeight="1">
      <c r="A465" s="39"/>
      <c r="B465" s="29"/>
      <c r="C465" s="16"/>
      <c r="D465" s="41"/>
      <c r="E465" s="41"/>
      <c r="F465" s="30"/>
      <c r="G465" s="31"/>
      <c r="H465" s="31"/>
      <c r="I465" s="41"/>
      <c r="J465" s="42"/>
    </row>
    <row r="466" ht="22.5" customHeight="1">
      <c r="A466" s="39"/>
      <c r="B466" s="29"/>
      <c r="C466" s="16"/>
      <c r="D466" s="41"/>
      <c r="E466" s="41"/>
      <c r="F466" s="30"/>
      <c r="G466" s="31"/>
      <c r="H466" s="31"/>
      <c r="I466" s="41"/>
      <c r="J466" s="42"/>
    </row>
    <row r="467" ht="22.5" customHeight="1">
      <c r="A467" s="39"/>
      <c r="B467" s="29"/>
      <c r="C467" s="16"/>
      <c r="D467" s="41"/>
      <c r="E467" s="41"/>
      <c r="F467" s="30"/>
      <c r="G467" s="31"/>
      <c r="H467" s="31"/>
      <c r="I467" s="41"/>
      <c r="J467" s="42"/>
    </row>
    <row r="468" ht="22.5" customHeight="1">
      <c r="A468" s="39"/>
      <c r="B468" s="29"/>
      <c r="C468" s="16"/>
      <c r="D468" s="41"/>
      <c r="E468" s="41"/>
      <c r="F468" s="30"/>
      <c r="G468" s="31"/>
      <c r="H468" s="31"/>
      <c r="I468" s="41"/>
      <c r="J468" s="42"/>
    </row>
    <row r="469" ht="22.5" customHeight="1">
      <c r="A469" s="39"/>
      <c r="B469" s="29"/>
      <c r="C469" s="16"/>
      <c r="D469" s="41"/>
      <c r="E469" s="41"/>
      <c r="F469" s="30"/>
      <c r="G469" s="31"/>
      <c r="H469" s="31"/>
      <c r="I469" s="41"/>
      <c r="J469" s="42"/>
    </row>
    <row r="470" ht="22.5" customHeight="1">
      <c r="A470" s="39"/>
      <c r="B470" s="29"/>
      <c r="C470" s="16"/>
      <c r="D470" s="41"/>
      <c r="E470" s="41"/>
      <c r="F470" s="30"/>
      <c r="G470" s="31"/>
      <c r="H470" s="31"/>
      <c r="I470" s="41"/>
      <c r="J470" s="42"/>
    </row>
    <row r="471" ht="22.5" customHeight="1">
      <c r="A471" s="39"/>
      <c r="B471" s="29"/>
      <c r="C471" s="16"/>
      <c r="D471" s="41"/>
      <c r="E471" s="41"/>
      <c r="F471" s="30"/>
      <c r="G471" s="31"/>
      <c r="H471" s="31"/>
      <c r="I471" s="41"/>
      <c r="J471" s="42"/>
    </row>
    <row r="472" ht="22.5" customHeight="1">
      <c r="A472" s="39"/>
      <c r="B472" s="29"/>
      <c r="C472" s="16"/>
      <c r="D472" s="41"/>
      <c r="E472" s="41"/>
      <c r="F472" s="30"/>
      <c r="G472" s="31"/>
      <c r="H472" s="31"/>
      <c r="I472" s="41"/>
      <c r="J472" s="42"/>
    </row>
    <row r="473" ht="22.5" customHeight="1">
      <c r="A473" s="39"/>
      <c r="B473" s="29"/>
      <c r="C473" s="16"/>
      <c r="D473" s="41"/>
      <c r="E473" s="41"/>
      <c r="F473" s="30"/>
      <c r="G473" s="31"/>
      <c r="H473" s="31"/>
      <c r="I473" s="41"/>
      <c r="J473" s="42"/>
    </row>
    <row r="474" ht="22.5" customHeight="1">
      <c r="A474" s="39"/>
      <c r="B474" s="29"/>
      <c r="C474" s="16"/>
      <c r="D474" s="41"/>
      <c r="E474" s="41"/>
      <c r="F474" s="30"/>
      <c r="G474" s="31"/>
      <c r="H474" s="31"/>
      <c r="I474" s="41"/>
      <c r="J474" s="42"/>
    </row>
    <row r="475" ht="22.5" customHeight="1">
      <c r="A475" s="39"/>
      <c r="B475" s="29"/>
      <c r="C475" s="16"/>
      <c r="D475" s="41"/>
      <c r="E475" s="41"/>
      <c r="F475" s="30"/>
      <c r="G475" s="31"/>
      <c r="H475" s="31"/>
      <c r="I475" s="41"/>
      <c r="J475" s="42"/>
    </row>
    <row r="476" ht="22.5" customHeight="1">
      <c r="A476" s="39"/>
      <c r="B476" s="29"/>
      <c r="C476" s="16"/>
      <c r="D476" s="41"/>
      <c r="E476" s="41"/>
      <c r="F476" s="30"/>
      <c r="G476" s="31"/>
      <c r="H476" s="31"/>
      <c r="I476" s="41"/>
      <c r="J476" s="42"/>
    </row>
    <row r="477" ht="22.5" customHeight="1">
      <c r="A477" s="39"/>
      <c r="B477" s="29"/>
      <c r="C477" s="16"/>
      <c r="D477" s="41"/>
      <c r="E477" s="41"/>
      <c r="F477" s="30"/>
      <c r="G477" s="31"/>
      <c r="H477" s="31"/>
      <c r="I477" s="41"/>
      <c r="J477" s="42"/>
    </row>
    <row r="478" ht="22.5" customHeight="1">
      <c r="A478" s="39"/>
      <c r="B478" s="29"/>
      <c r="C478" s="16"/>
      <c r="D478" s="41"/>
      <c r="E478" s="41"/>
      <c r="F478" s="30"/>
      <c r="G478" s="31"/>
      <c r="H478" s="31"/>
      <c r="I478" s="41"/>
      <c r="J478" s="42"/>
    </row>
    <row r="479" ht="22.5" customHeight="1">
      <c r="A479" s="39"/>
      <c r="B479" s="29"/>
      <c r="C479" s="16"/>
      <c r="D479" s="41"/>
      <c r="E479" s="41"/>
      <c r="F479" s="30"/>
      <c r="G479" s="31"/>
      <c r="H479" s="31"/>
      <c r="I479" s="41"/>
      <c r="J479" s="42"/>
    </row>
    <row r="480" ht="22.5" customHeight="1">
      <c r="A480" s="39"/>
      <c r="B480" s="29"/>
      <c r="C480" s="16"/>
      <c r="D480" s="41"/>
      <c r="E480" s="41"/>
      <c r="F480" s="30"/>
      <c r="G480" s="31"/>
      <c r="H480" s="31"/>
      <c r="I480" s="41"/>
      <c r="J480" s="42"/>
    </row>
    <row r="481" ht="22.5" customHeight="1">
      <c r="A481" s="39"/>
      <c r="B481" s="29"/>
      <c r="C481" s="16"/>
      <c r="D481" s="41"/>
      <c r="E481" s="41"/>
      <c r="F481" s="30"/>
      <c r="G481" s="31"/>
      <c r="H481" s="31"/>
      <c r="I481" s="41"/>
      <c r="J481" s="42"/>
    </row>
    <row r="482" ht="22.5" customHeight="1">
      <c r="A482" s="39"/>
      <c r="B482" s="29"/>
      <c r="C482" s="16"/>
      <c r="D482" s="41"/>
      <c r="E482" s="41"/>
      <c r="F482" s="30"/>
      <c r="G482" s="31"/>
      <c r="H482" s="31"/>
      <c r="I482" s="41"/>
      <c r="J482" s="42"/>
    </row>
    <row r="483" ht="22.5" customHeight="1">
      <c r="A483" s="39"/>
      <c r="B483" s="29"/>
      <c r="C483" s="16"/>
      <c r="D483" s="41"/>
      <c r="E483" s="41"/>
      <c r="F483" s="30"/>
      <c r="G483" s="31"/>
      <c r="H483" s="31"/>
      <c r="I483" s="41"/>
      <c r="J483" s="42"/>
    </row>
    <row r="484" ht="22.5" customHeight="1">
      <c r="A484" s="39"/>
      <c r="B484" s="29"/>
      <c r="C484" s="16"/>
      <c r="D484" s="41"/>
      <c r="E484" s="41"/>
      <c r="F484" s="30"/>
      <c r="G484" s="31"/>
      <c r="H484" s="31"/>
      <c r="I484" s="41"/>
      <c r="J484" s="42"/>
    </row>
    <row r="485" ht="22.5" customHeight="1">
      <c r="A485" s="39"/>
      <c r="B485" s="29"/>
      <c r="C485" s="16"/>
      <c r="D485" s="41"/>
      <c r="E485" s="41"/>
      <c r="F485" s="30"/>
      <c r="G485" s="31"/>
      <c r="H485" s="31"/>
      <c r="I485" s="41"/>
      <c r="J485" s="42"/>
    </row>
    <row r="486" ht="22.5" customHeight="1">
      <c r="A486" s="39"/>
      <c r="B486" s="29"/>
      <c r="C486" s="16"/>
      <c r="D486" s="41"/>
      <c r="E486" s="41"/>
      <c r="F486" s="30"/>
      <c r="G486" s="31"/>
      <c r="H486" s="31"/>
      <c r="I486" s="41"/>
      <c r="J486" s="42"/>
    </row>
    <row r="487" ht="22.5" customHeight="1">
      <c r="A487" s="39"/>
      <c r="B487" s="29"/>
      <c r="C487" s="16"/>
      <c r="D487" s="41"/>
      <c r="E487" s="41"/>
      <c r="F487" s="30"/>
      <c r="G487" s="31"/>
      <c r="H487" s="31"/>
      <c r="I487" s="41"/>
      <c r="J487" s="42"/>
    </row>
    <row r="488" ht="22.5" customHeight="1">
      <c r="A488" s="39"/>
      <c r="B488" s="29"/>
      <c r="C488" s="16"/>
      <c r="D488" s="41"/>
      <c r="E488" s="41"/>
      <c r="F488" s="30"/>
      <c r="G488" s="31"/>
      <c r="H488" s="31"/>
      <c r="I488" s="41"/>
      <c r="J488" s="42"/>
    </row>
    <row r="489" ht="22.5" customHeight="1">
      <c r="A489" s="39"/>
      <c r="B489" s="29"/>
      <c r="C489" s="16"/>
      <c r="D489" s="41"/>
      <c r="E489" s="41"/>
      <c r="F489" s="30"/>
      <c r="G489" s="31"/>
      <c r="H489" s="31"/>
      <c r="I489" s="41"/>
      <c r="J489" s="42"/>
    </row>
    <row r="490" ht="22.5" customHeight="1">
      <c r="A490" s="39"/>
      <c r="B490" s="29"/>
      <c r="C490" s="16"/>
      <c r="D490" s="41"/>
      <c r="E490" s="41"/>
      <c r="F490" s="30"/>
      <c r="G490" s="31"/>
      <c r="H490" s="31"/>
      <c r="I490" s="41"/>
      <c r="J490" s="42"/>
    </row>
    <row r="491" ht="22.5" customHeight="1">
      <c r="A491" s="39"/>
      <c r="B491" s="29"/>
      <c r="C491" s="16"/>
      <c r="D491" s="41"/>
      <c r="E491" s="41"/>
      <c r="F491" s="30"/>
      <c r="G491" s="31"/>
      <c r="H491" s="31"/>
      <c r="I491" s="41"/>
      <c r="J491" s="42"/>
    </row>
    <row r="492" ht="22.5" customHeight="1">
      <c r="A492" s="39"/>
      <c r="B492" s="29"/>
      <c r="C492" s="16"/>
      <c r="D492" s="41"/>
      <c r="E492" s="41"/>
      <c r="F492" s="30"/>
      <c r="G492" s="31"/>
      <c r="H492" s="31"/>
      <c r="I492" s="41"/>
      <c r="J492" s="42"/>
    </row>
    <row r="493" ht="22.5" customHeight="1">
      <c r="A493" s="39"/>
      <c r="B493" s="29"/>
      <c r="C493" s="16"/>
      <c r="D493" s="41"/>
      <c r="E493" s="41"/>
      <c r="F493" s="30"/>
      <c r="G493" s="31"/>
      <c r="H493" s="31"/>
      <c r="I493" s="41"/>
      <c r="J493" s="42"/>
    </row>
    <row r="494" ht="22.5" customHeight="1">
      <c r="A494" s="39"/>
      <c r="B494" s="29"/>
      <c r="C494" s="16"/>
      <c r="D494" s="41"/>
      <c r="E494" s="41"/>
      <c r="F494" s="30"/>
      <c r="G494" s="31"/>
      <c r="H494" s="31"/>
      <c r="I494" s="41"/>
      <c r="J494" s="42"/>
    </row>
    <row r="495" ht="22.5" customHeight="1">
      <c r="A495" s="39"/>
      <c r="B495" s="29"/>
      <c r="C495" s="16"/>
      <c r="D495" s="41"/>
      <c r="E495" s="41"/>
      <c r="F495" s="30"/>
      <c r="G495" s="31"/>
      <c r="H495" s="31"/>
      <c r="I495" s="41"/>
      <c r="J495" s="42"/>
    </row>
    <row r="496" ht="22.5" customHeight="1">
      <c r="A496" s="39"/>
      <c r="B496" s="29"/>
      <c r="C496" s="16"/>
      <c r="D496" s="41"/>
      <c r="E496" s="41"/>
      <c r="F496" s="30"/>
      <c r="G496" s="31"/>
      <c r="H496" s="31"/>
      <c r="I496" s="41"/>
      <c r="J496" s="42"/>
    </row>
    <row r="497" ht="22.5" customHeight="1">
      <c r="A497" s="39"/>
      <c r="B497" s="29"/>
      <c r="C497" s="16"/>
      <c r="D497" s="41"/>
      <c r="E497" s="41"/>
      <c r="F497" s="30"/>
      <c r="G497" s="31"/>
      <c r="H497" s="31"/>
      <c r="I497" s="41"/>
      <c r="J497" s="42"/>
    </row>
    <row r="498" ht="22.5" customHeight="1">
      <c r="A498" s="39"/>
      <c r="B498" s="29"/>
      <c r="C498" s="16"/>
      <c r="D498" s="41"/>
      <c r="E498" s="41"/>
      <c r="F498" s="30"/>
      <c r="G498" s="31"/>
      <c r="H498" s="31"/>
      <c r="I498" s="41"/>
      <c r="J498" s="42"/>
    </row>
    <row r="499" ht="22.5" customHeight="1">
      <c r="A499" s="39"/>
      <c r="B499" s="29"/>
      <c r="C499" s="16"/>
      <c r="D499" s="41"/>
      <c r="E499" s="41"/>
      <c r="F499" s="30"/>
      <c r="G499" s="31"/>
      <c r="H499" s="31"/>
      <c r="I499" s="41"/>
      <c r="J499" s="42"/>
    </row>
    <row r="500" ht="22.5" customHeight="1">
      <c r="A500" s="39"/>
      <c r="B500" s="29"/>
      <c r="C500" s="16"/>
      <c r="D500" s="41"/>
      <c r="E500" s="41"/>
      <c r="F500" s="30"/>
      <c r="G500" s="31"/>
      <c r="H500" s="31"/>
      <c r="I500" s="41"/>
      <c r="J500" s="42"/>
    </row>
    <row r="501" ht="22.5" customHeight="1">
      <c r="A501" s="39"/>
      <c r="B501" s="29"/>
      <c r="C501" s="16"/>
      <c r="D501" s="41"/>
      <c r="E501" s="41"/>
      <c r="F501" s="30"/>
      <c r="G501" s="31"/>
      <c r="H501" s="31"/>
      <c r="I501" s="41"/>
      <c r="J501" s="42"/>
    </row>
    <row r="502" ht="22.5" customHeight="1">
      <c r="A502" s="39"/>
      <c r="B502" s="29"/>
      <c r="C502" s="16"/>
      <c r="D502" s="41"/>
      <c r="E502" s="41"/>
      <c r="F502" s="30"/>
      <c r="G502" s="31"/>
      <c r="H502" s="31"/>
      <c r="I502" s="41"/>
      <c r="J502" s="42"/>
    </row>
    <row r="503" ht="22.5" customHeight="1">
      <c r="A503" s="39"/>
      <c r="B503" s="29"/>
      <c r="C503" s="16"/>
      <c r="D503" s="41"/>
      <c r="E503" s="41"/>
      <c r="F503" s="30"/>
      <c r="G503" s="31"/>
      <c r="H503" s="31"/>
      <c r="I503" s="41"/>
      <c r="J503" s="42"/>
    </row>
    <row r="504" ht="22.5" customHeight="1">
      <c r="A504" s="39"/>
      <c r="B504" s="29"/>
      <c r="C504" s="16"/>
      <c r="D504" s="41"/>
      <c r="E504" s="41"/>
      <c r="F504" s="30"/>
      <c r="G504" s="31"/>
      <c r="H504" s="31"/>
      <c r="I504" s="41"/>
      <c r="J504" s="42"/>
    </row>
    <row r="505" ht="22.5" customHeight="1">
      <c r="A505" s="39"/>
      <c r="B505" s="29"/>
      <c r="C505" s="16"/>
      <c r="D505" s="41"/>
      <c r="E505" s="41"/>
      <c r="F505" s="30"/>
      <c r="G505" s="31"/>
      <c r="H505" s="31"/>
      <c r="I505" s="41"/>
      <c r="J505" s="42"/>
    </row>
    <row r="506" ht="22.5" customHeight="1">
      <c r="A506" s="39"/>
      <c r="B506" s="29"/>
      <c r="C506" s="16"/>
      <c r="D506" s="41"/>
      <c r="E506" s="41"/>
      <c r="F506" s="30"/>
      <c r="G506" s="31"/>
      <c r="H506" s="31"/>
      <c r="I506" s="41"/>
      <c r="J506" s="42"/>
    </row>
    <row r="507" ht="22.5" customHeight="1">
      <c r="A507" s="39"/>
      <c r="B507" s="29"/>
      <c r="C507" s="16"/>
      <c r="D507" s="41"/>
      <c r="E507" s="41"/>
      <c r="F507" s="30"/>
      <c r="G507" s="31"/>
      <c r="H507" s="31"/>
      <c r="I507" s="41"/>
      <c r="J507" s="42"/>
    </row>
    <row r="508" ht="22.5" customHeight="1">
      <c r="A508" s="39"/>
      <c r="B508" s="29"/>
      <c r="C508" s="16"/>
      <c r="D508" s="41"/>
      <c r="E508" s="41"/>
      <c r="F508" s="30"/>
      <c r="G508" s="31"/>
      <c r="H508" s="31"/>
      <c r="I508" s="41"/>
      <c r="J508" s="42"/>
    </row>
    <row r="509" ht="22.5" customHeight="1">
      <c r="A509" s="39"/>
      <c r="B509" s="29"/>
      <c r="C509" s="16"/>
      <c r="D509" s="41"/>
      <c r="E509" s="41"/>
      <c r="F509" s="30"/>
      <c r="G509" s="31"/>
      <c r="H509" s="31"/>
      <c r="I509" s="41"/>
      <c r="J509" s="42"/>
    </row>
    <row r="510" ht="22.5" customHeight="1">
      <c r="A510" s="39"/>
      <c r="B510" s="29"/>
      <c r="C510" s="16"/>
      <c r="D510" s="41"/>
      <c r="E510" s="41"/>
      <c r="F510" s="30"/>
      <c r="G510" s="31"/>
      <c r="H510" s="31"/>
      <c r="I510" s="41"/>
      <c r="J510" s="42"/>
    </row>
    <row r="511" ht="22.5" customHeight="1">
      <c r="A511" s="39"/>
      <c r="B511" s="29"/>
      <c r="C511" s="16"/>
      <c r="D511" s="41"/>
      <c r="E511" s="41"/>
      <c r="F511" s="30"/>
      <c r="G511" s="31"/>
      <c r="H511" s="31"/>
      <c r="I511" s="41"/>
      <c r="J511" s="42"/>
    </row>
    <row r="512" ht="22.5" customHeight="1">
      <c r="A512" s="39"/>
      <c r="B512" s="29"/>
      <c r="C512" s="16"/>
      <c r="D512" s="41"/>
      <c r="E512" s="41"/>
      <c r="F512" s="30"/>
      <c r="G512" s="31"/>
      <c r="H512" s="31"/>
      <c r="I512" s="41"/>
      <c r="J512" s="42"/>
    </row>
    <row r="513" ht="22.5" customHeight="1">
      <c r="A513" s="39"/>
      <c r="B513" s="29"/>
      <c r="C513" s="16"/>
      <c r="D513" s="41"/>
      <c r="E513" s="41"/>
      <c r="F513" s="30"/>
      <c r="G513" s="31"/>
      <c r="H513" s="31"/>
      <c r="I513" s="41"/>
      <c r="J513" s="42"/>
    </row>
    <row r="514" ht="22.5" customHeight="1">
      <c r="A514" s="39"/>
      <c r="B514" s="29"/>
      <c r="C514" s="16"/>
      <c r="D514" s="41"/>
      <c r="E514" s="41"/>
      <c r="F514" s="30"/>
      <c r="G514" s="31"/>
      <c r="H514" s="31"/>
      <c r="I514" s="41"/>
      <c r="J514" s="42"/>
    </row>
    <row r="515" ht="22.5" customHeight="1">
      <c r="A515" s="39"/>
      <c r="B515" s="29"/>
      <c r="C515" s="16"/>
      <c r="D515" s="41"/>
      <c r="E515" s="41"/>
      <c r="F515" s="30"/>
      <c r="G515" s="31"/>
      <c r="H515" s="31"/>
      <c r="I515" s="41"/>
      <c r="J515" s="42"/>
    </row>
    <row r="516" ht="22.5" customHeight="1">
      <c r="A516" s="39"/>
      <c r="B516" s="29"/>
      <c r="C516" s="16"/>
      <c r="D516" s="41"/>
      <c r="E516" s="41"/>
      <c r="F516" s="30"/>
      <c r="G516" s="31"/>
      <c r="H516" s="31"/>
      <c r="I516" s="41"/>
      <c r="J516" s="42"/>
    </row>
    <row r="517" ht="22.5" customHeight="1">
      <c r="A517" s="39"/>
      <c r="B517" s="29"/>
      <c r="C517" s="16"/>
      <c r="D517" s="41"/>
      <c r="E517" s="41"/>
      <c r="F517" s="30"/>
      <c r="G517" s="31"/>
      <c r="H517" s="31"/>
      <c r="I517" s="41"/>
      <c r="J517" s="42"/>
    </row>
    <row r="518" ht="22.5" customHeight="1">
      <c r="A518" s="39"/>
      <c r="B518" s="29"/>
      <c r="C518" s="16"/>
      <c r="D518" s="41"/>
      <c r="E518" s="41"/>
      <c r="F518" s="30"/>
      <c r="G518" s="31"/>
      <c r="H518" s="31"/>
      <c r="I518" s="41"/>
      <c r="J518" s="42"/>
    </row>
    <row r="519" ht="22.5" customHeight="1">
      <c r="A519" s="39"/>
      <c r="B519" s="29"/>
      <c r="C519" s="16"/>
      <c r="D519" s="41"/>
      <c r="E519" s="41"/>
      <c r="F519" s="30"/>
      <c r="G519" s="31"/>
      <c r="H519" s="31"/>
      <c r="I519" s="41"/>
      <c r="J519" s="42"/>
    </row>
    <row r="520" ht="22.5" customHeight="1">
      <c r="A520" s="39"/>
      <c r="B520" s="29"/>
      <c r="C520" s="16"/>
      <c r="D520" s="41"/>
      <c r="E520" s="41"/>
      <c r="F520" s="30"/>
      <c r="G520" s="31"/>
      <c r="H520" s="31"/>
      <c r="I520" s="41"/>
      <c r="J520" s="42"/>
    </row>
    <row r="521" ht="22.5" customHeight="1">
      <c r="A521" s="39"/>
      <c r="B521" s="29"/>
      <c r="C521" s="16"/>
      <c r="D521" s="41"/>
      <c r="E521" s="41"/>
      <c r="F521" s="30"/>
      <c r="G521" s="31"/>
      <c r="H521" s="31"/>
      <c r="I521" s="41"/>
      <c r="J521" s="42"/>
    </row>
    <row r="522" ht="22.5" customHeight="1">
      <c r="A522" s="39"/>
      <c r="B522" s="29"/>
      <c r="C522" s="16"/>
      <c r="D522" s="41"/>
      <c r="E522" s="41"/>
      <c r="F522" s="30"/>
      <c r="G522" s="31"/>
      <c r="H522" s="31"/>
      <c r="I522" s="41"/>
      <c r="J522" s="42"/>
    </row>
    <row r="523" ht="22.5" customHeight="1">
      <c r="A523" s="39"/>
      <c r="B523" s="29"/>
      <c r="C523" s="16"/>
      <c r="D523" s="41"/>
      <c r="E523" s="41"/>
      <c r="F523" s="30"/>
      <c r="G523" s="31"/>
      <c r="H523" s="31"/>
      <c r="I523" s="41"/>
      <c r="J523" s="42"/>
    </row>
    <row r="524" ht="22.5" customHeight="1">
      <c r="A524" s="39"/>
      <c r="B524" s="29"/>
      <c r="C524" s="16"/>
      <c r="D524" s="41"/>
      <c r="E524" s="41"/>
      <c r="F524" s="30"/>
      <c r="G524" s="31"/>
      <c r="H524" s="31"/>
      <c r="I524" s="41"/>
      <c r="J524" s="42"/>
    </row>
    <row r="525" ht="22.5" customHeight="1">
      <c r="A525" s="39"/>
      <c r="B525" s="29"/>
      <c r="C525" s="16"/>
      <c r="D525" s="41"/>
      <c r="E525" s="41"/>
      <c r="F525" s="30"/>
      <c r="G525" s="31"/>
      <c r="H525" s="31"/>
      <c r="I525" s="41"/>
      <c r="J525" s="42"/>
    </row>
    <row r="526" ht="22.5" customHeight="1">
      <c r="A526" s="39"/>
      <c r="B526" s="29"/>
      <c r="C526" s="16"/>
      <c r="D526" s="41"/>
      <c r="E526" s="41"/>
      <c r="F526" s="30"/>
      <c r="G526" s="31"/>
      <c r="H526" s="31"/>
      <c r="I526" s="41"/>
      <c r="J526" s="42"/>
    </row>
    <row r="527" ht="22.5" customHeight="1">
      <c r="A527" s="39"/>
      <c r="B527" s="29"/>
      <c r="C527" s="16"/>
      <c r="D527" s="41"/>
      <c r="E527" s="41"/>
      <c r="F527" s="30"/>
      <c r="G527" s="31"/>
      <c r="H527" s="31"/>
      <c r="I527" s="41"/>
      <c r="J527" s="42"/>
    </row>
    <row r="528" ht="22.5" customHeight="1">
      <c r="A528" s="39"/>
      <c r="B528" s="29"/>
      <c r="C528" s="16"/>
      <c r="D528" s="41"/>
      <c r="E528" s="41"/>
      <c r="F528" s="30"/>
      <c r="G528" s="31"/>
      <c r="H528" s="31"/>
      <c r="I528" s="41"/>
      <c r="J528" s="42"/>
    </row>
    <row r="529" ht="22.5" customHeight="1">
      <c r="A529" s="39"/>
      <c r="B529" s="29"/>
      <c r="C529" s="16"/>
      <c r="D529" s="41"/>
      <c r="E529" s="41"/>
      <c r="F529" s="30"/>
      <c r="G529" s="31"/>
      <c r="H529" s="31"/>
      <c r="I529" s="41"/>
      <c r="J529" s="42"/>
    </row>
    <row r="530" ht="22.5" customHeight="1">
      <c r="A530" s="39"/>
      <c r="B530" s="29"/>
      <c r="C530" s="16"/>
      <c r="D530" s="41"/>
      <c r="E530" s="41"/>
      <c r="F530" s="30"/>
      <c r="G530" s="31"/>
      <c r="H530" s="31"/>
      <c r="I530" s="41"/>
      <c r="J530" s="42"/>
    </row>
    <row r="531" ht="22.5" customHeight="1">
      <c r="A531" s="39"/>
      <c r="B531" s="29"/>
      <c r="C531" s="16"/>
      <c r="D531" s="41"/>
      <c r="E531" s="41"/>
      <c r="F531" s="30"/>
      <c r="G531" s="31"/>
      <c r="H531" s="31"/>
      <c r="I531" s="41"/>
      <c r="J531" s="42"/>
    </row>
    <row r="532" ht="22.5" customHeight="1">
      <c r="A532" s="39"/>
      <c r="B532" s="29"/>
      <c r="C532" s="16"/>
      <c r="D532" s="41"/>
      <c r="E532" s="41"/>
      <c r="F532" s="30"/>
      <c r="G532" s="31"/>
      <c r="H532" s="31"/>
      <c r="I532" s="41"/>
      <c r="J532" s="42"/>
    </row>
    <row r="533" ht="22.5" customHeight="1">
      <c r="A533" s="39"/>
      <c r="B533" s="29"/>
      <c r="C533" s="16"/>
      <c r="D533" s="41"/>
      <c r="E533" s="41"/>
      <c r="F533" s="30"/>
      <c r="G533" s="31"/>
      <c r="H533" s="31"/>
      <c r="I533" s="41"/>
      <c r="J533" s="42"/>
    </row>
    <row r="534" ht="22.5" customHeight="1">
      <c r="A534" s="39"/>
      <c r="B534" s="29"/>
      <c r="C534" s="16"/>
      <c r="D534" s="41"/>
      <c r="E534" s="41"/>
      <c r="F534" s="30"/>
      <c r="G534" s="31"/>
      <c r="H534" s="31"/>
      <c r="I534" s="41"/>
      <c r="J534" s="42"/>
    </row>
    <row r="535" ht="22.5" customHeight="1">
      <c r="A535" s="39"/>
      <c r="B535" s="29"/>
      <c r="C535" s="16"/>
      <c r="D535" s="41"/>
      <c r="E535" s="41"/>
      <c r="F535" s="30"/>
      <c r="G535" s="31"/>
      <c r="H535" s="31"/>
      <c r="I535" s="41"/>
      <c r="J535" s="42"/>
    </row>
    <row r="536" ht="22.5" customHeight="1">
      <c r="A536" s="39"/>
      <c r="B536" s="29"/>
      <c r="C536" s="16"/>
      <c r="D536" s="41"/>
      <c r="E536" s="41"/>
      <c r="F536" s="30"/>
      <c r="G536" s="31"/>
      <c r="H536" s="31"/>
      <c r="I536" s="41"/>
      <c r="J536" s="42"/>
    </row>
    <row r="537" ht="22.5" customHeight="1">
      <c r="A537" s="39"/>
      <c r="B537" s="29"/>
      <c r="C537" s="16"/>
      <c r="D537" s="41"/>
      <c r="E537" s="41"/>
      <c r="F537" s="30"/>
      <c r="G537" s="31"/>
      <c r="H537" s="31"/>
      <c r="I537" s="41"/>
      <c r="J537" s="42"/>
    </row>
    <row r="538" ht="22.5" customHeight="1">
      <c r="A538" s="39"/>
      <c r="B538" s="29"/>
      <c r="C538" s="16"/>
      <c r="D538" s="41"/>
      <c r="E538" s="41"/>
      <c r="F538" s="30"/>
      <c r="G538" s="31"/>
      <c r="H538" s="31"/>
      <c r="I538" s="41"/>
      <c r="J538" s="42"/>
    </row>
    <row r="539" ht="22.5" customHeight="1">
      <c r="A539" s="39"/>
      <c r="B539" s="29"/>
      <c r="C539" s="16"/>
      <c r="D539" s="41"/>
      <c r="E539" s="41"/>
      <c r="F539" s="30"/>
      <c r="G539" s="31"/>
      <c r="H539" s="31"/>
      <c r="I539" s="41"/>
      <c r="J539" s="42"/>
    </row>
    <row r="540" ht="22.5" customHeight="1">
      <c r="A540" s="39"/>
      <c r="B540" s="29"/>
      <c r="C540" s="16"/>
      <c r="D540" s="41"/>
      <c r="E540" s="41"/>
      <c r="F540" s="30"/>
      <c r="G540" s="31"/>
      <c r="H540" s="31"/>
      <c r="I540" s="41"/>
      <c r="J540" s="42"/>
    </row>
    <row r="541" ht="22.5" customHeight="1">
      <c r="A541" s="39"/>
      <c r="B541" s="29"/>
      <c r="C541" s="16"/>
      <c r="D541" s="41"/>
      <c r="E541" s="41"/>
      <c r="F541" s="30"/>
      <c r="G541" s="31"/>
      <c r="H541" s="31"/>
      <c r="I541" s="41"/>
      <c r="J541" s="42"/>
    </row>
    <row r="542" ht="22.5" customHeight="1">
      <c r="A542" s="39"/>
      <c r="B542" s="29"/>
      <c r="C542" s="16"/>
      <c r="D542" s="41"/>
      <c r="E542" s="41"/>
      <c r="F542" s="30"/>
      <c r="G542" s="31"/>
      <c r="H542" s="31"/>
      <c r="I542" s="41"/>
      <c r="J542" s="42"/>
    </row>
    <row r="543" ht="22.5" customHeight="1">
      <c r="A543" s="39"/>
      <c r="B543" s="29"/>
      <c r="C543" s="16"/>
      <c r="D543" s="41"/>
      <c r="E543" s="41"/>
      <c r="F543" s="30"/>
      <c r="G543" s="31"/>
      <c r="H543" s="31"/>
      <c r="I543" s="41"/>
      <c r="J543" s="42"/>
    </row>
    <row r="544" ht="22.5" customHeight="1">
      <c r="A544" s="39"/>
      <c r="B544" s="29"/>
      <c r="C544" s="16"/>
      <c r="D544" s="41"/>
      <c r="E544" s="41"/>
      <c r="F544" s="30"/>
      <c r="G544" s="31"/>
      <c r="H544" s="31"/>
      <c r="I544" s="41"/>
      <c r="J544" s="42"/>
    </row>
    <row r="545" ht="22.5" customHeight="1">
      <c r="A545" s="39"/>
      <c r="B545" s="29"/>
      <c r="C545" s="16"/>
      <c r="D545" s="41"/>
      <c r="E545" s="41"/>
      <c r="F545" s="30"/>
      <c r="G545" s="31"/>
      <c r="H545" s="31"/>
      <c r="I545" s="41"/>
      <c r="J545" s="42"/>
    </row>
    <row r="546" ht="22.5" customHeight="1">
      <c r="A546" s="39"/>
      <c r="B546" s="29"/>
      <c r="C546" s="16"/>
      <c r="D546" s="41"/>
      <c r="E546" s="41"/>
      <c r="F546" s="30"/>
      <c r="G546" s="31"/>
      <c r="H546" s="31"/>
      <c r="I546" s="41"/>
      <c r="J546" s="42"/>
    </row>
    <row r="547" ht="22.5" customHeight="1">
      <c r="A547" s="39"/>
      <c r="B547" s="29"/>
      <c r="C547" s="16"/>
      <c r="D547" s="41"/>
      <c r="E547" s="41"/>
      <c r="F547" s="30"/>
      <c r="G547" s="31"/>
      <c r="H547" s="31"/>
      <c r="I547" s="41"/>
      <c r="J547" s="42"/>
    </row>
    <row r="548" ht="22.5" customHeight="1">
      <c r="A548" s="39"/>
      <c r="B548" s="29"/>
      <c r="C548" s="16"/>
      <c r="D548" s="41"/>
      <c r="E548" s="41"/>
      <c r="F548" s="30"/>
      <c r="G548" s="31"/>
      <c r="H548" s="31"/>
      <c r="I548" s="41"/>
      <c r="J548" s="42"/>
    </row>
    <row r="549" ht="22.5" customHeight="1">
      <c r="A549" s="39"/>
      <c r="B549" s="29"/>
      <c r="C549" s="16"/>
      <c r="D549" s="41"/>
      <c r="E549" s="41"/>
      <c r="F549" s="30"/>
      <c r="G549" s="31"/>
      <c r="H549" s="31"/>
      <c r="I549" s="41"/>
      <c r="J549" s="42"/>
    </row>
    <row r="550" ht="22.5" customHeight="1">
      <c r="A550" s="39"/>
      <c r="B550" s="29"/>
      <c r="C550" s="16"/>
      <c r="D550" s="41"/>
      <c r="E550" s="41"/>
      <c r="F550" s="30"/>
      <c r="G550" s="31"/>
      <c r="H550" s="31"/>
      <c r="I550" s="41"/>
      <c r="J550" s="42"/>
    </row>
    <row r="551" ht="22.5" customHeight="1">
      <c r="A551" s="39"/>
      <c r="B551" s="29"/>
      <c r="C551" s="16"/>
      <c r="D551" s="41"/>
      <c r="E551" s="41"/>
      <c r="F551" s="30"/>
      <c r="G551" s="31"/>
      <c r="H551" s="31"/>
      <c r="I551" s="41"/>
      <c r="J551" s="42"/>
    </row>
    <row r="552" ht="22.5" customHeight="1">
      <c r="A552" s="39"/>
      <c r="B552" s="29"/>
      <c r="C552" s="16"/>
      <c r="D552" s="41"/>
      <c r="E552" s="41"/>
      <c r="F552" s="30"/>
      <c r="G552" s="31"/>
      <c r="H552" s="31"/>
      <c r="I552" s="41"/>
      <c r="J552" s="42"/>
    </row>
    <row r="553" ht="22.5" customHeight="1">
      <c r="A553" s="39"/>
      <c r="B553" s="29"/>
      <c r="C553" s="16"/>
      <c r="D553" s="41"/>
      <c r="E553" s="41"/>
      <c r="F553" s="30"/>
      <c r="G553" s="31"/>
      <c r="H553" s="31"/>
      <c r="I553" s="41"/>
      <c r="J553" s="42"/>
    </row>
    <row r="554" ht="22.5" customHeight="1">
      <c r="A554" s="39"/>
      <c r="B554" s="29"/>
      <c r="C554" s="16"/>
      <c r="D554" s="41"/>
      <c r="E554" s="41"/>
      <c r="F554" s="30"/>
      <c r="G554" s="31"/>
      <c r="H554" s="31"/>
      <c r="I554" s="41"/>
      <c r="J554" s="42"/>
    </row>
    <row r="555" ht="22.5" customHeight="1">
      <c r="A555" s="39"/>
      <c r="B555" s="29"/>
      <c r="C555" s="16"/>
      <c r="D555" s="41"/>
      <c r="E555" s="41"/>
      <c r="F555" s="30"/>
      <c r="G555" s="31"/>
      <c r="H555" s="31"/>
      <c r="I555" s="41"/>
      <c r="J555" s="42"/>
    </row>
    <row r="556" ht="22.5" customHeight="1">
      <c r="A556" s="39"/>
      <c r="B556" s="29"/>
      <c r="C556" s="16"/>
      <c r="D556" s="41"/>
      <c r="E556" s="41"/>
      <c r="F556" s="30"/>
      <c r="G556" s="31"/>
      <c r="H556" s="31"/>
      <c r="I556" s="41"/>
      <c r="J556" s="42"/>
    </row>
    <row r="557" ht="22.5" customHeight="1">
      <c r="A557" s="39"/>
      <c r="B557" s="29"/>
      <c r="C557" s="16"/>
      <c r="D557" s="41"/>
      <c r="E557" s="41"/>
      <c r="F557" s="30"/>
      <c r="G557" s="31"/>
      <c r="H557" s="31"/>
      <c r="I557" s="41"/>
      <c r="J557" s="42"/>
    </row>
    <row r="558" ht="22.5" customHeight="1">
      <c r="A558" s="39"/>
      <c r="B558" s="29"/>
      <c r="C558" s="16"/>
      <c r="D558" s="41"/>
      <c r="E558" s="41"/>
      <c r="F558" s="30"/>
      <c r="G558" s="31"/>
      <c r="H558" s="31"/>
      <c r="I558" s="41"/>
      <c r="J558" s="42"/>
    </row>
    <row r="559" ht="22.5" customHeight="1">
      <c r="A559" s="39"/>
      <c r="B559" s="29"/>
      <c r="C559" s="16"/>
      <c r="D559" s="41"/>
      <c r="E559" s="41"/>
      <c r="F559" s="30"/>
      <c r="G559" s="31"/>
      <c r="H559" s="31"/>
      <c r="I559" s="41"/>
      <c r="J559" s="42"/>
    </row>
    <row r="560" ht="22.5" customHeight="1">
      <c r="A560" s="39"/>
      <c r="B560" s="29"/>
      <c r="C560" s="16"/>
      <c r="D560" s="41"/>
      <c r="E560" s="41"/>
      <c r="F560" s="30"/>
      <c r="G560" s="31"/>
      <c r="H560" s="31"/>
      <c r="I560" s="41"/>
      <c r="J560" s="42"/>
    </row>
    <row r="561" ht="22.5" customHeight="1">
      <c r="A561" s="39"/>
      <c r="B561" s="29"/>
      <c r="C561" s="16"/>
      <c r="D561" s="41"/>
      <c r="E561" s="41"/>
      <c r="F561" s="30"/>
      <c r="G561" s="31"/>
      <c r="H561" s="31"/>
      <c r="I561" s="41"/>
      <c r="J561" s="42"/>
    </row>
    <row r="562" ht="22.5" customHeight="1">
      <c r="A562" s="39"/>
      <c r="B562" s="29"/>
      <c r="C562" s="16"/>
      <c r="D562" s="41"/>
      <c r="E562" s="41"/>
      <c r="F562" s="30"/>
      <c r="G562" s="31"/>
      <c r="H562" s="31"/>
      <c r="I562" s="41"/>
      <c r="J562" s="42"/>
    </row>
    <row r="563" ht="22.5" customHeight="1">
      <c r="A563" s="39"/>
      <c r="B563" s="29"/>
      <c r="C563" s="16"/>
      <c r="D563" s="41"/>
      <c r="E563" s="41"/>
      <c r="F563" s="30"/>
      <c r="G563" s="31"/>
      <c r="H563" s="31"/>
      <c r="I563" s="41"/>
      <c r="J563" s="42"/>
    </row>
    <row r="564" ht="22.5" customHeight="1">
      <c r="A564" s="39"/>
      <c r="B564" s="29"/>
      <c r="C564" s="16"/>
      <c r="D564" s="41"/>
      <c r="E564" s="41"/>
      <c r="F564" s="30"/>
      <c r="G564" s="31"/>
      <c r="H564" s="31"/>
      <c r="I564" s="41"/>
      <c r="J564" s="42"/>
    </row>
    <row r="565" ht="22.5" customHeight="1">
      <c r="A565" s="39"/>
      <c r="B565" s="29"/>
      <c r="C565" s="16"/>
      <c r="D565" s="41"/>
      <c r="E565" s="41"/>
      <c r="F565" s="30"/>
      <c r="G565" s="31"/>
      <c r="H565" s="31"/>
      <c r="I565" s="41"/>
      <c r="J565" s="42"/>
    </row>
    <row r="566" ht="22.5" customHeight="1">
      <c r="A566" s="39"/>
      <c r="B566" s="29"/>
      <c r="C566" s="16"/>
      <c r="D566" s="41"/>
      <c r="E566" s="41"/>
      <c r="F566" s="30"/>
      <c r="G566" s="31"/>
      <c r="H566" s="31"/>
      <c r="I566" s="41"/>
      <c r="J566" s="42"/>
    </row>
    <row r="567" ht="22.5" customHeight="1">
      <c r="A567" s="39"/>
      <c r="B567" s="29"/>
      <c r="C567" s="16"/>
      <c r="D567" s="41"/>
      <c r="E567" s="41"/>
      <c r="F567" s="30"/>
      <c r="G567" s="31"/>
      <c r="H567" s="31"/>
      <c r="I567" s="41"/>
      <c r="J567" s="42"/>
    </row>
    <row r="568" ht="22.5" customHeight="1">
      <c r="A568" s="39"/>
      <c r="B568" s="29"/>
      <c r="C568" s="16"/>
      <c r="D568" s="41"/>
      <c r="E568" s="41"/>
      <c r="F568" s="30"/>
      <c r="G568" s="31"/>
      <c r="H568" s="31"/>
      <c r="I568" s="41"/>
      <c r="J568" s="42"/>
    </row>
    <row r="569" ht="22.5" customHeight="1">
      <c r="A569" s="39"/>
      <c r="B569" s="29"/>
      <c r="C569" s="16"/>
      <c r="D569" s="41"/>
      <c r="E569" s="41"/>
      <c r="F569" s="30"/>
      <c r="G569" s="31"/>
      <c r="H569" s="31"/>
      <c r="I569" s="41"/>
      <c r="J569" s="42"/>
    </row>
    <row r="570" ht="22.5" customHeight="1">
      <c r="A570" s="39"/>
      <c r="B570" s="29"/>
      <c r="C570" s="16"/>
      <c r="D570" s="41"/>
      <c r="E570" s="41"/>
      <c r="F570" s="30"/>
      <c r="G570" s="31"/>
      <c r="H570" s="31"/>
      <c r="I570" s="41"/>
      <c r="J570" s="42"/>
    </row>
    <row r="571" ht="22.5" customHeight="1">
      <c r="A571" s="39"/>
      <c r="B571" s="29"/>
      <c r="C571" s="16"/>
      <c r="D571" s="41"/>
      <c r="E571" s="41"/>
      <c r="F571" s="30"/>
      <c r="G571" s="31"/>
      <c r="H571" s="31"/>
      <c r="I571" s="41"/>
      <c r="J571" s="42"/>
    </row>
    <row r="572" ht="22.5" customHeight="1">
      <c r="A572" s="39"/>
      <c r="B572" s="29"/>
      <c r="C572" s="16"/>
      <c r="D572" s="41"/>
      <c r="E572" s="41"/>
      <c r="F572" s="30"/>
      <c r="G572" s="31"/>
      <c r="H572" s="31"/>
      <c r="I572" s="41"/>
      <c r="J572" s="42"/>
    </row>
    <row r="573" ht="22.5" customHeight="1">
      <c r="A573" s="39"/>
      <c r="B573" s="29"/>
      <c r="C573" s="16"/>
      <c r="D573" s="41"/>
      <c r="E573" s="41"/>
      <c r="F573" s="30"/>
      <c r="G573" s="31"/>
      <c r="H573" s="31"/>
      <c r="I573" s="41"/>
      <c r="J573" s="42"/>
    </row>
    <row r="574" ht="22.5" customHeight="1">
      <c r="A574" s="39"/>
      <c r="B574" s="29"/>
      <c r="C574" s="16"/>
      <c r="D574" s="41"/>
      <c r="E574" s="41"/>
      <c r="F574" s="30"/>
      <c r="G574" s="31"/>
      <c r="H574" s="31"/>
      <c r="I574" s="41"/>
      <c r="J574" s="42"/>
    </row>
    <row r="575" ht="22.5" customHeight="1">
      <c r="A575" s="39"/>
      <c r="B575" s="29"/>
      <c r="C575" s="16"/>
      <c r="D575" s="41"/>
      <c r="E575" s="41"/>
      <c r="F575" s="30"/>
      <c r="G575" s="31"/>
      <c r="H575" s="31"/>
      <c r="I575" s="41"/>
      <c r="J575" s="42"/>
    </row>
    <row r="576" ht="22.5" customHeight="1">
      <c r="A576" s="39"/>
      <c r="B576" s="29"/>
      <c r="C576" s="16"/>
      <c r="D576" s="41"/>
      <c r="E576" s="41"/>
      <c r="F576" s="30"/>
      <c r="G576" s="31"/>
      <c r="H576" s="31"/>
      <c r="I576" s="41"/>
      <c r="J576" s="42"/>
    </row>
    <row r="577" ht="22.5" customHeight="1">
      <c r="A577" s="39"/>
      <c r="B577" s="29"/>
      <c r="C577" s="16"/>
      <c r="D577" s="41"/>
      <c r="E577" s="41"/>
      <c r="F577" s="30"/>
      <c r="G577" s="31"/>
      <c r="H577" s="31"/>
      <c r="I577" s="41"/>
      <c r="J577" s="42"/>
    </row>
    <row r="578" ht="22.5" customHeight="1">
      <c r="A578" s="39"/>
      <c r="B578" s="29"/>
      <c r="C578" s="16"/>
      <c r="D578" s="41"/>
      <c r="E578" s="41"/>
      <c r="F578" s="30"/>
      <c r="G578" s="31"/>
      <c r="H578" s="31"/>
      <c r="I578" s="41"/>
      <c r="J578" s="42"/>
    </row>
    <row r="579" ht="22.5" customHeight="1">
      <c r="A579" s="39"/>
      <c r="B579" s="29"/>
      <c r="C579" s="16"/>
      <c r="D579" s="41"/>
      <c r="E579" s="41"/>
      <c r="F579" s="30"/>
      <c r="G579" s="31"/>
      <c r="H579" s="31"/>
      <c r="I579" s="41"/>
      <c r="J579" s="42"/>
    </row>
    <row r="580" ht="22.5" customHeight="1">
      <c r="A580" s="39"/>
      <c r="B580" s="29"/>
      <c r="C580" s="16"/>
      <c r="D580" s="41"/>
      <c r="E580" s="41"/>
      <c r="F580" s="30"/>
      <c r="G580" s="31"/>
      <c r="H580" s="31"/>
      <c r="I580" s="41"/>
      <c r="J580" s="42"/>
    </row>
    <row r="581" ht="22.5" customHeight="1">
      <c r="A581" s="39"/>
      <c r="B581" s="29"/>
      <c r="C581" s="16"/>
      <c r="D581" s="41"/>
      <c r="E581" s="41"/>
      <c r="F581" s="30"/>
      <c r="G581" s="31"/>
      <c r="H581" s="31"/>
      <c r="I581" s="41"/>
      <c r="J581" s="42"/>
    </row>
    <row r="582" ht="22.5" customHeight="1">
      <c r="A582" s="39"/>
      <c r="B582" s="29"/>
      <c r="C582" s="16"/>
      <c r="D582" s="41"/>
      <c r="E582" s="41"/>
      <c r="F582" s="30"/>
      <c r="G582" s="31"/>
      <c r="H582" s="31"/>
      <c r="I582" s="41"/>
      <c r="J582" s="42"/>
    </row>
    <row r="583" ht="22.5" customHeight="1">
      <c r="A583" s="39"/>
      <c r="B583" s="29"/>
      <c r="C583" s="16"/>
      <c r="D583" s="41"/>
      <c r="E583" s="41"/>
      <c r="F583" s="30"/>
      <c r="G583" s="31"/>
      <c r="H583" s="31"/>
      <c r="I583" s="41"/>
      <c r="J583" s="42"/>
    </row>
    <row r="584" ht="22.5" customHeight="1">
      <c r="A584" s="39"/>
      <c r="B584" s="29"/>
      <c r="C584" s="16"/>
      <c r="D584" s="41"/>
      <c r="E584" s="41"/>
      <c r="F584" s="30"/>
      <c r="G584" s="31"/>
      <c r="H584" s="31"/>
      <c r="I584" s="41"/>
      <c r="J584" s="42"/>
    </row>
    <row r="585" ht="22.5" customHeight="1">
      <c r="A585" s="39"/>
      <c r="B585" s="29"/>
      <c r="C585" s="16"/>
      <c r="D585" s="41"/>
      <c r="E585" s="41"/>
      <c r="F585" s="30"/>
      <c r="G585" s="31"/>
      <c r="H585" s="31"/>
      <c r="I585" s="41"/>
      <c r="J585" s="42"/>
    </row>
    <row r="586" ht="22.5" customHeight="1">
      <c r="A586" s="39"/>
      <c r="B586" s="29"/>
      <c r="C586" s="16"/>
      <c r="D586" s="41"/>
      <c r="E586" s="41"/>
      <c r="F586" s="30"/>
      <c r="G586" s="31"/>
      <c r="H586" s="31"/>
      <c r="I586" s="41"/>
      <c r="J586" s="42"/>
    </row>
    <row r="587" ht="22.5" customHeight="1">
      <c r="A587" s="39"/>
      <c r="B587" s="29"/>
      <c r="C587" s="16"/>
      <c r="D587" s="41"/>
      <c r="E587" s="41"/>
      <c r="F587" s="30"/>
      <c r="G587" s="31"/>
      <c r="H587" s="31"/>
      <c r="I587" s="41"/>
      <c r="J587" s="42"/>
    </row>
    <row r="588" ht="22.5" customHeight="1">
      <c r="A588" s="39"/>
      <c r="B588" s="29"/>
      <c r="C588" s="16"/>
      <c r="D588" s="41"/>
      <c r="E588" s="41"/>
      <c r="F588" s="30"/>
      <c r="G588" s="31"/>
      <c r="H588" s="31"/>
      <c r="I588" s="41"/>
      <c r="J588" s="42"/>
    </row>
    <row r="589" ht="22.5" customHeight="1">
      <c r="A589" s="39"/>
      <c r="B589" s="29"/>
      <c r="C589" s="16"/>
      <c r="D589" s="41"/>
      <c r="E589" s="41"/>
      <c r="F589" s="30"/>
      <c r="G589" s="31"/>
      <c r="H589" s="31"/>
      <c r="I589" s="41"/>
      <c r="J589" s="42"/>
    </row>
    <row r="590" ht="22.5" customHeight="1">
      <c r="A590" s="39"/>
      <c r="B590" s="29"/>
      <c r="C590" s="16"/>
      <c r="D590" s="41"/>
      <c r="E590" s="41"/>
      <c r="F590" s="30"/>
      <c r="G590" s="31"/>
      <c r="H590" s="31"/>
      <c r="I590" s="41"/>
      <c r="J590" s="42"/>
    </row>
    <row r="591" ht="22.5" customHeight="1">
      <c r="A591" s="39"/>
      <c r="B591" s="29"/>
      <c r="C591" s="16"/>
      <c r="D591" s="41"/>
      <c r="E591" s="41"/>
      <c r="F591" s="30"/>
      <c r="G591" s="31"/>
      <c r="H591" s="31"/>
      <c r="I591" s="41"/>
      <c r="J591" s="42"/>
    </row>
    <row r="592" ht="22.5" customHeight="1">
      <c r="A592" s="39"/>
      <c r="B592" s="29"/>
      <c r="C592" s="16"/>
      <c r="D592" s="41"/>
      <c r="E592" s="41"/>
      <c r="F592" s="30"/>
      <c r="G592" s="31"/>
      <c r="H592" s="31"/>
      <c r="I592" s="41"/>
      <c r="J592" s="42"/>
    </row>
    <row r="593" ht="22.5" customHeight="1">
      <c r="A593" s="39"/>
      <c r="B593" s="29"/>
      <c r="C593" s="16"/>
      <c r="D593" s="41"/>
      <c r="E593" s="41"/>
      <c r="F593" s="30"/>
      <c r="G593" s="31"/>
      <c r="H593" s="31"/>
      <c r="I593" s="41"/>
      <c r="J593" s="42"/>
    </row>
    <row r="594" ht="22.5" customHeight="1">
      <c r="A594" s="39"/>
      <c r="B594" s="29"/>
      <c r="C594" s="16"/>
      <c r="D594" s="41"/>
      <c r="E594" s="41"/>
      <c r="F594" s="30"/>
      <c r="G594" s="31"/>
      <c r="H594" s="31"/>
      <c r="I594" s="41"/>
      <c r="J594" s="42"/>
    </row>
    <row r="595" ht="22.5" customHeight="1">
      <c r="A595" s="39"/>
      <c r="B595" s="29"/>
      <c r="C595" s="16"/>
      <c r="D595" s="41"/>
      <c r="E595" s="41"/>
      <c r="F595" s="30"/>
      <c r="G595" s="31"/>
      <c r="H595" s="31"/>
      <c r="I595" s="41"/>
      <c r="J595" s="42"/>
    </row>
    <row r="596" ht="22.5" customHeight="1">
      <c r="A596" s="39"/>
      <c r="B596" s="29"/>
      <c r="C596" s="16"/>
      <c r="D596" s="41"/>
      <c r="E596" s="41"/>
      <c r="F596" s="30"/>
      <c r="G596" s="31"/>
      <c r="H596" s="31"/>
      <c r="I596" s="41"/>
      <c r="J596" s="42"/>
    </row>
    <row r="597" ht="22.5" customHeight="1">
      <c r="A597" s="39"/>
      <c r="B597" s="29"/>
      <c r="C597" s="16"/>
      <c r="D597" s="41"/>
      <c r="E597" s="41"/>
      <c r="F597" s="30"/>
      <c r="G597" s="31"/>
      <c r="H597" s="31"/>
      <c r="I597" s="41"/>
      <c r="J597" s="42"/>
    </row>
    <row r="598" ht="22.5" customHeight="1">
      <c r="A598" s="39"/>
      <c r="B598" s="29"/>
      <c r="C598" s="16"/>
      <c r="D598" s="41"/>
      <c r="E598" s="41"/>
      <c r="F598" s="30"/>
      <c r="G598" s="31"/>
      <c r="H598" s="31"/>
      <c r="I598" s="41"/>
      <c r="J598" s="42"/>
    </row>
    <row r="599" ht="22.5" customHeight="1">
      <c r="A599" s="39"/>
      <c r="B599" s="29"/>
      <c r="C599" s="16"/>
      <c r="D599" s="41"/>
      <c r="E599" s="41"/>
      <c r="F599" s="30"/>
      <c r="G599" s="31"/>
      <c r="H599" s="31"/>
      <c r="I599" s="41"/>
      <c r="J599" s="42"/>
    </row>
    <row r="600" ht="22.5" customHeight="1">
      <c r="A600" s="39"/>
      <c r="B600" s="29"/>
      <c r="C600" s="16"/>
      <c r="D600" s="41"/>
      <c r="E600" s="41"/>
      <c r="F600" s="30"/>
      <c r="G600" s="31"/>
      <c r="H600" s="31"/>
      <c r="I600" s="41"/>
      <c r="J600" s="42"/>
    </row>
    <row r="601" ht="22.5" customHeight="1">
      <c r="A601" s="39"/>
      <c r="B601" s="29"/>
      <c r="C601" s="16"/>
      <c r="D601" s="41"/>
      <c r="E601" s="41"/>
      <c r="F601" s="30"/>
      <c r="G601" s="31"/>
      <c r="H601" s="31"/>
      <c r="I601" s="41"/>
      <c r="J601" s="42"/>
    </row>
    <row r="602" ht="22.5" customHeight="1">
      <c r="A602" s="39"/>
      <c r="B602" s="29"/>
      <c r="C602" s="16"/>
      <c r="D602" s="41"/>
      <c r="E602" s="41"/>
      <c r="F602" s="30"/>
      <c r="G602" s="31"/>
      <c r="H602" s="31"/>
      <c r="I602" s="41"/>
      <c r="J602" s="42"/>
    </row>
    <row r="603" ht="22.5" customHeight="1">
      <c r="A603" s="39"/>
      <c r="B603" s="29"/>
      <c r="C603" s="16"/>
      <c r="D603" s="41"/>
      <c r="E603" s="41"/>
      <c r="F603" s="30"/>
      <c r="G603" s="31"/>
      <c r="H603" s="31"/>
      <c r="I603" s="41"/>
      <c r="J603" s="42"/>
    </row>
    <row r="604" ht="22.5" customHeight="1">
      <c r="A604" s="39"/>
      <c r="B604" s="29"/>
      <c r="C604" s="16"/>
      <c r="D604" s="41"/>
      <c r="E604" s="41"/>
      <c r="F604" s="30"/>
      <c r="G604" s="31"/>
      <c r="H604" s="31"/>
      <c r="I604" s="41"/>
      <c r="J604" s="42"/>
    </row>
    <row r="605" ht="22.5" customHeight="1">
      <c r="A605" s="39"/>
      <c r="B605" s="29"/>
      <c r="C605" s="16"/>
      <c r="D605" s="41"/>
      <c r="E605" s="41"/>
      <c r="F605" s="30"/>
      <c r="G605" s="31"/>
      <c r="H605" s="31"/>
      <c r="I605" s="41"/>
      <c r="J605" s="42"/>
    </row>
    <row r="606" ht="22.5" customHeight="1">
      <c r="A606" s="39"/>
      <c r="B606" s="29"/>
      <c r="C606" s="16"/>
      <c r="D606" s="41"/>
      <c r="E606" s="41"/>
      <c r="F606" s="30"/>
      <c r="G606" s="31"/>
      <c r="H606" s="31"/>
      <c r="I606" s="41"/>
      <c r="J606" s="42"/>
    </row>
    <row r="607" ht="22.5" customHeight="1">
      <c r="A607" s="39"/>
      <c r="B607" s="29"/>
      <c r="C607" s="16"/>
      <c r="D607" s="41"/>
      <c r="E607" s="41"/>
      <c r="F607" s="30"/>
      <c r="G607" s="31"/>
      <c r="H607" s="31"/>
      <c r="I607" s="41"/>
      <c r="J607" s="42"/>
    </row>
    <row r="608" ht="22.5" customHeight="1">
      <c r="A608" s="39"/>
      <c r="B608" s="29"/>
      <c r="C608" s="16"/>
      <c r="D608" s="41"/>
      <c r="E608" s="41"/>
      <c r="F608" s="30"/>
      <c r="G608" s="31"/>
      <c r="H608" s="31"/>
      <c r="I608" s="41"/>
      <c r="J608" s="42"/>
    </row>
    <row r="609" ht="22.5" customHeight="1">
      <c r="A609" s="39"/>
      <c r="B609" s="29"/>
      <c r="C609" s="16"/>
      <c r="D609" s="41"/>
      <c r="E609" s="41"/>
      <c r="F609" s="30"/>
      <c r="G609" s="31"/>
      <c r="H609" s="31"/>
      <c r="I609" s="41"/>
      <c r="J609" s="42"/>
    </row>
    <row r="610" ht="22.5" customHeight="1">
      <c r="A610" s="39"/>
      <c r="B610" s="29"/>
      <c r="C610" s="16"/>
      <c r="D610" s="41"/>
      <c r="E610" s="41"/>
      <c r="F610" s="30"/>
      <c r="G610" s="31"/>
      <c r="H610" s="31"/>
      <c r="I610" s="41"/>
      <c r="J610" s="42"/>
    </row>
    <row r="611" ht="22.5" customHeight="1">
      <c r="A611" s="39"/>
      <c r="B611" s="29"/>
      <c r="C611" s="16"/>
      <c r="D611" s="41"/>
      <c r="E611" s="41"/>
      <c r="F611" s="30"/>
      <c r="G611" s="31"/>
      <c r="H611" s="31"/>
      <c r="I611" s="41"/>
      <c r="J611" s="42"/>
    </row>
    <row r="612" ht="22.5" customHeight="1">
      <c r="A612" s="39"/>
      <c r="B612" s="29"/>
      <c r="C612" s="16"/>
      <c r="D612" s="41"/>
      <c r="E612" s="41"/>
      <c r="F612" s="30"/>
      <c r="G612" s="31"/>
      <c r="H612" s="31"/>
      <c r="I612" s="41"/>
      <c r="J612" s="42"/>
    </row>
    <row r="613" ht="22.5" customHeight="1">
      <c r="A613" s="39"/>
      <c r="B613" s="29"/>
      <c r="C613" s="16"/>
      <c r="D613" s="41"/>
      <c r="E613" s="41"/>
      <c r="F613" s="30"/>
      <c r="G613" s="31"/>
      <c r="H613" s="31"/>
      <c r="I613" s="41"/>
      <c r="J613" s="42"/>
    </row>
    <row r="614" ht="22.5" customHeight="1">
      <c r="A614" s="39"/>
      <c r="B614" s="29"/>
      <c r="C614" s="16"/>
      <c r="D614" s="41"/>
      <c r="E614" s="41"/>
      <c r="F614" s="30"/>
      <c r="G614" s="31"/>
      <c r="H614" s="31"/>
      <c r="I614" s="41"/>
      <c r="J614" s="42"/>
    </row>
    <row r="615" ht="22.5" customHeight="1">
      <c r="A615" s="39"/>
      <c r="B615" s="29"/>
      <c r="C615" s="16"/>
      <c r="D615" s="41"/>
      <c r="E615" s="41"/>
      <c r="F615" s="30"/>
      <c r="G615" s="31"/>
      <c r="H615" s="31"/>
      <c r="I615" s="41"/>
      <c r="J615" s="42"/>
    </row>
    <row r="616" ht="22.5" customHeight="1">
      <c r="A616" s="39"/>
      <c r="B616" s="29"/>
      <c r="C616" s="16"/>
      <c r="D616" s="41"/>
      <c r="E616" s="41"/>
      <c r="F616" s="30"/>
      <c r="G616" s="31"/>
      <c r="H616" s="31"/>
      <c r="I616" s="41"/>
      <c r="J616" s="42"/>
    </row>
    <row r="617" ht="22.5" customHeight="1">
      <c r="A617" s="39"/>
      <c r="B617" s="29"/>
      <c r="C617" s="16"/>
      <c r="D617" s="41"/>
      <c r="E617" s="41"/>
      <c r="F617" s="30"/>
      <c r="G617" s="31"/>
      <c r="H617" s="31"/>
      <c r="I617" s="41"/>
      <c r="J617" s="42"/>
    </row>
    <row r="618" ht="22.5" customHeight="1">
      <c r="A618" s="39"/>
      <c r="B618" s="29"/>
      <c r="C618" s="16"/>
      <c r="D618" s="41"/>
      <c r="E618" s="41"/>
      <c r="F618" s="30"/>
      <c r="G618" s="31"/>
      <c r="H618" s="31"/>
      <c r="I618" s="41"/>
      <c r="J618" s="42"/>
    </row>
    <row r="619" ht="22.5" customHeight="1">
      <c r="A619" s="39"/>
      <c r="B619" s="29"/>
      <c r="C619" s="16"/>
      <c r="D619" s="41"/>
      <c r="E619" s="41"/>
      <c r="F619" s="30"/>
      <c r="G619" s="31"/>
      <c r="H619" s="31"/>
      <c r="I619" s="41"/>
      <c r="J619" s="42"/>
    </row>
    <row r="620" ht="22.5" customHeight="1">
      <c r="A620" s="39"/>
      <c r="B620" s="29"/>
      <c r="C620" s="16"/>
      <c r="D620" s="41"/>
      <c r="E620" s="41"/>
      <c r="F620" s="30"/>
      <c r="G620" s="31"/>
      <c r="H620" s="31"/>
      <c r="I620" s="41"/>
      <c r="J620" s="42"/>
    </row>
    <row r="621" ht="22.5" customHeight="1">
      <c r="A621" s="39"/>
      <c r="B621" s="29"/>
      <c r="C621" s="16"/>
      <c r="D621" s="41"/>
      <c r="E621" s="41"/>
      <c r="F621" s="30"/>
      <c r="G621" s="31"/>
      <c r="H621" s="31"/>
      <c r="I621" s="41"/>
      <c r="J621" s="42"/>
    </row>
    <row r="622" ht="22.5" customHeight="1">
      <c r="A622" s="39"/>
      <c r="B622" s="29"/>
      <c r="C622" s="16"/>
      <c r="D622" s="41"/>
      <c r="E622" s="41"/>
      <c r="F622" s="30"/>
      <c r="G622" s="31"/>
      <c r="H622" s="31"/>
      <c r="I622" s="41"/>
      <c r="J622" s="42"/>
    </row>
    <row r="623" ht="22.5" customHeight="1">
      <c r="A623" s="39"/>
      <c r="B623" s="29"/>
      <c r="C623" s="16"/>
      <c r="D623" s="41"/>
      <c r="E623" s="41"/>
      <c r="F623" s="30"/>
      <c r="G623" s="31"/>
      <c r="H623" s="31"/>
      <c r="I623" s="41"/>
      <c r="J623" s="42"/>
    </row>
    <row r="624" ht="22.5" customHeight="1">
      <c r="A624" s="39"/>
      <c r="B624" s="29"/>
      <c r="C624" s="16"/>
      <c r="D624" s="41"/>
      <c r="E624" s="41"/>
      <c r="F624" s="30"/>
      <c r="G624" s="31"/>
      <c r="H624" s="31"/>
      <c r="I624" s="41"/>
      <c r="J624" s="42"/>
    </row>
    <row r="625" ht="22.5" customHeight="1">
      <c r="A625" s="39"/>
      <c r="B625" s="29"/>
      <c r="C625" s="16"/>
      <c r="D625" s="41"/>
      <c r="E625" s="41"/>
      <c r="F625" s="30"/>
      <c r="G625" s="31"/>
      <c r="H625" s="31"/>
      <c r="I625" s="41"/>
      <c r="J625" s="42"/>
    </row>
    <row r="626" ht="22.5" customHeight="1">
      <c r="A626" s="39"/>
      <c r="B626" s="29"/>
      <c r="C626" s="16"/>
      <c r="D626" s="41"/>
      <c r="E626" s="41"/>
      <c r="F626" s="30"/>
      <c r="G626" s="31"/>
      <c r="H626" s="31"/>
      <c r="I626" s="41"/>
      <c r="J626" s="42"/>
    </row>
    <row r="627" ht="22.5" customHeight="1">
      <c r="A627" s="39"/>
      <c r="B627" s="29"/>
      <c r="C627" s="16"/>
      <c r="D627" s="41"/>
      <c r="E627" s="41"/>
      <c r="F627" s="30"/>
      <c r="G627" s="31"/>
      <c r="H627" s="31"/>
      <c r="I627" s="41"/>
      <c r="J627" s="42"/>
    </row>
    <row r="628" ht="22.5" customHeight="1">
      <c r="A628" s="39"/>
      <c r="B628" s="29"/>
      <c r="C628" s="16"/>
      <c r="D628" s="41"/>
      <c r="E628" s="41"/>
      <c r="F628" s="30"/>
      <c r="G628" s="31"/>
      <c r="H628" s="31"/>
      <c r="I628" s="41"/>
      <c r="J628" s="42"/>
    </row>
    <row r="629" ht="22.5" customHeight="1">
      <c r="A629" s="39"/>
      <c r="B629" s="29"/>
      <c r="C629" s="16"/>
      <c r="D629" s="41"/>
      <c r="E629" s="41"/>
      <c r="F629" s="30"/>
      <c r="G629" s="31"/>
      <c r="H629" s="31"/>
      <c r="I629" s="41"/>
      <c r="J629" s="42"/>
    </row>
    <row r="630" ht="22.5" customHeight="1">
      <c r="A630" s="39"/>
      <c r="B630" s="29"/>
      <c r="C630" s="16"/>
      <c r="D630" s="41"/>
      <c r="E630" s="41"/>
      <c r="F630" s="30"/>
      <c r="G630" s="31"/>
      <c r="H630" s="31"/>
      <c r="I630" s="41"/>
      <c r="J630" s="42"/>
    </row>
    <row r="631" ht="22.5" customHeight="1">
      <c r="A631" s="39"/>
      <c r="B631" s="29"/>
      <c r="C631" s="16"/>
      <c r="D631" s="41"/>
      <c r="E631" s="41"/>
      <c r="F631" s="30"/>
      <c r="G631" s="31"/>
      <c r="H631" s="31"/>
      <c r="I631" s="41"/>
      <c r="J631" s="42"/>
    </row>
    <row r="632" ht="22.5" customHeight="1">
      <c r="A632" s="39"/>
      <c r="B632" s="29"/>
      <c r="C632" s="16"/>
      <c r="D632" s="41"/>
      <c r="E632" s="41"/>
      <c r="F632" s="30"/>
      <c r="G632" s="31"/>
      <c r="H632" s="31"/>
      <c r="I632" s="41"/>
      <c r="J632" s="42"/>
    </row>
    <row r="633" ht="22.5" customHeight="1">
      <c r="A633" s="39"/>
      <c r="B633" s="29"/>
      <c r="C633" s="16"/>
      <c r="D633" s="41"/>
      <c r="E633" s="41"/>
      <c r="F633" s="30"/>
      <c r="G633" s="31"/>
      <c r="H633" s="31"/>
      <c r="I633" s="41"/>
      <c r="J633" s="42"/>
    </row>
    <row r="634" ht="22.5" customHeight="1">
      <c r="A634" s="39"/>
      <c r="B634" s="29"/>
      <c r="C634" s="16"/>
      <c r="D634" s="41"/>
      <c r="E634" s="41"/>
      <c r="F634" s="30"/>
      <c r="G634" s="31"/>
      <c r="H634" s="31"/>
      <c r="I634" s="41"/>
      <c r="J634" s="42"/>
    </row>
    <row r="635" ht="22.5" customHeight="1">
      <c r="A635" s="39"/>
      <c r="B635" s="29"/>
      <c r="C635" s="16"/>
      <c r="D635" s="41"/>
      <c r="E635" s="41"/>
      <c r="F635" s="30"/>
      <c r="G635" s="31"/>
      <c r="H635" s="31"/>
      <c r="I635" s="41"/>
      <c r="J635" s="42"/>
    </row>
    <row r="636" ht="22.5" customHeight="1">
      <c r="A636" s="39"/>
      <c r="B636" s="29"/>
      <c r="C636" s="16"/>
      <c r="D636" s="41"/>
      <c r="E636" s="41"/>
      <c r="F636" s="30"/>
      <c r="G636" s="31"/>
      <c r="H636" s="31"/>
      <c r="I636" s="41"/>
      <c r="J636" s="42"/>
    </row>
    <row r="637" ht="22.5" customHeight="1">
      <c r="A637" s="39"/>
      <c r="B637" s="29"/>
      <c r="C637" s="16"/>
      <c r="D637" s="41"/>
      <c r="E637" s="41"/>
      <c r="F637" s="30"/>
      <c r="G637" s="31"/>
      <c r="H637" s="31"/>
      <c r="I637" s="41"/>
      <c r="J637" s="42"/>
    </row>
    <row r="638" ht="22.5" customHeight="1">
      <c r="A638" s="39"/>
      <c r="B638" s="29"/>
      <c r="C638" s="16"/>
      <c r="D638" s="41"/>
      <c r="E638" s="41"/>
      <c r="F638" s="30"/>
      <c r="G638" s="31"/>
      <c r="H638" s="31"/>
      <c r="I638" s="41"/>
      <c r="J638" s="42"/>
    </row>
    <row r="639" ht="22.5" customHeight="1">
      <c r="A639" s="39"/>
      <c r="B639" s="29"/>
      <c r="C639" s="16"/>
      <c r="D639" s="41"/>
      <c r="E639" s="41"/>
      <c r="F639" s="30"/>
      <c r="G639" s="31"/>
      <c r="H639" s="31"/>
      <c r="I639" s="41"/>
      <c r="J639" s="42"/>
    </row>
    <row r="640" ht="22.5" customHeight="1">
      <c r="A640" s="39"/>
      <c r="B640" s="29"/>
      <c r="C640" s="16"/>
      <c r="D640" s="41"/>
      <c r="E640" s="41"/>
      <c r="F640" s="30"/>
      <c r="G640" s="31"/>
      <c r="H640" s="31"/>
      <c r="I640" s="41"/>
      <c r="J640" s="42"/>
    </row>
    <row r="641" ht="22.5" customHeight="1">
      <c r="A641" s="39"/>
      <c r="B641" s="29"/>
      <c r="C641" s="16"/>
      <c r="D641" s="41"/>
      <c r="E641" s="41"/>
      <c r="F641" s="30"/>
      <c r="G641" s="31"/>
      <c r="H641" s="31"/>
      <c r="I641" s="41"/>
      <c r="J641" s="42"/>
    </row>
    <row r="642" ht="22.5" customHeight="1">
      <c r="A642" s="39"/>
      <c r="B642" s="29"/>
      <c r="C642" s="16"/>
      <c r="D642" s="41"/>
      <c r="E642" s="41"/>
      <c r="F642" s="30"/>
      <c r="G642" s="31"/>
      <c r="H642" s="31"/>
      <c r="I642" s="41"/>
      <c r="J642" s="42"/>
    </row>
    <row r="643" ht="22.5" customHeight="1">
      <c r="A643" s="39"/>
      <c r="B643" s="29"/>
      <c r="C643" s="16"/>
      <c r="D643" s="41"/>
      <c r="E643" s="41"/>
      <c r="F643" s="30"/>
      <c r="G643" s="31"/>
      <c r="H643" s="31"/>
      <c r="I643" s="41"/>
      <c r="J643" s="42"/>
    </row>
    <row r="644" ht="22.5" customHeight="1">
      <c r="A644" s="39"/>
      <c r="B644" s="29"/>
      <c r="C644" s="16"/>
      <c r="D644" s="41"/>
      <c r="E644" s="41"/>
      <c r="F644" s="30"/>
      <c r="G644" s="31"/>
      <c r="H644" s="31"/>
      <c r="I644" s="41"/>
      <c r="J644" s="42"/>
    </row>
    <row r="645" ht="22.5" customHeight="1">
      <c r="A645" s="39"/>
      <c r="B645" s="29"/>
      <c r="C645" s="16"/>
      <c r="D645" s="41"/>
      <c r="E645" s="41"/>
      <c r="F645" s="30"/>
      <c r="G645" s="31"/>
      <c r="H645" s="31"/>
      <c r="I645" s="41"/>
      <c r="J645" s="42"/>
    </row>
    <row r="646" ht="22.5" customHeight="1">
      <c r="A646" s="39"/>
      <c r="B646" s="29"/>
      <c r="C646" s="16"/>
      <c r="D646" s="41"/>
      <c r="E646" s="41"/>
      <c r="F646" s="30"/>
      <c r="G646" s="31"/>
      <c r="H646" s="31"/>
      <c r="I646" s="41"/>
      <c r="J646" s="42"/>
    </row>
    <row r="647" ht="22.5" customHeight="1">
      <c r="A647" s="39"/>
      <c r="B647" s="29"/>
      <c r="C647" s="16"/>
      <c r="D647" s="41"/>
      <c r="E647" s="41"/>
      <c r="F647" s="30"/>
      <c r="G647" s="31"/>
      <c r="H647" s="31"/>
      <c r="I647" s="41"/>
      <c r="J647" s="42"/>
    </row>
    <row r="648" ht="22.5" customHeight="1">
      <c r="A648" s="39"/>
      <c r="B648" s="29"/>
      <c r="C648" s="16"/>
      <c r="D648" s="41"/>
      <c r="E648" s="41"/>
      <c r="F648" s="30"/>
      <c r="G648" s="31"/>
      <c r="H648" s="31"/>
      <c r="I648" s="41"/>
      <c r="J648" s="42"/>
    </row>
    <row r="649" ht="22.5" customHeight="1">
      <c r="A649" s="39"/>
      <c r="B649" s="29"/>
      <c r="C649" s="16"/>
      <c r="D649" s="41"/>
      <c r="E649" s="41"/>
      <c r="F649" s="30"/>
      <c r="G649" s="31"/>
      <c r="H649" s="31"/>
      <c r="I649" s="41"/>
      <c r="J649" s="42"/>
    </row>
    <row r="650" ht="22.5" customHeight="1">
      <c r="A650" s="39"/>
      <c r="B650" s="29"/>
      <c r="C650" s="16"/>
      <c r="D650" s="41"/>
      <c r="E650" s="41"/>
      <c r="F650" s="30"/>
      <c r="G650" s="31"/>
      <c r="H650" s="31"/>
      <c r="I650" s="41"/>
      <c r="J650" s="42"/>
    </row>
    <row r="651" ht="22.5" customHeight="1">
      <c r="A651" s="39"/>
      <c r="B651" s="29"/>
      <c r="C651" s="16"/>
      <c r="D651" s="41"/>
      <c r="E651" s="41"/>
      <c r="F651" s="30"/>
      <c r="G651" s="31"/>
      <c r="H651" s="31"/>
      <c r="I651" s="41"/>
      <c r="J651" s="42"/>
    </row>
    <row r="652" ht="22.5" customHeight="1">
      <c r="A652" s="39"/>
      <c r="B652" s="29"/>
      <c r="C652" s="16"/>
      <c r="D652" s="41"/>
      <c r="E652" s="41"/>
      <c r="F652" s="30"/>
      <c r="G652" s="31"/>
      <c r="H652" s="31"/>
      <c r="I652" s="41"/>
      <c r="J652" s="42"/>
    </row>
    <row r="653" ht="22.5" customHeight="1">
      <c r="A653" s="39"/>
      <c r="B653" s="29"/>
      <c r="C653" s="16"/>
      <c r="D653" s="41"/>
      <c r="E653" s="41"/>
      <c r="F653" s="30"/>
      <c r="G653" s="31"/>
      <c r="H653" s="31"/>
      <c r="I653" s="41"/>
      <c r="J653" s="42"/>
    </row>
    <row r="654" ht="22.5" customHeight="1">
      <c r="A654" s="39"/>
      <c r="B654" s="29"/>
      <c r="C654" s="16"/>
      <c r="D654" s="41"/>
      <c r="E654" s="41"/>
      <c r="F654" s="30"/>
      <c r="G654" s="31"/>
      <c r="H654" s="31"/>
      <c r="I654" s="41"/>
      <c r="J654" s="42"/>
    </row>
    <row r="655" ht="22.5" customHeight="1">
      <c r="A655" s="39"/>
      <c r="B655" s="29"/>
      <c r="C655" s="16"/>
      <c r="D655" s="41"/>
      <c r="E655" s="41"/>
      <c r="F655" s="30"/>
      <c r="G655" s="31"/>
      <c r="H655" s="31"/>
      <c r="I655" s="41"/>
      <c r="J655" s="42"/>
    </row>
    <row r="656" ht="22.5" customHeight="1">
      <c r="A656" s="39"/>
      <c r="B656" s="29"/>
      <c r="C656" s="16"/>
      <c r="D656" s="41"/>
      <c r="E656" s="41"/>
      <c r="F656" s="30"/>
      <c r="G656" s="31"/>
      <c r="H656" s="31"/>
      <c r="I656" s="41"/>
      <c r="J656" s="42"/>
    </row>
    <row r="657" ht="22.5" customHeight="1">
      <c r="A657" s="39"/>
      <c r="B657" s="29"/>
      <c r="C657" s="16"/>
      <c r="D657" s="41"/>
      <c r="E657" s="41"/>
      <c r="F657" s="30"/>
      <c r="G657" s="31"/>
      <c r="H657" s="31"/>
      <c r="I657" s="41"/>
      <c r="J657" s="42"/>
    </row>
    <row r="658" ht="22.5" customHeight="1">
      <c r="A658" s="39"/>
      <c r="B658" s="29"/>
      <c r="C658" s="16"/>
      <c r="D658" s="41"/>
      <c r="E658" s="41"/>
      <c r="F658" s="30"/>
      <c r="G658" s="31"/>
      <c r="H658" s="31"/>
      <c r="I658" s="41"/>
      <c r="J658" s="42"/>
    </row>
    <row r="659" ht="22.5" customHeight="1">
      <c r="A659" s="39"/>
      <c r="B659" s="29"/>
      <c r="C659" s="16"/>
      <c r="D659" s="41"/>
      <c r="E659" s="41"/>
      <c r="F659" s="30"/>
      <c r="G659" s="31"/>
      <c r="H659" s="31"/>
      <c r="I659" s="41"/>
      <c r="J659" s="42"/>
    </row>
    <row r="660" ht="22.5" customHeight="1">
      <c r="A660" s="39"/>
      <c r="B660" s="29"/>
      <c r="C660" s="16"/>
      <c r="D660" s="41"/>
      <c r="E660" s="41"/>
      <c r="F660" s="30"/>
      <c r="G660" s="31"/>
      <c r="H660" s="31"/>
      <c r="I660" s="41"/>
      <c r="J660" s="42"/>
    </row>
    <row r="661" ht="22.5" customHeight="1">
      <c r="A661" s="39"/>
      <c r="B661" s="29"/>
      <c r="C661" s="16"/>
      <c r="D661" s="41"/>
      <c r="E661" s="41"/>
      <c r="F661" s="30"/>
      <c r="G661" s="31"/>
      <c r="H661" s="31"/>
      <c r="I661" s="41"/>
      <c r="J661" s="42"/>
    </row>
    <row r="662" ht="22.5" customHeight="1">
      <c r="A662" s="39"/>
      <c r="B662" s="29"/>
      <c r="C662" s="16"/>
      <c r="D662" s="41"/>
      <c r="E662" s="41"/>
      <c r="F662" s="30"/>
      <c r="G662" s="31"/>
      <c r="H662" s="31"/>
      <c r="I662" s="41"/>
      <c r="J662" s="42"/>
    </row>
    <row r="663" ht="22.5" customHeight="1">
      <c r="A663" s="39"/>
      <c r="B663" s="29"/>
      <c r="C663" s="16"/>
      <c r="D663" s="41"/>
      <c r="E663" s="41"/>
      <c r="F663" s="30"/>
      <c r="G663" s="31"/>
      <c r="H663" s="31"/>
      <c r="I663" s="41"/>
      <c r="J663" s="42"/>
    </row>
    <row r="664" ht="22.5" customHeight="1">
      <c r="A664" s="39"/>
      <c r="B664" s="29"/>
      <c r="C664" s="16"/>
      <c r="D664" s="41"/>
      <c r="E664" s="41"/>
      <c r="F664" s="30"/>
      <c r="G664" s="31"/>
      <c r="H664" s="31"/>
      <c r="I664" s="41"/>
      <c r="J664" s="42"/>
    </row>
    <row r="665" ht="22.5" customHeight="1">
      <c r="A665" s="39"/>
      <c r="B665" s="29"/>
      <c r="C665" s="16"/>
      <c r="D665" s="41"/>
      <c r="E665" s="41"/>
      <c r="F665" s="30"/>
      <c r="G665" s="31"/>
      <c r="H665" s="31"/>
      <c r="I665" s="41"/>
      <c r="J665" s="42"/>
    </row>
    <row r="666" ht="22.5" customHeight="1">
      <c r="A666" s="39"/>
      <c r="B666" s="29"/>
      <c r="C666" s="16"/>
      <c r="D666" s="41"/>
      <c r="E666" s="41"/>
      <c r="F666" s="30"/>
      <c r="G666" s="31"/>
      <c r="H666" s="31"/>
      <c r="I666" s="41"/>
      <c r="J666" s="42"/>
    </row>
    <row r="667" ht="22.5" customHeight="1">
      <c r="A667" s="39"/>
      <c r="B667" s="29"/>
      <c r="C667" s="16"/>
      <c r="D667" s="41"/>
      <c r="E667" s="41"/>
      <c r="F667" s="30"/>
      <c r="G667" s="31"/>
      <c r="H667" s="31"/>
      <c r="I667" s="41"/>
      <c r="J667" s="42"/>
    </row>
    <row r="668" ht="22.5" customHeight="1">
      <c r="A668" s="39"/>
      <c r="B668" s="29"/>
      <c r="C668" s="16"/>
      <c r="D668" s="41"/>
      <c r="E668" s="41"/>
      <c r="F668" s="30"/>
      <c r="G668" s="31"/>
      <c r="H668" s="31"/>
      <c r="I668" s="41"/>
      <c r="J668" s="42"/>
    </row>
    <row r="669" ht="22.5" customHeight="1">
      <c r="A669" s="39"/>
      <c r="B669" s="29"/>
      <c r="C669" s="16"/>
      <c r="D669" s="41"/>
      <c r="E669" s="41"/>
      <c r="F669" s="30"/>
      <c r="G669" s="31"/>
      <c r="H669" s="31"/>
      <c r="I669" s="41"/>
      <c r="J669" s="42"/>
    </row>
    <row r="670" ht="22.5" customHeight="1">
      <c r="A670" s="39"/>
      <c r="B670" s="29"/>
      <c r="C670" s="16"/>
      <c r="D670" s="41"/>
      <c r="E670" s="41"/>
      <c r="F670" s="30"/>
      <c r="G670" s="31"/>
      <c r="H670" s="31"/>
      <c r="I670" s="41"/>
      <c r="J670" s="42"/>
    </row>
    <row r="671" ht="22.5" customHeight="1">
      <c r="A671" s="39"/>
      <c r="B671" s="29"/>
      <c r="C671" s="16"/>
      <c r="D671" s="41"/>
      <c r="E671" s="41"/>
      <c r="F671" s="30"/>
      <c r="G671" s="31"/>
      <c r="H671" s="31"/>
      <c r="I671" s="41"/>
      <c r="J671" s="42"/>
    </row>
    <row r="672" ht="22.5" customHeight="1">
      <c r="A672" s="39"/>
      <c r="B672" s="29"/>
      <c r="C672" s="16"/>
      <c r="D672" s="41"/>
      <c r="E672" s="41"/>
      <c r="F672" s="30"/>
      <c r="G672" s="31"/>
      <c r="H672" s="31"/>
      <c r="I672" s="41"/>
      <c r="J672" s="42"/>
    </row>
    <row r="673" ht="22.5" customHeight="1">
      <c r="A673" s="39"/>
      <c r="B673" s="29"/>
      <c r="C673" s="16"/>
      <c r="D673" s="41"/>
      <c r="E673" s="41"/>
      <c r="F673" s="30"/>
      <c r="G673" s="31"/>
      <c r="H673" s="31"/>
      <c r="I673" s="41"/>
      <c r="J673" s="42"/>
    </row>
    <row r="674" ht="22.5" customHeight="1">
      <c r="A674" s="39"/>
      <c r="B674" s="29"/>
      <c r="C674" s="16"/>
      <c r="D674" s="41"/>
      <c r="E674" s="41"/>
      <c r="F674" s="30"/>
      <c r="G674" s="31"/>
      <c r="H674" s="31"/>
      <c r="I674" s="41"/>
      <c r="J674" s="42"/>
    </row>
    <row r="675" ht="22.5" customHeight="1">
      <c r="A675" s="39"/>
      <c r="B675" s="29"/>
      <c r="C675" s="16"/>
      <c r="D675" s="41"/>
      <c r="E675" s="41"/>
      <c r="F675" s="30"/>
      <c r="G675" s="31"/>
      <c r="H675" s="31"/>
      <c r="I675" s="41"/>
      <c r="J675" s="42"/>
    </row>
    <row r="676" ht="22.5" customHeight="1">
      <c r="A676" s="39"/>
      <c r="B676" s="29"/>
      <c r="C676" s="16"/>
      <c r="D676" s="41"/>
      <c r="E676" s="41"/>
      <c r="F676" s="30"/>
      <c r="G676" s="31"/>
      <c r="H676" s="31"/>
      <c r="I676" s="41"/>
      <c r="J676" s="42"/>
    </row>
    <row r="677" ht="22.5" customHeight="1">
      <c r="A677" s="39"/>
      <c r="B677" s="29"/>
      <c r="C677" s="16"/>
      <c r="D677" s="41"/>
      <c r="E677" s="41"/>
      <c r="F677" s="30"/>
      <c r="G677" s="31"/>
      <c r="H677" s="31"/>
      <c r="I677" s="41"/>
      <c r="J677" s="42"/>
    </row>
    <row r="678" ht="22.5" customHeight="1">
      <c r="A678" s="39"/>
      <c r="B678" s="29"/>
      <c r="C678" s="16"/>
      <c r="D678" s="41"/>
      <c r="E678" s="41"/>
      <c r="F678" s="30"/>
      <c r="G678" s="31"/>
      <c r="H678" s="31"/>
      <c r="I678" s="41"/>
      <c r="J678" s="42"/>
    </row>
    <row r="679" ht="22.5" customHeight="1">
      <c r="A679" s="39"/>
      <c r="B679" s="29"/>
      <c r="C679" s="16"/>
      <c r="D679" s="41"/>
      <c r="E679" s="41"/>
      <c r="F679" s="30"/>
      <c r="G679" s="31"/>
      <c r="H679" s="31"/>
      <c r="I679" s="41"/>
      <c r="J679" s="42"/>
    </row>
    <row r="680" ht="22.5" customHeight="1">
      <c r="A680" s="39"/>
      <c r="B680" s="29"/>
      <c r="C680" s="16"/>
      <c r="D680" s="41"/>
      <c r="E680" s="41"/>
      <c r="F680" s="30"/>
      <c r="G680" s="31"/>
      <c r="H680" s="31"/>
      <c r="I680" s="41"/>
      <c r="J680" s="42"/>
    </row>
    <row r="681" ht="22.5" customHeight="1">
      <c r="A681" s="39"/>
      <c r="B681" s="29"/>
      <c r="C681" s="16"/>
      <c r="D681" s="41"/>
      <c r="E681" s="41"/>
      <c r="F681" s="30"/>
      <c r="G681" s="31"/>
      <c r="H681" s="31"/>
      <c r="I681" s="41"/>
      <c r="J681" s="42"/>
    </row>
    <row r="682" ht="22.5" customHeight="1">
      <c r="A682" s="39"/>
      <c r="B682" s="29"/>
      <c r="C682" s="16"/>
      <c r="D682" s="41"/>
      <c r="E682" s="41"/>
      <c r="F682" s="30"/>
      <c r="G682" s="31"/>
      <c r="H682" s="31"/>
      <c r="I682" s="41"/>
      <c r="J682" s="42"/>
    </row>
    <row r="683" ht="22.5" customHeight="1">
      <c r="A683" s="39"/>
      <c r="B683" s="29"/>
      <c r="C683" s="16"/>
      <c r="D683" s="41"/>
      <c r="E683" s="41"/>
      <c r="F683" s="30"/>
      <c r="G683" s="31"/>
      <c r="H683" s="31"/>
      <c r="I683" s="41"/>
      <c r="J683" s="42"/>
    </row>
    <row r="684" ht="22.5" customHeight="1">
      <c r="A684" s="39"/>
      <c r="B684" s="29"/>
      <c r="C684" s="16"/>
      <c r="D684" s="41"/>
      <c r="E684" s="41"/>
      <c r="F684" s="30"/>
      <c r="G684" s="31"/>
      <c r="H684" s="31"/>
      <c r="I684" s="41"/>
      <c r="J684" s="42"/>
    </row>
    <row r="685" ht="22.5" customHeight="1">
      <c r="A685" s="39"/>
      <c r="B685" s="29"/>
      <c r="C685" s="16"/>
      <c r="D685" s="41"/>
      <c r="E685" s="41"/>
      <c r="F685" s="30"/>
      <c r="G685" s="31"/>
      <c r="H685" s="31"/>
      <c r="I685" s="41"/>
      <c r="J685" s="42"/>
    </row>
    <row r="686" ht="22.5" customHeight="1">
      <c r="A686" s="39"/>
      <c r="B686" s="29"/>
      <c r="C686" s="16"/>
      <c r="D686" s="41"/>
      <c r="E686" s="41"/>
      <c r="F686" s="30"/>
      <c r="G686" s="31"/>
      <c r="H686" s="31"/>
      <c r="I686" s="41"/>
      <c r="J686" s="42"/>
    </row>
    <row r="687" ht="22.5" customHeight="1">
      <c r="A687" s="39"/>
      <c r="B687" s="29"/>
      <c r="C687" s="16"/>
      <c r="D687" s="41"/>
      <c r="E687" s="41"/>
      <c r="F687" s="30"/>
      <c r="G687" s="31"/>
      <c r="H687" s="31"/>
      <c r="I687" s="41"/>
      <c r="J687" s="42"/>
    </row>
    <row r="688" ht="22.5" customHeight="1">
      <c r="A688" s="39"/>
      <c r="B688" s="29"/>
      <c r="C688" s="16"/>
      <c r="D688" s="41"/>
      <c r="E688" s="41"/>
      <c r="F688" s="30"/>
      <c r="G688" s="31"/>
      <c r="H688" s="31"/>
      <c r="I688" s="41"/>
      <c r="J688" s="42"/>
    </row>
    <row r="689" ht="22.5" customHeight="1">
      <c r="A689" s="39"/>
      <c r="B689" s="29"/>
      <c r="C689" s="16"/>
      <c r="D689" s="41"/>
      <c r="E689" s="41"/>
      <c r="F689" s="30"/>
      <c r="G689" s="31"/>
      <c r="H689" s="31"/>
      <c r="I689" s="41"/>
      <c r="J689" s="42"/>
    </row>
    <row r="690" ht="22.5" customHeight="1">
      <c r="A690" s="39"/>
      <c r="B690" s="29"/>
      <c r="C690" s="16"/>
      <c r="D690" s="41"/>
      <c r="E690" s="41"/>
      <c r="F690" s="30"/>
      <c r="G690" s="31"/>
      <c r="H690" s="31"/>
      <c r="I690" s="41"/>
      <c r="J690" s="42"/>
    </row>
    <row r="691" ht="22.5" customHeight="1">
      <c r="A691" s="39"/>
      <c r="B691" s="29"/>
      <c r="C691" s="16"/>
      <c r="D691" s="41"/>
      <c r="E691" s="41"/>
      <c r="F691" s="30"/>
      <c r="G691" s="31"/>
      <c r="H691" s="31"/>
      <c r="I691" s="41"/>
      <c r="J691" s="42"/>
    </row>
    <row r="692" ht="22.5" customHeight="1">
      <c r="A692" s="39"/>
      <c r="B692" s="29"/>
      <c r="C692" s="16"/>
      <c r="D692" s="41"/>
      <c r="E692" s="41"/>
      <c r="F692" s="30"/>
      <c r="G692" s="31"/>
      <c r="H692" s="31"/>
      <c r="I692" s="41"/>
      <c r="J692" s="42"/>
    </row>
    <row r="693" ht="22.5" customHeight="1">
      <c r="A693" s="39"/>
      <c r="B693" s="29"/>
      <c r="C693" s="16"/>
      <c r="D693" s="41"/>
      <c r="E693" s="41"/>
      <c r="F693" s="30"/>
      <c r="G693" s="31"/>
      <c r="H693" s="31"/>
      <c r="I693" s="41"/>
      <c r="J693" s="42"/>
    </row>
    <row r="694" ht="22.5" customHeight="1">
      <c r="A694" s="39"/>
      <c r="B694" s="29"/>
      <c r="C694" s="16"/>
      <c r="D694" s="41"/>
      <c r="E694" s="41"/>
      <c r="F694" s="30"/>
      <c r="G694" s="31"/>
      <c r="H694" s="31"/>
      <c r="I694" s="41"/>
      <c r="J694" s="42"/>
    </row>
    <row r="695" ht="22.5" customHeight="1">
      <c r="A695" s="39"/>
      <c r="B695" s="29"/>
      <c r="C695" s="16"/>
      <c r="D695" s="41"/>
      <c r="E695" s="41"/>
      <c r="F695" s="30"/>
      <c r="G695" s="31"/>
      <c r="H695" s="31"/>
      <c r="I695" s="41"/>
      <c r="J695" s="42"/>
    </row>
    <row r="696" ht="22.5" customHeight="1">
      <c r="A696" s="39"/>
      <c r="B696" s="29"/>
      <c r="C696" s="16"/>
      <c r="D696" s="41"/>
      <c r="E696" s="41"/>
      <c r="F696" s="30"/>
      <c r="G696" s="31"/>
      <c r="H696" s="31"/>
      <c r="I696" s="41"/>
      <c r="J696" s="42"/>
    </row>
    <row r="697" ht="22.5" customHeight="1">
      <c r="A697" s="39"/>
      <c r="B697" s="29"/>
      <c r="C697" s="16"/>
      <c r="D697" s="41"/>
      <c r="E697" s="41"/>
      <c r="F697" s="30"/>
      <c r="G697" s="31"/>
      <c r="H697" s="31"/>
      <c r="I697" s="41"/>
      <c r="J697" s="42"/>
    </row>
    <row r="698" ht="22.5" customHeight="1">
      <c r="A698" s="39"/>
      <c r="B698" s="29"/>
      <c r="C698" s="16"/>
      <c r="D698" s="41"/>
      <c r="E698" s="41"/>
      <c r="F698" s="30"/>
      <c r="G698" s="31"/>
      <c r="H698" s="31"/>
      <c r="I698" s="41"/>
      <c r="J698" s="42"/>
    </row>
    <row r="699" ht="22.5" customHeight="1">
      <c r="A699" s="39"/>
      <c r="B699" s="29"/>
      <c r="C699" s="16"/>
      <c r="D699" s="41"/>
      <c r="E699" s="41"/>
      <c r="F699" s="30"/>
      <c r="G699" s="31"/>
      <c r="H699" s="31"/>
      <c r="I699" s="41"/>
      <c r="J699" s="42"/>
    </row>
    <row r="700" ht="22.5" customHeight="1">
      <c r="A700" s="39"/>
      <c r="B700" s="29"/>
      <c r="C700" s="16"/>
      <c r="D700" s="41"/>
      <c r="E700" s="41"/>
      <c r="F700" s="30"/>
      <c r="G700" s="31"/>
      <c r="H700" s="31"/>
      <c r="I700" s="41"/>
      <c r="J700" s="42"/>
    </row>
    <row r="701" ht="22.5" customHeight="1">
      <c r="A701" s="39"/>
      <c r="B701" s="29"/>
      <c r="C701" s="16"/>
      <c r="D701" s="41"/>
      <c r="E701" s="41"/>
      <c r="F701" s="30"/>
      <c r="G701" s="31"/>
      <c r="H701" s="31"/>
      <c r="I701" s="41"/>
      <c r="J701" s="42"/>
    </row>
    <row r="702" ht="22.5" customHeight="1">
      <c r="A702" s="39"/>
      <c r="B702" s="29"/>
      <c r="C702" s="16"/>
      <c r="D702" s="41"/>
      <c r="E702" s="41"/>
      <c r="F702" s="30"/>
      <c r="G702" s="31"/>
      <c r="H702" s="31"/>
      <c r="I702" s="41"/>
      <c r="J702" s="42"/>
    </row>
    <row r="703" ht="22.5" customHeight="1">
      <c r="A703" s="39"/>
      <c r="B703" s="29"/>
      <c r="C703" s="16"/>
      <c r="D703" s="41"/>
      <c r="E703" s="41"/>
      <c r="F703" s="30"/>
      <c r="G703" s="31"/>
      <c r="H703" s="31"/>
      <c r="I703" s="41"/>
      <c r="J703" s="42"/>
    </row>
    <row r="704" ht="22.5" customHeight="1">
      <c r="A704" s="39"/>
      <c r="B704" s="29"/>
      <c r="C704" s="16"/>
      <c r="D704" s="41"/>
      <c r="E704" s="41"/>
      <c r="F704" s="30"/>
      <c r="G704" s="31"/>
      <c r="H704" s="31"/>
      <c r="I704" s="41"/>
      <c r="J704" s="42"/>
    </row>
    <row r="705" ht="22.5" customHeight="1">
      <c r="A705" s="39"/>
      <c r="B705" s="29"/>
      <c r="C705" s="16"/>
      <c r="D705" s="41"/>
      <c r="E705" s="41"/>
      <c r="F705" s="30"/>
      <c r="G705" s="31"/>
      <c r="H705" s="31"/>
      <c r="I705" s="41"/>
      <c r="J705" s="42"/>
    </row>
    <row r="706" ht="22.5" customHeight="1">
      <c r="A706" s="39"/>
      <c r="B706" s="29"/>
      <c r="C706" s="16"/>
      <c r="D706" s="41"/>
      <c r="E706" s="41"/>
      <c r="F706" s="30"/>
      <c r="G706" s="31"/>
      <c r="H706" s="31"/>
      <c r="I706" s="41"/>
      <c r="J706" s="42"/>
    </row>
    <row r="707" ht="22.5" customHeight="1">
      <c r="A707" s="39"/>
      <c r="B707" s="29"/>
      <c r="C707" s="16"/>
      <c r="D707" s="41"/>
      <c r="E707" s="41"/>
      <c r="F707" s="30"/>
      <c r="G707" s="31"/>
      <c r="H707" s="31"/>
      <c r="I707" s="41"/>
      <c r="J707" s="42"/>
    </row>
    <row r="708" ht="22.5" customHeight="1">
      <c r="A708" s="39"/>
      <c r="B708" s="29"/>
      <c r="C708" s="16"/>
      <c r="D708" s="41"/>
      <c r="E708" s="41"/>
      <c r="F708" s="30"/>
      <c r="G708" s="31"/>
      <c r="H708" s="31"/>
      <c r="I708" s="41"/>
      <c r="J708" s="42"/>
    </row>
    <row r="709" ht="22.5" customHeight="1">
      <c r="A709" s="39"/>
      <c r="B709" s="29"/>
      <c r="C709" s="16"/>
      <c r="D709" s="41"/>
      <c r="E709" s="41"/>
      <c r="F709" s="30"/>
      <c r="G709" s="31"/>
      <c r="H709" s="31"/>
      <c r="I709" s="41"/>
      <c r="J709" s="42"/>
    </row>
    <row r="710" ht="22.5" customHeight="1">
      <c r="A710" s="39"/>
      <c r="B710" s="29"/>
      <c r="C710" s="16"/>
      <c r="D710" s="41"/>
      <c r="E710" s="41"/>
      <c r="F710" s="30"/>
      <c r="G710" s="31"/>
      <c r="H710" s="31"/>
      <c r="I710" s="41"/>
      <c r="J710" s="42"/>
    </row>
    <row r="711" ht="22.5" customHeight="1">
      <c r="A711" s="39"/>
      <c r="B711" s="29"/>
      <c r="C711" s="16"/>
      <c r="D711" s="41"/>
      <c r="E711" s="41"/>
      <c r="F711" s="30"/>
      <c r="G711" s="31"/>
      <c r="H711" s="31"/>
      <c r="I711" s="41"/>
      <c r="J711" s="42"/>
    </row>
    <row r="712" ht="22.5" customHeight="1">
      <c r="A712" s="39"/>
      <c r="B712" s="29"/>
      <c r="C712" s="16"/>
      <c r="D712" s="41"/>
      <c r="E712" s="41"/>
      <c r="F712" s="30"/>
      <c r="G712" s="31"/>
      <c r="H712" s="31"/>
      <c r="I712" s="41"/>
      <c r="J712" s="42"/>
    </row>
    <row r="713" ht="22.5" customHeight="1">
      <c r="A713" s="39"/>
      <c r="B713" s="29"/>
      <c r="C713" s="16"/>
      <c r="D713" s="41"/>
      <c r="E713" s="41"/>
      <c r="F713" s="30"/>
      <c r="G713" s="31"/>
      <c r="H713" s="31"/>
      <c r="I713" s="41"/>
      <c r="J713" s="42"/>
    </row>
    <row r="714" ht="22.5" customHeight="1">
      <c r="A714" s="39"/>
      <c r="B714" s="29"/>
      <c r="C714" s="16"/>
      <c r="D714" s="41"/>
      <c r="E714" s="41"/>
      <c r="F714" s="30"/>
      <c r="G714" s="31"/>
      <c r="H714" s="31"/>
      <c r="I714" s="41"/>
      <c r="J714" s="42"/>
    </row>
    <row r="715" ht="22.5" customHeight="1">
      <c r="A715" s="39"/>
      <c r="B715" s="29"/>
      <c r="C715" s="16"/>
      <c r="D715" s="41"/>
      <c r="E715" s="41"/>
      <c r="F715" s="30"/>
      <c r="G715" s="31"/>
      <c r="H715" s="31"/>
      <c r="I715" s="41"/>
      <c r="J715" s="42"/>
    </row>
    <row r="716" ht="22.5" customHeight="1">
      <c r="A716" s="39"/>
      <c r="B716" s="29"/>
      <c r="C716" s="16"/>
      <c r="D716" s="41"/>
      <c r="E716" s="41"/>
      <c r="F716" s="30"/>
      <c r="G716" s="31"/>
      <c r="H716" s="31"/>
      <c r="I716" s="41"/>
      <c r="J716" s="42"/>
    </row>
    <row r="717" ht="22.5" customHeight="1">
      <c r="A717" s="39"/>
      <c r="B717" s="29"/>
      <c r="C717" s="16"/>
      <c r="D717" s="41"/>
      <c r="E717" s="41"/>
      <c r="F717" s="30"/>
      <c r="G717" s="31"/>
      <c r="H717" s="31"/>
      <c r="I717" s="41"/>
      <c r="J717" s="42"/>
    </row>
    <row r="718" ht="22.5" customHeight="1">
      <c r="A718" s="39"/>
      <c r="B718" s="29"/>
      <c r="C718" s="16"/>
      <c r="D718" s="41"/>
      <c r="E718" s="41"/>
      <c r="F718" s="30"/>
      <c r="G718" s="31"/>
      <c r="H718" s="31"/>
      <c r="I718" s="41"/>
      <c r="J718" s="42"/>
    </row>
    <row r="719" ht="22.5" customHeight="1">
      <c r="A719" s="39"/>
      <c r="B719" s="29"/>
      <c r="C719" s="16"/>
      <c r="D719" s="41"/>
      <c r="E719" s="41"/>
      <c r="F719" s="30"/>
      <c r="G719" s="31"/>
      <c r="H719" s="31"/>
      <c r="I719" s="41"/>
      <c r="J719" s="42"/>
    </row>
    <row r="720" ht="22.5" customHeight="1">
      <c r="A720" s="39"/>
      <c r="B720" s="29"/>
      <c r="C720" s="16"/>
      <c r="D720" s="41"/>
      <c r="E720" s="41"/>
      <c r="F720" s="30"/>
      <c r="G720" s="31"/>
      <c r="H720" s="31"/>
      <c r="I720" s="41"/>
      <c r="J720" s="42"/>
    </row>
    <row r="721" ht="22.5" customHeight="1">
      <c r="A721" s="39"/>
      <c r="B721" s="29"/>
      <c r="C721" s="16"/>
      <c r="D721" s="41"/>
      <c r="E721" s="41"/>
      <c r="F721" s="30"/>
      <c r="G721" s="31"/>
      <c r="H721" s="31"/>
      <c r="I721" s="41"/>
      <c r="J721" s="42"/>
    </row>
    <row r="722" ht="22.5" customHeight="1">
      <c r="A722" s="39"/>
      <c r="B722" s="29"/>
      <c r="C722" s="16"/>
      <c r="D722" s="41"/>
      <c r="E722" s="41"/>
      <c r="F722" s="30"/>
      <c r="G722" s="31"/>
      <c r="H722" s="31"/>
      <c r="I722" s="41"/>
      <c r="J722" s="42"/>
    </row>
    <row r="723" ht="22.5" customHeight="1">
      <c r="A723" s="39"/>
      <c r="B723" s="29"/>
      <c r="C723" s="16"/>
      <c r="D723" s="41"/>
      <c r="E723" s="41"/>
      <c r="F723" s="30"/>
      <c r="G723" s="31"/>
      <c r="H723" s="31"/>
      <c r="I723" s="41"/>
      <c r="J723" s="42"/>
    </row>
    <row r="724" ht="22.5" customHeight="1">
      <c r="A724" s="39"/>
      <c r="B724" s="29"/>
      <c r="C724" s="16"/>
      <c r="D724" s="41"/>
      <c r="E724" s="41"/>
      <c r="F724" s="30"/>
      <c r="G724" s="31"/>
      <c r="H724" s="31"/>
      <c r="I724" s="41"/>
      <c r="J724" s="42"/>
    </row>
    <row r="725" ht="22.5" customHeight="1">
      <c r="A725" s="39"/>
      <c r="B725" s="29"/>
      <c r="C725" s="16"/>
      <c r="D725" s="41"/>
      <c r="E725" s="41"/>
      <c r="F725" s="30"/>
      <c r="G725" s="31"/>
      <c r="H725" s="31"/>
      <c r="I725" s="41"/>
      <c r="J725" s="42"/>
    </row>
    <row r="726" ht="22.5" customHeight="1">
      <c r="A726" s="39"/>
      <c r="B726" s="29"/>
      <c r="C726" s="16"/>
      <c r="D726" s="41"/>
      <c r="E726" s="41"/>
      <c r="F726" s="30"/>
      <c r="G726" s="31"/>
      <c r="H726" s="31"/>
      <c r="I726" s="41"/>
      <c r="J726" s="42"/>
    </row>
    <row r="727" ht="22.5" customHeight="1">
      <c r="A727" s="39"/>
      <c r="B727" s="29"/>
      <c r="C727" s="16"/>
      <c r="D727" s="41"/>
      <c r="E727" s="41"/>
      <c r="F727" s="30"/>
      <c r="G727" s="31"/>
      <c r="H727" s="31"/>
      <c r="I727" s="41"/>
      <c r="J727" s="42"/>
    </row>
    <row r="728" ht="22.5" customHeight="1">
      <c r="A728" s="39"/>
      <c r="B728" s="29"/>
      <c r="C728" s="16"/>
      <c r="D728" s="41"/>
      <c r="E728" s="41"/>
      <c r="F728" s="30"/>
      <c r="G728" s="31"/>
      <c r="H728" s="31"/>
      <c r="I728" s="41"/>
      <c r="J728" s="42"/>
    </row>
    <row r="729" ht="22.5" customHeight="1">
      <c r="A729" s="39"/>
      <c r="B729" s="29"/>
      <c r="C729" s="16"/>
      <c r="D729" s="41"/>
      <c r="E729" s="41"/>
      <c r="F729" s="30"/>
      <c r="G729" s="31"/>
      <c r="H729" s="31"/>
      <c r="I729" s="41"/>
      <c r="J729" s="42"/>
    </row>
    <row r="730" ht="22.5" customHeight="1">
      <c r="A730" s="39"/>
      <c r="B730" s="29"/>
      <c r="C730" s="16"/>
      <c r="D730" s="41"/>
      <c r="E730" s="41"/>
      <c r="F730" s="30"/>
      <c r="G730" s="31"/>
      <c r="H730" s="31"/>
      <c r="I730" s="41"/>
      <c r="J730" s="42"/>
    </row>
    <row r="731" ht="22.5" customHeight="1">
      <c r="A731" s="39"/>
      <c r="B731" s="29"/>
      <c r="C731" s="16"/>
      <c r="D731" s="41"/>
      <c r="E731" s="41"/>
      <c r="F731" s="30"/>
      <c r="G731" s="31"/>
      <c r="H731" s="31"/>
      <c r="I731" s="41"/>
      <c r="J731" s="42"/>
    </row>
    <row r="732" ht="22.5" customHeight="1">
      <c r="A732" s="39"/>
      <c r="B732" s="29"/>
      <c r="C732" s="16"/>
      <c r="D732" s="41"/>
      <c r="E732" s="41"/>
      <c r="F732" s="30"/>
      <c r="G732" s="31"/>
      <c r="H732" s="31"/>
      <c r="I732" s="41"/>
      <c r="J732" s="42"/>
    </row>
    <row r="733" ht="22.5" customHeight="1">
      <c r="A733" s="39"/>
      <c r="B733" s="29"/>
      <c r="C733" s="16"/>
      <c r="D733" s="41"/>
      <c r="E733" s="41"/>
      <c r="F733" s="30"/>
      <c r="G733" s="31"/>
      <c r="H733" s="31"/>
      <c r="I733" s="41"/>
      <c r="J733" s="42"/>
    </row>
    <row r="734" ht="22.5" customHeight="1">
      <c r="A734" s="39"/>
      <c r="B734" s="29"/>
      <c r="C734" s="16"/>
      <c r="D734" s="41"/>
      <c r="E734" s="41"/>
      <c r="F734" s="30"/>
      <c r="G734" s="31"/>
      <c r="H734" s="31"/>
      <c r="I734" s="41"/>
      <c r="J734" s="42"/>
    </row>
    <row r="735" ht="22.5" customHeight="1">
      <c r="A735" s="39"/>
      <c r="B735" s="29"/>
      <c r="C735" s="16"/>
      <c r="D735" s="41"/>
      <c r="E735" s="41"/>
      <c r="F735" s="30"/>
      <c r="G735" s="31"/>
      <c r="H735" s="31"/>
      <c r="I735" s="41"/>
      <c r="J735" s="42"/>
    </row>
    <row r="736" ht="22.5" customHeight="1">
      <c r="A736" s="39"/>
      <c r="B736" s="29"/>
      <c r="C736" s="16"/>
      <c r="D736" s="41"/>
      <c r="E736" s="41"/>
      <c r="F736" s="30"/>
      <c r="G736" s="31"/>
      <c r="H736" s="31"/>
      <c r="I736" s="41"/>
      <c r="J736" s="42"/>
    </row>
    <row r="737" ht="22.5" customHeight="1">
      <c r="A737" s="39"/>
      <c r="B737" s="29"/>
      <c r="C737" s="16"/>
      <c r="D737" s="41"/>
      <c r="E737" s="41"/>
      <c r="F737" s="30"/>
      <c r="G737" s="31"/>
      <c r="H737" s="31"/>
      <c r="I737" s="41"/>
      <c r="J737" s="42"/>
    </row>
    <row r="738" ht="22.5" customHeight="1">
      <c r="A738" s="39"/>
      <c r="B738" s="29"/>
      <c r="C738" s="16"/>
      <c r="D738" s="41"/>
      <c r="E738" s="41"/>
      <c r="F738" s="30"/>
      <c r="G738" s="31"/>
      <c r="H738" s="31"/>
      <c r="I738" s="41"/>
      <c r="J738" s="42"/>
    </row>
    <row r="739" ht="22.5" customHeight="1">
      <c r="A739" s="39"/>
      <c r="B739" s="29"/>
      <c r="C739" s="16"/>
      <c r="D739" s="41"/>
      <c r="E739" s="41"/>
      <c r="F739" s="30"/>
      <c r="G739" s="31"/>
      <c r="H739" s="31"/>
      <c r="I739" s="41"/>
      <c r="J739" s="42"/>
    </row>
    <row r="740" ht="22.5" customHeight="1">
      <c r="A740" s="39"/>
      <c r="B740" s="29"/>
      <c r="C740" s="16"/>
      <c r="D740" s="41"/>
      <c r="E740" s="41"/>
      <c r="F740" s="30"/>
      <c r="G740" s="31"/>
      <c r="H740" s="31"/>
      <c r="I740" s="41"/>
      <c r="J740" s="42"/>
    </row>
    <row r="741" ht="22.5" customHeight="1">
      <c r="A741" s="39"/>
      <c r="B741" s="29"/>
      <c r="C741" s="16"/>
      <c r="D741" s="41"/>
      <c r="E741" s="41"/>
      <c r="F741" s="30"/>
      <c r="G741" s="31"/>
      <c r="H741" s="31"/>
      <c r="I741" s="41"/>
      <c r="J741" s="42"/>
    </row>
    <row r="742" ht="22.5" customHeight="1">
      <c r="A742" s="39"/>
      <c r="B742" s="29"/>
      <c r="C742" s="16"/>
      <c r="D742" s="41"/>
      <c r="E742" s="41"/>
      <c r="F742" s="30"/>
      <c r="G742" s="31"/>
      <c r="H742" s="31"/>
      <c r="I742" s="41"/>
      <c r="J742" s="42"/>
    </row>
    <row r="743" ht="22.5" customHeight="1">
      <c r="A743" s="39"/>
      <c r="B743" s="29"/>
      <c r="C743" s="16"/>
      <c r="D743" s="41"/>
      <c r="E743" s="41"/>
      <c r="F743" s="30"/>
      <c r="G743" s="31"/>
      <c r="H743" s="31"/>
      <c r="I743" s="41"/>
      <c r="J743" s="42"/>
    </row>
    <row r="744" ht="22.5" customHeight="1">
      <c r="A744" s="39"/>
      <c r="B744" s="29"/>
      <c r="C744" s="16"/>
      <c r="D744" s="41"/>
      <c r="E744" s="41"/>
      <c r="F744" s="30"/>
      <c r="G744" s="31"/>
      <c r="H744" s="31"/>
      <c r="I744" s="41"/>
      <c r="J744" s="42"/>
    </row>
    <row r="745" ht="22.5" customHeight="1">
      <c r="A745" s="39"/>
      <c r="B745" s="29"/>
      <c r="C745" s="16"/>
      <c r="D745" s="41"/>
      <c r="E745" s="41"/>
      <c r="F745" s="30"/>
      <c r="G745" s="31"/>
      <c r="H745" s="31"/>
      <c r="I745" s="41"/>
      <c r="J745" s="42"/>
    </row>
    <row r="746" ht="22.5" customHeight="1">
      <c r="A746" s="39"/>
      <c r="B746" s="29"/>
      <c r="C746" s="16"/>
      <c r="D746" s="41"/>
      <c r="E746" s="41"/>
      <c r="F746" s="30"/>
      <c r="G746" s="31"/>
      <c r="H746" s="31"/>
      <c r="I746" s="41"/>
      <c r="J746" s="42"/>
    </row>
    <row r="747" ht="22.5" customHeight="1">
      <c r="A747" s="39"/>
      <c r="B747" s="29"/>
      <c r="C747" s="16"/>
      <c r="D747" s="41"/>
      <c r="E747" s="41"/>
      <c r="F747" s="30"/>
      <c r="G747" s="31"/>
      <c r="H747" s="31"/>
      <c r="I747" s="41"/>
      <c r="J747" s="42"/>
    </row>
    <row r="748" ht="22.5" customHeight="1">
      <c r="A748" s="39"/>
      <c r="B748" s="29"/>
      <c r="C748" s="16"/>
      <c r="D748" s="41"/>
      <c r="E748" s="41"/>
      <c r="F748" s="30"/>
      <c r="G748" s="31"/>
      <c r="H748" s="31"/>
      <c r="I748" s="41"/>
      <c r="J748" s="42"/>
    </row>
    <row r="749" ht="22.5" customHeight="1">
      <c r="A749" s="39"/>
      <c r="B749" s="29"/>
      <c r="C749" s="16"/>
      <c r="D749" s="41"/>
      <c r="E749" s="41"/>
      <c r="F749" s="30"/>
      <c r="G749" s="31"/>
      <c r="H749" s="31"/>
      <c r="I749" s="41"/>
      <c r="J749" s="42"/>
    </row>
    <row r="750" ht="22.5" customHeight="1">
      <c r="A750" s="39"/>
      <c r="B750" s="29"/>
      <c r="C750" s="16"/>
      <c r="D750" s="41"/>
      <c r="E750" s="41"/>
      <c r="F750" s="30"/>
      <c r="G750" s="31"/>
      <c r="H750" s="31"/>
      <c r="I750" s="41"/>
      <c r="J750" s="42"/>
    </row>
    <row r="751" ht="22.5" customHeight="1">
      <c r="A751" s="39"/>
      <c r="B751" s="29"/>
      <c r="C751" s="16"/>
      <c r="D751" s="41"/>
      <c r="E751" s="41"/>
      <c r="F751" s="30"/>
      <c r="G751" s="31"/>
      <c r="H751" s="31"/>
      <c r="I751" s="41"/>
      <c r="J751" s="42"/>
    </row>
    <row r="752" ht="22.5" customHeight="1">
      <c r="A752" s="39"/>
      <c r="B752" s="29"/>
      <c r="C752" s="16"/>
      <c r="D752" s="41"/>
      <c r="E752" s="41"/>
      <c r="F752" s="30"/>
      <c r="G752" s="31"/>
      <c r="H752" s="31"/>
      <c r="I752" s="41"/>
      <c r="J752" s="42"/>
    </row>
    <row r="753" ht="22.5" customHeight="1">
      <c r="A753" s="39"/>
      <c r="B753" s="29"/>
      <c r="C753" s="16"/>
      <c r="D753" s="41"/>
      <c r="E753" s="41"/>
      <c r="F753" s="30"/>
      <c r="G753" s="31"/>
      <c r="H753" s="31"/>
      <c r="I753" s="41"/>
      <c r="J753" s="42"/>
    </row>
    <row r="754" ht="22.5" customHeight="1">
      <c r="A754" s="39"/>
      <c r="B754" s="29"/>
      <c r="C754" s="16"/>
      <c r="D754" s="41"/>
      <c r="E754" s="41"/>
      <c r="F754" s="30"/>
      <c r="G754" s="31"/>
      <c r="H754" s="31"/>
      <c r="I754" s="41"/>
      <c r="J754" s="42"/>
    </row>
    <row r="755" ht="22.5" customHeight="1">
      <c r="A755" s="39"/>
      <c r="B755" s="29"/>
      <c r="C755" s="16"/>
      <c r="D755" s="41"/>
      <c r="E755" s="41"/>
      <c r="F755" s="30"/>
      <c r="G755" s="31"/>
      <c r="H755" s="31"/>
      <c r="I755" s="41"/>
      <c r="J755" s="42"/>
    </row>
    <row r="756" ht="22.5" customHeight="1">
      <c r="A756" s="39"/>
      <c r="B756" s="29"/>
      <c r="C756" s="16"/>
      <c r="D756" s="41"/>
      <c r="E756" s="41"/>
      <c r="F756" s="30"/>
      <c r="G756" s="31"/>
      <c r="H756" s="31"/>
      <c r="I756" s="41"/>
      <c r="J756" s="42"/>
    </row>
    <row r="757" ht="22.5" customHeight="1">
      <c r="A757" s="39"/>
      <c r="B757" s="29"/>
      <c r="C757" s="16"/>
      <c r="D757" s="41"/>
      <c r="E757" s="41"/>
      <c r="F757" s="30"/>
      <c r="G757" s="31"/>
      <c r="H757" s="31"/>
      <c r="I757" s="41"/>
      <c r="J757" s="42"/>
    </row>
    <row r="758" ht="22.5" customHeight="1">
      <c r="A758" s="39"/>
      <c r="B758" s="29"/>
      <c r="C758" s="16"/>
      <c r="D758" s="41"/>
      <c r="E758" s="41"/>
      <c r="F758" s="30"/>
      <c r="G758" s="31"/>
      <c r="H758" s="31"/>
      <c r="I758" s="41"/>
      <c r="J758" s="42"/>
    </row>
    <row r="759" ht="22.5" customHeight="1">
      <c r="A759" s="39"/>
      <c r="B759" s="29"/>
      <c r="C759" s="16"/>
      <c r="D759" s="41"/>
      <c r="E759" s="41"/>
      <c r="F759" s="30"/>
      <c r="G759" s="31"/>
      <c r="H759" s="31"/>
      <c r="I759" s="41"/>
      <c r="J759" s="42"/>
    </row>
    <row r="760" ht="22.5" customHeight="1">
      <c r="A760" s="39"/>
      <c r="B760" s="29"/>
      <c r="C760" s="16"/>
      <c r="D760" s="41"/>
      <c r="E760" s="41"/>
      <c r="F760" s="30"/>
      <c r="G760" s="31"/>
      <c r="H760" s="31"/>
      <c r="I760" s="41"/>
      <c r="J760" s="42"/>
    </row>
    <row r="761" ht="22.5" customHeight="1">
      <c r="A761" s="39"/>
      <c r="B761" s="29"/>
      <c r="C761" s="16"/>
      <c r="D761" s="41"/>
      <c r="E761" s="41"/>
      <c r="F761" s="30"/>
      <c r="G761" s="31"/>
      <c r="H761" s="31"/>
      <c r="I761" s="41"/>
      <c r="J761" s="42"/>
    </row>
    <row r="762" ht="22.5" customHeight="1">
      <c r="A762" s="39"/>
      <c r="B762" s="29"/>
      <c r="C762" s="16"/>
      <c r="D762" s="41"/>
      <c r="E762" s="41"/>
      <c r="F762" s="30"/>
      <c r="G762" s="31"/>
      <c r="H762" s="31"/>
      <c r="I762" s="41"/>
      <c r="J762" s="42"/>
    </row>
    <row r="763" ht="22.5" customHeight="1">
      <c r="A763" s="39"/>
      <c r="B763" s="29"/>
      <c r="C763" s="16"/>
      <c r="D763" s="41"/>
      <c r="E763" s="41"/>
      <c r="F763" s="30"/>
      <c r="G763" s="31"/>
      <c r="H763" s="31"/>
      <c r="I763" s="41"/>
      <c r="J763" s="42"/>
    </row>
    <row r="764" ht="22.5" customHeight="1">
      <c r="A764" s="39"/>
      <c r="B764" s="29"/>
      <c r="C764" s="16"/>
      <c r="D764" s="41"/>
      <c r="E764" s="41"/>
      <c r="F764" s="30"/>
      <c r="G764" s="31"/>
      <c r="H764" s="31"/>
      <c r="I764" s="41"/>
      <c r="J764" s="42"/>
    </row>
    <row r="765" ht="22.5" customHeight="1">
      <c r="A765" s="39"/>
      <c r="B765" s="29"/>
      <c r="C765" s="16"/>
      <c r="D765" s="41"/>
      <c r="E765" s="41"/>
      <c r="F765" s="30"/>
      <c r="G765" s="31"/>
      <c r="H765" s="31"/>
      <c r="I765" s="41"/>
      <c r="J765" s="42"/>
    </row>
    <row r="766" ht="22.5" customHeight="1">
      <c r="A766" s="39"/>
      <c r="B766" s="29"/>
      <c r="C766" s="16"/>
      <c r="D766" s="41"/>
      <c r="E766" s="41"/>
      <c r="F766" s="30"/>
      <c r="G766" s="31"/>
      <c r="H766" s="31"/>
      <c r="I766" s="41"/>
      <c r="J766" s="42"/>
    </row>
    <row r="767" ht="22.5" customHeight="1">
      <c r="A767" s="39"/>
      <c r="B767" s="29"/>
      <c r="C767" s="16"/>
      <c r="D767" s="41"/>
      <c r="E767" s="41"/>
      <c r="F767" s="30"/>
      <c r="G767" s="31"/>
      <c r="H767" s="31"/>
      <c r="I767" s="41"/>
      <c r="J767" s="42"/>
    </row>
    <row r="768" ht="22.5" customHeight="1">
      <c r="A768" s="39"/>
      <c r="B768" s="29"/>
      <c r="C768" s="16"/>
      <c r="D768" s="41"/>
      <c r="E768" s="41"/>
      <c r="F768" s="30"/>
      <c r="G768" s="31"/>
      <c r="H768" s="31"/>
      <c r="I768" s="41"/>
      <c r="J768" s="42"/>
    </row>
    <row r="769" ht="22.5" customHeight="1">
      <c r="A769" s="39"/>
      <c r="B769" s="29"/>
      <c r="C769" s="16"/>
      <c r="D769" s="41"/>
      <c r="E769" s="41"/>
      <c r="F769" s="30"/>
      <c r="G769" s="31"/>
      <c r="H769" s="31"/>
      <c r="I769" s="41"/>
      <c r="J769" s="42"/>
    </row>
    <row r="770" ht="22.5" customHeight="1">
      <c r="A770" s="39"/>
      <c r="B770" s="29"/>
      <c r="C770" s="16"/>
      <c r="D770" s="41"/>
      <c r="E770" s="41"/>
      <c r="F770" s="30"/>
      <c r="G770" s="31"/>
      <c r="H770" s="31"/>
      <c r="I770" s="41"/>
      <c r="J770" s="42"/>
    </row>
    <row r="771" ht="22.5" customHeight="1">
      <c r="A771" s="39"/>
      <c r="B771" s="29"/>
      <c r="C771" s="16"/>
      <c r="D771" s="41"/>
      <c r="E771" s="41"/>
      <c r="F771" s="30"/>
      <c r="G771" s="31"/>
      <c r="H771" s="31"/>
      <c r="I771" s="41"/>
      <c r="J771" s="42"/>
    </row>
    <row r="772" ht="22.5" customHeight="1">
      <c r="A772" s="39"/>
      <c r="B772" s="29"/>
      <c r="C772" s="16"/>
      <c r="D772" s="41"/>
      <c r="E772" s="41"/>
      <c r="F772" s="30"/>
      <c r="G772" s="31"/>
      <c r="H772" s="31"/>
      <c r="I772" s="41"/>
      <c r="J772" s="42"/>
    </row>
    <row r="773" ht="22.5" customHeight="1">
      <c r="A773" s="39"/>
      <c r="B773" s="29"/>
      <c r="C773" s="16"/>
      <c r="D773" s="41"/>
      <c r="E773" s="41"/>
      <c r="F773" s="30"/>
      <c r="G773" s="31"/>
      <c r="H773" s="31"/>
      <c r="I773" s="41"/>
      <c r="J773" s="42"/>
    </row>
    <row r="774" ht="22.5" customHeight="1">
      <c r="A774" s="39"/>
      <c r="B774" s="29"/>
      <c r="C774" s="16"/>
      <c r="D774" s="41"/>
      <c r="E774" s="41"/>
      <c r="F774" s="30"/>
      <c r="G774" s="31"/>
      <c r="H774" s="31"/>
      <c r="I774" s="41"/>
      <c r="J774" s="42"/>
    </row>
    <row r="775" ht="22.5" customHeight="1">
      <c r="A775" s="39"/>
      <c r="B775" s="29"/>
      <c r="C775" s="16"/>
      <c r="D775" s="41"/>
      <c r="E775" s="41"/>
      <c r="F775" s="30"/>
      <c r="G775" s="31"/>
      <c r="H775" s="31"/>
      <c r="I775" s="41"/>
      <c r="J775" s="42"/>
    </row>
    <row r="776" ht="22.5" customHeight="1">
      <c r="A776" s="39"/>
      <c r="B776" s="29"/>
      <c r="C776" s="16"/>
      <c r="D776" s="41"/>
      <c r="E776" s="41"/>
      <c r="F776" s="30"/>
      <c r="G776" s="31"/>
      <c r="H776" s="31"/>
      <c r="I776" s="41"/>
      <c r="J776" s="42"/>
    </row>
    <row r="777" ht="22.5" customHeight="1">
      <c r="A777" s="39"/>
      <c r="B777" s="29"/>
      <c r="C777" s="16"/>
      <c r="D777" s="41"/>
      <c r="E777" s="41"/>
      <c r="F777" s="30"/>
      <c r="G777" s="31"/>
      <c r="H777" s="31"/>
      <c r="I777" s="41"/>
      <c r="J777" s="42"/>
    </row>
    <row r="778" ht="22.5" customHeight="1">
      <c r="A778" s="39"/>
      <c r="B778" s="29"/>
      <c r="C778" s="16"/>
      <c r="D778" s="41"/>
      <c r="E778" s="41"/>
      <c r="F778" s="30"/>
      <c r="G778" s="31"/>
      <c r="H778" s="31"/>
      <c r="I778" s="41"/>
      <c r="J778" s="42"/>
    </row>
    <row r="779" ht="22.5" customHeight="1">
      <c r="A779" s="39"/>
      <c r="B779" s="29"/>
      <c r="C779" s="16"/>
      <c r="D779" s="41"/>
      <c r="E779" s="41"/>
      <c r="F779" s="30"/>
      <c r="G779" s="31"/>
      <c r="H779" s="31"/>
      <c r="I779" s="41"/>
      <c r="J779" s="42"/>
    </row>
    <row r="780" ht="22.5" customHeight="1">
      <c r="A780" s="39"/>
      <c r="B780" s="29"/>
      <c r="C780" s="16"/>
      <c r="D780" s="41"/>
      <c r="E780" s="41"/>
      <c r="F780" s="30"/>
      <c r="G780" s="31"/>
      <c r="H780" s="31"/>
      <c r="I780" s="41"/>
      <c r="J780" s="42"/>
    </row>
    <row r="781" ht="22.5" customHeight="1">
      <c r="A781" s="39"/>
      <c r="B781" s="29"/>
      <c r="C781" s="16"/>
      <c r="D781" s="41"/>
      <c r="E781" s="41"/>
      <c r="F781" s="30"/>
      <c r="G781" s="31"/>
      <c r="H781" s="31"/>
      <c r="I781" s="41"/>
      <c r="J781" s="42"/>
    </row>
    <row r="782" ht="22.5" customHeight="1">
      <c r="A782" s="39"/>
      <c r="B782" s="29"/>
      <c r="C782" s="16"/>
      <c r="D782" s="41"/>
      <c r="E782" s="41"/>
      <c r="F782" s="30"/>
      <c r="G782" s="31"/>
      <c r="H782" s="31"/>
      <c r="I782" s="41"/>
      <c r="J782" s="42"/>
    </row>
    <row r="783" ht="22.5" customHeight="1">
      <c r="A783" s="39"/>
      <c r="B783" s="29"/>
      <c r="C783" s="16"/>
      <c r="D783" s="41"/>
      <c r="E783" s="41"/>
      <c r="F783" s="30"/>
      <c r="G783" s="31"/>
      <c r="H783" s="31"/>
      <c r="I783" s="41"/>
      <c r="J783" s="42"/>
    </row>
    <row r="784" ht="22.5" customHeight="1">
      <c r="A784" s="39"/>
      <c r="B784" s="29"/>
      <c r="C784" s="16"/>
      <c r="D784" s="41"/>
      <c r="E784" s="41"/>
      <c r="F784" s="30"/>
      <c r="G784" s="31"/>
      <c r="H784" s="31"/>
      <c r="I784" s="41"/>
      <c r="J784" s="42"/>
    </row>
    <row r="785" ht="22.5" customHeight="1">
      <c r="A785" s="39"/>
      <c r="B785" s="29"/>
      <c r="C785" s="16"/>
      <c r="D785" s="41"/>
      <c r="E785" s="41"/>
      <c r="F785" s="30"/>
      <c r="G785" s="31"/>
      <c r="H785" s="31"/>
      <c r="I785" s="41"/>
      <c r="J785" s="42"/>
    </row>
    <row r="786" ht="22.5" customHeight="1">
      <c r="A786" s="39"/>
      <c r="B786" s="29"/>
      <c r="C786" s="16"/>
      <c r="D786" s="41"/>
      <c r="E786" s="41"/>
      <c r="F786" s="30"/>
      <c r="G786" s="31"/>
      <c r="H786" s="31"/>
      <c r="I786" s="41"/>
      <c r="J786" s="42"/>
    </row>
    <row r="787" ht="22.5" customHeight="1">
      <c r="A787" s="39"/>
      <c r="B787" s="29"/>
      <c r="C787" s="16"/>
      <c r="D787" s="41"/>
      <c r="E787" s="41"/>
      <c r="F787" s="30"/>
      <c r="G787" s="31"/>
      <c r="H787" s="31"/>
      <c r="I787" s="41"/>
      <c r="J787" s="42"/>
    </row>
    <row r="788" ht="22.5" customHeight="1">
      <c r="A788" s="39"/>
      <c r="B788" s="29"/>
      <c r="C788" s="16"/>
      <c r="D788" s="41"/>
      <c r="E788" s="41"/>
      <c r="F788" s="30"/>
      <c r="G788" s="31"/>
      <c r="H788" s="31"/>
      <c r="I788" s="41"/>
      <c r="J788" s="42"/>
    </row>
    <row r="789" ht="22.5" customHeight="1">
      <c r="A789" s="39"/>
      <c r="B789" s="29"/>
      <c r="C789" s="16"/>
      <c r="D789" s="41"/>
      <c r="E789" s="41"/>
      <c r="F789" s="30"/>
      <c r="G789" s="31"/>
      <c r="H789" s="31"/>
      <c r="I789" s="41"/>
      <c r="J789" s="42"/>
    </row>
    <row r="790" ht="22.5" customHeight="1">
      <c r="A790" s="39"/>
      <c r="B790" s="29"/>
      <c r="C790" s="16"/>
      <c r="D790" s="41"/>
      <c r="E790" s="41"/>
      <c r="F790" s="30"/>
      <c r="G790" s="31"/>
      <c r="H790" s="31"/>
      <c r="I790" s="41"/>
      <c r="J790" s="42"/>
    </row>
    <row r="791" ht="22.5" customHeight="1">
      <c r="A791" s="39"/>
      <c r="B791" s="29"/>
      <c r="C791" s="16"/>
      <c r="D791" s="41"/>
      <c r="E791" s="41"/>
      <c r="F791" s="30"/>
      <c r="G791" s="31"/>
      <c r="H791" s="31"/>
      <c r="I791" s="41"/>
      <c r="J791" s="42"/>
    </row>
    <row r="792" ht="22.5" customHeight="1">
      <c r="A792" s="39"/>
      <c r="B792" s="29"/>
      <c r="C792" s="16"/>
      <c r="D792" s="41"/>
      <c r="E792" s="41"/>
      <c r="F792" s="30"/>
      <c r="G792" s="31"/>
      <c r="H792" s="31"/>
      <c r="I792" s="41"/>
      <c r="J792" s="42"/>
    </row>
    <row r="793" ht="22.5" customHeight="1">
      <c r="A793" s="39"/>
      <c r="B793" s="29"/>
      <c r="C793" s="16"/>
      <c r="D793" s="41"/>
      <c r="E793" s="41"/>
      <c r="F793" s="30"/>
      <c r="G793" s="31"/>
      <c r="H793" s="31"/>
      <c r="I793" s="41"/>
      <c r="J793" s="42"/>
    </row>
    <row r="794" ht="22.5" customHeight="1">
      <c r="A794" s="39"/>
      <c r="B794" s="29"/>
      <c r="C794" s="16"/>
      <c r="D794" s="41"/>
      <c r="E794" s="41"/>
      <c r="F794" s="30"/>
      <c r="G794" s="31"/>
      <c r="H794" s="31"/>
      <c r="I794" s="41"/>
      <c r="J794" s="42"/>
    </row>
    <row r="795" ht="22.5" customHeight="1">
      <c r="A795" s="39"/>
      <c r="B795" s="29"/>
      <c r="C795" s="16"/>
      <c r="D795" s="41"/>
      <c r="E795" s="41"/>
      <c r="F795" s="30"/>
      <c r="G795" s="31"/>
      <c r="H795" s="31"/>
      <c r="I795" s="41"/>
      <c r="J795" s="42"/>
    </row>
    <row r="796" ht="22.5" customHeight="1">
      <c r="A796" s="39"/>
      <c r="B796" s="29"/>
      <c r="C796" s="16"/>
      <c r="D796" s="41"/>
      <c r="E796" s="41"/>
      <c r="F796" s="30"/>
      <c r="G796" s="31"/>
      <c r="H796" s="31"/>
      <c r="I796" s="41"/>
      <c r="J796" s="42"/>
    </row>
    <row r="797" ht="22.5" customHeight="1">
      <c r="A797" s="39"/>
      <c r="B797" s="29"/>
      <c r="C797" s="16"/>
      <c r="D797" s="41"/>
      <c r="E797" s="41"/>
      <c r="F797" s="30"/>
      <c r="G797" s="31"/>
      <c r="H797" s="31"/>
      <c r="I797" s="41"/>
      <c r="J797" s="42"/>
    </row>
    <row r="798" ht="22.5" customHeight="1">
      <c r="A798" s="39"/>
      <c r="B798" s="29"/>
      <c r="C798" s="16"/>
      <c r="D798" s="41"/>
      <c r="E798" s="41"/>
      <c r="F798" s="30"/>
      <c r="G798" s="31"/>
      <c r="H798" s="31"/>
      <c r="I798" s="41"/>
      <c r="J798" s="42"/>
    </row>
    <row r="799" ht="22.5" customHeight="1">
      <c r="A799" s="39"/>
      <c r="B799" s="29"/>
      <c r="C799" s="16"/>
      <c r="D799" s="41"/>
      <c r="E799" s="41"/>
      <c r="F799" s="30"/>
      <c r="G799" s="31"/>
      <c r="H799" s="31"/>
      <c r="I799" s="41"/>
      <c r="J799" s="42"/>
    </row>
    <row r="800" ht="22.5" customHeight="1">
      <c r="A800" s="39"/>
      <c r="B800" s="29"/>
      <c r="C800" s="16"/>
      <c r="D800" s="41"/>
      <c r="E800" s="41"/>
      <c r="F800" s="30"/>
      <c r="G800" s="31"/>
      <c r="H800" s="31"/>
      <c r="I800" s="41"/>
      <c r="J800" s="42"/>
    </row>
    <row r="801" ht="22.5" customHeight="1">
      <c r="A801" s="39"/>
      <c r="B801" s="29"/>
      <c r="C801" s="16"/>
      <c r="D801" s="41"/>
      <c r="E801" s="41"/>
      <c r="F801" s="30"/>
      <c r="G801" s="31"/>
      <c r="H801" s="31"/>
      <c r="I801" s="41"/>
      <c r="J801" s="42"/>
    </row>
    <row r="802" ht="22.5" customHeight="1">
      <c r="A802" s="39"/>
      <c r="B802" s="29"/>
      <c r="C802" s="16"/>
      <c r="D802" s="41"/>
      <c r="E802" s="41"/>
      <c r="F802" s="30"/>
      <c r="G802" s="31"/>
      <c r="H802" s="31"/>
      <c r="I802" s="41"/>
      <c r="J802" s="42"/>
    </row>
    <row r="803" ht="22.5" customHeight="1">
      <c r="A803" s="39"/>
      <c r="B803" s="29"/>
      <c r="C803" s="16"/>
      <c r="D803" s="41"/>
      <c r="E803" s="41"/>
      <c r="F803" s="30"/>
      <c r="G803" s="31"/>
      <c r="H803" s="31"/>
      <c r="I803" s="41"/>
      <c r="J803" s="42"/>
    </row>
    <row r="804" ht="22.5" customHeight="1">
      <c r="A804" s="39"/>
      <c r="B804" s="29"/>
      <c r="C804" s="16"/>
      <c r="D804" s="41"/>
      <c r="E804" s="41"/>
      <c r="F804" s="30"/>
      <c r="G804" s="31"/>
      <c r="H804" s="31"/>
      <c r="I804" s="41"/>
      <c r="J804" s="42"/>
    </row>
    <row r="805" ht="22.5" customHeight="1">
      <c r="A805" s="39"/>
      <c r="B805" s="29"/>
      <c r="C805" s="16"/>
      <c r="D805" s="41"/>
      <c r="E805" s="41"/>
      <c r="F805" s="30"/>
      <c r="G805" s="31"/>
      <c r="H805" s="31"/>
      <c r="I805" s="41"/>
      <c r="J805" s="42"/>
    </row>
    <row r="806" ht="22.5" customHeight="1">
      <c r="A806" s="39"/>
      <c r="B806" s="29"/>
      <c r="C806" s="16"/>
      <c r="D806" s="41"/>
      <c r="E806" s="41"/>
      <c r="F806" s="30"/>
      <c r="G806" s="31"/>
      <c r="H806" s="31"/>
      <c r="I806" s="41"/>
      <c r="J806" s="42"/>
    </row>
    <row r="807" ht="22.5" customHeight="1">
      <c r="A807" s="39"/>
      <c r="B807" s="29"/>
      <c r="C807" s="16"/>
      <c r="D807" s="41"/>
      <c r="E807" s="41"/>
      <c r="F807" s="30"/>
      <c r="G807" s="31"/>
      <c r="H807" s="31"/>
      <c r="I807" s="41"/>
      <c r="J807" s="42"/>
    </row>
    <row r="808" ht="22.5" customHeight="1">
      <c r="A808" s="39"/>
      <c r="B808" s="29"/>
      <c r="C808" s="16"/>
      <c r="D808" s="41"/>
      <c r="E808" s="41"/>
      <c r="F808" s="30"/>
      <c r="G808" s="31"/>
      <c r="H808" s="31"/>
      <c r="I808" s="41"/>
      <c r="J808" s="42"/>
    </row>
    <row r="809" ht="22.5" customHeight="1">
      <c r="A809" s="39"/>
      <c r="B809" s="29"/>
      <c r="C809" s="16"/>
      <c r="D809" s="41"/>
      <c r="E809" s="41"/>
      <c r="F809" s="30"/>
      <c r="G809" s="31"/>
      <c r="H809" s="31"/>
      <c r="I809" s="41"/>
      <c r="J809" s="42"/>
    </row>
    <row r="810" ht="22.5" customHeight="1">
      <c r="A810" s="39"/>
      <c r="B810" s="29"/>
      <c r="C810" s="16"/>
      <c r="D810" s="41"/>
      <c r="E810" s="41"/>
      <c r="F810" s="30"/>
      <c r="G810" s="31"/>
      <c r="H810" s="31"/>
      <c r="I810" s="41"/>
      <c r="J810" s="42"/>
    </row>
    <row r="811" ht="22.5" customHeight="1">
      <c r="A811" s="39"/>
      <c r="B811" s="29"/>
      <c r="C811" s="16"/>
      <c r="D811" s="41"/>
      <c r="E811" s="41"/>
      <c r="F811" s="30"/>
      <c r="G811" s="31"/>
      <c r="H811" s="31"/>
      <c r="I811" s="41"/>
      <c r="J811" s="42"/>
    </row>
    <row r="812" ht="22.5" customHeight="1">
      <c r="A812" s="39"/>
      <c r="B812" s="29"/>
      <c r="C812" s="16"/>
      <c r="D812" s="41"/>
      <c r="E812" s="41"/>
      <c r="F812" s="30"/>
      <c r="G812" s="31"/>
      <c r="H812" s="31"/>
      <c r="I812" s="41"/>
      <c r="J812" s="42"/>
    </row>
    <row r="813" ht="22.5" customHeight="1">
      <c r="A813" s="39"/>
      <c r="B813" s="29"/>
      <c r="C813" s="16"/>
      <c r="D813" s="41"/>
      <c r="E813" s="41"/>
      <c r="F813" s="30"/>
      <c r="G813" s="31"/>
      <c r="H813" s="31"/>
      <c r="I813" s="41"/>
      <c r="J813" s="42"/>
    </row>
    <row r="814" ht="22.5" customHeight="1">
      <c r="A814" s="39"/>
      <c r="B814" s="29"/>
      <c r="C814" s="16"/>
      <c r="D814" s="41"/>
      <c r="E814" s="41"/>
      <c r="F814" s="30"/>
      <c r="G814" s="31"/>
      <c r="H814" s="31"/>
      <c r="I814" s="41"/>
      <c r="J814" s="42"/>
    </row>
    <row r="815" ht="22.5" customHeight="1">
      <c r="A815" s="39"/>
      <c r="B815" s="29"/>
      <c r="C815" s="16"/>
      <c r="D815" s="41"/>
      <c r="E815" s="41"/>
      <c r="F815" s="30"/>
      <c r="G815" s="31"/>
      <c r="H815" s="31"/>
      <c r="I815" s="41"/>
      <c r="J815" s="42"/>
    </row>
    <row r="816" ht="22.5" customHeight="1">
      <c r="A816" s="39"/>
      <c r="B816" s="29"/>
      <c r="C816" s="16"/>
      <c r="D816" s="41"/>
      <c r="E816" s="41"/>
      <c r="F816" s="30"/>
      <c r="G816" s="31"/>
      <c r="H816" s="31"/>
      <c r="I816" s="41"/>
      <c r="J816" s="42"/>
    </row>
    <row r="817" ht="22.5" customHeight="1">
      <c r="A817" s="39"/>
      <c r="B817" s="29"/>
      <c r="C817" s="16"/>
      <c r="D817" s="41"/>
      <c r="E817" s="41"/>
      <c r="F817" s="30"/>
      <c r="G817" s="31"/>
      <c r="H817" s="31"/>
      <c r="I817" s="41"/>
      <c r="J817" s="42"/>
    </row>
    <row r="818" ht="22.5" customHeight="1">
      <c r="A818" s="39"/>
      <c r="B818" s="29"/>
      <c r="C818" s="16"/>
      <c r="D818" s="41"/>
      <c r="E818" s="41"/>
      <c r="F818" s="30"/>
      <c r="G818" s="31"/>
      <c r="H818" s="31"/>
      <c r="I818" s="41"/>
      <c r="J818" s="42"/>
    </row>
    <row r="819" ht="22.5" customHeight="1">
      <c r="A819" s="39"/>
      <c r="B819" s="29"/>
      <c r="C819" s="16"/>
      <c r="D819" s="41"/>
      <c r="E819" s="41"/>
      <c r="F819" s="30"/>
      <c r="G819" s="31"/>
      <c r="H819" s="31"/>
      <c r="I819" s="41"/>
      <c r="J819" s="42"/>
    </row>
    <row r="820" ht="22.5" customHeight="1">
      <c r="A820" s="39"/>
      <c r="B820" s="29"/>
      <c r="C820" s="16"/>
      <c r="D820" s="41"/>
      <c r="E820" s="41"/>
      <c r="F820" s="30"/>
      <c r="G820" s="31"/>
      <c r="H820" s="31"/>
      <c r="I820" s="41"/>
      <c r="J820" s="42"/>
    </row>
    <row r="821" ht="22.5" customHeight="1">
      <c r="A821" s="39"/>
      <c r="B821" s="29"/>
      <c r="C821" s="16"/>
      <c r="D821" s="41"/>
      <c r="E821" s="41"/>
      <c r="F821" s="30"/>
      <c r="G821" s="31"/>
      <c r="H821" s="31"/>
      <c r="I821" s="41"/>
      <c r="J821" s="42"/>
    </row>
    <row r="822" ht="22.5" customHeight="1">
      <c r="A822" s="39"/>
      <c r="B822" s="29"/>
      <c r="C822" s="16"/>
      <c r="D822" s="41"/>
      <c r="E822" s="41"/>
      <c r="F822" s="30"/>
      <c r="G822" s="31"/>
      <c r="H822" s="31"/>
      <c r="I822" s="41"/>
      <c r="J822" s="42"/>
    </row>
    <row r="823" ht="22.5" customHeight="1">
      <c r="A823" s="39"/>
      <c r="B823" s="29"/>
      <c r="C823" s="16"/>
      <c r="D823" s="41"/>
      <c r="E823" s="41"/>
      <c r="F823" s="30"/>
      <c r="G823" s="31"/>
      <c r="H823" s="31"/>
      <c r="I823" s="41"/>
      <c r="J823" s="42"/>
    </row>
    <row r="824" ht="22.5" customHeight="1">
      <c r="A824" s="39"/>
      <c r="B824" s="29"/>
      <c r="C824" s="16"/>
      <c r="D824" s="41"/>
      <c r="E824" s="41"/>
      <c r="F824" s="30"/>
      <c r="G824" s="31"/>
      <c r="H824" s="31"/>
      <c r="I824" s="41"/>
      <c r="J824" s="42"/>
    </row>
    <row r="825" ht="22.5" customHeight="1">
      <c r="A825" s="39"/>
      <c r="B825" s="29"/>
      <c r="C825" s="16"/>
      <c r="D825" s="41"/>
      <c r="E825" s="41"/>
      <c r="F825" s="30"/>
      <c r="G825" s="31"/>
      <c r="H825" s="31"/>
      <c r="I825" s="41"/>
      <c r="J825" s="42"/>
    </row>
    <row r="826" ht="22.5" customHeight="1">
      <c r="A826" s="39"/>
      <c r="B826" s="29"/>
      <c r="C826" s="16"/>
      <c r="D826" s="41"/>
      <c r="E826" s="41"/>
      <c r="F826" s="30"/>
      <c r="G826" s="31"/>
      <c r="H826" s="31"/>
      <c r="I826" s="41"/>
      <c r="J826" s="42"/>
    </row>
    <row r="827" ht="22.5" customHeight="1">
      <c r="A827" s="39"/>
      <c r="B827" s="29"/>
      <c r="C827" s="16"/>
      <c r="D827" s="41"/>
      <c r="E827" s="41"/>
      <c r="F827" s="30"/>
      <c r="G827" s="31"/>
      <c r="H827" s="31"/>
      <c r="I827" s="41"/>
      <c r="J827" s="42"/>
    </row>
    <row r="828" ht="22.5" customHeight="1">
      <c r="A828" s="39"/>
      <c r="B828" s="29"/>
      <c r="C828" s="16"/>
      <c r="D828" s="41"/>
      <c r="E828" s="41"/>
      <c r="F828" s="30"/>
      <c r="G828" s="31"/>
      <c r="H828" s="31"/>
      <c r="I828" s="41"/>
      <c r="J828" s="42"/>
    </row>
    <row r="829" ht="22.5" customHeight="1">
      <c r="A829" s="39"/>
      <c r="B829" s="29"/>
      <c r="C829" s="16"/>
      <c r="D829" s="41"/>
      <c r="E829" s="41"/>
      <c r="F829" s="30"/>
      <c r="G829" s="31"/>
      <c r="H829" s="31"/>
      <c r="I829" s="41"/>
      <c r="J829" s="42"/>
    </row>
    <row r="830" ht="22.5" customHeight="1">
      <c r="A830" s="39"/>
      <c r="B830" s="29"/>
      <c r="C830" s="16"/>
      <c r="D830" s="41"/>
      <c r="E830" s="41"/>
      <c r="F830" s="30"/>
      <c r="G830" s="31"/>
      <c r="H830" s="31"/>
      <c r="I830" s="41"/>
      <c r="J830" s="42"/>
    </row>
    <row r="831" ht="22.5" customHeight="1">
      <c r="A831" s="39"/>
      <c r="B831" s="29"/>
      <c r="C831" s="16"/>
      <c r="D831" s="41"/>
      <c r="E831" s="41"/>
      <c r="F831" s="30"/>
      <c r="G831" s="31"/>
      <c r="H831" s="31"/>
      <c r="I831" s="41"/>
      <c r="J831" s="42"/>
    </row>
    <row r="832" ht="22.5" customHeight="1">
      <c r="A832" s="39"/>
      <c r="B832" s="29"/>
      <c r="C832" s="16"/>
      <c r="D832" s="41"/>
      <c r="E832" s="41"/>
      <c r="F832" s="30"/>
      <c r="G832" s="31"/>
      <c r="H832" s="31"/>
      <c r="I832" s="41"/>
      <c r="J832" s="42"/>
    </row>
    <row r="833" ht="22.5" customHeight="1">
      <c r="A833" s="39"/>
      <c r="B833" s="29"/>
      <c r="C833" s="16"/>
      <c r="D833" s="41"/>
      <c r="E833" s="41"/>
      <c r="F833" s="30"/>
      <c r="G833" s="31"/>
      <c r="H833" s="31"/>
      <c r="I833" s="41"/>
      <c r="J833" s="42"/>
    </row>
    <row r="834" ht="22.5" customHeight="1">
      <c r="A834" s="39"/>
      <c r="B834" s="29"/>
      <c r="C834" s="16"/>
      <c r="D834" s="41"/>
      <c r="E834" s="41"/>
      <c r="F834" s="30"/>
      <c r="G834" s="31"/>
      <c r="H834" s="31"/>
      <c r="I834" s="41"/>
      <c r="J834" s="42"/>
    </row>
    <row r="835" ht="22.5" customHeight="1">
      <c r="A835" s="39"/>
      <c r="B835" s="29"/>
      <c r="C835" s="16"/>
      <c r="D835" s="41"/>
      <c r="E835" s="41"/>
      <c r="F835" s="30"/>
      <c r="G835" s="31"/>
      <c r="H835" s="31"/>
      <c r="I835" s="41"/>
      <c r="J835" s="42"/>
    </row>
    <row r="836" ht="22.5" customHeight="1">
      <c r="A836" s="39"/>
      <c r="B836" s="29"/>
      <c r="C836" s="16"/>
      <c r="D836" s="41"/>
      <c r="E836" s="41"/>
      <c r="F836" s="30"/>
      <c r="G836" s="31"/>
      <c r="H836" s="31"/>
      <c r="I836" s="41"/>
      <c r="J836" s="42"/>
    </row>
    <row r="837" ht="22.5" customHeight="1">
      <c r="A837" s="39"/>
      <c r="B837" s="29"/>
      <c r="C837" s="16"/>
      <c r="D837" s="41"/>
      <c r="E837" s="41"/>
      <c r="F837" s="30"/>
      <c r="G837" s="31"/>
      <c r="H837" s="31"/>
      <c r="I837" s="41"/>
      <c r="J837" s="42"/>
    </row>
    <row r="838" ht="22.5" customHeight="1">
      <c r="A838" s="39"/>
      <c r="B838" s="29"/>
      <c r="C838" s="16"/>
      <c r="D838" s="41"/>
      <c r="E838" s="41"/>
      <c r="F838" s="30"/>
      <c r="G838" s="31"/>
      <c r="H838" s="31"/>
      <c r="I838" s="41"/>
      <c r="J838" s="42"/>
    </row>
    <row r="839" ht="22.5" customHeight="1">
      <c r="A839" s="39"/>
      <c r="B839" s="29"/>
      <c r="C839" s="16"/>
      <c r="D839" s="41"/>
      <c r="E839" s="41"/>
      <c r="F839" s="30"/>
      <c r="G839" s="31"/>
      <c r="H839" s="31"/>
      <c r="I839" s="41"/>
      <c r="J839" s="42"/>
    </row>
    <row r="840" ht="22.5" customHeight="1">
      <c r="A840" s="39"/>
      <c r="B840" s="29"/>
      <c r="C840" s="16"/>
      <c r="D840" s="41"/>
      <c r="E840" s="41"/>
      <c r="F840" s="30"/>
      <c r="G840" s="31"/>
      <c r="H840" s="31"/>
      <c r="I840" s="41"/>
      <c r="J840" s="42"/>
    </row>
    <row r="841" ht="22.5" customHeight="1">
      <c r="A841" s="39"/>
      <c r="B841" s="29"/>
      <c r="C841" s="16"/>
      <c r="D841" s="41"/>
      <c r="E841" s="41"/>
      <c r="F841" s="30"/>
      <c r="G841" s="31"/>
      <c r="H841" s="31"/>
      <c r="I841" s="41"/>
      <c r="J841" s="42"/>
    </row>
    <row r="842" ht="22.5" customHeight="1">
      <c r="A842" s="39"/>
      <c r="B842" s="29"/>
      <c r="C842" s="16"/>
      <c r="D842" s="41"/>
      <c r="E842" s="41"/>
      <c r="F842" s="30"/>
      <c r="G842" s="31"/>
      <c r="H842" s="31"/>
      <c r="I842" s="41"/>
      <c r="J842" s="42"/>
    </row>
    <row r="843" ht="22.5" customHeight="1">
      <c r="A843" s="39"/>
      <c r="B843" s="29"/>
      <c r="C843" s="16"/>
      <c r="D843" s="41"/>
      <c r="E843" s="41"/>
      <c r="F843" s="30"/>
      <c r="G843" s="31"/>
      <c r="H843" s="31"/>
      <c r="I843" s="41"/>
      <c r="J843" s="42"/>
    </row>
    <row r="844" ht="22.5" customHeight="1">
      <c r="A844" s="39"/>
      <c r="B844" s="29"/>
      <c r="C844" s="16"/>
      <c r="D844" s="41"/>
      <c r="E844" s="41"/>
      <c r="F844" s="30"/>
      <c r="G844" s="31"/>
      <c r="H844" s="31"/>
      <c r="I844" s="41"/>
      <c r="J844" s="42"/>
    </row>
    <row r="845" ht="22.5" customHeight="1">
      <c r="A845" s="39"/>
      <c r="B845" s="29"/>
      <c r="C845" s="16"/>
      <c r="D845" s="41"/>
      <c r="E845" s="41"/>
      <c r="F845" s="30"/>
      <c r="G845" s="31"/>
      <c r="H845" s="31"/>
      <c r="I845" s="41"/>
      <c r="J845" s="42"/>
    </row>
    <row r="846" ht="22.5" customHeight="1">
      <c r="A846" s="39"/>
      <c r="B846" s="29"/>
      <c r="C846" s="16"/>
      <c r="D846" s="41"/>
      <c r="E846" s="41"/>
      <c r="F846" s="30"/>
      <c r="G846" s="31"/>
      <c r="H846" s="31"/>
      <c r="I846" s="41"/>
      <c r="J846" s="42"/>
    </row>
    <row r="847" ht="22.5" customHeight="1">
      <c r="A847" s="39"/>
      <c r="B847" s="29"/>
      <c r="C847" s="16"/>
      <c r="D847" s="41"/>
      <c r="E847" s="41"/>
      <c r="F847" s="30"/>
      <c r="G847" s="31"/>
      <c r="H847" s="31"/>
      <c r="I847" s="41"/>
      <c r="J847" s="42"/>
    </row>
    <row r="848" ht="22.5" customHeight="1">
      <c r="A848" s="39"/>
      <c r="B848" s="29"/>
      <c r="C848" s="16"/>
      <c r="D848" s="41"/>
      <c r="E848" s="41"/>
      <c r="F848" s="30"/>
      <c r="G848" s="31"/>
      <c r="H848" s="31"/>
      <c r="I848" s="41"/>
      <c r="J848" s="42"/>
    </row>
    <row r="849" ht="22.5" customHeight="1">
      <c r="A849" s="39"/>
      <c r="B849" s="29"/>
      <c r="C849" s="16"/>
      <c r="D849" s="41"/>
      <c r="E849" s="41"/>
      <c r="F849" s="30"/>
      <c r="G849" s="31"/>
      <c r="H849" s="31"/>
      <c r="I849" s="41"/>
      <c r="J849" s="42"/>
    </row>
    <row r="850" ht="22.5" customHeight="1">
      <c r="A850" s="39"/>
      <c r="B850" s="29"/>
      <c r="C850" s="16"/>
      <c r="D850" s="41"/>
      <c r="E850" s="41"/>
      <c r="F850" s="30"/>
      <c r="G850" s="31"/>
      <c r="H850" s="31"/>
      <c r="I850" s="41"/>
      <c r="J850" s="42"/>
    </row>
    <row r="851" ht="22.5" customHeight="1">
      <c r="A851" s="39"/>
      <c r="B851" s="29"/>
      <c r="C851" s="16"/>
      <c r="D851" s="41"/>
      <c r="E851" s="41"/>
      <c r="F851" s="30"/>
      <c r="G851" s="31"/>
      <c r="H851" s="31"/>
      <c r="I851" s="41"/>
      <c r="J851" s="42"/>
    </row>
    <row r="852" ht="22.5" customHeight="1">
      <c r="A852" s="39"/>
      <c r="B852" s="29"/>
      <c r="C852" s="16"/>
      <c r="D852" s="41"/>
      <c r="E852" s="41"/>
      <c r="F852" s="30"/>
      <c r="G852" s="31"/>
      <c r="H852" s="31"/>
      <c r="I852" s="41"/>
      <c r="J852" s="42"/>
    </row>
    <row r="853" ht="22.5" customHeight="1">
      <c r="A853" s="39"/>
      <c r="B853" s="29"/>
      <c r="C853" s="16"/>
      <c r="D853" s="41"/>
      <c r="E853" s="41"/>
      <c r="F853" s="30"/>
      <c r="G853" s="31"/>
      <c r="H853" s="31"/>
      <c r="I853" s="41"/>
      <c r="J853" s="42"/>
    </row>
    <row r="854" ht="22.5" customHeight="1">
      <c r="A854" s="39"/>
      <c r="B854" s="29"/>
      <c r="C854" s="16"/>
      <c r="D854" s="41"/>
      <c r="E854" s="41"/>
      <c r="F854" s="30"/>
      <c r="G854" s="31"/>
      <c r="H854" s="31"/>
      <c r="I854" s="41"/>
      <c r="J854" s="42"/>
    </row>
    <row r="855" ht="22.5" customHeight="1">
      <c r="A855" s="39"/>
      <c r="B855" s="29"/>
      <c r="C855" s="16"/>
      <c r="D855" s="41"/>
      <c r="E855" s="41"/>
      <c r="F855" s="30"/>
      <c r="G855" s="31"/>
      <c r="H855" s="31"/>
      <c r="I855" s="41"/>
      <c r="J855" s="42"/>
    </row>
    <row r="856" ht="22.5" customHeight="1">
      <c r="A856" s="39"/>
      <c r="B856" s="29"/>
      <c r="C856" s="16"/>
      <c r="D856" s="41"/>
      <c r="E856" s="41"/>
      <c r="F856" s="30"/>
      <c r="G856" s="31"/>
      <c r="H856" s="31"/>
      <c r="I856" s="41"/>
      <c r="J856" s="42"/>
    </row>
    <row r="857" ht="22.5" customHeight="1">
      <c r="A857" s="39"/>
      <c r="B857" s="29"/>
      <c r="C857" s="16"/>
      <c r="D857" s="41"/>
      <c r="E857" s="41"/>
      <c r="F857" s="30"/>
      <c r="G857" s="31"/>
      <c r="H857" s="31"/>
      <c r="I857" s="41"/>
      <c r="J857" s="42"/>
    </row>
    <row r="858" ht="22.5" customHeight="1">
      <c r="A858" s="39"/>
      <c r="B858" s="29"/>
      <c r="C858" s="16"/>
      <c r="D858" s="41"/>
      <c r="E858" s="41"/>
      <c r="F858" s="30"/>
      <c r="G858" s="31"/>
      <c r="H858" s="31"/>
      <c r="I858" s="41"/>
      <c r="J858" s="42"/>
    </row>
    <row r="859" ht="22.5" customHeight="1">
      <c r="A859" s="39"/>
      <c r="B859" s="29"/>
      <c r="C859" s="16"/>
      <c r="D859" s="41"/>
      <c r="E859" s="41"/>
      <c r="F859" s="30"/>
      <c r="G859" s="31"/>
      <c r="H859" s="31"/>
      <c r="I859" s="41"/>
      <c r="J859" s="42"/>
    </row>
    <row r="860" ht="22.5" customHeight="1">
      <c r="A860" s="39"/>
      <c r="B860" s="29"/>
      <c r="C860" s="16"/>
      <c r="D860" s="41"/>
      <c r="E860" s="41"/>
      <c r="F860" s="30"/>
      <c r="G860" s="31"/>
      <c r="H860" s="31"/>
      <c r="I860" s="41"/>
      <c r="J860" s="42"/>
    </row>
    <row r="861" ht="22.5" customHeight="1">
      <c r="A861" s="39"/>
      <c r="B861" s="29"/>
      <c r="C861" s="16"/>
      <c r="D861" s="41"/>
      <c r="E861" s="41"/>
      <c r="F861" s="30"/>
      <c r="G861" s="31"/>
      <c r="H861" s="31"/>
      <c r="I861" s="41"/>
      <c r="J861" s="42"/>
    </row>
    <row r="862" ht="22.5" customHeight="1">
      <c r="A862" s="39"/>
      <c r="B862" s="29"/>
      <c r="C862" s="16"/>
      <c r="D862" s="41"/>
      <c r="E862" s="41"/>
      <c r="F862" s="30"/>
      <c r="G862" s="31"/>
      <c r="H862" s="31"/>
      <c r="I862" s="41"/>
      <c r="J862" s="42"/>
    </row>
    <row r="863" ht="22.5" customHeight="1">
      <c r="A863" s="39"/>
      <c r="B863" s="29"/>
      <c r="C863" s="16"/>
      <c r="D863" s="41"/>
      <c r="E863" s="41"/>
      <c r="F863" s="30"/>
      <c r="G863" s="31"/>
      <c r="H863" s="31"/>
      <c r="I863" s="41"/>
      <c r="J863" s="42"/>
    </row>
    <row r="864" ht="22.5" customHeight="1">
      <c r="A864" s="39"/>
      <c r="B864" s="29"/>
      <c r="C864" s="16"/>
      <c r="D864" s="41"/>
      <c r="E864" s="41"/>
      <c r="F864" s="30"/>
      <c r="G864" s="31"/>
      <c r="H864" s="31"/>
      <c r="I864" s="41"/>
      <c r="J864" s="42"/>
    </row>
    <row r="865" ht="22.5" customHeight="1">
      <c r="A865" s="39"/>
      <c r="B865" s="29"/>
      <c r="C865" s="16"/>
      <c r="D865" s="41"/>
      <c r="E865" s="41"/>
      <c r="F865" s="30"/>
      <c r="G865" s="31"/>
      <c r="H865" s="31"/>
      <c r="I865" s="41"/>
      <c r="J865" s="42"/>
    </row>
    <row r="866" ht="22.5" customHeight="1">
      <c r="A866" s="39"/>
      <c r="B866" s="29"/>
      <c r="C866" s="16"/>
      <c r="D866" s="41"/>
      <c r="E866" s="41"/>
      <c r="F866" s="30"/>
      <c r="G866" s="31"/>
      <c r="H866" s="31"/>
      <c r="I866" s="41"/>
      <c r="J866" s="42"/>
    </row>
    <row r="867" ht="22.5" customHeight="1">
      <c r="A867" s="39"/>
      <c r="B867" s="29"/>
      <c r="C867" s="16"/>
      <c r="D867" s="41"/>
      <c r="E867" s="41"/>
      <c r="F867" s="30"/>
      <c r="G867" s="31"/>
      <c r="H867" s="31"/>
      <c r="I867" s="41"/>
      <c r="J867" s="42"/>
    </row>
    <row r="868" ht="22.5" customHeight="1">
      <c r="A868" s="39"/>
      <c r="B868" s="29"/>
      <c r="C868" s="16"/>
      <c r="D868" s="41"/>
      <c r="E868" s="41"/>
      <c r="F868" s="30"/>
      <c r="G868" s="31"/>
      <c r="H868" s="31"/>
      <c r="I868" s="41"/>
      <c r="J868" s="42"/>
    </row>
    <row r="869" ht="22.5" customHeight="1">
      <c r="A869" s="39"/>
      <c r="B869" s="29"/>
      <c r="C869" s="16"/>
      <c r="D869" s="41"/>
      <c r="E869" s="41"/>
      <c r="F869" s="30"/>
      <c r="G869" s="31"/>
      <c r="H869" s="31"/>
      <c r="I869" s="41"/>
      <c r="J869" s="42"/>
    </row>
    <row r="870" ht="22.5" customHeight="1">
      <c r="A870" s="39"/>
      <c r="B870" s="29"/>
      <c r="C870" s="16"/>
      <c r="D870" s="41"/>
      <c r="E870" s="41"/>
      <c r="F870" s="30"/>
      <c r="G870" s="31"/>
      <c r="H870" s="31"/>
      <c r="I870" s="41"/>
      <c r="J870" s="42"/>
    </row>
    <row r="871" ht="22.5" customHeight="1">
      <c r="A871" s="39"/>
      <c r="B871" s="29"/>
      <c r="C871" s="16"/>
      <c r="D871" s="41"/>
      <c r="E871" s="41"/>
      <c r="F871" s="30"/>
      <c r="G871" s="31"/>
      <c r="H871" s="31"/>
      <c r="I871" s="41"/>
      <c r="J871" s="42"/>
    </row>
    <row r="872" ht="22.5" customHeight="1">
      <c r="A872" s="39"/>
      <c r="B872" s="29"/>
      <c r="C872" s="16"/>
      <c r="D872" s="41"/>
      <c r="E872" s="41"/>
      <c r="F872" s="30"/>
      <c r="G872" s="31"/>
      <c r="H872" s="31"/>
      <c r="I872" s="41"/>
      <c r="J872" s="42"/>
    </row>
    <row r="873" ht="22.5" customHeight="1">
      <c r="A873" s="39"/>
      <c r="B873" s="29"/>
      <c r="C873" s="16"/>
      <c r="D873" s="41"/>
      <c r="E873" s="41"/>
      <c r="F873" s="30"/>
      <c r="G873" s="31"/>
      <c r="H873" s="31"/>
      <c r="I873" s="41"/>
      <c r="J873" s="42"/>
    </row>
    <row r="874" ht="22.5" customHeight="1">
      <c r="A874" s="39"/>
      <c r="B874" s="29"/>
      <c r="C874" s="16"/>
      <c r="D874" s="41"/>
      <c r="E874" s="41"/>
      <c r="F874" s="30"/>
      <c r="G874" s="31"/>
      <c r="H874" s="31"/>
      <c r="I874" s="41"/>
      <c r="J874" s="42"/>
    </row>
    <row r="875" ht="22.5" customHeight="1">
      <c r="A875" s="39"/>
      <c r="B875" s="29"/>
      <c r="C875" s="16"/>
      <c r="D875" s="41"/>
      <c r="E875" s="41"/>
      <c r="F875" s="30"/>
      <c r="G875" s="31"/>
      <c r="H875" s="31"/>
      <c r="I875" s="41"/>
      <c r="J875" s="42"/>
    </row>
    <row r="876" ht="22.5" customHeight="1">
      <c r="A876" s="39"/>
      <c r="B876" s="29"/>
      <c r="C876" s="16"/>
      <c r="D876" s="41"/>
      <c r="E876" s="41"/>
      <c r="F876" s="30"/>
      <c r="G876" s="31"/>
      <c r="H876" s="31"/>
      <c r="I876" s="41"/>
      <c r="J876" s="42"/>
    </row>
    <row r="877" ht="22.5" customHeight="1">
      <c r="A877" s="39"/>
      <c r="B877" s="29"/>
      <c r="C877" s="16"/>
      <c r="D877" s="41"/>
      <c r="E877" s="41"/>
      <c r="F877" s="30"/>
      <c r="G877" s="31"/>
      <c r="H877" s="31"/>
      <c r="I877" s="41"/>
      <c r="J877" s="42"/>
    </row>
    <row r="878" ht="22.5" customHeight="1">
      <c r="A878" s="39"/>
      <c r="B878" s="29"/>
      <c r="C878" s="16"/>
      <c r="D878" s="41"/>
      <c r="E878" s="41"/>
      <c r="F878" s="30"/>
      <c r="G878" s="31"/>
      <c r="H878" s="31"/>
      <c r="I878" s="41"/>
      <c r="J878" s="42"/>
    </row>
    <row r="879" ht="22.5" customHeight="1">
      <c r="A879" s="39"/>
      <c r="B879" s="29"/>
      <c r="C879" s="16"/>
      <c r="D879" s="41"/>
      <c r="E879" s="41"/>
      <c r="F879" s="30"/>
      <c r="G879" s="31"/>
      <c r="H879" s="31"/>
      <c r="I879" s="41"/>
      <c r="J879" s="42"/>
    </row>
    <row r="880" ht="22.5" customHeight="1">
      <c r="A880" s="39"/>
      <c r="B880" s="29"/>
      <c r="C880" s="16"/>
      <c r="D880" s="41"/>
      <c r="E880" s="41"/>
      <c r="F880" s="30"/>
      <c r="G880" s="31"/>
      <c r="H880" s="31"/>
      <c r="I880" s="41"/>
      <c r="J880" s="42"/>
    </row>
    <row r="881" ht="22.5" customHeight="1">
      <c r="A881" s="39"/>
      <c r="B881" s="29"/>
      <c r="C881" s="16"/>
      <c r="D881" s="41"/>
      <c r="E881" s="41"/>
      <c r="F881" s="30"/>
      <c r="G881" s="31"/>
      <c r="H881" s="31"/>
      <c r="I881" s="41"/>
      <c r="J881" s="42"/>
    </row>
    <row r="882" ht="22.5" customHeight="1">
      <c r="A882" s="39"/>
      <c r="B882" s="29"/>
      <c r="C882" s="16"/>
      <c r="D882" s="41"/>
      <c r="E882" s="41"/>
      <c r="F882" s="30"/>
      <c r="G882" s="31"/>
      <c r="H882" s="31"/>
      <c r="I882" s="41"/>
      <c r="J882" s="42"/>
    </row>
    <row r="883" ht="22.5" customHeight="1">
      <c r="A883" s="39"/>
      <c r="B883" s="29"/>
      <c r="C883" s="16"/>
      <c r="D883" s="41"/>
      <c r="E883" s="41"/>
      <c r="F883" s="30"/>
      <c r="G883" s="31"/>
      <c r="H883" s="31"/>
      <c r="I883" s="41"/>
      <c r="J883" s="42"/>
    </row>
    <row r="884" ht="22.5" customHeight="1">
      <c r="A884" s="39"/>
      <c r="B884" s="29"/>
      <c r="C884" s="16"/>
      <c r="D884" s="41"/>
      <c r="E884" s="41"/>
      <c r="F884" s="30"/>
      <c r="G884" s="31"/>
      <c r="H884" s="31"/>
      <c r="I884" s="41"/>
      <c r="J884" s="42"/>
    </row>
    <row r="885" ht="22.5" customHeight="1">
      <c r="A885" s="39"/>
      <c r="B885" s="29"/>
      <c r="C885" s="16"/>
      <c r="D885" s="41"/>
      <c r="E885" s="41"/>
      <c r="F885" s="30"/>
      <c r="G885" s="31"/>
      <c r="H885" s="31"/>
      <c r="I885" s="41"/>
      <c r="J885" s="42"/>
    </row>
    <row r="886" ht="22.5" customHeight="1">
      <c r="A886" s="39"/>
      <c r="B886" s="29"/>
      <c r="C886" s="16"/>
      <c r="D886" s="41"/>
      <c r="E886" s="41"/>
      <c r="F886" s="30"/>
      <c r="G886" s="31"/>
      <c r="H886" s="31"/>
      <c r="I886" s="41"/>
      <c r="J886" s="42"/>
    </row>
    <row r="887" ht="22.5" customHeight="1">
      <c r="A887" s="39"/>
      <c r="B887" s="29"/>
      <c r="C887" s="16"/>
      <c r="D887" s="41"/>
      <c r="E887" s="41"/>
      <c r="F887" s="30"/>
      <c r="G887" s="31"/>
      <c r="H887" s="31"/>
      <c r="I887" s="41"/>
      <c r="J887" s="42"/>
    </row>
    <row r="888" ht="22.5" customHeight="1">
      <c r="A888" s="39"/>
      <c r="B888" s="29"/>
      <c r="C888" s="16"/>
      <c r="D888" s="41"/>
      <c r="E888" s="41"/>
      <c r="F888" s="30"/>
      <c r="G888" s="31"/>
      <c r="H888" s="31"/>
      <c r="I888" s="41"/>
      <c r="J888" s="42"/>
    </row>
    <row r="889" ht="22.5" customHeight="1">
      <c r="A889" s="39"/>
      <c r="B889" s="29"/>
      <c r="C889" s="16"/>
      <c r="D889" s="41"/>
      <c r="E889" s="41"/>
      <c r="F889" s="30"/>
      <c r="G889" s="31"/>
      <c r="H889" s="31"/>
      <c r="I889" s="41"/>
      <c r="J889" s="42"/>
    </row>
    <row r="890" ht="22.5" customHeight="1">
      <c r="A890" s="39"/>
      <c r="B890" s="29"/>
      <c r="C890" s="16"/>
      <c r="D890" s="41"/>
      <c r="E890" s="41"/>
      <c r="F890" s="30"/>
      <c r="G890" s="31"/>
      <c r="H890" s="31"/>
      <c r="I890" s="41"/>
      <c r="J890" s="42"/>
    </row>
    <row r="891" ht="22.5" customHeight="1">
      <c r="A891" s="39"/>
      <c r="B891" s="29"/>
      <c r="C891" s="16"/>
      <c r="D891" s="41"/>
      <c r="E891" s="41"/>
      <c r="F891" s="30"/>
      <c r="G891" s="31"/>
      <c r="H891" s="31"/>
      <c r="I891" s="41"/>
      <c r="J891" s="42"/>
    </row>
    <row r="892" ht="22.5" customHeight="1">
      <c r="A892" s="39"/>
      <c r="B892" s="29"/>
      <c r="C892" s="16"/>
      <c r="D892" s="41"/>
      <c r="E892" s="41"/>
      <c r="F892" s="30"/>
      <c r="G892" s="31"/>
      <c r="H892" s="31"/>
      <c r="I892" s="41"/>
      <c r="J892" s="42"/>
    </row>
    <row r="893" ht="22.5" customHeight="1">
      <c r="A893" s="39"/>
      <c r="B893" s="29"/>
      <c r="C893" s="16"/>
      <c r="D893" s="41"/>
      <c r="E893" s="41"/>
      <c r="F893" s="30"/>
      <c r="G893" s="31"/>
      <c r="H893" s="31"/>
      <c r="I893" s="41"/>
      <c r="J893" s="42"/>
    </row>
    <row r="894" ht="22.5" customHeight="1">
      <c r="A894" s="39"/>
      <c r="B894" s="29"/>
      <c r="C894" s="16"/>
      <c r="D894" s="41"/>
      <c r="E894" s="41"/>
      <c r="F894" s="30"/>
      <c r="G894" s="31"/>
      <c r="H894" s="31"/>
      <c r="I894" s="41"/>
      <c r="J894" s="42"/>
    </row>
    <row r="895" ht="22.5" customHeight="1">
      <c r="A895" s="39"/>
      <c r="B895" s="29"/>
      <c r="C895" s="16"/>
      <c r="D895" s="41"/>
      <c r="E895" s="41"/>
      <c r="F895" s="30"/>
      <c r="G895" s="31"/>
      <c r="H895" s="31"/>
      <c r="I895" s="41"/>
      <c r="J895" s="42"/>
    </row>
    <row r="896" ht="22.5" customHeight="1">
      <c r="A896" s="39"/>
      <c r="B896" s="29"/>
      <c r="C896" s="16"/>
      <c r="D896" s="41"/>
      <c r="E896" s="41"/>
      <c r="F896" s="30"/>
      <c r="G896" s="31"/>
      <c r="H896" s="31"/>
      <c r="I896" s="41"/>
      <c r="J896" s="42"/>
    </row>
    <row r="897" ht="22.5" customHeight="1">
      <c r="A897" s="39"/>
      <c r="B897" s="29"/>
      <c r="C897" s="16"/>
      <c r="D897" s="41"/>
      <c r="E897" s="41"/>
      <c r="F897" s="30"/>
      <c r="G897" s="31"/>
      <c r="H897" s="31"/>
      <c r="I897" s="41"/>
      <c r="J897" s="42"/>
    </row>
    <row r="898" ht="22.5" customHeight="1">
      <c r="A898" s="39"/>
      <c r="B898" s="29"/>
      <c r="C898" s="16"/>
      <c r="D898" s="41"/>
      <c r="E898" s="41"/>
      <c r="F898" s="30"/>
      <c r="G898" s="31"/>
      <c r="H898" s="31"/>
      <c r="I898" s="41"/>
      <c r="J898" s="42"/>
    </row>
    <row r="899" ht="22.5" customHeight="1">
      <c r="A899" s="39"/>
      <c r="B899" s="29"/>
      <c r="C899" s="16"/>
      <c r="D899" s="41"/>
      <c r="E899" s="41"/>
      <c r="F899" s="30"/>
      <c r="G899" s="31"/>
      <c r="H899" s="31"/>
      <c r="I899" s="41"/>
      <c r="J899" s="42"/>
    </row>
    <row r="900" ht="22.5" customHeight="1">
      <c r="A900" s="39"/>
      <c r="B900" s="29"/>
      <c r="C900" s="16"/>
      <c r="D900" s="41"/>
      <c r="E900" s="41"/>
      <c r="F900" s="30"/>
      <c r="G900" s="31"/>
      <c r="H900" s="31"/>
      <c r="I900" s="41"/>
      <c r="J900" s="42"/>
    </row>
    <row r="901" ht="22.5" customHeight="1">
      <c r="A901" s="39"/>
      <c r="B901" s="29"/>
      <c r="C901" s="16"/>
      <c r="D901" s="41"/>
      <c r="E901" s="41"/>
      <c r="F901" s="30"/>
      <c r="G901" s="31"/>
      <c r="H901" s="31"/>
      <c r="I901" s="41"/>
      <c r="J901" s="42"/>
    </row>
    <row r="902" ht="22.5" customHeight="1">
      <c r="A902" s="39"/>
      <c r="B902" s="29"/>
      <c r="C902" s="16"/>
      <c r="D902" s="41"/>
      <c r="E902" s="41"/>
      <c r="F902" s="30"/>
      <c r="G902" s="31"/>
      <c r="H902" s="31"/>
      <c r="I902" s="41"/>
      <c r="J902" s="42"/>
    </row>
    <row r="903" ht="22.5" customHeight="1">
      <c r="A903" s="39"/>
      <c r="B903" s="29"/>
      <c r="C903" s="16"/>
      <c r="D903" s="41"/>
      <c r="E903" s="41"/>
      <c r="F903" s="30"/>
      <c r="G903" s="31"/>
      <c r="H903" s="31"/>
      <c r="I903" s="41"/>
      <c r="J903" s="42"/>
    </row>
    <row r="904" ht="22.5" customHeight="1">
      <c r="A904" s="39"/>
      <c r="B904" s="29"/>
      <c r="C904" s="16"/>
      <c r="D904" s="41"/>
      <c r="E904" s="41"/>
      <c r="F904" s="30"/>
      <c r="G904" s="31"/>
      <c r="H904" s="31"/>
      <c r="I904" s="41"/>
      <c r="J904" s="42"/>
    </row>
    <row r="905" ht="22.5" customHeight="1">
      <c r="A905" s="39"/>
      <c r="B905" s="29"/>
      <c r="C905" s="16"/>
      <c r="D905" s="41"/>
      <c r="E905" s="41"/>
      <c r="F905" s="30"/>
      <c r="G905" s="31"/>
      <c r="H905" s="31"/>
      <c r="I905" s="41"/>
      <c r="J905" s="42"/>
    </row>
    <row r="906" ht="22.5" customHeight="1">
      <c r="A906" s="39"/>
      <c r="B906" s="29"/>
      <c r="C906" s="16"/>
      <c r="D906" s="41"/>
      <c r="E906" s="41"/>
      <c r="F906" s="30"/>
      <c r="G906" s="31"/>
      <c r="H906" s="31"/>
      <c r="I906" s="41"/>
      <c r="J906" s="42"/>
    </row>
    <row r="907" ht="22.5" customHeight="1">
      <c r="A907" s="39"/>
      <c r="B907" s="29"/>
      <c r="C907" s="16"/>
      <c r="D907" s="41"/>
      <c r="E907" s="41"/>
      <c r="F907" s="30"/>
      <c r="G907" s="31"/>
      <c r="H907" s="31"/>
      <c r="I907" s="41"/>
      <c r="J907" s="42"/>
    </row>
    <row r="908" ht="22.5" customHeight="1">
      <c r="A908" s="39"/>
      <c r="B908" s="29"/>
      <c r="C908" s="16"/>
      <c r="D908" s="41"/>
      <c r="E908" s="41"/>
      <c r="F908" s="30"/>
      <c r="G908" s="31"/>
      <c r="H908" s="31"/>
      <c r="I908" s="41"/>
      <c r="J908" s="42"/>
    </row>
    <row r="909" ht="22.5" customHeight="1">
      <c r="A909" s="39"/>
      <c r="B909" s="29"/>
      <c r="C909" s="16"/>
      <c r="D909" s="41"/>
      <c r="E909" s="41"/>
      <c r="F909" s="30"/>
      <c r="G909" s="31"/>
      <c r="H909" s="31"/>
      <c r="I909" s="41"/>
      <c r="J909" s="42"/>
    </row>
    <row r="910" ht="22.5" customHeight="1">
      <c r="A910" s="39"/>
      <c r="B910" s="29"/>
      <c r="C910" s="16"/>
      <c r="D910" s="41"/>
      <c r="E910" s="41"/>
      <c r="F910" s="30"/>
      <c r="G910" s="31"/>
      <c r="H910" s="31"/>
      <c r="I910" s="41"/>
      <c r="J910" s="42"/>
    </row>
    <row r="911" ht="22.5" customHeight="1">
      <c r="A911" s="39"/>
      <c r="B911" s="29"/>
      <c r="C911" s="16"/>
      <c r="D911" s="41"/>
      <c r="E911" s="41"/>
      <c r="F911" s="30"/>
      <c r="G911" s="31"/>
      <c r="H911" s="31"/>
      <c r="I911" s="41"/>
      <c r="J911" s="42"/>
    </row>
    <row r="912" ht="22.5" customHeight="1">
      <c r="A912" s="39"/>
      <c r="B912" s="29"/>
      <c r="C912" s="16"/>
      <c r="D912" s="41"/>
      <c r="E912" s="41"/>
      <c r="F912" s="30"/>
      <c r="G912" s="31"/>
      <c r="H912" s="31"/>
      <c r="I912" s="41"/>
      <c r="J912" s="42"/>
    </row>
    <row r="913" ht="22.5" customHeight="1">
      <c r="A913" s="39"/>
      <c r="B913" s="29"/>
      <c r="C913" s="16"/>
      <c r="D913" s="41"/>
      <c r="E913" s="41"/>
      <c r="F913" s="30"/>
      <c r="G913" s="31"/>
      <c r="H913" s="31"/>
      <c r="I913" s="41"/>
      <c r="J913" s="42"/>
    </row>
    <row r="914" ht="22.5" customHeight="1">
      <c r="A914" s="39"/>
      <c r="B914" s="29"/>
      <c r="C914" s="16"/>
      <c r="D914" s="41"/>
      <c r="E914" s="41"/>
      <c r="F914" s="30"/>
      <c r="G914" s="31"/>
      <c r="H914" s="31"/>
      <c r="I914" s="41"/>
      <c r="J914" s="42"/>
    </row>
    <row r="915" ht="22.5" customHeight="1">
      <c r="A915" s="39"/>
      <c r="B915" s="29"/>
      <c r="C915" s="16"/>
      <c r="D915" s="41"/>
      <c r="E915" s="41"/>
      <c r="F915" s="30"/>
      <c r="G915" s="31"/>
      <c r="H915" s="31"/>
      <c r="I915" s="41"/>
      <c r="J915" s="42"/>
    </row>
    <row r="916" ht="22.5" customHeight="1">
      <c r="A916" s="39"/>
      <c r="B916" s="29"/>
      <c r="C916" s="16"/>
      <c r="D916" s="41"/>
      <c r="E916" s="41"/>
      <c r="F916" s="30"/>
      <c r="G916" s="31"/>
      <c r="H916" s="31"/>
      <c r="I916" s="41"/>
      <c r="J916" s="42"/>
    </row>
    <row r="917" ht="22.5" customHeight="1">
      <c r="A917" s="39"/>
      <c r="B917" s="29"/>
      <c r="C917" s="16"/>
      <c r="D917" s="41"/>
      <c r="E917" s="41"/>
      <c r="F917" s="30"/>
      <c r="G917" s="31"/>
      <c r="H917" s="31"/>
      <c r="I917" s="41"/>
      <c r="J917" s="42"/>
    </row>
    <row r="918" ht="22.5" customHeight="1">
      <c r="A918" s="39"/>
      <c r="B918" s="29"/>
      <c r="C918" s="16"/>
      <c r="D918" s="41"/>
      <c r="E918" s="41"/>
      <c r="F918" s="30"/>
      <c r="G918" s="31"/>
      <c r="H918" s="31"/>
      <c r="I918" s="41"/>
      <c r="J918" s="42"/>
    </row>
    <row r="919" ht="22.5" customHeight="1">
      <c r="A919" s="39"/>
      <c r="B919" s="29"/>
      <c r="C919" s="16"/>
      <c r="D919" s="41"/>
      <c r="E919" s="41"/>
      <c r="F919" s="30"/>
      <c r="G919" s="31"/>
      <c r="H919" s="31"/>
      <c r="I919" s="41"/>
      <c r="J919" s="42"/>
    </row>
    <row r="920" ht="22.5" customHeight="1">
      <c r="A920" s="39"/>
      <c r="B920" s="29"/>
      <c r="C920" s="16"/>
      <c r="D920" s="41"/>
      <c r="E920" s="41"/>
      <c r="F920" s="30"/>
      <c r="G920" s="31"/>
      <c r="H920" s="31"/>
      <c r="I920" s="41"/>
      <c r="J920" s="42"/>
    </row>
    <row r="921" ht="22.5" customHeight="1">
      <c r="A921" s="39"/>
      <c r="B921" s="29"/>
      <c r="C921" s="16"/>
      <c r="D921" s="41"/>
      <c r="E921" s="41"/>
      <c r="F921" s="30"/>
      <c r="G921" s="31"/>
      <c r="H921" s="31"/>
      <c r="I921" s="41"/>
      <c r="J921" s="42"/>
    </row>
    <row r="922" ht="22.5" customHeight="1">
      <c r="A922" s="39"/>
      <c r="B922" s="29"/>
      <c r="C922" s="16"/>
      <c r="D922" s="41"/>
      <c r="E922" s="41"/>
      <c r="F922" s="30"/>
      <c r="G922" s="31"/>
      <c r="H922" s="31"/>
      <c r="I922" s="41"/>
      <c r="J922" s="42"/>
    </row>
    <row r="923" ht="22.5" customHeight="1">
      <c r="A923" s="39"/>
      <c r="B923" s="29"/>
      <c r="C923" s="16"/>
      <c r="D923" s="41"/>
      <c r="E923" s="41"/>
      <c r="F923" s="30"/>
      <c r="G923" s="31"/>
      <c r="H923" s="31"/>
      <c r="I923" s="41"/>
      <c r="J923" s="42"/>
    </row>
    <row r="924" ht="22.5" customHeight="1">
      <c r="A924" s="39"/>
      <c r="B924" s="29"/>
      <c r="C924" s="16"/>
      <c r="D924" s="41"/>
      <c r="E924" s="41"/>
      <c r="F924" s="30"/>
      <c r="G924" s="31"/>
      <c r="H924" s="31"/>
      <c r="I924" s="41"/>
      <c r="J924" s="42"/>
    </row>
    <row r="925" ht="22.5" customHeight="1">
      <c r="A925" s="39"/>
      <c r="B925" s="29"/>
      <c r="C925" s="16"/>
      <c r="D925" s="41"/>
      <c r="E925" s="41"/>
      <c r="F925" s="30"/>
      <c r="G925" s="31"/>
      <c r="H925" s="31"/>
      <c r="I925" s="41"/>
      <c r="J925" s="42"/>
    </row>
    <row r="926" ht="22.5" customHeight="1">
      <c r="A926" s="39"/>
      <c r="B926" s="29"/>
      <c r="C926" s="16"/>
      <c r="D926" s="41"/>
      <c r="E926" s="41"/>
      <c r="F926" s="30"/>
      <c r="G926" s="31"/>
      <c r="H926" s="31"/>
      <c r="I926" s="41"/>
      <c r="J926" s="42"/>
    </row>
    <row r="927" ht="22.5" customHeight="1">
      <c r="A927" s="39"/>
      <c r="B927" s="29"/>
      <c r="C927" s="16"/>
      <c r="D927" s="41"/>
      <c r="E927" s="41"/>
      <c r="F927" s="30"/>
      <c r="G927" s="31"/>
      <c r="H927" s="31"/>
      <c r="I927" s="41"/>
      <c r="J927" s="42"/>
    </row>
    <row r="928" ht="22.5" customHeight="1">
      <c r="A928" s="39"/>
      <c r="B928" s="29"/>
      <c r="C928" s="16"/>
      <c r="D928" s="41"/>
      <c r="E928" s="41"/>
      <c r="F928" s="30"/>
      <c r="G928" s="31"/>
      <c r="H928" s="31"/>
      <c r="I928" s="41"/>
      <c r="J928" s="42"/>
    </row>
    <row r="929" ht="22.5" customHeight="1">
      <c r="A929" s="39"/>
      <c r="B929" s="29"/>
      <c r="C929" s="16"/>
      <c r="D929" s="41"/>
      <c r="E929" s="41"/>
      <c r="F929" s="30"/>
      <c r="G929" s="31"/>
      <c r="H929" s="31"/>
      <c r="I929" s="41"/>
      <c r="J929" s="42"/>
    </row>
    <row r="930" ht="22.5" customHeight="1">
      <c r="A930" s="39"/>
      <c r="B930" s="29"/>
      <c r="C930" s="16"/>
      <c r="D930" s="41"/>
      <c r="E930" s="41"/>
      <c r="F930" s="30"/>
      <c r="G930" s="31"/>
      <c r="H930" s="31"/>
      <c r="I930" s="41"/>
      <c r="J930" s="42"/>
    </row>
    <row r="931" ht="22.5" customHeight="1">
      <c r="A931" s="39"/>
      <c r="B931" s="29"/>
      <c r="C931" s="16"/>
      <c r="D931" s="41"/>
      <c r="E931" s="41"/>
      <c r="F931" s="30"/>
      <c r="G931" s="31"/>
      <c r="H931" s="31"/>
      <c r="I931" s="41"/>
      <c r="J931" s="42"/>
    </row>
    <row r="932" ht="22.5" customHeight="1">
      <c r="A932" s="39"/>
      <c r="B932" s="29"/>
      <c r="C932" s="16"/>
      <c r="D932" s="41"/>
      <c r="E932" s="41"/>
      <c r="F932" s="30"/>
      <c r="G932" s="31"/>
      <c r="H932" s="31"/>
      <c r="I932" s="41"/>
      <c r="J932" s="42"/>
    </row>
    <row r="933" ht="22.5" customHeight="1">
      <c r="A933" s="39"/>
      <c r="B933" s="29"/>
      <c r="C933" s="16"/>
      <c r="D933" s="41"/>
      <c r="E933" s="41"/>
      <c r="F933" s="30"/>
      <c r="G933" s="31"/>
      <c r="H933" s="31"/>
      <c r="I933" s="41"/>
      <c r="J933" s="42"/>
    </row>
    <row r="934" ht="22.5" customHeight="1">
      <c r="A934" s="39"/>
      <c r="B934" s="29"/>
      <c r="C934" s="16"/>
      <c r="D934" s="41"/>
      <c r="E934" s="41"/>
      <c r="F934" s="30"/>
      <c r="G934" s="31"/>
      <c r="H934" s="31"/>
      <c r="I934" s="41"/>
      <c r="J934" s="42"/>
    </row>
    <row r="935" ht="22.5" customHeight="1">
      <c r="A935" s="39"/>
      <c r="B935" s="29"/>
      <c r="C935" s="16"/>
      <c r="D935" s="41"/>
      <c r="E935" s="41"/>
      <c r="F935" s="30"/>
      <c r="G935" s="31"/>
      <c r="H935" s="31"/>
      <c r="I935" s="41"/>
      <c r="J935" s="42"/>
    </row>
    <row r="936" ht="22.5" customHeight="1">
      <c r="A936" s="39"/>
      <c r="B936" s="29"/>
      <c r="C936" s="16"/>
      <c r="D936" s="41"/>
      <c r="E936" s="41"/>
      <c r="F936" s="30"/>
      <c r="G936" s="31"/>
      <c r="H936" s="31"/>
      <c r="I936" s="41"/>
      <c r="J936" s="42"/>
    </row>
    <row r="937" ht="22.5" customHeight="1">
      <c r="A937" s="39"/>
      <c r="B937" s="29"/>
      <c r="C937" s="16"/>
      <c r="D937" s="41"/>
      <c r="E937" s="41"/>
      <c r="F937" s="30"/>
      <c r="G937" s="31"/>
      <c r="H937" s="31"/>
      <c r="I937" s="41"/>
      <c r="J937" s="42"/>
    </row>
    <row r="938" ht="22.5" customHeight="1">
      <c r="A938" s="39"/>
      <c r="B938" s="29"/>
      <c r="C938" s="16"/>
      <c r="D938" s="41"/>
      <c r="E938" s="41"/>
      <c r="F938" s="30"/>
      <c r="G938" s="31"/>
      <c r="H938" s="31"/>
      <c r="I938" s="41"/>
      <c r="J938" s="42"/>
    </row>
    <row r="939" ht="22.5" customHeight="1">
      <c r="A939" s="39"/>
      <c r="B939" s="29"/>
      <c r="C939" s="16"/>
      <c r="D939" s="41"/>
      <c r="E939" s="41"/>
      <c r="F939" s="30"/>
      <c r="G939" s="31"/>
      <c r="H939" s="31"/>
      <c r="I939" s="41"/>
      <c r="J939" s="42"/>
    </row>
    <row r="940" ht="22.5" customHeight="1">
      <c r="A940" s="39"/>
      <c r="B940" s="29"/>
      <c r="C940" s="16"/>
      <c r="D940" s="41"/>
      <c r="E940" s="41"/>
      <c r="F940" s="30"/>
      <c r="G940" s="31"/>
      <c r="H940" s="31"/>
      <c r="I940" s="41"/>
      <c r="J940" s="42"/>
    </row>
    <row r="941" ht="22.5" customHeight="1">
      <c r="A941" s="39"/>
      <c r="B941" s="29"/>
      <c r="C941" s="16"/>
      <c r="D941" s="41"/>
      <c r="E941" s="41"/>
      <c r="F941" s="30"/>
      <c r="G941" s="31"/>
      <c r="H941" s="31"/>
      <c r="I941" s="41"/>
      <c r="J941" s="42"/>
    </row>
    <row r="942" ht="22.5" customHeight="1">
      <c r="A942" s="39"/>
      <c r="B942" s="29"/>
      <c r="C942" s="16"/>
      <c r="D942" s="41"/>
      <c r="E942" s="41"/>
      <c r="F942" s="30"/>
      <c r="G942" s="31"/>
      <c r="H942" s="31"/>
      <c r="I942" s="41"/>
      <c r="J942" s="42"/>
    </row>
    <row r="943" ht="22.5" customHeight="1">
      <c r="A943" s="39"/>
      <c r="B943" s="29"/>
      <c r="C943" s="16"/>
      <c r="D943" s="41"/>
      <c r="E943" s="41"/>
      <c r="F943" s="30"/>
      <c r="G943" s="31"/>
      <c r="H943" s="31"/>
      <c r="I943" s="41"/>
      <c r="J943" s="42"/>
    </row>
    <row r="944" ht="22.5" customHeight="1">
      <c r="A944" s="39"/>
      <c r="B944" s="29"/>
      <c r="C944" s="16"/>
      <c r="D944" s="41"/>
      <c r="E944" s="41"/>
      <c r="F944" s="30"/>
      <c r="G944" s="31"/>
      <c r="H944" s="31"/>
      <c r="I944" s="41"/>
      <c r="J944" s="42"/>
    </row>
    <row r="945" ht="22.5" customHeight="1">
      <c r="A945" s="39"/>
      <c r="B945" s="29"/>
      <c r="C945" s="16"/>
      <c r="D945" s="41"/>
      <c r="E945" s="41"/>
      <c r="F945" s="30"/>
      <c r="G945" s="31"/>
      <c r="H945" s="31"/>
      <c r="I945" s="41"/>
      <c r="J945" s="42"/>
    </row>
    <row r="946" ht="22.5" customHeight="1">
      <c r="A946" s="39"/>
      <c r="B946" s="29"/>
      <c r="C946" s="16"/>
      <c r="D946" s="41"/>
      <c r="E946" s="41"/>
      <c r="F946" s="30"/>
      <c r="G946" s="31"/>
      <c r="H946" s="31"/>
      <c r="I946" s="41"/>
      <c r="J946" s="42"/>
    </row>
    <row r="947" ht="22.5" customHeight="1">
      <c r="A947" s="39"/>
      <c r="B947" s="29"/>
      <c r="C947" s="16"/>
      <c r="D947" s="41"/>
      <c r="E947" s="41"/>
      <c r="F947" s="30"/>
      <c r="G947" s="31"/>
      <c r="H947" s="31"/>
      <c r="I947" s="41"/>
      <c r="J947" s="42"/>
    </row>
    <row r="948" ht="22.5" customHeight="1">
      <c r="A948" s="39"/>
      <c r="B948" s="29"/>
      <c r="C948" s="16"/>
      <c r="D948" s="41"/>
      <c r="E948" s="41"/>
      <c r="F948" s="30"/>
      <c r="G948" s="31"/>
      <c r="H948" s="31"/>
      <c r="I948" s="41"/>
      <c r="J948" s="42"/>
    </row>
    <row r="949" ht="22.5" customHeight="1">
      <c r="A949" s="39"/>
      <c r="B949" s="29"/>
      <c r="C949" s="16"/>
      <c r="D949" s="41"/>
      <c r="E949" s="41"/>
      <c r="F949" s="30"/>
      <c r="G949" s="31"/>
      <c r="H949" s="31"/>
      <c r="I949" s="41"/>
      <c r="J949" s="42"/>
    </row>
    <row r="950" ht="22.5" customHeight="1">
      <c r="A950" s="39"/>
      <c r="B950" s="29"/>
      <c r="C950" s="16"/>
      <c r="D950" s="41"/>
      <c r="E950" s="41"/>
      <c r="F950" s="30"/>
      <c r="G950" s="31"/>
      <c r="H950" s="31"/>
      <c r="I950" s="41"/>
      <c r="J950" s="42"/>
    </row>
    <row r="951" ht="22.5" customHeight="1">
      <c r="A951" s="39"/>
      <c r="B951" s="29"/>
      <c r="C951" s="16"/>
      <c r="D951" s="41"/>
      <c r="E951" s="41"/>
      <c r="F951" s="30"/>
      <c r="G951" s="31"/>
      <c r="H951" s="31"/>
      <c r="I951" s="41"/>
      <c r="J951" s="42"/>
    </row>
    <row r="952" ht="22.5" customHeight="1">
      <c r="A952" s="39"/>
      <c r="B952" s="29"/>
      <c r="C952" s="16"/>
      <c r="D952" s="41"/>
      <c r="E952" s="41"/>
      <c r="F952" s="30"/>
      <c r="G952" s="31"/>
      <c r="H952" s="31"/>
      <c r="I952" s="41"/>
      <c r="J952" s="42"/>
    </row>
    <row r="953" ht="22.5" customHeight="1">
      <c r="A953" s="39"/>
      <c r="B953" s="29"/>
      <c r="C953" s="16"/>
      <c r="D953" s="41"/>
      <c r="E953" s="41"/>
      <c r="F953" s="30"/>
      <c r="G953" s="31"/>
      <c r="H953" s="31"/>
      <c r="I953" s="41"/>
      <c r="J953" s="42"/>
    </row>
    <row r="954" ht="22.5" customHeight="1">
      <c r="A954" s="39"/>
      <c r="B954" s="29"/>
      <c r="C954" s="16"/>
      <c r="D954" s="41"/>
      <c r="E954" s="41"/>
      <c r="F954" s="30"/>
      <c r="G954" s="31"/>
      <c r="H954" s="31"/>
      <c r="I954" s="41"/>
      <c r="J954" s="42"/>
    </row>
    <row r="955" ht="22.5" customHeight="1">
      <c r="A955" s="39"/>
      <c r="B955" s="29"/>
      <c r="C955" s="16"/>
      <c r="D955" s="41"/>
      <c r="E955" s="41"/>
      <c r="F955" s="30"/>
      <c r="G955" s="31"/>
      <c r="H955" s="31"/>
      <c r="I955" s="41"/>
      <c r="J955" s="42"/>
    </row>
    <row r="956" ht="22.5" customHeight="1">
      <c r="A956" s="39"/>
      <c r="B956" s="29"/>
      <c r="C956" s="16"/>
      <c r="D956" s="41"/>
      <c r="E956" s="41"/>
      <c r="F956" s="30"/>
      <c r="G956" s="31"/>
      <c r="H956" s="31"/>
      <c r="I956" s="41"/>
      <c r="J956" s="42"/>
    </row>
    <row r="957" ht="22.5" customHeight="1">
      <c r="A957" s="39"/>
      <c r="B957" s="29"/>
      <c r="C957" s="16"/>
      <c r="D957" s="41"/>
      <c r="E957" s="41"/>
      <c r="F957" s="30"/>
      <c r="G957" s="31"/>
      <c r="H957" s="31"/>
      <c r="I957" s="41"/>
      <c r="J957" s="42"/>
    </row>
    <row r="958" ht="22.5" customHeight="1">
      <c r="A958" s="39"/>
      <c r="B958" s="29"/>
      <c r="C958" s="16"/>
      <c r="D958" s="41"/>
      <c r="E958" s="41"/>
      <c r="F958" s="30"/>
      <c r="G958" s="31"/>
      <c r="H958" s="31"/>
      <c r="I958" s="41"/>
      <c r="J958" s="42"/>
    </row>
    <row r="959" ht="22.5" customHeight="1">
      <c r="A959" s="39"/>
      <c r="B959" s="29"/>
      <c r="C959" s="16"/>
      <c r="D959" s="41"/>
      <c r="E959" s="41"/>
      <c r="F959" s="30"/>
      <c r="G959" s="31"/>
      <c r="H959" s="31"/>
      <c r="I959" s="41"/>
      <c r="J959" s="42"/>
    </row>
    <row r="960" ht="22.5" customHeight="1">
      <c r="A960" s="39"/>
      <c r="B960" s="29"/>
      <c r="C960" s="16"/>
      <c r="D960" s="41"/>
      <c r="E960" s="41"/>
      <c r="F960" s="30"/>
      <c r="G960" s="31"/>
      <c r="H960" s="31"/>
      <c r="I960" s="41"/>
      <c r="J960" s="42"/>
    </row>
    <row r="961" ht="22.5" customHeight="1">
      <c r="A961" s="39"/>
      <c r="B961" s="29"/>
      <c r="C961" s="16"/>
      <c r="D961" s="41"/>
      <c r="E961" s="41"/>
      <c r="F961" s="30"/>
      <c r="G961" s="31"/>
      <c r="H961" s="31"/>
      <c r="I961" s="41"/>
      <c r="J961" s="42"/>
    </row>
    <row r="962" ht="22.5" customHeight="1">
      <c r="A962" s="39"/>
      <c r="B962" s="29"/>
      <c r="C962" s="16"/>
      <c r="D962" s="41"/>
      <c r="E962" s="41"/>
      <c r="F962" s="30"/>
      <c r="G962" s="31"/>
      <c r="H962" s="31"/>
      <c r="I962" s="41"/>
      <c r="J962" s="42"/>
    </row>
    <row r="963" ht="22.5" customHeight="1">
      <c r="A963" s="39"/>
      <c r="B963" s="29"/>
      <c r="C963" s="16"/>
      <c r="D963" s="41"/>
      <c r="E963" s="41"/>
      <c r="F963" s="30"/>
      <c r="G963" s="31"/>
      <c r="H963" s="31"/>
      <c r="I963" s="41"/>
      <c r="J963" s="42"/>
    </row>
    <row r="964" ht="22.5" customHeight="1">
      <c r="A964" s="39"/>
      <c r="B964" s="29"/>
      <c r="C964" s="16"/>
      <c r="D964" s="41"/>
      <c r="E964" s="41"/>
      <c r="F964" s="30"/>
      <c r="G964" s="31"/>
      <c r="H964" s="31"/>
      <c r="I964" s="41"/>
      <c r="J964" s="42"/>
    </row>
    <row r="965" ht="22.5" customHeight="1">
      <c r="A965" s="39"/>
      <c r="B965" s="29"/>
      <c r="C965" s="16"/>
      <c r="D965" s="41"/>
      <c r="E965" s="41"/>
      <c r="F965" s="30"/>
      <c r="G965" s="31"/>
      <c r="H965" s="31"/>
      <c r="I965" s="41"/>
      <c r="J965" s="42"/>
    </row>
    <row r="966" ht="22.5" customHeight="1">
      <c r="A966" s="39"/>
      <c r="B966" s="29"/>
      <c r="C966" s="16"/>
      <c r="D966" s="41"/>
      <c r="E966" s="41"/>
      <c r="F966" s="30"/>
      <c r="G966" s="31"/>
      <c r="H966" s="31"/>
      <c r="I966" s="41"/>
      <c r="J966" s="42"/>
    </row>
    <row r="967" ht="22.5" customHeight="1">
      <c r="A967" s="39"/>
      <c r="B967" s="29"/>
      <c r="C967" s="16"/>
      <c r="D967" s="41"/>
      <c r="E967" s="41"/>
      <c r="F967" s="30"/>
      <c r="G967" s="31"/>
      <c r="H967" s="31"/>
      <c r="I967" s="41"/>
      <c r="J967" s="42"/>
    </row>
    <row r="968" ht="22.5" customHeight="1">
      <c r="A968" s="39"/>
      <c r="B968" s="29"/>
      <c r="C968" s="16"/>
      <c r="D968" s="41"/>
      <c r="E968" s="41"/>
      <c r="F968" s="30"/>
      <c r="G968" s="31"/>
      <c r="H968" s="31"/>
      <c r="I968" s="41"/>
      <c r="J968" s="42"/>
    </row>
    <row r="969" ht="22.5" customHeight="1">
      <c r="A969" s="39"/>
      <c r="B969" s="29"/>
      <c r="C969" s="16"/>
      <c r="D969" s="41"/>
      <c r="E969" s="41"/>
      <c r="F969" s="30"/>
      <c r="G969" s="31"/>
      <c r="H969" s="31"/>
      <c r="I969" s="41"/>
      <c r="J969" s="42"/>
    </row>
    <row r="970" ht="22.5" customHeight="1">
      <c r="A970" s="39"/>
      <c r="B970" s="29"/>
      <c r="C970" s="16"/>
      <c r="D970" s="41"/>
      <c r="E970" s="41"/>
      <c r="F970" s="30"/>
      <c r="G970" s="31"/>
      <c r="H970" s="31"/>
      <c r="I970" s="41"/>
      <c r="J970" s="42"/>
    </row>
    <row r="971" ht="22.5" customHeight="1">
      <c r="A971" s="39"/>
      <c r="B971" s="29"/>
      <c r="C971" s="16"/>
      <c r="D971" s="41"/>
      <c r="E971" s="41"/>
      <c r="F971" s="30"/>
      <c r="G971" s="31"/>
      <c r="H971" s="31"/>
      <c r="I971" s="41"/>
      <c r="J971" s="42"/>
    </row>
    <row r="972" ht="22.5" customHeight="1">
      <c r="A972" s="39"/>
      <c r="B972" s="29"/>
      <c r="C972" s="16"/>
      <c r="D972" s="41"/>
      <c r="E972" s="41"/>
      <c r="F972" s="30"/>
      <c r="G972" s="31"/>
      <c r="H972" s="31"/>
      <c r="I972" s="41"/>
      <c r="J972" s="42"/>
    </row>
    <row r="973" ht="22.5" customHeight="1">
      <c r="A973" s="39"/>
      <c r="B973" s="29"/>
      <c r="C973" s="16"/>
      <c r="D973" s="41"/>
      <c r="E973" s="41"/>
      <c r="F973" s="30"/>
      <c r="G973" s="31"/>
      <c r="H973" s="31"/>
      <c r="I973" s="41"/>
      <c r="J973" s="42"/>
    </row>
    <row r="974" ht="22.5" customHeight="1">
      <c r="A974" s="39"/>
      <c r="B974" s="29"/>
      <c r="C974" s="16"/>
      <c r="D974" s="41"/>
      <c r="E974" s="41"/>
      <c r="F974" s="30"/>
      <c r="G974" s="31"/>
      <c r="H974" s="31"/>
      <c r="I974" s="41"/>
      <c r="J974" s="42"/>
    </row>
    <row r="975" ht="22.5" customHeight="1">
      <c r="A975" s="39"/>
      <c r="B975" s="29"/>
      <c r="C975" s="16"/>
      <c r="D975" s="41"/>
      <c r="E975" s="41"/>
      <c r="F975" s="30"/>
      <c r="G975" s="31"/>
      <c r="H975" s="31"/>
      <c r="I975" s="41"/>
      <c r="J975" s="42"/>
    </row>
    <row r="976" ht="22.5" customHeight="1">
      <c r="A976" s="39"/>
      <c r="B976" s="29"/>
      <c r="C976" s="16"/>
      <c r="D976" s="41"/>
      <c r="E976" s="41"/>
      <c r="F976" s="30"/>
      <c r="G976" s="31"/>
      <c r="H976" s="31"/>
      <c r="I976" s="41"/>
      <c r="J976" s="42"/>
    </row>
    <row r="977" ht="22.5" customHeight="1">
      <c r="A977" s="39"/>
      <c r="B977" s="29"/>
      <c r="C977" s="16"/>
      <c r="D977" s="41"/>
      <c r="E977" s="41"/>
      <c r="F977" s="30"/>
      <c r="G977" s="31"/>
      <c r="H977" s="31"/>
      <c r="I977" s="41"/>
      <c r="J977" s="42"/>
    </row>
    <row r="978" ht="22.5" customHeight="1">
      <c r="A978" s="39"/>
      <c r="B978" s="29"/>
      <c r="C978" s="16"/>
      <c r="D978" s="41"/>
      <c r="E978" s="41"/>
      <c r="F978" s="30"/>
      <c r="G978" s="31"/>
      <c r="H978" s="31"/>
      <c r="I978" s="41"/>
      <c r="J978" s="42"/>
    </row>
    <row r="979" ht="22.5" customHeight="1">
      <c r="A979" s="39"/>
      <c r="B979" s="29"/>
      <c r="C979" s="16"/>
      <c r="D979" s="41"/>
      <c r="E979" s="41"/>
      <c r="F979" s="30"/>
      <c r="G979" s="31"/>
      <c r="H979" s="31"/>
      <c r="I979" s="41"/>
      <c r="J979" s="42"/>
    </row>
    <row r="980" ht="22.5" customHeight="1">
      <c r="A980" s="39"/>
      <c r="B980" s="29"/>
      <c r="C980" s="16"/>
      <c r="D980" s="41"/>
      <c r="E980" s="41"/>
      <c r="F980" s="30"/>
      <c r="G980" s="31"/>
      <c r="H980" s="31"/>
      <c r="I980" s="41"/>
      <c r="J980" s="42"/>
    </row>
    <row r="981" ht="22.5" customHeight="1">
      <c r="A981" s="39"/>
      <c r="B981" s="29"/>
      <c r="C981" s="16"/>
      <c r="D981" s="41"/>
      <c r="E981" s="41"/>
      <c r="F981" s="30"/>
      <c r="G981" s="31"/>
      <c r="H981" s="31"/>
      <c r="I981" s="41"/>
      <c r="J981" s="42"/>
    </row>
    <row r="982" ht="22.5" customHeight="1">
      <c r="A982" s="39"/>
      <c r="B982" s="29"/>
      <c r="C982" s="16"/>
      <c r="D982" s="41"/>
      <c r="E982" s="41"/>
      <c r="F982" s="30"/>
      <c r="G982" s="31"/>
      <c r="H982" s="31"/>
      <c r="I982" s="41"/>
      <c r="J982" s="42"/>
    </row>
    <row r="983" ht="22.5" customHeight="1">
      <c r="A983" s="39"/>
      <c r="B983" s="29"/>
      <c r="C983" s="16"/>
      <c r="D983" s="41"/>
      <c r="E983" s="41"/>
      <c r="F983" s="30"/>
      <c r="G983" s="31"/>
      <c r="H983" s="31"/>
      <c r="I983" s="41"/>
      <c r="J983" s="42"/>
    </row>
    <row r="984" ht="22.5" customHeight="1">
      <c r="A984" s="39"/>
      <c r="B984" s="29"/>
      <c r="C984" s="16"/>
      <c r="D984" s="41"/>
      <c r="E984" s="41"/>
      <c r="F984" s="30"/>
      <c r="G984" s="31"/>
      <c r="H984" s="31"/>
      <c r="I984" s="41"/>
      <c r="J984" s="42"/>
    </row>
    <row r="985" ht="22.5" customHeight="1">
      <c r="A985" s="39"/>
      <c r="B985" s="29"/>
      <c r="C985" s="16"/>
      <c r="D985" s="41"/>
      <c r="E985" s="41"/>
      <c r="F985" s="30"/>
      <c r="G985" s="31"/>
      <c r="H985" s="31"/>
      <c r="I985" s="41"/>
      <c r="J985" s="42"/>
    </row>
    <row r="986" ht="22.5" customHeight="1">
      <c r="A986" s="39"/>
      <c r="B986" s="29"/>
      <c r="C986" s="16"/>
      <c r="D986" s="41"/>
      <c r="E986" s="41"/>
      <c r="F986" s="30"/>
      <c r="G986" s="31"/>
      <c r="H986" s="31"/>
      <c r="I986" s="41"/>
      <c r="J986" s="42"/>
    </row>
    <row r="987" ht="22.5" customHeight="1">
      <c r="A987" s="39"/>
      <c r="B987" s="29"/>
      <c r="C987" s="16"/>
      <c r="D987" s="41"/>
      <c r="E987" s="41"/>
      <c r="F987" s="30"/>
      <c r="G987" s="31"/>
      <c r="H987" s="31"/>
      <c r="I987" s="41"/>
      <c r="J987" s="42"/>
    </row>
    <row r="988" ht="22.5" customHeight="1">
      <c r="A988" s="39"/>
      <c r="B988" s="29"/>
      <c r="C988" s="16"/>
      <c r="D988" s="41"/>
      <c r="E988" s="41"/>
      <c r="F988" s="30"/>
      <c r="G988" s="31"/>
      <c r="H988" s="31"/>
      <c r="I988" s="41"/>
      <c r="J988" s="42"/>
    </row>
    <row r="989" ht="22.5" customHeight="1">
      <c r="A989" s="39"/>
      <c r="B989" s="29"/>
      <c r="C989" s="16"/>
      <c r="D989" s="41"/>
      <c r="E989" s="41"/>
      <c r="F989" s="30"/>
      <c r="G989" s="31"/>
      <c r="H989" s="31"/>
      <c r="I989" s="41"/>
      <c r="J989" s="42"/>
    </row>
    <row r="990" ht="22.5" customHeight="1">
      <c r="A990" s="39"/>
      <c r="B990" s="29"/>
      <c r="C990" s="16"/>
      <c r="D990" s="41"/>
      <c r="E990" s="41"/>
      <c r="F990" s="30"/>
      <c r="G990" s="31"/>
      <c r="H990" s="31"/>
      <c r="I990" s="41"/>
      <c r="J990" s="42"/>
    </row>
    <row r="991" ht="22.5" customHeight="1">
      <c r="A991" s="39"/>
      <c r="B991" s="29"/>
      <c r="C991" s="16"/>
      <c r="D991" s="41"/>
      <c r="E991" s="41"/>
      <c r="F991" s="30"/>
      <c r="G991" s="31"/>
      <c r="H991" s="31"/>
      <c r="I991" s="41"/>
      <c r="J991" s="42"/>
    </row>
    <row r="992" ht="22.5" customHeight="1">
      <c r="A992" s="39"/>
      <c r="B992" s="29"/>
      <c r="C992" s="16"/>
      <c r="D992" s="41"/>
      <c r="E992" s="41"/>
      <c r="F992" s="30"/>
      <c r="G992" s="31"/>
      <c r="H992" s="31"/>
      <c r="I992" s="41"/>
      <c r="J992" s="42"/>
    </row>
    <row r="993" ht="22.5" customHeight="1">
      <c r="A993" s="39"/>
      <c r="B993" s="29"/>
      <c r="C993" s="16"/>
      <c r="D993" s="41"/>
      <c r="E993" s="41"/>
      <c r="F993" s="30"/>
      <c r="G993" s="31"/>
      <c r="H993" s="31"/>
      <c r="I993" s="41"/>
      <c r="J993" s="42"/>
    </row>
    <row r="994" ht="22.5" customHeight="1">
      <c r="A994" s="39"/>
      <c r="B994" s="29"/>
      <c r="C994" s="16"/>
      <c r="D994" s="41"/>
      <c r="E994" s="41"/>
      <c r="F994" s="30"/>
      <c r="G994" s="31"/>
      <c r="H994" s="31"/>
      <c r="I994" s="41"/>
      <c r="J994" s="42"/>
    </row>
    <row r="995" ht="22.5" customHeight="1">
      <c r="A995" s="39"/>
      <c r="B995" s="29"/>
      <c r="C995" s="16"/>
      <c r="D995" s="41"/>
      <c r="E995" s="41"/>
      <c r="F995" s="30"/>
      <c r="G995" s="31"/>
      <c r="H995" s="31"/>
      <c r="I995" s="41"/>
      <c r="J995" s="42"/>
    </row>
    <row r="996" ht="22.5" customHeight="1">
      <c r="A996" s="39"/>
      <c r="B996" s="29"/>
      <c r="C996" s="16"/>
      <c r="D996" s="41"/>
      <c r="E996" s="41"/>
      <c r="F996" s="30"/>
      <c r="G996" s="31"/>
      <c r="H996" s="31"/>
      <c r="I996" s="41"/>
      <c r="J996" s="42"/>
    </row>
    <row r="997" ht="22.5" customHeight="1">
      <c r="A997" s="39"/>
      <c r="B997" s="29"/>
      <c r="C997" s="16"/>
      <c r="D997" s="41"/>
      <c r="E997" s="41"/>
      <c r="F997" s="30"/>
      <c r="G997" s="31"/>
      <c r="H997" s="31"/>
      <c r="I997" s="41"/>
      <c r="J997" s="42"/>
    </row>
    <row r="998" ht="22.5" customHeight="1">
      <c r="A998" s="39"/>
      <c r="B998" s="29"/>
      <c r="C998" s="16"/>
      <c r="D998" s="41"/>
      <c r="E998" s="41"/>
      <c r="F998" s="30"/>
      <c r="G998" s="31"/>
      <c r="H998" s="31"/>
      <c r="I998" s="41"/>
      <c r="J998" s="42"/>
    </row>
    <row r="999" ht="22.5" customHeight="1">
      <c r="A999" s="39"/>
      <c r="B999" s="29"/>
      <c r="C999" s="16"/>
      <c r="D999" s="41"/>
      <c r="E999" s="41"/>
      <c r="F999" s="30"/>
      <c r="G999" s="31"/>
      <c r="H999" s="31"/>
      <c r="I999" s="41"/>
      <c r="J999" s="42"/>
    </row>
    <row r="1000" ht="22.5" customHeight="1">
      <c r="A1000" s="39"/>
      <c r="B1000" s="29"/>
      <c r="C1000" s="16"/>
      <c r="D1000" s="41"/>
      <c r="E1000" s="41"/>
      <c r="F1000" s="30"/>
      <c r="G1000" s="31"/>
      <c r="H1000" s="31"/>
      <c r="I1000" s="41"/>
      <c r="J1000" s="42"/>
    </row>
    <row r="1001" ht="22.5" customHeight="1">
      <c r="A1001" s="39"/>
      <c r="B1001" s="29"/>
      <c r="C1001" s="16"/>
      <c r="D1001" s="41"/>
      <c r="E1001" s="41"/>
      <c r="F1001" s="30"/>
      <c r="G1001" s="31"/>
      <c r="H1001" s="31"/>
      <c r="I1001" s="41"/>
      <c r="J1001" s="42"/>
    </row>
    <row r="1002" ht="22.5" customHeight="1">
      <c r="A1002" s="39"/>
      <c r="B1002" s="29"/>
      <c r="C1002" s="16"/>
      <c r="D1002" s="41"/>
      <c r="E1002" s="41"/>
      <c r="F1002" s="30"/>
      <c r="G1002" s="31"/>
      <c r="H1002" s="31"/>
      <c r="I1002" s="41"/>
      <c r="J1002" s="42"/>
    </row>
    <row r="1003" ht="22.5" customHeight="1">
      <c r="A1003" s="39"/>
      <c r="B1003" s="29"/>
      <c r="C1003" s="16"/>
      <c r="D1003" s="41"/>
      <c r="E1003" s="41"/>
      <c r="F1003" s="30"/>
      <c r="G1003" s="31"/>
      <c r="H1003" s="31"/>
      <c r="I1003" s="41"/>
      <c r="J1003" s="42"/>
    </row>
    <row r="1004" ht="22.5" customHeight="1">
      <c r="A1004" s="39"/>
      <c r="B1004" s="29"/>
      <c r="C1004" s="16"/>
      <c r="D1004" s="41"/>
      <c r="E1004" s="41"/>
      <c r="F1004" s="30"/>
      <c r="G1004" s="31"/>
      <c r="H1004" s="31"/>
      <c r="I1004" s="41"/>
      <c r="J1004" s="42"/>
    </row>
    <row r="1005" ht="22.5" customHeight="1">
      <c r="A1005" s="39"/>
      <c r="B1005" s="29"/>
      <c r="C1005" s="16"/>
      <c r="D1005" s="41"/>
      <c r="E1005" s="41"/>
      <c r="F1005" s="30"/>
      <c r="G1005" s="31"/>
      <c r="H1005" s="31"/>
      <c r="I1005" s="41"/>
      <c r="J1005" s="42"/>
    </row>
    <row r="1006" ht="22.5" customHeight="1">
      <c r="A1006" s="39"/>
      <c r="B1006" s="29"/>
      <c r="C1006" s="16"/>
      <c r="D1006" s="41"/>
      <c r="E1006" s="41"/>
      <c r="F1006" s="30"/>
      <c r="G1006" s="31"/>
      <c r="H1006" s="31"/>
      <c r="I1006" s="41"/>
      <c r="J1006" s="42"/>
    </row>
    <row r="1007" ht="22.5" customHeight="1">
      <c r="A1007" s="39"/>
      <c r="B1007" s="29"/>
      <c r="C1007" s="16"/>
      <c r="D1007" s="41"/>
      <c r="E1007" s="41"/>
      <c r="F1007" s="30"/>
      <c r="G1007" s="31"/>
      <c r="H1007" s="31"/>
      <c r="I1007" s="41"/>
      <c r="J1007" s="42"/>
    </row>
    <row r="1008" ht="22.5" customHeight="1">
      <c r="A1008" s="39"/>
      <c r="B1008" s="29"/>
      <c r="C1008" s="16"/>
      <c r="D1008" s="41"/>
      <c r="E1008" s="41"/>
      <c r="F1008" s="30"/>
      <c r="G1008" s="31"/>
      <c r="H1008" s="31"/>
      <c r="I1008" s="41"/>
      <c r="J1008" s="42"/>
    </row>
    <row r="1009" ht="22.5" customHeight="1">
      <c r="A1009" s="39"/>
      <c r="B1009" s="29"/>
      <c r="C1009" s="16"/>
      <c r="D1009" s="41"/>
      <c r="E1009" s="41"/>
      <c r="F1009" s="30"/>
      <c r="G1009" s="31"/>
      <c r="H1009" s="31"/>
      <c r="I1009" s="41"/>
      <c r="J1009" s="42"/>
    </row>
    <row r="1010" ht="22.5" customHeight="1">
      <c r="A1010" s="39"/>
      <c r="B1010" s="29"/>
      <c r="C1010" s="16"/>
      <c r="D1010" s="41"/>
      <c r="E1010" s="41"/>
      <c r="F1010" s="30"/>
      <c r="G1010" s="31"/>
      <c r="H1010" s="31"/>
      <c r="I1010" s="41"/>
      <c r="J1010" s="42"/>
    </row>
    <row r="1011" ht="22.5" customHeight="1">
      <c r="A1011" s="39"/>
      <c r="B1011" s="29"/>
      <c r="C1011" s="16"/>
      <c r="D1011" s="41"/>
      <c r="E1011" s="41"/>
      <c r="F1011" s="30"/>
      <c r="G1011" s="31"/>
      <c r="H1011" s="31"/>
      <c r="I1011" s="41"/>
      <c r="J1011" s="42"/>
    </row>
    <row r="1012" ht="22.5" customHeight="1">
      <c r="A1012" s="39"/>
      <c r="B1012" s="29"/>
      <c r="C1012" s="16"/>
      <c r="D1012" s="41"/>
      <c r="E1012" s="41"/>
      <c r="F1012" s="30"/>
      <c r="G1012" s="31"/>
      <c r="H1012" s="31"/>
      <c r="I1012" s="41"/>
      <c r="J1012" s="42"/>
    </row>
    <row r="1013" ht="22.5" customHeight="1">
      <c r="A1013" s="39"/>
      <c r="B1013" s="29"/>
      <c r="C1013" s="16"/>
      <c r="D1013" s="41"/>
      <c r="E1013" s="41"/>
      <c r="F1013" s="30"/>
      <c r="G1013" s="31"/>
      <c r="H1013" s="31"/>
      <c r="I1013" s="41"/>
      <c r="J1013" s="42"/>
    </row>
    <row r="1014" ht="22.5" customHeight="1">
      <c r="A1014" s="39"/>
      <c r="B1014" s="29"/>
      <c r="C1014" s="16"/>
      <c r="D1014" s="41"/>
      <c r="E1014" s="41"/>
      <c r="F1014" s="30"/>
      <c r="G1014" s="31"/>
      <c r="H1014" s="31"/>
      <c r="I1014" s="41"/>
      <c r="J1014" s="42"/>
    </row>
    <row r="1015" ht="22.5" customHeight="1">
      <c r="A1015" s="39"/>
      <c r="B1015" s="29"/>
      <c r="C1015" s="16"/>
      <c r="D1015" s="41"/>
      <c r="E1015" s="41"/>
      <c r="F1015" s="30"/>
      <c r="G1015" s="31"/>
      <c r="H1015" s="31"/>
      <c r="I1015" s="41"/>
      <c r="J1015" s="42"/>
    </row>
    <row r="1016" ht="22.5" customHeight="1">
      <c r="A1016" s="39"/>
      <c r="B1016" s="29"/>
      <c r="C1016" s="16"/>
      <c r="D1016" s="41"/>
      <c r="E1016" s="41"/>
      <c r="F1016" s="30"/>
      <c r="G1016" s="31"/>
      <c r="H1016" s="31"/>
      <c r="I1016" s="41"/>
      <c r="J1016" s="42"/>
    </row>
    <row r="1017" ht="22.5" customHeight="1">
      <c r="A1017" s="39"/>
      <c r="B1017" s="29"/>
      <c r="C1017" s="16"/>
      <c r="D1017" s="41"/>
      <c r="E1017" s="41"/>
      <c r="F1017" s="30"/>
      <c r="G1017" s="31"/>
      <c r="H1017" s="31"/>
      <c r="I1017" s="41"/>
      <c r="J1017" s="42"/>
    </row>
    <row r="1018" ht="22.5" customHeight="1">
      <c r="A1018" s="39"/>
      <c r="B1018" s="29"/>
      <c r="C1018" s="16"/>
      <c r="D1018" s="41"/>
      <c r="E1018" s="41"/>
      <c r="F1018" s="30"/>
      <c r="G1018" s="31"/>
      <c r="H1018" s="31"/>
      <c r="I1018" s="41"/>
      <c r="J1018" s="42"/>
    </row>
    <row r="1019" ht="22.5" customHeight="1">
      <c r="A1019" s="39"/>
      <c r="B1019" s="29"/>
      <c r="C1019" s="16"/>
      <c r="D1019" s="41"/>
      <c r="E1019" s="41"/>
      <c r="F1019" s="30"/>
      <c r="G1019" s="31"/>
      <c r="H1019" s="31"/>
      <c r="I1019" s="41"/>
      <c r="J1019" s="42"/>
    </row>
    <row r="1020" ht="22.5" customHeight="1">
      <c r="A1020" s="39"/>
      <c r="B1020" s="29"/>
      <c r="C1020" s="16"/>
      <c r="D1020" s="41"/>
      <c r="E1020" s="41"/>
      <c r="F1020" s="30"/>
      <c r="G1020" s="31"/>
      <c r="H1020" s="31"/>
      <c r="I1020" s="41"/>
      <c r="J1020" s="42"/>
    </row>
    <row r="1021" ht="22.5" customHeight="1">
      <c r="A1021" s="39"/>
      <c r="B1021" s="29"/>
      <c r="C1021" s="16"/>
      <c r="D1021" s="41"/>
      <c r="E1021" s="41"/>
      <c r="F1021" s="30"/>
      <c r="G1021" s="31"/>
      <c r="H1021" s="31"/>
      <c r="I1021" s="41"/>
      <c r="J1021" s="42"/>
    </row>
    <row r="1022" ht="22.5" customHeight="1">
      <c r="A1022" s="39"/>
      <c r="B1022" s="29"/>
      <c r="C1022" s="16"/>
      <c r="D1022" s="41"/>
      <c r="E1022" s="41"/>
      <c r="F1022" s="30"/>
      <c r="G1022" s="31"/>
      <c r="H1022" s="31"/>
      <c r="I1022" s="41"/>
      <c r="J1022" s="42"/>
    </row>
    <row r="1023" ht="22.5" customHeight="1">
      <c r="A1023" s="39"/>
      <c r="B1023" s="29"/>
      <c r="C1023" s="16"/>
      <c r="D1023" s="41"/>
      <c r="E1023" s="41"/>
      <c r="F1023" s="30"/>
      <c r="G1023" s="31"/>
      <c r="H1023" s="31"/>
      <c r="I1023" s="41"/>
      <c r="J1023" s="42"/>
    </row>
    <row r="1024" ht="22.5" customHeight="1">
      <c r="A1024" s="39"/>
      <c r="B1024" s="29"/>
      <c r="C1024" s="16"/>
      <c r="D1024" s="41"/>
      <c r="E1024" s="41"/>
      <c r="F1024" s="30"/>
      <c r="G1024" s="31"/>
      <c r="H1024" s="31"/>
      <c r="I1024" s="41"/>
      <c r="J1024" s="42"/>
    </row>
    <row r="1025" ht="22.5" customHeight="1">
      <c r="A1025" s="39"/>
      <c r="B1025" s="29"/>
      <c r="C1025" s="16"/>
      <c r="D1025" s="41"/>
      <c r="E1025" s="41"/>
      <c r="F1025" s="30"/>
      <c r="G1025" s="31"/>
      <c r="H1025" s="31"/>
      <c r="I1025" s="41"/>
      <c r="J1025" s="42"/>
    </row>
    <row r="1026" ht="22.5" customHeight="1">
      <c r="A1026" s="39"/>
      <c r="B1026" s="29"/>
      <c r="C1026" s="16"/>
      <c r="D1026" s="41"/>
      <c r="E1026" s="41"/>
      <c r="F1026" s="30"/>
      <c r="G1026" s="31"/>
      <c r="H1026" s="31"/>
      <c r="I1026" s="41"/>
      <c r="J1026" s="42"/>
    </row>
    <row r="1027" ht="22.5" customHeight="1">
      <c r="A1027" s="39"/>
      <c r="B1027" s="29"/>
      <c r="C1027" s="16"/>
      <c r="D1027" s="41"/>
      <c r="E1027" s="41"/>
      <c r="F1027" s="30"/>
      <c r="G1027" s="31"/>
      <c r="H1027" s="31"/>
      <c r="I1027" s="41"/>
      <c r="J1027" s="42"/>
    </row>
    <row r="1028" ht="22.5" customHeight="1">
      <c r="A1028" s="39"/>
      <c r="B1028" s="29"/>
      <c r="C1028" s="16"/>
      <c r="D1028" s="41"/>
      <c r="E1028" s="41"/>
      <c r="F1028" s="30"/>
      <c r="G1028" s="31"/>
      <c r="H1028" s="31"/>
      <c r="I1028" s="41"/>
      <c r="J1028" s="42"/>
    </row>
    <row r="1029" ht="22.5" customHeight="1">
      <c r="A1029" s="39"/>
      <c r="B1029" s="29"/>
      <c r="C1029" s="16"/>
      <c r="D1029" s="41"/>
      <c r="E1029" s="41"/>
      <c r="F1029" s="30"/>
      <c r="G1029" s="31"/>
      <c r="H1029" s="31"/>
      <c r="I1029" s="41"/>
      <c r="J1029" s="42"/>
    </row>
    <row r="1030" ht="22.5" customHeight="1">
      <c r="A1030" s="39"/>
      <c r="B1030" s="29"/>
      <c r="C1030" s="16"/>
      <c r="D1030" s="41"/>
      <c r="E1030" s="41"/>
      <c r="F1030" s="30"/>
      <c r="G1030" s="31"/>
      <c r="H1030" s="31"/>
      <c r="I1030" s="41"/>
      <c r="J1030" s="42"/>
    </row>
    <row r="1031" ht="22.5" customHeight="1">
      <c r="A1031" s="39"/>
      <c r="B1031" s="29"/>
      <c r="C1031" s="16"/>
      <c r="D1031" s="41"/>
      <c r="E1031" s="41"/>
      <c r="F1031" s="30"/>
      <c r="G1031" s="31"/>
      <c r="H1031" s="31"/>
      <c r="I1031" s="41"/>
      <c r="J1031" s="42"/>
    </row>
    <row r="1032" ht="22.5" customHeight="1">
      <c r="A1032" s="39"/>
      <c r="B1032" s="29"/>
      <c r="C1032" s="16"/>
      <c r="D1032" s="41"/>
      <c r="E1032" s="41"/>
      <c r="F1032" s="30"/>
      <c r="G1032" s="31"/>
      <c r="H1032" s="31"/>
      <c r="I1032" s="41"/>
      <c r="J1032" s="42"/>
    </row>
    <row r="1033" ht="22.5" customHeight="1">
      <c r="A1033" s="39"/>
      <c r="B1033" s="29"/>
      <c r="C1033" s="16"/>
      <c r="D1033" s="41"/>
      <c r="E1033" s="41"/>
      <c r="F1033" s="30"/>
      <c r="G1033" s="31"/>
      <c r="H1033" s="31"/>
      <c r="I1033" s="41"/>
      <c r="J1033" s="42"/>
    </row>
    <row r="1034" ht="22.5" customHeight="1">
      <c r="A1034" s="39"/>
      <c r="B1034" s="29"/>
      <c r="C1034" s="16"/>
      <c r="D1034" s="41"/>
      <c r="E1034" s="41"/>
      <c r="F1034" s="30"/>
      <c r="G1034" s="31"/>
      <c r="H1034" s="31"/>
      <c r="I1034" s="41"/>
      <c r="J1034" s="42"/>
    </row>
    <row r="1035" ht="22.5" customHeight="1">
      <c r="A1035" s="39"/>
      <c r="B1035" s="29"/>
      <c r="C1035" s="16"/>
      <c r="D1035" s="41"/>
      <c r="E1035" s="41"/>
      <c r="F1035" s="30"/>
      <c r="G1035" s="31"/>
      <c r="H1035" s="31"/>
      <c r="I1035" s="41"/>
      <c r="J1035" s="42"/>
    </row>
    <row r="1036" ht="22.5" customHeight="1">
      <c r="A1036" s="39"/>
      <c r="B1036" s="29"/>
      <c r="C1036" s="16"/>
      <c r="D1036" s="41"/>
      <c r="E1036" s="41"/>
      <c r="F1036" s="30"/>
      <c r="G1036" s="31"/>
      <c r="H1036" s="31"/>
      <c r="I1036" s="41"/>
      <c r="J1036" s="42"/>
    </row>
    <row r="1037" ht="22.5" customHeight="1">
      <c r="A1037" s="39"/>
      <c r="B1037" s="29"/>
      <c r="C1037" s="16"/>
      <c r="D1037" s="41"/>
      <c r="E1037" s="41"/>
      <c r="F1037" s="30"/>
      <c r="G1037" s="31"/>
      <c r="H1037" s="31"/>
      <c r="I1037" s="41"/>
      <c r="J1037" s="42"/>
    </row>
    <row r="1038" ht="22.5" customHeight="1">
      <c r="A1038" s="39"/>
      <c r="B1038" s="29"/>
      <c r="C1038" s="16"/>
      <c r="D1038" s="41"/>
      <c r="E1038" s="41"/>
      <c r="F1038" s="30"/>
      <c r="G1038" s="31"/>
      <c r="H1038" s="31"/>
      <c r="I1038" s="41"/>
      <c r="J1038" s="42"/>
    </row>
    <row r="1039" ht="22.5" customHeight="1">
      <c r="A1039" s="39"/>
      <c r="B1039" s="29"/>
      <c r="C1039" s="16"/>
      <c r="D1039" s="41"/>
      <c r="E1039" s="41"/>
      <c r="F1039" s="30"/>
      <c r="G1039" s="31"/>
      <c r="H1039" s="31"/>
      <c r="I1039" s="41"/>
      <c r="J1039" s="42"/>
    </row>
    <row r="1040" ht="22.5" customHeight="1">
      <c r="A1040" s="39"/>
      <c r="B1040" s="29"/>
      <c r="C1040" s="16"/>
      <c r="D1040" s="41"/>
      <c r="E1040" s="41"/>
      <c r="F1040" s="30"/>
      <c r="G1040" s="31"/>
      <c r="H1040" s="31"/>
      <c r="I1040" s="41"/>
      <c r="J1040" s="42"/>
    </row>
    <row r="1041" ht="22.5" customHeight="1">
      <c r="A1041" s="39"/>
      <c r="B1041" s="29"/>
      <c r="C1041" s="16"/>
      <c r="D1041" s="41"/>
      <c r="E1041" s="41"/>
      <c r="F1041" s="30"/>
      <c r="G1041" s="31"/>
      <c r="H1041" s="31"/>
      <c r="I1041" s="41"/>
      <c r="J1041" s="42"/>
    </row>
    <row r="1042" ht="22.5" customHeight="1">
      <c r="A1042" s="39"/>
      <c r="B1042" s="29"/>
      <c r="C1042" s="16"/>
      <c r="D1042" s="41"/>
      <c r="E1042" s="41"/>
      <c r="F1042" s="30"/>
      <c r="G1042" s="31"/>
      <c r="H1042" s="31"/>
      <c r="I1042" s="41"/>
      <c r="J1042" s="42"/>
    </row>
    <row r="1043" ht="22.5" customHeight="1">
      <c r="A1043" s="39"/>
      <c r="B1043" s="29"/>
      <c r="C1043" s="16"/>
      <c r="D1043" s="41"/>
      <c r="E1043" s="41"/>
      <c r="F1043" s="30"/>
      <c r="G1043" s="31"/>
      <c r="H1043" s="31"/>
      <c r="I1043" s="41"/>
      <c r="J1043" s="42"/>
    </row>
    <row r="1044" ht="22.5" customHeight="1">
      <c r="A1044" s="39"/>
      <c r="B1044" s="29"/>
      <c r="C1044" s="16"/>
      <c r="D1044" s="41"/>
      <c r="E1044" s="41"/>
      <c r="F1044" s="30"/>
      <c r="G1044" s="31"/>
      <c r="H1044" s="31"/>
      <c r="I1044" s="41"/>
      <c r="J1044" s="42"/>
    </row>
    <row r="1045" ht="22.5" customHeight="1">
      <c r="A1045" s="39"/>
      <c r="B1045" s="29"/>
      <c r="C1045" s="16"/>
      <c r="D1045" s="41"/>
      <c r="E1045" s="41"/>
      <c r="F1045" s="30"/>
      <c r="G1045" s="31"/>
      <c r="H1045" s="31"/>
      <c r="I1045" s="41"/>
      <c r="J1045" s="42"/>
    </row>
    <row r="1046" ht="22.5" customHeight="1">
      <c r="A1046" s="39"/>
      <c r="B1046" s="29"/>
      <c r="C1046" s="16"/>
      <c r="D1046" s="41"/>
      <c r="E1046" s="41"/>
      <c r="F1046" s="30"/>
      <c r="G1046" s="31"/>
      <c r="H1046" s="31"/>
      <c r="I1046" s="41"/>
      <c r="J1046" s="42"/>
    </row>
    <row r="1047" ht="22.5" customHeight="1">
      <c r="A1047" s="39"/>
      <c r="B1047" s="29"/>
      <c r="C1047" s="16"/>
      <c r="D1047" s="41"/>
      <c r="E1047" s="41"/>
      <c r="F1047" s="30"/>
      <c r="G1047" s="31"/>
      <c r="H1047" s="31"/>
      <c r="I1047" s="41"/>
      <c r="J1047" s="42"/>
    </row>
    <row r="1048" ht="22.5" customHeight="1">
      <c r="A1048" s="39"/>
      <c r="B1048" s="29"/>
      <c r="C1048" s="16"/>
      <c r="D1048" s="41"/>
      <c r="E1048" s="41"/>
      <c r="F1048" s="30"/>
      <c r="G1048" s="31"/>
      <c r="H1048" s="31"/>
      <c r="I1048" s="41"/>
      <c r="J1048" s="42"/>
    </row>
    <row r="1049" ht="22.5" customHeight="1">
      <c r="A1049" s="39"/>
      <c r="B1049" s="29"/>
      <c r="C1049" s="16"/>
      <c r="D1049" s="41"/>
      <c r="E1049" s="41"/>
      <c r="F1049" s="30"/>
      <c r="G1049" s="31"/>
      <c r="H1049" s="31"/>
      <c r="I1049" s="41"/>
      <c r="J1049" s="42"/>
    </row>
    <row r="1050" ht="22.5" customHeight="1">
      <c r="A1050" s="39"/>
      <c r="B1050" s="29"/>
      <c r="C1050" s="16"/>
      <c r="D1050" s="41"/>
      <c r="E1050" s="41"/>
      <c r="F1050" s="30"/>
      <c r="G1050" s="31"/>
      <c r="H1050" s="31"/>
      <c r="I1050" s="41"/>
      <c r="J1050" s="42"/>
    </row>
    <row r="1051" ht="22.5" customHeight="1">
      <c r="A1051" s="39"/>
      <c r="B1051" s="29"/>
      <c r="C1051" s="16"/>
      <c r="D1051" s="41"/>
      <c r="E1051" s="41"/>
      <c r="F1051" s="30"/>
      <c r="G1051" s="31"/>
      <c r="H1051" s="31"/>
      <c r="I1051" s="41"/>
      <c r="J1051" s="42"/>
    </row>
    <row r="1052" ht="22.5" customHeight="1">
      <c r="A1052" s="39"/>
      <c r="B1052" s="29"/>
      <c r="C1052" s="16"/>
      <c r="D1052" s="41"/>
      <c r="E1052" s="41"/>
      <c r="F1052" s="30"/>
      <c r="G1052" s="31"/>
      <c r="H1052" s="31"/>
      <c r="I1052" s="41"/>
      <c r="J1052" s="42"/>
    </row>
    <row r="1053" ht="22.5" customHeight="1">
      <c r="A1053" s="39"/>
      <c r="B1053" s="29"/>
      <c r="C1053" s="16"/>
      <c r="D1053" s="41"/>
      <c r="E1053" s="41"/>
      <c r="F1053" s="30"/>
      <c r="G1053" s="31"/>
      <c r="H1053" s="31"/>
      <c r="I1053" s="41"/>
      <c r="J1053" s="42"/>
    </row>
    <row r="1054" ht="22.5" customHeight="1">
      <c r="A1054" s="39"/>
      <c r="B1054" s="29"/>
      <c r="C1054" s="16"/>
      <c r="D1054" s="41"/>
      <c r="E1054" s="41"/>
      <c r="F1054" s="30"/>
      <c r="G1054" s="31"/>
      <c r="H1054" s="31"/>
      <c r="I1054" s="41"/>
      <c r="J1054" s="42"/>
    </row>
    <row r="1055" ht="22.5" customHeight="1">
      <c r="A1055" s="39"/>
      <c r="B1055" s="29"/>
      <c r="C1055" s="16"/>
      <c r="D1055" s="41"/>
      <c r="E1055" s="41"/>
      <c r="F1055" s="30"/>
      <c r="G1055" s="31"/>
      <c r="H1055" s="31"/>
      <c r="I1055" s="41"/>
      <c r="J1055" s="42"/>
    </row>
    <row r="1056" ht="22.5" customHeight="1">
      <c r="A1056" s="39"/>
      <c r="B1056" s="29"/>
      <c r="C1056" s="16"/>
      <c r="D1056" s="41"/>
      <c r="E1056" s="41"/>
      <c r="F1056" s="30"/>
      <c r="G1056" s="31"/>
      <c r="H1056" s="31"/>
      <c r="I1056" s="41"/>
      <c r="J1056" s="42"/>
    </row>
    <row r="1057" ht="22.5" customHeight="1">
      <c r="A1057" s="39"/>
      <c r="B1057" s="29"/>
      <c r="C1057" s="16"/>
      <c r="D1057" s="41"/>
      <c r="E1057" s="41"/>
      <c r="F1057" s="30"/>
      <c r="G1057" s="31"/>
      <c r="H1057" s="31"/>
      <c r="I1057" s="41"/>
      <c r="J1057" s="42"/>
    </row>
    <row r="1058" ht="22.5" customHeight="1">
      <c r="A1058" s="39"/>
      <c r="B1058" s="29"/>
      <c r="C1058" s="16"/>
      <c r="D1058" s="41"/>
      <c r="E1058" s="41"/>
      <c r="F1058" s="30"/>
      <c r="G1058" s="31"/>
      <c r="H1058" s="31"/>
      <c r="I1058" s="41"/>
      <c r="J1058" s="42"/>
    </row>
    <row r="1059" ht="22.5" customHeight="1">
      <c r="A1059" s="39"/>
      <c r="B1059" s="29"/>
      <c r="C1059" s="16"/>
      <c r="D1059" s="41"/>
      <c r="E1059" s="41"/>
      <c r="F1059" s="30"/>
      <c r="G1059" s="31"/>
      <c r="H1059" s="31"/>
      <c r="I1059" s="41"/>
      <c r="J1059" s="42"/>
    </row>
    <row r="1060" ht="22.5" customHeight="1">
      <c r="A1060" s="39"/>
      <c r="B1060" s="29"/>
      <c r="C1060" s="16"/>
      <c r="D1060" s="41"/>
      <c r="E1060" s="41"/>
      <c r="F1060" s="30"/>
      <c r="G1060" s="31"/>
      <c r="H1060" s="31"/>
      <c r="I1060" s="41"/>
      <c r="J1060" s="42"/>
    </row>
    <row r="1061" ht="22.5" customHeight="1">
      <c r="A1061" s="39"/>
      <c r="B1061" s="29"/>
      <c r="C1061" s="16"/>
      <c r="D1061" s="41"/>
      <c r="E1061" s="41"/>
      <c r="F1061" s="30"/>
      <c r="G1061" s="31"/>
      <c r="H1061" s="31"/>
      <c r="I1061" s="41"/>
      <c r="J1061" s="42"/>
    </row>
    <row r="1062" ht="22.5" customHeight="1">
      <c r="A1062" s="39"/>
      <c r="B1062" s="29"/>
      <c r="C1062" s="16"/>
      <c r="D1062" s="41"/>
      <c r="E1062" s="41"/>
      <c r="F1062" s="30"/>
      <c r="G1062" s="31"/>
      <c r="H1062" s="31"/>
      <c r="I1062" s="41"/>
      <c r="J1062" s="42"/>
    </row>
    <row r="1063" ht="22.5" customHeight="1">
      <c r="A1063" s="39"/>
      <c r="B1063" s="29"/>
      <c r="C1063" s="16"/>
      <c r="D1063" s="41"/>
      <c r="E1063" s="41"/>
      <c r="F1063" s="30"/>
      <c r="G1063" s="31"/>
      <c r="H1063" s="31"/>
      <c r="I1063" s="41"/>
      <c r="J1063" s="42"/>
    </row>
    <row r="1064" ht="22.5" customHeight="1">
      <c r="A1064" s="39"/>
      <c r="B1064" s="29"/>
      <c r="C1064" s="16"/>
      <c r="D1064" s="41"/>
      <c r="E1064" s="41"/>
      <c r="F1064" s="30"/>
      <c r="G1064" s="31"/>
      <c r="H1064" s="31"/>
      <c r="I1064" s="41"/>
      <c r="J1064" s="42"/>
    </row>
    <row r="1065" ht="22.5" customHeight="1">
      <c r="A1065" s="39"/>
      <c r="B1065" s="29"/>
      <c r="C1065" s="16"/>
      <c r="D1065" s="41"/>
      <c r="E1065" s="41"/>
      <c r="F1065" s="30"/>
      <c r="G1065" s="31"/>
      <c r="H1065" s="31"/>
      <c r="I1065" s="41"/>
      <c r="J1065" s="42"/>
    </row>
    <row r="1066" ht="22.5" customHeight="1">
      <c r="A1066" s="39"/>
      <c r="B1066" s="29"/>
      <c r="C1066" s="16"/>
      <c r="D1066" s="41"/>
      <c r="E1066" s="41"/>
      <c r="F1066" s="30"/>
      <c r="G1066" s="31"/>
      <c r="H1066" s="31"/>
      <c r="I1066" s="41"/>
      <c r="J1066" s="42"/>
    </row>
    <row r="1067" ht="22.5" customHeight="1">
      <c r="A1067" s="39"/>
      <c r="B1067" s="29"/>
      <c r="C1067" s="16"/>
      <c r="D1067" s="41"/>
      <c r="E1067" s="41"/>
      <c r="F1067" s="30"/>
      <c r="G1067" s="31"/>
      <c r="H1067" s="31"/>
      <c r="I1067" s="41"/>
      <c r="J1067" s="42"/>
    </row>
    <row r="1068" ht="22.5" customHeight="1">
      <c r="A1068" s="39"/>
      <c r="B1068" s="29"/>
      <c r="C1068" s="16"/>
      <c r="D1068" s="41"/>
      <c r="E1068" s="41"/>
      <c r="F1068" s="30"/>
      <c r="G1068" s="31"/>
      <c r="H1068" s="31"/>
      <c r="I1068" s="41"/>
      <c r="J1068" s="42"/>
    </row>
    <row r="1069" ht="22.5" customHeight="1">
      <c r="A1069" s="39"/>
      <c r="B1069" s="29"/>
      <c r="C1069" s="16"/>
      <c r="D1069" s="41"/>
      <c r="E1069" s="41"/>
      <c r="F1069" s="30"/>
      <c r="G1069" s="31"/>
      <c r="H1069" s="31"/>
      <c r="I1069" s="41"/>
      <c r="J1069" s="42"/>
    </row>
    <row r="1070" ht="22.5" customHeight="1">
      <c r="A1070" s="39"/>
      <c r="B1070" s="29"/>
      <c r="C1070" s="16"/>
      <c r="D1070" s="41"/>
      <c r="E1070" s="41"/>
      <c r="F1070" s="30"/>
      <c r="G1070" s="31"/>
      <c r="H1070" s="31"/>
      <c r="I1070" s="41"/>
      <c r="J1070" s="42"/>
    </row>
    <row r="1071" ht="22.5" customHeight="1">
      <c r="A1071" s="39"/>
      <c r="B1071" s="29"/>
      <c r="C1071" s="16"/>
      <c r="D1071" s="41"/>
      <c r="E1071" s="41"/>
      <c r="F1071" s="30"/>
      <c r="G1071" s="31"/>
      <c r="H1071" s="31"/>
      <c r="I1071" s="41"/>
      <c r="J1071" s="42"/>
    </row>
    <row r="1072" ht="22.5" customHeight="1">
      <c r="A1072" s="39"/>
      <c r="B1072" s="29"/>
      <c r="C1072" s="16"/>
      <c r="D1072" s="41"/>
      <c r="E1072" s="41"/>
      <c r="F1072" s="30"/>
      <c r="G1072" s="31"/>
      <c r="H1072" s="31"/>
      <c r="I1072" s="41"/>
      <c r="J1072" s="42"/>
    </row>
    <row r="1073" ht="22.5" customHeight="1">
      <c r="A1073" s="39"/>
      <c r="B1073" s="29"/>
      <c r="C1073" s="16"/>
      <c r="D1073" s="41"/>
      <c r="E1073" s="41"/>
      <c r="F1073" s="30"/>
      <c r="G1073" s="31"/>
      <c r="H1073" s="31"/>
      <c r="I1073" s="41"/>
      <c r="J1073" s="42"/>
    </row>
    <row r="1074" ht="22.5" customHeight="1">
      <c r="A1074" s="39"/>
      <c r="B1074" s="29"/>
      <c r="C1074" s="16"/>
      <c r="D1074" s="41"/>
      <c r="E1074" s="41"/>
      <c r="F1074" s="30"/>
      <c r="G1074" s="31"/>
      <c r="H1074" s="31"/>
      <c r="I1074" s="41"/>
      <c r="J1074" s="42"/>
    </row>
    <row r="1075" ht="22.5" customHeight="1">
      <c r="A1075" s="39"/>
      <c r="B1075" s="29"/>
      <c r="C1075" s="16"/>
      <c r="D1075" s="41"/>
      <c r="E1075" s="41"/>
      <c r="F1075" s="30"/>
      <c r="G1075" s="31"/>
      <c r="H1075" s="31"/>
      <c r="I1075" s="41"/>
      <c r="J1075" s="42"/>
    </row>
    <row r="1076" ht="22.5" customHeight="1">
      <c r="A1076" s="39"/>
      <c r="B1076" s="29"/>
      <c r="C1076" s="16"/>
      <c r="D1076" s="41"/>
      <c r="E1076" s="41"/>
      <c r="F1076" s="30"/>
      <c r="G1076" s="31"/>
      <c r="H1076" s="31"/>
      <c r="I1076" s="41"/>
      <c r="J1076" s="42"/>
    </row>
    <row r="1077" ht="22.5" customHeight="1">
      <c r="A1077" s="39"/>
      <c r="B1077" s="29"/>
      <c r="C1077" s="16"/>
      <c r="D1077" s="41"/>
      <c r="E1077" s="41"/>
      <c r="F1077" s="30"/>
      <c r="G1077" s="31"/>
      <c r="H1077" s="31"/>
      <c r="I1077" s="41"/>
      <c r="J1077" s="42"/>
    </row>
  </sheetData>
  <mergeCells count="4">
    <mergeCell ref="J33:J35"/>
    <mergeCell ref="J36:J38"/>
    <mergeCell ref="J39:J41"/>
    <mergeCell ref="J42:J44"/>
  </mergeCells>
  <conditionalFormatting sqref="D1">
    <cfRule type="colorScale" priority="1">
      <colorScale>
        <cfvo type="min"/>
        <cfvo type="max"/>
        <color rgb="FFFFFFFF"/>
        <color rgb="FF57BB8A"/>
      </colorScale>
    </cfRule>
  </conditionalFormatting>
  <conditionalFormatting sqref="C84:E90 I84:I90">
    <cfRule type="notContainsBlanks" dxfId="5" priority="2">
      <formula>LEN(TRIM(C84))&gt;0</formula>
    </cfRule>
  </conditionalFormatting>
  <dataValidations>
    <dataValidation type="list" allowBlank="1" sqref="I2:I1077">
      <formula1>"8 DÍAS,15 DÍAS,30 DÍAS"</formula1>
    </dataValidation>
    <dataValidation type="list" allowBlank="1" sqref="D2:D1077">
      <formula1>#REF!</formula1>
    </dataValidation>
    <dataValidation type="custom" allowBlank="1" showDropDown="1" sqref="A2:A1077">
      <formula1>OR(NOT(ISERROR(DATEVALUE(A2))), AND(ISNUMBER(A2), LEFT(CELL("format", A2))="D"))</formula1>
    </dataValidation>
    <dataValidation type="custom" allowBlank="1" showDropDown="1" sqref="F2:F1077">
      <formula1>AND(ISNUMBER(F2),(NOT(OR(NOT(ISERROR(DATEVALUE(F2))), AND(ISNUMBER(F2), LEFT(CELL("format", F2))="D")))))</formula1>
    </dataValidation>
    <dataValidation type="list" allowBlank="1" sqref="E2:E1077">
      <formula1>#REF!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63"/>
    <col customWidth="1" min="2" max="2" width="16.0"/>
    <col customWidth="1" min="3" max="3" width="38.13"/>
    <col customWidth="1" min="4" max="4" width="44.13"/>
    <col customWidth="1" min="5" max="5" width="17.88"/>
  </cols>
  <sheetData>
    <row r="1" ht="22.5" customHeight="1">
      <c r="A1" s="46" t="s">
        <v>170</v>
      </c>
      <c r="B1" s="47" t="s">
        <v>171</v>
      </c>
      <c r="C1" s="48" t="s">
        <v>4</v>
      </c>
      <c r="D1" s="47" t="s">
        <v>172</v>
      </c>
      <c r="E1" s="10" t="s">
        <v>173</v>
      </c>
    </row>
    <row r="2" ht="22.5" customHeight="1">
      <c r="A2" s="49">
        <v>46062.0</v>
      </c>
      <c r="B2" s="16">
        <v>3.0</v>
      </c>
      <c r="C2" s="50" t="s">
        <v>174</v>
      </c>
      <c r="D2" s="16"/>
      <c r="E2" s="50" t="s">
        <v>175</v>
      </c>
    </row>
    <row r="3" ht="22.5" customHeight="1">
      <c r="A3" s="49">
        <v>46062.0</v>
      </c>
      <c r="B3" s="16">
        <v>16.0</v>
      </c>
      <c r="C3" s="50" t="s">
        <v>176</v>
      </c>
      <c r="D3" s="16"/>
      <c r="E3" s="50" t="s">
        <v>175</v>
      </c>
    </row>
    <row r="4" ht="22.5" customHeight="1">
      <c r="A4" s="49">
        <v>46062.0</v>
      </c>
      <c r="B4" s="16">
        <v>16.0</v>
      </c>
      <c r="C4" s="50" t="s">
        <v>177</v>
      </c>
      <c r="D4" s="16"/>
      <c r="E4" s="50" t="s">
        <v>175</v>
      </c>
    </row>
    <row r="5" ht="22.5" customHeight="1">
      <c r="A5" s="49">
        <v>46062.0</v>
      </c>
      <c r="B5" s="16">
        <v>15.0</v>
      </c>
      <c r="C5" s="50" t="s">
        <v>178</v>
      </c>
      <c r="D5" s="16"/>
      <c r="E5" s="50" t="s">
        <v>175</v>
      </c>
    </row>
    <row r="6" ht="22.5" customHeight="1">
      <c r="A6" s="49">
        <v>46062.0</v>
      </c>
      <c r="B6" s="16">
        <v>6.0</v>
      </c>
      <c r="C6" s="50" t="s">
        <v>179</v>
      </c>
      <c r="D6" s="16"/>
      <c r="E6" s="50" t="s">
        <v>175</v>
      </c>
    </row>
    <row r="7" ht="22.5" customHeight="1">
      <c r="A7" s="49">
        <v>46062.0</v>
      </c>
      <c r="B7" s="16">
        <v>5.0</v>
      </c>
      <c r="C7" s="50" t="s">
        <v>180</v>
      </c>
      <c r="D7" s="16"/>
      <c r="E7" s="50" t="s">
        <v>175</v>
      </c>
    </row>
    <row r="8" ht="22.5" customHeight="1">
      <c r="A8" s="49">
        <v>46062.0</v>
      </c>
      <c r="B8" s="16">
        <v>1.0</v>
      </c>
      <c r="C8" s="50" t="s">
        <v>181</v>
      </c>
      <c r="D8" s="16"/>
      <c r="E8" s="50" t="s">
        <v>175</v>
      </c>
    </row>
    <row r="9" ht="22.5" customHeight="1">
      <c r="A9" s="49">
        <v>46062.0</v>
      </c>
      <c r="B9" s="16">
        <v>1.0</v>
      </c>
      <c r="C9" s="50" t="s">
        <v>182</v>
      </c>
      <c r="D9" s="16"/>
      <c r="E9" s="50" t="s">
        <v>175</v>
      </c>
    </row>
    <row r="10" ht="22.5" customHeight="1">
      <c r="A10" s="49">
        <v>46062.0</v>
      </c>
      <c r="B10" s="16">
        <v>21.0</v>
      </c>
      <c r="C10" s="50" t="s">
        <v>183</v>
      </c>
      <c r="D10" s="16"/>
      <c r="E10" s="50" t="s">
        <v>175</v>
      </c>
    </row>
    <row r="11" ht="22.5" customHeight="1">
      <c r="A11" s="49">
        <v>46062.0</v>
      </c>
      <c r="B11" s="16">
        <v>9.0</v>
      </c>
      <c r="C11" s="50" t="s">
        <v>184</v>
      </c>
      <c r="D11" s="16"/>
      <c r="E11" s="50" t="s">
        <v>175</v>
      </c>
    </row>
    <row r="12" ht="22.5" customHeight="1">
      <c r="A12" s="49">
        <v>46062.0</v>
      </c>
      <c r="B12" s="16">
        <v>6.0</v>
      </c>
      <c r="C12" s="50" t="s">
        <v>185</v>
      </c>
      <c r="D12" s="16"/>
      <c r="E12" s="50" t="s">
        <v>175</v>
      </c>
    </row>
    <row r="13" ht="22.5" customHeight="1">
      <c r="A13" s="49">
        <v>46063.0</v>
      </c>
      <c r="B13" s="16">
        <v>10.0</v>
      </c>
      <c r="C13" s="50" t="s">
        <v>174</v>
      </c>
      <c r="D13" s="16"/>
      <c r="E13" s="50" t="s">
        <v>175</v>
      </c>
    </row>
    <row r="14" ht="22.5" customHeight="1">
      <c r="A14" s="49">
        <v>46063.0</v>
      </c>
      <c r="B14" s="16">
        <v>8.0</v>
      </c>
      <c r="C14" s="50" t="s">
        <v>176</v>
      </c>
      <c r="D14" s="16"/>
      <c r="E14" s="50" t="s">
        <v>175</v>
      </c>
    </row>
    <row r="15" ht="22.5" customHeight="1">
      <c r="A15" s="49">
        <v>46063.0</v>
      </c>
      <c r="B15" s="16">
        <v>19.0</v>
      </c>
      <c r="C15" s="50" t="s">
        <v>177</v>
      </c>
      <c r="D15" s="16"/>
      <c r="E15" s="50" t="s">
        <v>175</v>
      </c>
    </row>
    <row r="16" ht="22.5" customHeight="1">
      <c r="A16" s="49">
        <v>46063.0</v>
      </c>
      <c r="B16" s="16">
        <v>18.0</v>
      </c>
      <c r="C16" s="50" t="s">
        <v>178</v>
      </c>
      <c r="D16" s="16"/>
      <c r="E16" s="50" t="s">
        <v>175</v>
      </c>
    </row>
    <row r="17" ht="22.5" customHeight="1">
      <c r="A17" s="49">
        <v>46063.0</v>
      </c>
      <c r="B17" s="16">
        <v>5.0</v>
      </c>
      <c r="C17" s="50" t="s">
        <v>179</v>
      </c>
      <c r="D17" s="16"/>
      <c r="E17" s="50" t="s">
        <v>175</v>
      </c>
    </row>
    <row r="18" ht="22.5" customHeight="1">
      <c r="A18" s="49">
        <v>46063.0</v>
      </c>
      <c r="B18" s="16">
        <v>5.0</v>
      </c>
      <c r="C18" s="50" t="s">
        <v>180</v>
      </c>
      <c r="D18" s="16"/>
      <c r="E18" s="50" t="s">
        <v>175</v>
      </c>
    </row>
    <row r="19" ht="22.5" customHeight="1">
      <c r="A19" s="49">
        <v>46063.0</v>
      </c>
      <c r="B19" s="16">
        <v>1.0</v>
      </c>
      <c r="C19" s="50" t="s">
        <v>181</v>
      </c>
      <c r="D19" s="16"/>
      <c r="E19" s="50" t="s">
        <v>175</v>
      </c>
    </row>
    <row r="20" ht="22.5" customHeight="1">
      <c r="A20" s="49">
        <v>46063.0</v>
      </c>
      <c r="B20" s="16">
        <v>21.0</v>
      </c>
      <c r="C20" s="50" t="s">
        <v>183</v>
      </c>
      <c r="D20" s="16"/>
      <c r="E20" s="50" t="s">
        <v>175</v>
      </c>
    </row>
    <row r="21" ht="22.5" customHeight="1">
      <c r="A21" s="49">
        <v>46063.0</v>
      </c>
      <c r="B21" s="16">
        <v>9.0</v>
      </c>
      <c r="C21" s="50" t="s">
        <v>184</v>
      </c>
      <c r="D21" s="16"/>
      <c r="E21" s="50" t="s">
        <v>175</v>
      </c>
    </row>
    <row r="22" ht="22.5" customHeight="1">
      <c r="A22" s="49">
        <v>46063.0</v>
      </c>
      <c r="B22" s="16">
        <v>6.0</v>
      </c>
      <c r="C22" s="50" t="s">
        <v>185</v>
      </c>
      <c r="D22" s="16"/>
      <c r="E22" s="50" t="s">
        <v>175</v>
      </c>
    </row>
    <row r="23" ht="22.5" customHeight="1">
      <c r="A23" s="49">
        <v>46063.0</v>
      </c>
      <c r="B23" s="16">
        <v>2.0</v>
      </c>
      <c r="C23" s="50" t="s">
        <v>186</v>
      </c>
      <c r="D23" s="16"/>
      <c r="E23" s="50" t="s">
        <v>175</v>
      </c>
    </row>
    <row r="24" ht="22.5" customHeight="1">
      <c r="A24" s="49">
        <v>46063.0</v>
      </c>
      <c r="B24" s="16">
        <v>2.0</v>
      </c>
      <c r="C24" s="50" t="s">
        <v>187</v>
      </c>
      <c r="D24" s="16"/>
      <c r="E24" s="50" t="s">
        <v>175</v>
      </c>
    </row>
    <row r="25" ht="22.5" customHeight="1">
      <c r="A25" s="49">
        <v>46064.0</v>
      </c>
      <c r="B25" s="16">
        <v>20.0</v>
      </c>
      <c r="C25" s="50" t="s">
        <v>178</v>
      </c>
      <c r="D25" s="16"/>
      <c r="E25" s="50" t="s">
        <v>175</v>
      </c>
    </row>
    <row r="26" ht="22.5" customHeight="1">
      <c r="A26" s="49">
        <v>46064.0</v>
      </c>
      <c r="B26" s="16">
        <v>19.0</v>
      </c>
      <c r="C26" s="50" t="s">
        <v>177</v>
      </c>
      <c r="D26" s="16"/>
      <c r="E26" s="50" t="s">
        <v>175</v>
      </c>
    </row>
    <row r="27" ht="22.5" customHeight="1">
      <c r="A27" s="49">
        <v>46064.0</v>
      </c>
      <c r="B27" s="16">
        <v>17.0</v>
      </c>
      <c r="C27" s="50" t="s">
        <v>176</v>
      </c>
      <c r="D27" s="16"/>
      <c r="E27" s="50" t="s">
        <v>175</v>
      </c>
    </row>
    <row r="28" ht="22.5" customHeight="1">
      <c r="A28" s="49">
        <v>46064.0</v>
      </c>
      <c r="B28" s="16">
        <v>10.0</v>
      </c>
      <c r="C28" s="50" t="s">
        <v>174</v>
      </c>
      <c r="D28" s="16"/>
      <c r="E28" s="50" t="s">
        <v>175</v>
      </c>
    </row>
    <row r="29" ht="22.5" customHeight="1">
      <c r="A29" s="49">
        <v>46064.0</v>
      </c>
      <c r="B29" s="16">
        <v>5.0</v>
      </c>
      <c r="C29" s="50" t="s">
        <v>180</v>
      </c>
      <c r="D29" s="16"/>
      <c r="E29" s="50" t="s">
        <v>175</v>
      </c>
    </row>
    <row r="30" ht="22.5" customHeight="1">
      <c r="A30" s="49">
        <v>46064.0</v>
      </c>
      <c r="B30" s="16">
        <v>2.0</v>
      </c>
      <c r="C30" s="50" t="s">
        <v>179</v>
      </c>
      <c r="D30" s="16"/>
      <c r="E30" s="50" t="s">
        <v>175</v>
      </c>
    </row>
    <row r="31" ht="22.5" customHeight="1">
      <c r="A31" s="49">
        <v>46064.0</v>
      </c>
      <c r="B31" s="16">
        <v>1.0</v>
      </c>
      <c r="C31" s="50" t="s">
        <v>181</v>
      </c>
      <c r="D31" s="16"/>
      <c r="E31" s="50" t="s">
        <v>175</v>
      </c>
    </row>
    <row r="32" ht="22.5" customHeight="1">
      <c r="A32" s="49">
        <v>46064.0</v>
      </c>
      <c r="B32" s="16">
        <v>2.0</v>
      </c>
      <c r="C32" s="50" t="s">
        <v>187</v>
      </c>
      <c r="D32" s="16"/>
      <c r="E32" s="50" t="s">
        <v>175</v>
      </c>
    </row>
    <row r="33" ht="22.5" customHeight="1">
      <c r="A33" s="49">
        <v>46064.0</v>
      </c>
      <c r="B33" s="16">
        <v>1.0</v>
      </c>
      <c r="C33" s="50" t="s">
        <v>186</v>
      </c>
      <c r="D33" s="16"/>
      <c r="E33" s="50" t="s">
        <v>175</v>
      </c>
    </row>
    <row r="34" ht="22.5" customHeight="1">
      <c r="A34" s="49">
        <v>46065.0</v>
      </c>
      <c r="B34" s="16">
        <v>16.0</v>
      </c>
      <c r="C34" s="50" t="s">
        <v>178</v>
      </c>
      <c r="D34" s="16"/>
      <c r="E34" s="50" t="s">
        <v>175</v>
      </c>
    </row>
    <row r="35" ht="22.5" customHeight="1">
      <c r="A35" s="49">
        <v>46065.0</v>
      </c>
      <c r="B35" s="16">
        <v>22.0</v>
      </c>
      <c r="C35" s="50" t="s">
        <v>177</v>
      </c>
      <c r="D35" s="16"/>
      <c r="E35" s="50" t="s">
        <v>175</v>
      </c>
    </row>
    <row r="36" ht="22.5" customHeight="1">
      <c r="A36" s="49">
        <v>46065.0</v>
      </c>
      <c r="B36" s="16">
        <v>16.0</v>
      </c>
      <c r="C36" s="50" t="s">
        <v>176</v>
      </c>
      <c r="D36" s="16"/>
      <c r="E36" s="50" t="s">
        <v>175</v>
      </c>
    </row>
    <row r="37" ht="22.5" customHeight="1">
      <c r="A37" s="49">
        <v>46065.0</v>
      </c>
      <c r="B37" s="16">
        <v>8.0</v>
      </c>
      <c r="C37" s="50" t="s">
        <v>174</v>
      </c>
      <c r="D37" s="51"/>
      <c r="E37" s="50" t="s">
        <v>175</v>
      </c>
    </row>
    <row r="38" ht="22.5" customHeight="1">
      <c r="A38" s="49">
        <v>46065.0</v>
      </c>
      <c r="B38" s="16">
        <v>5.0</v>
      </c>
      <c r="C38" s="50" t="s">
        <v>180</v>
      </c>
      <c r="D38" s="51"/>
      <c r="E38" s="50" t="s">
        <v>175</v>
      </c>
    </row>
    <row r="39" ht="22.5" customHeight="1">
      <c r="A39" s="49">
        <v>46065.0</v>
      </c>
      <c r="B39" s="16">
        <v>6.0</v>
      </c>
      <c r="C39" s="50" t="s">
        <v>179</v>
      </c>
      <c r="D39" s="51"/>
      <c r="E39" s="50" t="s">
        <v>175</v>
      </c>
    </row>
    <row r="40" ht="22.5" customHeight="1">
      <c r="A40" s="49">
        <v>46065.0</v>
      </c>
      <c r="B40" s="16">
        <v>1.0</v>
      </c>
      <c r="C40" s="50" t="s">
        <v>181</v>
      </c>
      <c r="D40" s="51"/>
      <c r="E40" s="50" t="s">
        <v>175</v>
      </c>
    </row>
    <row r="41" ht="22.5" customHeight="1">
      <c r="A41" s="49">
        <v>46065.0</v>
      </c>
      <c r="B41" s="16">
        <v>2.0</v>
      </c>
      <c r="C41" s="50" t="s">
        <v>187</v>
      </c>
      <c r="D41" s="51"/>
      <c r="E41" s="50" t="s">
        <v>175</v>
      </c>
    </row>
    <row r="42" ht="22.5" customHeight="1">
      <c r="A42" s="49">
        <v>46065.0</v>
      </c>
      <c r="B42" s="16">
        <v>3.0</v>
      </c>
      <c r="C42" s="50" t="s">
        <v>186</v>
      </c>
      <c r="D42" s="51"/>
      <c r="E42" s="50" t="s">
        <v>175</v>
      </c>
    </row>
    <row r="43" ht="22.5" customHeight="1">
      <c r="A43" s="49">
        <v>46065.0</v>
      </c>
      <c r="B43" s="16">
        <v>1.0</v>
      </c>
      <c r="C43" s="50" t="s">
        <v>182</v>
      </c>
      <c r="D43" s="51"/>
      <c r="E43" s="50" t="s">
        <v>175</v>
      </c>
    </row>
    <row r="44" ht="22.5" customHeight="1">
      <c r="A44" s="49">
        <v>46065.0</v>
      </c>
      <c r="B44" s="16">
        <v>21.0</v>
      </c>
      <c r="C44" s="50" t="s">
        <v>183</v>
      </c>
      <c r="D44" s="51"/>
      <c r="E44" s="50" t="s">
        <v>175</v>
      </c>
    </row>
    <row r="45" ht="22.5" customHeight="1">
      <c r="A45" s="49">
        <v>46065.0</v>
      </c>
      <c r="B45" s="16">
        <v>9.0</v>
      </c>
      <c r="C45" s="50" t="s">
        <v>184</v>
      </c>
      <c r="D45" s="16"/>
      <c r="E45" s="50" t="s">
        <v>175</v>
      </c>
    </row>
    <row r="46" ht="22.5" customHeight="1">
      <c r="A46" s="49">
        <v>46065.0</v>
      </c>
      <c r="B46" s="16">
        <v>6.0</v>
      </c>
      <c r="C46" s="50" t="s">
        <v>185</v>
      </c>
      <c r="D46" s="16"/>
      <c r="E46" s="50" t="s">
        <v>175</v>
      </c>
    </row>
    <row r="47" ht="22.5" customHeight="1">
      <c r="A47" s="49">
        <v>46066.0</v>
      </c>
      <c r="B47" s="16">
        <v>15.0</v>
      </c>
      <c r="C47" s="50" t="s">
        <v>178</v>
      </c>
      <c r="D47" s="16"/>
      <c r="E47" s="50" t="s">
        <v>175</v>
      </c>
    </row>
    <row r="48" ht="22.5" customHeight="1">
      <c r="A48" s="49">
        <v>46066.0</v>
      </c>
      <c r="B48" s="16">
        <v>29.0</v>
      </c>
      <c r="C48" s="50" t="s">
        <v>177</v>
      </c>
      <c r="D48" s="16"/>
      <c r="E48" s="50" t="s">
        <v>175</v>
      </c>
    </row>
    <row r="49" ht="22.5" customHeight="1">
      <c r="A49" s="49">
        <v>46066.0</v>
      </c>
      <c r="B49" s="16">
        <v>18.0</v>
      </c>
      <c r="C49" s="50" t="s">
        <v>176</v>
      </c>
      <c r="D49" s="16"/>
      <c r="E49" s="50" t="s">
        <v>175</v>
      </c>
    </row>
    <row r="50" ht="22.5" customHeight="1">
      <c r="A50" s="49">
        <v>46066.0</v>
      </c>
      <c r="B50" s="16">
        <v>7.0</v>
      </c>
      <c r="C50" s="50" t="s">
        <v>174</v>
      </c>
      <c r="D50" s="52"/>
      <c r="E50" s="50" t="s">
        <v>175</v>
      </c>
    </row>
    <row r="51" ht="22.5" customHeight="1">
      <c r="A51" s="49">
        <v>46066.0</v>
      </c>
      <c r="B51" s="16">
        <v>3.0</v>
      </c>
      <c r="C51" s="50" t="s">
        <v>180</v>
      </c>
      <c r="D51" s="53"/>
      <c r="E51" s="50" t="s">
        <v>175</v>
      </c>
    </row>
    <row r="52" ht="22.5" customHeight="1">
      <c r="A52" s="49">
        <v>46066.0</v>
      </c>
      <c r="B52" s="16">
        <v>4.0</v>
      </c>
      <c r="C52" s="50" t="s">
        <v>179</v>
      </c>
      <c r="D52" s="53"/>
      <c r="E52" s="50" t="s">
        <v>175</v>
      </c>
    </row>
    <row r="53" ht="22.5" customHeight="1">
      <c r="A53" s="49">
        <v>46066.0</v>
      </c>
      <c r="B53" s="16">
        <v>1.0</v>
      </c>
      <c r="C53" s="50" t="s">
        <v>188</v>
      </c>
      <c r="D53" s="53"/>
      <c r="E53" s="50" t="s">
        <v>175</v>
      </c>
    </row>
    <row r="54" ht="22.5" customHeight="1">
      <c r="A54" s="49">
        <v>46066.0</v>
      </c>
      <c r="B54" s="16">
        <v>3.0</v>
      </c>
      <c r="C54" s="50" t="s">
        <v>186</v>
      </c>
      <c r="D54" s="53"/>
      <c r="E54" s="50" t="s">
        <v>175</v>
      </c>
    </row>
    <row r="55" ht="22.5" customHeight="1">
      <c r="A55" s="49">
        <v>46066.0</v>
      </c>
      <c r="B55" s="16">
        <v>6.0</v>
      </c>
      <c r="C55" s="50" t="s">
        <v>182</v>
      </c>
      <c r="D55" s="53"/>
      <c r="E55" s="50" t="s">
        <v>175</v>
      </c>
    </row>
    <row r="56" ht="22.5" customHeight="1">
      <c r="A56" s="49">
        <v>46066.0</v>
      </c>
      <c r="B56" s="16">
        <v>1.0</v>
      </c>
      <c r="C56" s="50" t="s">
        <v>181</v>
      </c>
      <c r="D56" s="53"/>
      <c r="E56" s="50" t="s">
        <v>175</v>
      </c>
    </row>
    <row r="57" ht="22.5" customHeight="1">
      <c r="A57" s="49">
        <v>46066.0</v>
      </c>
      <c r="B57" s="16">
        <v>2.0</v>
      </c>
      <c r="C57" s="50" t="s">
        <v>187</v>
      </c>
      <c r="D57" s="53"/>
      <c r="E57" s="50" t="s">
        <v>175</v>
      </c>
    </row>
    <row r="58" ht="22.5" customHeight="1">
      <c r="A58" s="49">
        <v>46067.0</v>
      </c>
      <c r="B58" s="16">
        <v>24.0</v>
      </c>
      <c r="C58" s="50" t="s">
        <v>178</v>
      </c>
      <c r="D58" s="53"/>
      <c r="E58" s="50" t="s">
        <v>175</v>
      </c>
    </row>
    <row r="59" ht="22.5" customHeight="1">
      <c r="A59" s="49">
        <v>46067.0</v>
      </c>
      <c r="B59" s="16">
        <v>26.0</v>
      </c>
      <c r="C59" s="50" t="s">
        <v>177</v>
      </c>
      <c r="D59" s="53"/>
      <c r="E59" s="50" t="s">
        <v>175</v>
      </c>
    </row>
    <row r="60" ht="22.5" customHeight="1">
      <c r="A60" s="49">
        <v>46067.0</v>
      </c>
      <c r="B60" s="16">
        <v>16.0</v>
      </c>
      <c r="C60" s="50" t="s">
        <v>176</v>
      </c>
      <c r="D60" s="53"/>
      <c r="E60" s="50" t="s">
        <v>175</v>
      </c>
    </row>
    <row r="61" ht="22.5" customHeight="1">
      <c r="A61" s="49">
        <v>46067.0</v>
      </c>
      <c r="B61" s="16">
        <v>5.0</v>
      </c>
      <c r="C61" s="50" t="s">
        <v>174</v>
      </c>
      <c r="D61" s="53"/>
      <c r="E61" s="50" t="s">
        <v>175</v>
      </c>
    </row>
    <row r="62" ht="22.5" customHeight="1">
      <c r="A62" s="49">
        <v>46067.0</v>
      </c>
      <c r="B62" s="16">
        <v>2.0</v>
      </c>
      <c r="C62" s="50" t="s">
        <v>180</v>
      </c>
      <c r="D62" s="53"/>
      <c r="E62" s="50" t="s">
        <v>175</v>
      </c>
    </row>
    <row r="63" ht="22.5" customHeight="1">
      <c r="A63" s="49">
        <v>46067.0</v>
      </c>
      <c r="B63" s="16">
        <v>1.0</v>
      </c>
      <c r="C63" s="50" t="s">
        <v>181</v>
      </c>
      <c r="D63" s="52"/>
      <c r="E63" s="50" t="s">
        <v>175</v>
      </c>
    </row>
    <row r="64" ht="22.5" customHeight="1">
      <c r="A64" s="49">
        <v>46067.0</v>
      </c>
      <c r="B64" s="16">
        <v>1.0</v>
      </c>
      <c r="C64" s="50" t="s">
        <v>187</v>
      </c>
      <c r="D64" s="53"/>
      <c r="E64" s="50" t="s">
        <v>175</v>
      </c>
    </row>
    <row r="65" ht="22.5" customHeight="1">
      <c r="A65" s="49">
        <v>46067.0</v>
      </c>
      <c r="B65" s="16">
        <v>1.0</v>
      </c>
      <c r="C65" s="50" t="s">
        <v>189</v>
      </c>
      <c r="D65" s="54"/>
      <c r="E65" s="50" t="s">
        <v>175</v>
      </c>
    </row>
    <row r="66" ht="22.5" customHeight="1">
      <c r="A66" s="49">
        <v>46067.0</v>
      </c>
      <c r="B66" s="16">
        <v>1.0</v>
      </c>
      <c r="C66" s="50" t="s">
        <v>186</v>
      </c>
      <c r="D66" s="54"/>
      <c r="E66" s="50" t="s">
        <v>175</v>
      </c>
    </row>
    <row r="67" ht="22.5" customHeight="1">
      <c r="A67" s="49">
        <v>46069.0</v>
      </c>
      <c r="B67" s="16">
        <v>9.0</v>
      </c>
      <c r="C67" s="50" t="s">
        <v>178</v>
      </c>
      <c r="D67" s="54"/>
      <c r="E67" s="50" t="s">
        <v>175</v>
      </c>
    </row>
    <row r="68" ht="22.5" customHeight="1">
      <c r="A68" s="49">
        <v>46069.0</v>
      </c>
      <c r="B68" s="16">
        <v>12.0</v>
      </c>
      <c r="C68" s="50" t="s">
        <v>177</v>
      </c>
      <c r="D68" s="54"/>
      <c r="E68" s="50" t="s">
        <v>175</v>
      </c>
    </row>
    <row r="69" ht="22.5" customHeight="1">
      <c r="A69" s="49">
        <v>46069.0</v>
      </c>
      <c r="B69" s="16">
        <v>13.0</v>
      </c>
      <c r="C69" s="50" t="s">
        <v>176</v>
      </c>
      <c r="D69" s="54"/>
      <c r="E69" s="50" t="s">
        <v>175</v>
      </c>
    </row>
    <row r="70" ht="22.5" customHeight="1">
      <c r="A70" s="49">
        <v>46069.0</v>
      </c>
      <c r="B70" s="16">
        <v>3.0</v>
      </c>
      <c r="C70" s="50" t="s">
        <v>174</v>
      </c>
      <c r="D70" s="54"/>
      <c r="E70" s="50" t="s">
        <v>175</v>
      </c>
    </row>
    <row r="71" ht="22.5" customHeight="1">
      <c r="A71" s="49">
        <v>46069.0</v>
      </c>
      <c r="B71" s="16">
        <v>2.0</v>
      </c>
      <c r="C71" s="50" t="s">
        <v>180</v>
      </c>
      <c r="D71" s="54"/>
      <c r="E71" s="50" t="s">
        <v>175</v>
      </c>
    </row>
    <row r="72" ht="22.5" customHeight="1">
      <c r="A72" s="49">
        <v>46069.0</v>
      </c>
      <c r="B72" s="16">
        <v>3.0</v>
      </c>
      <c r="C72" s="50" t="s">
        <v>179</v>
      </c>
      <c r="D72" s="54"/>
      <c r="E72" s="50" t="s">
        <v>175</v>
      </c>
    </row>
    <row r="73" ht="22.5" customHeight="1">
      <c r="A73" s="49">
        <v>46069.0</v>
      </c>
      <c r="B73" s="16">
        <v>4.0</v>
      </c>
      <c r="C73" s="50" t="s">
        <v>186</v>
      </c>
      <c r="D73" s="54"/>
      <c r="E73" s="50" t="s">
        <v>175</v>
      </c>
    </row>
    <row r="74" ht="22.5" customHeight="1">
      <c r="A74" s="49">
        <v>46070.0</v>
      </c>
      <c r="B74" s="16">
        <v>14.0</v>
      </c>
      <c r="C74" s="50" t="s">
        <v>178</v>
      </c>
      <c r="D74" s="54"/>
      <c r="E74" s="50" t="s">
        <v>175</v>
      </c>
    </row>
    <row r="75" ht="22.5" customHeight="1">
      <c r="A75" s="49">
        <v>46070.0</v>
      </c>
      <c r="B75" s="16">
        <v>16.0</v>
      </c>
      <c r="C75" s="50" t="s">
        <v>177</v>
      </c>
      <c r="D75" s="54"/>
      <c r="E75" s="50" t="s">
        <v>175</v>
      </c>
    </row>
    <row r="76" ht="22.5" customHeight="1">
      <c r="A76" s="49">
        <v>46070.0</v>
      </c>
      <c r="B76" s="16">
        <v>14.0</v>
      </c>
      <c r="C76" s="50" t="s">
        <v>176</v>
      </c>
      <c r="D76" s="54"/>
      <c r="E76" s="50" t="s">
        <v>175</v>
      </c>
    </row>
    <row r="77" ht="22.5" customHeight="1">
      <c r="A77" s="49">
        <v>46070.0</v>
      </c>
      <c r="B77" s="16">
        <v>1.0</v>
      </c>
      <c r="C77" s="50" t="s">
        <v>174</v>
      </c>
      <c r="D77" s="54"/>
      <c r="E77" s="50" t="s">
        <v>175</v>
      </c>
    </row>
    <row r="78" ht="22.5" customHeight="1">
      <c r="A78" s="49">
        <v>46070.0</v>
      </c>
      <c r="B78" s="16">
        <v>2.0</v>
      </c>
      <c r="C78" s="50" t="s">
        <v>179</v>
      </c>
      <c r="D78" s="54"/>
      <c r="E78" s="50" t="s">
        <v>175</v>
      </c>
    </row>
    <row r="79" ht="22.5" customHeight="1">
      <c r="A79" s="49">
        <v>46070.0</v>
      </c>
      <c r="B79" s="16">
        <v>2.0</v>
      </c>
      <c r="C79" s="50" t="s">
        <v>180</v>
      </c>
      <c r="D79" s="54"/>
      <c r="E79" s="50" t="s">
        <v>175</v>
      </c>
    </row>
    <row r="80" ht="22.5" customHeight="1">
      <c r="A80" s="49">
        <v>46070.0</v>
      </c>
      <c r="B80" s="16">
        <v>3.0</v>
      </c>
      <c r="C80" s="50" t="s">
        <v>186</v>
      </c>
      <c r="D80" s="54"/>
      <c r="E80" s="50" t="s">
        <v>175</v>
      </c>
    </row>
    <row r="81" ht="22.5" customHeight="1">
      <c r="A81" s="49">
        <v>46070.0</v>
      </c>
      <c r="B81" s="16">
        <v>24.0</v>
      </c>
      <c r="C81" s="50" t="s">
        <v>183</v>
      </c>
      <c r="D81" s="54"/>
      <c r="E81" s="50" t="s">
        <v>175</v>
      </c>
    </row>
    <row r="82" ht="22.5" customHeight="1">
      <c r="A82" s="49">
        <v>46070.0</v>
      </c>
      <c r="B82" s="16">
        <v>12.0</v>
      </c>
      <c r="C82" s="50" t="s">
        <v>184</v>
      </c>
      <c r="D82" s="54"/>
      <c r="E82" s="50" t="s">
        <v>175</v>
      </c>
    </row>
    <row r="83" ht="22.5" customHeight="1">
      <c r="A83" s="49">
        <v>46070.0</v>
      </c>
      <c r="B83" s="16">
        <v>9.0</v>
      </c>
      <c r="C83" s="50" t="s">
        <v>185</v>
      </c>
      <c r="D83" s="54"/>
      <c r="E83" s="50" t="s">
        <v>175</v>
      </c>
    </row>
    <row r="84" ht="22.5" customHeight="1">
      <c r="A84" s="49">
        <v>46071.0</v>
      </c>
      <c r="B84" s="16">
        <v>19.0</v>
      </c>
      <c r="C84" s="50" t="s">
        <v>178</v>
      </c>
      <c r="D84" s="54"/>
      <c r="E84" s="50" t="s">
        <v>175</v>
      </c>
    </row>
    <row r="85" ht="22.5" customHeight="1">
      <c r="A85" s="49">
        <v>46071.0</v>
      </c>
      <c r="B85" s="16">
        <v>23.0</v>
      </c>
      <c r="C85" s="50" t="s">
        <v>177</v>
      </c>
      <c r="D85" s="54"/>
      <c r="E85" s="50" t="s">
        <v>175</v>
      </c>
    </row>
    <row r="86" ht="22.5" customHeight="1">
      <c r="A86" s="49">
        <v>46071.0</v>
      </c>
      <c r="B86" s="16">
        <v>19.0</v>
      </c>
      <c r="C86" s="50" t="s">
        <v>176</v>
      </c>
      <c r="D86" s="54"/>
      <c r="E86" s="50" t="s">
        <v>175</v>
      </c>
    </row>
    <row r="87" ht="22.5" customHeight="1">
      <c r="A87" s="49">
        <v>46071.0</v>
      </c>
      <c r="B87" s="16">
        <v>3.0</v>
      </c>
      <c r="C87" s="50" t="s">
        <v>186</v>
      </c>
      <c r="D87" s="54"/>
      <c r="E87" s="50" t="s">
        <v>175</v>
      </c>
    </row>
    <row r="88" ht="22.5" customHeight="1">
      <c r="A88" s="49">
        <v>46071.0</v>
      </c>
      <c r="B88" s="16">
        <v>1.0</v>
      </c>
      <c r="C88" s="50" t="s">
        <v>179</v>
      </c>
      <c r="D88" s="54"/>
      <c r="E88" s="50" t="s">
        <v>175</v>
      </c>
    </row>
    <row r="89" ht="22.5" customHeight="1">
      <c r="A89" s="49">
        <v>46071.0</v>
      </c>
      <c r="B89" s="16">
        <v>2.0</v>
      </c>
      <c r="C89" s="50" t="s">
        <v>181</v>
      </c>
      <c r="D89" s="54"/>
      <c r="E89" s="50" t="s">
        <v>175</v>
      </c>
    </row>
    <row r="90" ht="22.5" customHeight="1">
      <c r="A90" s="49">
        <v>46071.0</v>
      </c>
      <c r="B90" s="16">
        <v>2.0</v>
      </c>
      <c r="C90" s="50" t="s">
        <v>182</v>
      </c>
      <c r="D90" s="54"/>
      <c r="E90" s="50" t="s">
        <v>175</v>
      </c>
    </row>
    <row r="91" ht="22.5" customHeight="1">
      <c r="A91" s="49">
        <v>46071.0</v>
      </c>
      <c r="B91" s="16">
        <v>7.0</v>
      </c>
      <c r="C91" s="50" t="s">
        <v>174</v>
      </c>
      <c r="D91" s="54"/>
      <c r="E91" s="50" t="s">
        <v>175</v>
      </c>
    </row>
    <row r="92" ht="22.5" customHeight="1">
      <c r="A92" s="49">
        <v>46072.0</v>
      </c>
      <c r="B92" s="16">
        <v>20.0</v>
      </c>
      <c r="C92" s="50" t="s">
        <v>178</v>
      </c>
      <c r="D92" s="54"/>
      <c r="E92" s="50" t="s">
        <v>175</v>
      </c>
    </row>
    <row r="93" ht="22.5" customHeight="1">
      <c r="A93" s="49">
        <v>46072.0</v>
      </c>
      <c r="B93" s="16">
        <v>24.0</v>
      </c>
      <c r="C93" s="50" t="s">
        <v>177</v>
      </c>
      <c r="D93" s="54"/>
      <c r="E93" s="50" t="s">
        <v>175</v>
      </c>
    </row>
    <row r="94" ht="22.5" customHeight="1">
      <c r="A94" s="49">
        <v>46072.0</v>
      </c>
      <c r="B94" s="16">
        <v>33.0</v>
      </c>
      <c r="C94" s="50" t="s">
        <v>176</v>
      </c>
      <c r="D94" s="54"/>
      <c r="E94" s="50" t="s">
        <v>175</v>
      </c>
    </row>
    <row r="95" ht="22.5" customHeight="1">
      <c r="A95" s="49">
        <v>46072.0</v>
      </c>
      <c r="B95" s="16">
        <v>6.0</v>
      </c>
      <c r="C95" s="50" t="s">
        <v>174</v>
      </c>
      <c r="D95" s="54"/>
      <c r="E95" s="50" t="s">
        <v>175</v>
      </c>
    </row>
    <row r="96" ht="22.5" customHeight="1">
      <c r="A96" s="49">
        <v>46072.0</v>
      </c>
      <c r="B96" s="16">
        <v>1.0</v>
      </c>
      <c r="C96" s="50" t="s">
        <v>180</v>
      </c>
      <c r="D96" s="54"/>
      <c r="E96" s="50" t="s">
        <v>175</v>
      </c>
    </row>
    <row r="97" ht="22.5" customHeight="1">
      <c r="A97" s="49">
        <v>46072.0</v>
      </c>
      <c r="B97" s="16">
        <v>4.0</v>
      </c>
      <c r="C97" s="50" t="s">
        <v>179</v>
      </c>
      <c r="D97" s="54"/>
      <c r="E97" s="50" t="s">
        <v>175</v>
      </c>
    </row>
    <row r="98" ht="22.5" customHeight="1">
      <c r="A98" s="49">
        <v>46072.0</v>
      </c>
      <c r="B98" s="16">
        <v>1.0</v>
      </c>
      <c r="C98" s="50" t="s">
        <v>186</v>
      </c>
      <c r="D98" s="54"/>
      <c r="E98" s="50" t="s">
        <v>175</v>
      </c>
    </row>
    <row r="99" ht="22.5" customHeight="1">
      <c r="A99" s="49">
        <v>46072.0</v>
      </c>
      <c r="B99" s="16">
        <v>7.0</v>
      </c>
      <c r="C99" s="50" t="s">
        <v>182</v>
      </c>
      <c r="D99" s="54"/>
      <c r="E99" s="50" t="s">
        <v>175</v>
      </c>
    </row>
    <row r="100" ht="22.5" customHeight="1">
      <c r="A100" s="49">
        <v>46072.0</v>
      </c>
      <c r="B100" s="55">
        <v>24.0</v>
      </c>
      <c r="C100" s="56" t="s">
        <v>183</v>
      </c>
      <c r="D100" s="54"/>
      <c r="E100" s="50" t="s">
        <v>175</v>
      </c>
    </row>
    <row r="101" ht="22.5" customHeight="1">
      <c r="A101" s="49">
        <v>46072.0</v>
      </c>
      <c r="B101" s="55">
        <v>12.0</v>
      </c>
      <c r="C101" s="56" t="s">
        <v>184</v>
      </c>
      <c r="D101" s="54"/>
      <c r="E101" s="50" t="s">
        <v>175</v>
      </c>
    </row>
    <row r="102" ht="22.5" customHeight="1">
      <c r="A102" s="49">
        <v>46072.0</v>
      </c>
      <c r="B102" s="55">
        <v>9.0</v>
      </c>
      <c r="C102" s="56" t="s">
        <v>185</v>
      </c>
      <c r="D102" s="54"/>
      <c r="E102" s="50" t="s">
        <v>175</v>
      </c>
    </row>
    <row r="103" ht="22.5" customHeight="1">
      <c r="A103" s="49">
        <v>46073.0</v>
      </c>
      <c r="B103" s="16">
        <v>14.0</v>
      </c>
      <c r="C103" s="50" t="s">
        <v>178</v>
      </c>
      <c r="D103" s="54"/>
      <c r="E103" s="50" t="s">
        <v>175</v>
      </c>
    </row>
    <row r="104" ht="22.5" customHeight="1">
      <c r="A104" s="49">
        <v>46073.0</v>
      </c>
      <c r="B104" s="16">
        <v>20.0</v>
      </c>
      <c r="C104" s="50" t="s">
        <v>177</v>
      </c>
      <c r="D104" s="54"/>
      <c r="E104" s="50" t="s">
        <v>175</v>
      </c>
    </row>
    <row r="105" ht="22.5" customHeight="1">
      <c r="A105" s="49">
        <v>46073.0</v>
      </c>
      <c r="B105" s="16">
        <v>28.0</v>
      </c>
      <c r="C105" s="50" t="s">
        <v>176</v>
      </c>
      <c r="D105" s="54"/>
      <c r="E105" s="50" t="s">
        <v>175</v>
      </c>
    </row>
    <row r="106" ht="22.5" customHeight="1">
      <c r="A106" s="49">
        <v>46073.0</v>
      </c>
      <c r="B106" s="16">
        <v>4.0</v>
      </c>
      <c r="C106" s="50" t="s">
        <v>174</v>
      </c>
      <c r="D106" s="54"/>
      <c r="E106" s="50" t="s">
        <v>175</v>
      </c>
    </row>
    <row r="107" ht="22.5" customHeight="1">
      <c r="A107" s="49">
        <v>46073.0</v>
      </c>
      <c r="B107" s="16">
        <v>1.0</v>
      </c>
      <c r="C107" s="50" t="s">
        <v>190</v>
      </c>
      <c r="D107" s="54"/>
      <c r="E107" s="50" t="s">
        <v>175</v>
      </c>
    </row>
    <row r="108" ht="22.5" customHeight="1">
      <c r="A108" s="49">
        <v>46073.0</v>
      </c>
      <c r="B108" s="16">
        <v>4.0</v>
      </c>
      <c r="C108" s="50" t="s">
        <v>179</v>
      </c>
      <c r="D108" s="54"/>
      <c r="E108" s="50" t="s">
        <v>175</v>
      </c>
    </row>
    <row r="109" ht="22.5" customHeight="1">
      <c r="A109" s="49">
        <v>46073.0</v>
      </c>
      <c r="B109" s="16">
        <v>1.0</v>
      </c>
      <c r="C109" s="50" t="s">
        <v>182</v>
      </c>
      <c r="D109" s="54"/>
      <c r="E109" s="50" t="s">
        <v>175</v>
      </c>
    </row>
    <row r="110" ht="22.5" customHeight="1">
      <c r="A110" s="49">
        <v>46074.0</v>
      </c>
      <c r="B110" s="16">
        <v>28.0</v>
      </c>
      <c r="C110" s="50" t="s">
        <v>178</v>
      </c>
      <c r="D110" s="54"/>
      <c r="E110" s="50" t="s">
        <v>175</v>
      </c>
    </row>
    <row r="111" ht="22.5" customHeight="1">
      <c r="A111" s="49">
        <v>46074.0</v>
      </c>
      <c r="B111" s="16">
        <v>28.0</v>
      </c>
      <c r="C111" s="50" t="s">
        <v>177</v>
      </c>
      <c r="D111" s="54"/>
      <c r="E111" s="50" t="s">
        <v>175</v>
      </c>
    </row>
    <row r="112" ht="22.5" customHeight="1">
      <c r="A112" s="49">
        <v>46074.0</v>
      </c>
      <c r="B112" s="16">
        <v>22.0</v>
      </c>
      <c r="C112" s="50" t="s">
        <v>176</v>
      </c>
      <c r="D112" s="54"/>
      <c r="E112" s="50" t="s">
        <v>175</v>
      </c>
    </row>
    <row r="113" ht="22.5" customHeight="1">
      <c r="A113" s="49">
        <v>46074.0</v>
      </c>
      <c r="B113" s="16">
        <v>2.0</v>
      </c>
      <c r="C113" s="50" t="s">
        <v>174</v>
      </c>
      <c r="D113" s="54"/>
      <c r="E113" s="50" t="s">
        <v>175</v>
      </c>
    </row>
    <row r="114" ht="22.5" customHeight="1">
      <c r="A114" s="49">
        <v>46074.0</v>
      </c>
      <c r="B114" s="16">
        <v>1.0</v>
      </c>
      <c r="C114" s="50" t="s">
        <v>189</v>
      </c>
      <c r="D114" s="54"/>
      <c r="E114" s="50" t="s">
        <v>175</v>
      </c>
    </row>
    <row r="115" ht="22.5" customHeight="1">
      <c r="A115" s="49">
        <v>46074.0</v>
      </c>
      <c r="B115" s="16">
        <v>1.0</v>
      </c>
      <c r="C115" s="50" t="s">
        <v>179</v>
      </c>
      <c r="D115" s="54"/>
      <c r="E115" s="50" t="s">
        <v>175</v>
      </c>
    </row>
    <row r="116" ht="22.5" customHeight="1">
      <c r="A116" s="49">
        <v>46076.0</v>
      </c>
      <c r="B116" s="16">
        <v>16.0</v>
      </c>
      <c r="C116" s="50" t="s">
        <v>178</v>
      </c>
      <c r="D116" s="54"/>
      <c r="E116" s="50" t="s">
        <v>175</v>
      </c>
    </row>
    <row r="117" ht="22.5" customHeight="1">
      <c r="A117" s="49">
        <v>46076.0</v>
      </c>
      <c r="B117" s="16">
        <v>14.0</v>
      </c>
      <c r="C117" s="50" t="s">
        <v>177</v>
      </c>
      <c r="D117" s="54"/>
      <c r="E117" s="50" t="s">
        <v>175</v>
      </c>
    </row>
    <row r="118" ht="22.5" customHeight="1">
      <c r="A118" s="49">
        <v>46076.0</v>
      </c>
      <c r="B118" s="16">
        <v>19.0</v>
      </c>
      <c r="C118" s="50" t="s">
        <v>176</v>
      </c>
      <c r="D118" s="54"/>
      <c r="E118" s="50" t="s">
        <v>175</v>
      </c>
    </row>
    <row r="119" ht="22.5" customHeight="1">
      <c r="A119" s="49">
        <v>46076.0</v>
      </c>
      <c r="B119" s="16">
        <v>12.0</v>
      </c>
      <c r="C119" s="50" t="s">
        <v>174</v>
      </c>
      <c r="D119" s="54"/>
      <c r="E119" s="50" t="s">
        <v>175</v>
      </c>
    </row>
    <row r="120" ht="22.5" customHeight="1">
      <c r="A120" s="49">
        <v>46076.0</v>
      </c>
      <c r="B120" s="16">
        <v>1.0</v>
      </c>
      <c r="C120" s="50" t="s">
        <v>191</v>
      </c>
      <c r="D120" s="54"/>
      <c r="E120" s="50" t="s">
        <v>175</v>
      </c>
    </row>
    <row r="121" ht="22.5" customHeight="1">
      <c r="A121" s="49">
        <v>46076.0</v>
      </c>
      <c r="B121" s="16">
        <v>1.0</v>
      </c>
      <c r="C121" s="50" t="s">
        <v>179</v>
      </c>
      <c r="D121" s="54"/>
      <c r="E121" s="50" t="s">
        <v>175</v>
      </c>
    </row>
    <row r="122" ht="22.5" customHeight="1">
      <c r="A122" s="49">
        <v>46076.0</v>
      </c>
      <c r="B122" s="16">
        <v>3.0</v>
      </c>
      <c r="C122" s="50" t="s">
        <v>192</v>
      </c>
      <c r="D122" s="54"/>
      <c r="E122" s="50" t="s">
        <v>175</v>
      </c>
    </row>
    <row r="123" ht="22.5" customHeight="1">
      <c r="A123" s="49">
        <v>46076.0</v>
      </c>
      <c r="B123" s="16">
        <v>3.0</v>
      </c>
      <c r="C123" s="50" t="s">
        <v>186</v>
      </c>
      <c r="D123" s="54"/>
      <c r="E123" s="50" t="s">
        <v>175</v>
      </c>
    </row>
    <row r="124" ht="22.5" customHeight="1">
      <c r="A124" s="49">
        <v>46076.0</v>
      </c>
      <c r="B124" s="16">
        <v>2.0</v>
      </c>
      <c r="C124" s="50" t="s">
        <v>187</v>
      </c>
      <c r="D124" s="54"/>
      <c r="E124" s="50" t="s">
        <v>175</v>
      </c>
    </row>
    <row r="125" ht="22.5" customHeight="1">
      <c r="A125" s="49">
        <v>46077.0</v>
      </c>
      <c r="B125" s="16">
        <v>21.0</v>
      </c>
      <c r="C125" s="50" t="s">
        <v>178</v>
      </c>
      <c r="D125" s="54"/>
      <c r="E125" s="50" t="s">
        <v>175</v>
      </c>
    </row>
    <row r="126" ht="22.5" customHeight="1">
      <c r="A126" s="49">
        <v>46077.0</v>
      </c>
      <c r="B126" s="16">
        <v>19.0</v>
      </c>
      <c r="C126" s="50" t="s">
        <v>177</v>
      </c>
      <c r="D126" s="54"/>
      <c r="E126" s="50" t="s">
        <v>175</v>
      </c>
    </row>
    <row r="127" ht="22.5" customHeight="1">
      <c r="A127" s="49">
        <v>46077.0</v>
      </c>
      <c r="B127" s="16">
        <v>9.0</v>
      </c>
      <c r="C127" s="50" t="s">
        <v>176</v>
      </c>
      <c r="D127" s="54"/>
      <c r="E127" s="50" t="s">
        <v>175</v>
      </c>
    </row>
    <row r="128" ht="22.5" customHeight="1">
      <c r="A128" s="49">
        <v>46077.0</v>
      </c>
      <c r="B128" s="16">
        <v>2.0</v>
      </c>
      <c r="C128" s="50" t="s">
        <v>187</v>
      </c>
      <c r="D128" s="54"/>
      <c r="E128" s="50" t="s">
        <v>175</v>
      </c>
    </row>
    <row r="129" ht="22.5" customHeight="1">
      <c r="A129" s="49">
        <v>46077.0</v>
      </c>
      <c r="B129" s="16">
        <v>3.0</v>
      </c>
      <c r="C129" s="50" t="s">
        <v>192</v>
      </c>
      <c r="D129" s="54"/>
      <c r="E129" s="50" t="s">
        <v>175</v>
      </c>
    </row>
    <row r="130" ht="22.5" customHeight="1">
      <c r="A130" s="49">
        <v>46077.0</v>
      </c>
      <c r="B130" s="16">
        <v>3.0</v>
      </c>
      <c r="C130" s="50" t="s">
        <v>186</v>
      </c>
      <c r="D130" s="54"/>
      <c r="E130" s="50" t="s">
        <v>175</v>
      </c>
    </row>
    <row r="131" ht="22.5" customHeight="1">
      <c r="A131" s="49">
        <v>46077.0</v>
      </c>
      <c r="B131" s="16">
        <v>1.0</v>
      </c>
      <c r="C131" s="50" t="s">
        <v>179</v>
      </c>
      <c r="D131" s="54"/>
      <c r="E131" s="50" t="s">
        <v>175</v>
      </c>
    </row>
    <row r="132" ht="22.5" customHeight="1">
      <c r="A132" s="49">
        <v>46077.0</v>
      </c>
      <c r="B132" s="16">
        <v>11.0</v>
      </c>
      <c r="C132" s="50" t="s">
        <v>174</v>
      </c>
      <c r="D132" s="54"/>
      <c r="E132" s="50" t="s">
        <v>175</v>
      </c>
    </row>
    <row r="133" ht="22.5" customHeight="1">
      <c r="A133" s="49">
        <v>46077.0</v>
      </c>
      <c r="B133" s="16">
        <v>1.0</v>
      </c>
      <c r="C133" s="50" t="s">
        <v>180</v>
      </c>
      <c r="D133" s="54"/>
      <c r="E133" s="50" t="s">
        <v>175</v>
      </c>
    </row>
    <row r="134" ht="22.5" customHeight="1">
      <c r="A134" s="49">
        <v>46077.0</v>
      </c>
      <c r="B134" s="16">
        <v>18.0</v>
      </c>
      <c r="C134" s="50" t="s">
        <v>183</v>
      </c>
      <c r="D134" s="54"/>
      <c r="E134" s="50" t="s">
        <v>175</v>
      </c>
    </row>
    <row r="135" ht="22.5" customHeight="1">
      <c r="A135" s="49">
        <v>46077.0</v>
      </c>
      <c r="B135" s="16">
        <v>12.0</v>
      </c>
      <c r="C135" s="50" t="s">
        <v>184</v>
      </c>
      <c r="D135" s="54"/>
      <c r="E135" s="50" t="s">
        <v>175</v>
      </c>
    </row>
    <row r="136" ht="22.5" customHeight="1">
      <c r="A136" s="49">
        <v>46078.0</v>
      </c>
      <c r="B136" s="16">
        <v>22.0</v>
      </c>
      <c r="C136" s="50" t="s">
        <v>178</v>
      </c>
      <c r="D136" s="54"/>
      <c r="E136" s="50" t="s">
        <v>175</v>
      </c>
    </row>
    <row r="137" ht="22.5" customHeight="1">
      <c r="A137" s="49">
        <v>46078.0</v>
      </c>
      <c r="B137" s="16">
        <v>23.0</v>
      </c>
      <c r="C137" s="50" t="s">
        <v>177</v>
      </c>
      <c r="D137" s="54"/>
      <c r="E137" s="50" t="s">
        <v>175</v>
      </c>
    </row>
    <row r="138" ht="22.5" customHeight="1">
      <c r="A138" s="49">
        <v>46078.0</v>
      </c>
      <c r="B138" s="16">
        <v>16.0</v>
      </c>
      <c r="C138" s="50" t="s">
        <v>176</v>
      </c>
      <c r="D138" s="54"/>
      <c r="E138" s="50" t="s">
        <v>175</v>
      </c>
    </row>
    <row r="139" ht="22.5" customHeight="1">
      <c r="A139" s="49">
        <v>46078.0</v>
      </c>
      <c r="B139" s="16">
        <v>7.0</v>
      </c>
      <c r="C139" s="50" t="s">
        <v>174</v>
      </c>
      <c r="D139" s="54"/>
      <c r="E139" s="50" t="s">
        <v>175</v>
      </c>
    </row>
    <row r="140" ht="22.5" customHeight="1">
      <c r="A140" s="49">
        <v>46078.0</v>
      </c>
      <c r="B140" s="16">
        <v>2.0</v>
      </c>
      <c r="C140" s="50" t="s">
        <v>187</v>
      </c>
      <c r="D140" s="54"/>
      <c r="E140" s="50" t="s">
        <v>175</v>
      </c>
    </row>
    <row r="141" ht="22.5" customHeight="1">
      <c r="A141" s="49">
        <v>46078.0</v>
      </c>
      <c r="B141" s="16">
        <v>3.0</v>
      </c>
      <c r="C141" s="50" t="s">
        <v>192</v>
      </c>
      <c r="D141" s="54"/>
      <c r="E141" s="50" t="s">
        <v>175</v>
      </c>
    </row>
    <row r="142" ht="22.5" customHeight="1">
      <c r="A142" s="49">
        <v>46078.0</v>
      </c>
      <c r="B142" s="16">
        <v>3.0</v>
      </c>
      <c r="C142" s="50" t="s">
        <v>186</v>
      </c>
      <c r="D142" s="54"/>
      <c r="E142" s="50" t="s">
        <v>175</v>
      </c>
    </row>
    <row r="143" ht="22.5" customHeight="1">
      <c r="A143" s="49">
        <v>46078.0</v>
      </c>
      <c r="B143" s="16">
        <v>1.0</v>
      </c>
      <c r="C143" s="50" t="s">
        <v>179</v>
      </c>
      <c r="D143" s="54"/>
      <c r="E143" s="50" t="s">
        <v>175</v>
      </c>
    </row>
    <row r="144" ht="22.5" customHeight="1">
      <c r="A144" s="49">
        <v>46078.0</v>
      </c>
      <c r="B144" s="16">
        <v>2.0</v>
      </c>
      <c r="C144" s="50" t="s">
        <v>181</v>
      </c>
      <c r="D144" s="54"/>
      <c r="E144" s="50" t="s">
        <v>175</v>
      </c>
    </row>
    <row r="145" ht="22.5" customHeight="1">
      <c r="A145" s="49">
        <v>46078.0</v>
      </c>
      <c r="B145" s="16">
        <v>12.0</v>
      </c>
      <c r="C145" s="50" t="s">
        <v>182</v>
      </c>
      <c r="D145" s="54"/>
      <c r="E145" s="50" t="s">
        <v>175</v>
      </c>
    </row>
    <row r="146" ht="22.5" customHeight="1">
      <c r="A146" s="49">
        <v>46079.0</v>
      </c>
      <c r="B146" s="16">
        <v>18.0</v>
      </c>
      <c r="C146" s="50" t="s">
        <v>178</v>
      </c>
      <c r="D146" s="54"/>
      <c r="E146" s="50" t="s">
        <v>175</v>
      </c>
    </row>
    <row r="147" ht="22.5" customHeight="1">
      <c r="A147" s="49">
        <v>46079.0</v>
      </c>
      <c r="B147" s="16">
        <v>16.0</v>
      </c>
      <c r="C147" s="50" t="s">
        <v>177</v>
      </c>
      <c r="D147" s="54"/>
      <c r="E147" s="50" t="s">
        <v>175</v>
      </c>
    </row>
    <row r="148" ht="22.5" customHeight="1">
      <c r="A148" s="49">
        <v>46079.0</v>
      </c>
      <c r="B148" s="16">
        <v>22.0</v>
      </c>
      <c r="C148" s="50" t="s">
        <v>176</v>
      </c>
      <c r="D148" s="54"/>
      <c r="E148" s="50" t="s">
        <v>175</v>
      </c>
    </row>
    <row r="149" ht="22.5" customHeight="1">
      <c r="A149" s="49">
        <v>46079.0</v>
      </c>
      <c r="B149" s="16">
        <v>1.0</v>
      </c>
      <c r="C149" s="50" t="s">
        <v>174</v>
      </c>
      <c r="D149" s="54"/>
      <c r="E149" s="50" t="s">
        <v>175</v>
      </c>
    </row>
    <row r="150" ht="22.5" customHeight="1">
      <c r="A150" s="49">
        <v>46079.0</v>
      </c>
      <c r="B150" s="16">
        <v>1.0</v>
      </c>
      <c r="C150" s="50" t="s">
        <v>188</v>
      </c>
      <c r="D150" s="54"/>
      <c r="E150" s="50" t="s">
        <v>175</v>
      </c>
    </row>
    <row r="151" ht="22.5" customHeight="1">
      <c r="A151" s="49">
        <v>46079.0</v>
      </c>
      <c r="B151" s="16">
        <v>3.0</v>
      </c>
      <c r="C151" s="50" t="s">
        <v>192</v>
      </c>
      <c r="D151" s="54"/>
      <c r="E151" s="50" t="s">
        <v>175</v>
      </c>
    </row>
    <row r="152" ht="22.5" customHeight="1">
      <c r="A152" s="49">
        <v>46079.0</v>
      </c>
      <c r="B152" s="16">
        <v>1.0</v>
      </c>
      <c r="C152" s="50" t="s">
        <v>193</v>
      </c>
      <c r="D152" s="54"/>
      <c r="E152" s="50" t="s">
        <v>175</v>
      </c>
    </row>
    <row r="153" ht="22.5" customHeight="1">
      <c r="A153" s="49">
        <v>46079.0</v>
      </c>
      <c r="B153" s="16">
        <v>2.0</v>
      </c>
      <c r="C153" s="50" t="s">
        <v>187</v>
      </c>
      <c r="D153" s="54"/>
      <c r="E153" s="50" t="s">
        <v>175</v>
      </c>
    </row>
    <row r="154" ht="22.5" customHeight="1">
      <c r="A154" s="49">
        <v>46079.0</v>
      </c>
      <c r="B154" s="16">
        <v>1.0</v>
      </c>
      <c r="C154" s="50" t="s">
        <v>186</v>
      </c>
      <c r="D154" s="54"/>
      <c r="E154" s="50" t="s">
        <v>175</v>
      </c>
    </row>
    <row r="155" ht="22.5" customHeight="1">
      <c r="A155" s="49">
        <v>46079.0</v>
      </c>
      <c r="B155" s="16">
        <v>1.0</v>
      </c>
      <c r="C155" s="50" t="s">
        <v>179</v>
      </c>
      <c r="D155" s="54"/>
      <c r="E155" s="50" t="s">
        <v>175</v>
      </c>
    </row>
    <row r="156" ht="22.5" customHeight="1">
      <c r="A156" s="49">
        <v>46079.0</v>
      </c>
      <c r="B156" s="16">
        <v>1.0</v>
      </c>
      <c r="C156" s="50" t="s">
        <v>182</v>
      </c>
      <c r="D156" s="54"/>
      <c r="E156" s="50" t="s">
        <v>175</v>
      </c>
    </row>
    <row r="157" ht="22.5" customHeight="1">
      <c r="A157" s="49">
        <v>46079.0</v>
      </c>
      <c r="B157" s="16">
        <v>24.0</v>
      </c>
      <c r="C157" s="50" t="s">
        <v>183</v>
      </c>
      <c r="D157" s="54"/>
      <c r="E157" s="50" t="s">
        <v>175</v>
      </c>
    </row>
    <row r="158" ht="22.5" customHeight="1">
      <c r="A158" s="49">
        <v>46079.0</v>
      </c>
      <c r="B158" s="16">
        <v>18.0</v>
      </c>
      <c r="C158" s="50" t="s">
        <v>184</v>
      </c>
      <c r="D158" s="54"/>
      <c r="E158" s="50" t="s">
        <v>175</v>
      </c>
    </row>
    <row r="159" ht="22.5" customHeight="1">
      <c r="A159" s="49">
        <v>46079.0</v>
      </c>
      <c r="B159" s="16">
        <v>3.0</v>
      </c>
      <c r="C159" s="50" t="s">
        <v>185</v>
      </c>
      <c r="D159" s="54"/>
      <c r="E159" s="50" t="s">
        <v>175</v>
      </c>
    </row>
    <row r="160" ht="22.5" customHeight="1">
      <c r="A160" s="49">
        <v>46080.0</v>
      </c>
      <c r="B160" s="16">
        <v>16.0</v>
      </c>
      <c r="C160" s="50" t="s">
        <v>178</v>
      </c>
      <c r="D160" s="54"/>
      <c r="E160" s="50" t="s">
        <v>175</v>
      </c>
    </row>
    <row r="161" ht="22.5" customHeight="1">
      <c r="A161" s="49">
        <v>46080.0</v>
      </c>
      <c r="B161" s="16">
        <v>15.0</v>
      </c>
      <c r="C161" s="50" t="s">
        <v>177</v>
      </c>
      <c r="D161" s="54"/>
      <c r="E161" s="50" t="s">
        <v>175</v>
      </c>
    </row>
    <row r="162" ht="22.5" customHeight="1">
      <c r="A162" s="49">
        <v>46080.0</v>
      </c>
      <c r="B162" s="16">
        <v>22.0</v>
      </c>
      <c r="C162" s="50" t="s">
        <v>176</v>
      </c>
      <c r="D162" s="54"/>
      <c r="E162" s="50" t="s">
        <v>175</v>
      </c>
    </row>
    <row r="163" ht="22.5" customHeight="1">
      <c r="A163" s="49">
        <v>46080.0</v>
      </c>
      <c r="B163" s="16">
        <v>13.0</v>
      </c>
      <c r="C163" s="50" t="s">
        <v>174</v>
      </c>
      <c r="D163" s="54"/>
      <c r="E163" s="50" t="s">
        <v>175</v>
      </c>
    </row>
    <row r="164" ht="22.5" customHeight="1">
      <c r="A164" s="49">
        <v>46080.0</v>
      </c>
      <c r="B164" s="16">
        <v>1.0</v>
      </c>
      <c r="C164" s="50" t="s">
        <v>193</v>
      </c>
      <c r="D164" s="54"/>
      <c r="E164" s="50" t="s">
        <v>175</v>
      </c>
    </row>
    <row r="165" ht="22.5" customHeight="1">
      <c r="A165" s="49">
        <v>46080.0</v>
      </c>
      <c r="B165" s="16">
        <v>1.0</v>
      </c>
      <c r="C165" s="50" t="s">
        <v>194</v>
      </c>
      <c r="D165" s="54"/>
      <c r="E165" s="50" t="s">
        <v>175</v>
      </c>
    </row>
    <row r="166" ht="22.5" customHeight="1">
      <c r="A166" s="49">
        <v>46080.0</v>
      </c>
      <c r="B166" s="16">
        <v>2.0</v>
      </c>
      <c r="C166" s="50" t="s">
        <v>187</v>
      </c>
      <c r="D166" s="54"/>
      <c r="E166" s="50" t="s">
        <v>175</v>
      </c>
    </row>
    <row r="167" ht="22.5" customHeight="1">
      <c r="A167" s="49">
        <v>46080.0</v>
      </c>
      <c r="B167" s="16">
        <v>3.0</v>
      </c>
      <c r="C167" s="50" t="s">
        <v>192</v>
      </c>
      <c r="D167" s="54"/>
      <c r="E167" s="50" t="s">
        <v>175</v>
      </c>
    </row>
    <row r="168" ht="22.5" customHeight="1">
      <c r="A168" s="49">
        <v>46081.0</v>
      </c>
      <c r="B168" s="16">
        <v>18.0</v>
      </c>
      <c r="C168" s="50" t="s">
        <v>178</v>
      </c>
      <c r="D168" s="54"/>
      <c r="E168" s="50" t="s">
        <v>175</v>
      </c>
    </row>
    <row r="169" ht="22.5" customHeight="1">
      <c r="A169" s="49">
        <v>46081.0</v>
      </c>
      <c r="B169" s="16">
        <v>12.0</v>
      </c>
      <c r="C169" s="50" t="s">
        <v>177</v>
      </c>
      <c r="D169" s="54"/>
      <c r="E169" s="50" t="s">
        <v>175</v>
      </c>
    </row>
    <row r="170" ht="22.5" customHeight="1">
      <c r="A170" s="49">
        <v>46081.0</v>
      </c>
      <c r="B170" s="16">
        <v>18.0</v>
      </c>
      <c r="C170" s="50" t="s">
        <v>176</v>
      </c>
      <c r="D170" s="54"/>
      <c r="E170" s="50" t="s">
        <v>175</v>
      </c>
    </row>
    <row r="171" ht="22.5" customHeight="1">
      <c r="A171" s="49">
        <v>46081.0</v>
      </c>
      <c r="B171" s="16">
        <v>8.0</v>
      </c>
      <c r="C171" s="50" t="s">
        <v>174</v>
      </c>
      <c r="D171" s="54"/>
      <c r="E171" s="50" t="s">
        <v>175</v>
      </c>
    </row>
    <row r="172" ht="22.5" customHeight="1">
      <c r="A172" s="49">
        <v>46081.0</v>
      </c>
      <c r="B172" s="16">
        <v>1.0</v>
      </c>
      <c r="C172" s="50" t="s">
        <v>189</v>
      </c>
      <c r="D172" s="54"/>
      <c r="E172" s="50" t="s">
        <v>175</v>
      </c>
    </row>
    <row r="173" ht="22.5" customHeight="1">
      <c r="A173" s="49">
        <v>46081.0</v>
      </c>
      <c r="B173" s="16">
        <v>2.0</v>
      </c>
      <c r="C173" s="50" t="s">
        <v>186</v>
      </c>
      <c r="D173" s="54"/>
      <c r="E173" s="50" t="s">
        <v>175</v>
      </c>
    </row>
    <row r="174" ht="22.5" customHeight="1">
      <c r="A174" s="49">
        <v>46081.0</v>
      </c>
      <c r="B174" s="16">
        <v>2.0</v>
      </c>
      <c r="C174" s="50" t="s">
        <v>187</v>
      </c>
      <c r="D174" s="54"/>
      <c r="E174" s="50" t="s">
        <v>175</v>
      </c>
    </row>
    <row r="175" ht="22.5" customHeight="1">
      <c r="A175" s="49">
        <v>46081.0</v>
      </c>
      <c r="B175" s="16">
        <v>1.0</v>
      </c>
      <c r="C175" s="50" t="s">
        <v>179</v>
      </c>
      <c r="D175" s="54"/>
      <c r="E175" s="50" t="s">
        <v>175</v>
      </c>
    </row>
    <row r="176" ht="22.5" customHeight="1">
      <c r="A176" s="49">
        <v>46083.0</v>
      </c>
      <c r="B176" s="16">
        <v>9.0</v>
      </c>
      <c r="C176" s="50" t="s">
        <v>178</v>
      </c>
      <c r="D176" s="54"/>
      <c r="E176" s="50" t="s">
        <v>175</v>
      </c>
    </row>
    <row r="177" ht="22.5" customHeight="1">
      <c r="A177" s="49">
        <v>46083.0</v>
      </c>
      <c r="B177" s="16">
        <v>12.0</v>
      </c>
      <c r="C177" s="50" t="s">
        <v>177</v>
      </c>
      <c r="D177" s="54"/>
      <c r="E177" s="50" t="s">
        <v>175</v>
      </c>
    </row>
    <row r="178" ht="22.5" customHeight="1">
      <c r="A178" s="49">
        <v>46083.0</v>
      </c>
      <c r="B178" s="16">
        <v>22.0</v>
      </c>
      <c r="C178" s="50" t="s">
        <v>176</v>
      </c>
      <c r="D178" s="54"/>
      <c r="E178" s="50" t="s">
        <v>175</v>
      </c>
    </row>
    <row r="179" ht="22.5" customHeight="1">
      <c r="A179" s="49">
        <v>46083.0</v>
      </c>
      <c r="B179" s="16">
        <v>13.0</v>
      </c>
      <c r="C179" s="50" t="s">
        <v>174</v>
      </c>
      <c r="D179" s="54"/>
      <c r="E179" s="50" t="s">
        <v>175</v>
      </c>
    </row>
    <row r="180" ht="22.5" customHeight="1">
      <c r="A180" s="49">
        <v>46083.0</v>
      </c>
      <c r="B180" s="16">
        <v>2.0</v>
      </c>
      <c r="C180" s="50" t="s">
        <v>187</v>
      </c>
      <c r="D180" s="54"/>
      <c r="E180" s="50" t="s">
        <v>175</v>
      </c>
    </row>
    <row r="181" ht="22.5" customHeight="1">
      <c r="A181" s="49">
        <v>46083.0</v>
      </c>
      <c r="B181" s="16">
        <v>2.0</v>
      </c>
      <c r="C181" s="50" t="s">
        <v>186</v>
      </c>
      <c r="D181" s="54"/>
      <c r="E181" s="50" t="s">
        <v>175</v>
      </c>
    </row>
    <row r="182" ht="22.5" customHeight="1">
      <c r="A182" s="49">
        <v>46083.0</v>
      </c>
      <c r="B182" s="16">
        <v>3.0</v>
      </c>
      <c r="C182" s="50" t="s">
        <v>182</v>
      </c>
      <c r="D182" s="54"/>
      <c r="E182" s="50" t="s">
        <v>175</v>
      </c>
    </row>
    <row r="183" ht="22.5" customHeight="1">
      <c r="A183" s="49">
        <v>46084.0</v>
      </c>
      <c r="B183" s="16">
        <v>17.0</v>
      </c>
      <c r="C183" s="50" t="s">
        <v>178</v>
      </c>
      <c r="D183" s="54"/>
      <c r="E183" s="50" t="s">
        <v>175</v>
      </c>
    </row>
    <row r="184" ht="22.5" customHeight="1">
      <c r="A184" s="49">
        <v>46084.0</v>
      </c>
      <c r="B184" s="16">
        <v>15.0</v>
      </c>
      <c r="C184" s="50" t="s">
        <v>177</v>
      </c>
      <c r="D184" s="54"/>
      <c r="E184" s="50" t="s">
        <v>175</v>
      </c>
    </row>
    <row r="185" ht="22.5" customHeight="1">
      <c r="A185" s="49">
        <v>46084.0</v>
      </c>
      <c r="B185" s="16">
        <v>14.0</v>
      </c>
      <c r="C185" s="50" t="s">
        <v>176</v>
      </c>
      <c r="D185" s="54"/>
      <c r="E185" s="50" t="s">
        <v>175</v>
      </c>
    </row>
    <row r="186" ht="22.5" customHeight="1">
      <c r="A186" s="49">
        <v>46084.0</v>
      </c>
      <c r="B186" s="16">
        <v>10.0</v>
      </c>
      <c r="C186" s="50" t="s">
        <v>174</v>
      </c>
      <c r="D186" s="54"/>
      <c r="E186" s="50" t="s">
        <v>175</v>
      </c>
    </row>
    <row r="187" ht="22.5" customHeight="1">
      <c r="A187" s="49">
        <v>46084.0</v>
      </c>
      <c r="B187" s="16">
        <v>2.0</v>
      </c>
      <c r="C187" s="50" t="s">
        <v>186</v>
      </c>
      <c r="D187" s="54"/>
      <c r="E187" s="50" t="s">
        <v>175</v>
      </c>
    </row>
    <row r="188" ht="22.5" customHeight="1">
      <c r="A188" s="49">
        <v>46084.0</v>
      </c>
      <c r="B188" s="16">
        <v>2.0</v>
      </c>
      <c r="C188" s="50" t="s">
        <v>187</v>
      </c>
      <c r="D188" s="54"/>
      <c r="E188" s="50" t="s">
        <v>175</v>
      </c>
    </row>
    <row r="189" ht="22.5" customHeight="1">
      <c r="A189" s="49">
        <v>46084.0</v>
      </c>
      <c r="B189" s="16">
        <v>10.0</v>
      </c>
      <c r="C189" s="50" t="s">
        <v>182</v>
      </c>
      <c r="D189" s="54"/>
      <c r="E189" s="50" t="s">
        <v>175</v>
      </c>
    </row>
    <row r="190" ht="22.5" customHeight="1">
      <c r="A190" s="49">
        <v>46084.0</v>
      </c>
      <c r="B190" s="16">
        <v>24.0</v>
      </c>
      <c r="C190" s="50" t="s">
        <v>183</v>
      </c>
      <c r="D190" s="54"/>
      <c r="E190" s="50" t="s">
        <v>175</v>
      </c>
    </row>
    <row r="191" ht="22.5" customHeight="1">
      <c r="A191" s="49">
        <v>46084.0</v>
      </c>
      <c r="B191" s="16">
        <v>3.0</v>
      </c>
      <c r="C191" s="50" t="s">
        <v>185</v>
      </c>
      <c r="D191" s="54"/>
      <c r="E191" s="50" t="s">
        <v>175</v>
      </c>
    </row>
    <row r="192" ht="22.5" customHeight="1">
      <c r="A192" s="49">
        <v>46084.0</v>
      </c>
      <c r="B192" s="16">
        <v>12.0</v>
      </c>
      <c r="C192" s="50" t="s">
        <v>184</v>
      </c>
      <c r="D192" s="54"/>
      <c r="E192" s="50" t="s">
        <v>175</v>
      </c>
    </row>
    <row r="193" ht="22.5" customHeight="1">
      <c r="A193" s="49">
        <v>46085.0</v>
      </c>
      <c r="B193" s="16">
        <v>25.0</v>
      </c>
      <c r="C193" s="50" t="s">
        <v>178</v>
      </c>
      <c r="D193" s="54"/>
      <c r="E193" s="50" t="s">
        <v>175</v>
      </c>
    </row>
    <row r="194" ht="22.5" customHeight="1">
      <c r="A194" s="49">
        <v>46085.0</v>
      </c>
      <c r="B194" s="16">
        <v>20.0</v>
      </c>
      <c r="C194" s="50" t="s">
        <v>177</v>
      </c>
      <c r="D194" s="54"/>
      <c r="E194" s="50" t="s">
        <v>175</v>
      </c>
    </row>
    <row r="195" ht="22.5" customHeight="1">
      <c r="A195" s="49">
        <v>46085.0</v>
      </c>
      <c r="B195" s="16">
        <v>23.0</v>
      </c>
      <c r="C195" s="50" t="s">
        <v>176</v>
      </c>
      <c r="D195" s="54"/>
      <c r="E195" s="50" t="s">
        <v>175</v>
      </c>
    </row>
    <row r="196" ht="22.5" customHeight="1">
      <c r="A196" s="49">
        <v>46085.0</v>
      </c>
      <c r="B196" s="16">
        <v>7.0</v>
      </c>
      <c r="C196" s="50" t="s">
        <v>174</v>
      </c>
      <c r="D196" s="54"/>
      <c r="E196" s="50" t="s">
        <v>175</v>
      </c>
    </row>
    <row r="197" ht="22.5" customHeight="1">
      <c r="A197" s="49">
        <v>46085.0</v>
      </c>
      <c r="B197" s="16">
        <v>1.0</v>
      </c>
      <c r="C197" s="50" t="s">
        <v>186</v>
      </c>
      <c r="D197" s="54"/>
      <c r="E197" s="50" t="s">
        <v>175</v>
      </c>
    </row>
    <row r="198" ht="22.5" customHeight="1">
      <c r="A198" s="49">
        <v>46085.0</v>
      </c>
      <c r="B198" s="16">
        <v>2.0</v>
      </c>
      <c r="C198" s="50" t="s">
        <v>187</v>
      </c>
      <c r="D198" s="54"/>
      <c r="E198" s="50" t="s">
        <v>175</v>
      </c>
    </row>
    <row r="199" ht="22.5" customHeight="1">
      <c r="A199" s="49">
        <v>46085.0</v>
      </c>
      <c r="B199" s="16">
        <v>2.0</v>
      </c>
      <c r="C199" s="50" t="s">
        <v>181</v>
      </c>
      <c r="D199" s="54"/>
      <c r="E199" s="50" t="s">
        <v>175</v>
      </c>
    </row>
    <row r="200" ht="22.5" customHeight="1">
      <c r="A200" s="49">
        <v>46085.0</v>
      </c>
      <c r="B200" s="16">
        <v>14.0</v>
      </c>
      <c r="C200" s="50" t="s">
        <v>182</v>
      </c>
      <c r="D200" s="54"/>
      <c r="E200" s="50" t="s">
        <v>175</v>
      </c>
    </row>
    <row r="201" ht="22.5" customHeight="1">
      <c r="A201" s="49">
        <v>46085.0</v>
      </c>
      <c r="B201" s="16">
        <v>10.0</v>
      </c>
      <c r="C201" s="50" t="s">
        <v>195</v>
      </c>
      <c r="D201" s="54"/>
      <c r="E201" s="50" t="s">
        <v>175</v>
      </c>
    </row>
    <row r="202" ht="22.5" customHeight="1">
      <c r="A202" s="49">
        <v>46086.0</v>
      </c>
      <c r="B202" s="16">
        <v>20.0</v>
      </c>
      <c r="C202" s="50" t="s">
        <v>178</v>
      </c>
      <c r="D202" s="54"/>
      <c r="E202" s="50" t="s">
        <v>175</v>
      </c>
    </row>
    <row r="203" ht="22.5" customHeight="1">
      <c r="A203" s="49">
        <v>46086.0</v>
      </c>
      <c r="B203" s="16">
        <v>19.0</v>
      </c>
      <c r="C203" s="50" t="s">
        <v>177</v>
      </c>
      <c r="D203" s="54"/>
      <c r="E203" s="50" t="s">
        <v>175</v>
      </c>
    </row>
    <row r="204" ht="22.5" customHeight="1">
      <c r="A204" s="49">
        <v>46086.0</v>
      </c>
      <c r="B204" s="16">
        <v>17.0</v>
      </c>
      <c r="C204" s="50" t="s">
        <v>176</v>
      </c>
      <c r="D204" s="54"/>
      <c r="E204" s="50" t="s">
        <v>175</v>
      </c>
    </row>
    <row r="205" ht="22.5" customHeight="1">
      <c r="A205" s="49">
        <v>46086.0</v>
      </c>
      <c r="B205" s="57">
        <v>3.0</v>
      </c>
      <c r="C205" s="58" t="s">
        <v>174</v>
      </c>
      <c r="D205" s="54"/>
      <c r="E205" s="50" t="s">
        <v>175</v>
      </c>
    </row>
    <row r="206" ht="22.5" customHeight="1">
      <c r="A206" s="49">
        <v>46086.0</v>
      </c>
      <c r="B206" s="16">
        <v>4.0</v>
      </c>
      <c r="C206" s="50" t="s">
        <v>186</v>
      </c>
      <c r="D206" s="54"/>
      <c r="E206" s="50" t="s">
        <v>175</v>
      </c>
    </row>
    <row r="207" ht="22.5" customHeight="1">
      <c r="A207" s="49">
        <v>46086.0</v>
      </c>
      <c r="B207" s="16">
        <v>2.0</v>
      </c>
      <c r="C207" s="50" t="s">
        <v>187</v>
      </c>
      <c r="D207" s="54"/>
      <c r="E207" s="50" t="s">
        <v>175</v>
      </c>
    </row>
    <row r="208" ht="22.5" customHeight="1">
      <c r="A208" s="49">
        <v>46086.0</v>
      </c>
      <c r="B208" s="16">
        <v>2.0</v>
      </c>
      <c r="C208" s="50" t="s">
        <v>182</v>
      </c>
      <c r="D208" s="54"/>
      <c r="E208" s="50" t="s">
        <v>175</v>
      </c>
    </row>
    <row r="209" ht="22.5" customHeight="1">
      <c r="A209" s="49">
        <v>46087.0</v>
      </c>
      <c r="B209" s="16">
        <v>17.0</v>
      </c>
      <c r="C209" s="50" t="s">
        <v>178</v>
      </c>
      <c r="D209" s="54"/>
      <c r="E209" s="50" t="s">
        <v>175</v>
      </c>
    </row>
    <row r="210" ht="22.5" customHeight="1">
      <c r="A210" s="49">
        <v>46087.0</v>
      </c>
      <c r="B210" s="16">
        <v>15.0</v>
      </c>
      <c r="C210" s="50" t="s">
        <v>177</v>
      </c>
      <c r="D210" s="54"/>
      <c r="E210" s="50" t="s">
        <v>175</v>
      </c>
    </row>
    <row r="211" ht="22.5" customHeight="1">
      <c r="A211" s="49">
        <v>46087.0</v>
      </c>
      <c r="B211" s="16">
        <v>12.0</v>
      </c>
      <c r="C211" s="50" t="s">
        <v>176</v>
      </c>
      <c r="D211" s="54"/>
      <c r="E211" s="50" t="s">
        <v>175</v>
      </c>
    </row>
    <row r="212" ht="22.5" customHeight="1">
      <c r="A212" s="49">
        <v>46087.0</v>
      </c>
      <c r="B212" s="16">
        <v>5.0</v>
      </c>
      <c r="C212" s="50" t="s">
        <v>174</v>
      </c>
      <c r="D212" s="54"/>
      <c r="E212" s="50" t="s">
        <v>175</v>
      </c>
    </row>
    <row r="213" ht="22.5" customHeight="1">
      <c r="A213" s="49">
        <v>46087.0</v>
      </c>
      <c r="B213" s="16">
        <v>1.0</v>
      </c>
      <c r="C213" s="50" t="s">
        <v>189</v>
      </c>
      <c r="D213" s="54"/>
      <c r="E213" s="50" t="s">
        <v>175</v>
      </c>
    </row>
    <row r="214" ht="22.5" customHeight="1">
      <c r="A214" s="49">
        <v>46087.0</v>
      </c>
      <c r="B214" s="16">
        <v>4.0</v>
      </c>
      <c r="C214" s="50" t="s">
        <v>186</v>
      </c>
      <c r="D214" s="54"/>
      <c r="E214" s="50" t="s">
        <v>175</v>
      </c>
    </row>
    <row r="215" ht="22.5" customHeight="1">
      <c r="A215" s="49">
        <v>46087.0</v>
      </c>
      <c r="B215" s="16">
        <v>1.0</v>
      </c>
      <c r="C215" s="50" t="s">
        <v>187</v>
      </c>
      <c r="D215" s="54"/>
      <c r="E215" s="50" t="s">
        <v>175</v>
      </c>
    </row>
    <row r="216" ht="22.5" customHeight="1">
      <c r="A216" s="49">
        <v>46087.0</v>
      </c>
      <c r="B216" s="16">
        <v>17.0</v>
      </c>
      <c r="C216" s="50" t="s">
        <v>182</v>
      </c>
      <c r="D216" s="54"/>
      <c r="E216" s="50" t="s">
        <v>175</v>
      </c>
    </row>
    <row r="217" ht="22.5" customHeight="1">
      <c r="A217" s="49">
        <v>46090.0</v>
      </c>
      <c r="B217" s="16">
        <v>26.0</v>
      </c>
      <c r="C217" s="50" t="s">
        <v>178</v>
      </c>
      <c r="D217" s="54"/>
      <c r="E217" s="50" t="s">
        <v>175</v>
      </c>
    </row>
    <row r="218" ht="22.5" customHeight="1">
      <c r="A218" s="49">
        <v>46090.0</v>
      </c>
      <c r="B218" s="16">
        <v>30.0</v>
      </c>
      <c r="C218" s="50" t="s">
        <v>177</v>
      </c>
      <c r="D218" s="54"/>
      <c r="E218" s="50" t="s">
        <v>175</v>
      </c>
    </row>
    <row r="219" ht="22.5" customHeight="1">
      <c r="A219" s="49">
        <v>46090.0</v>
      </c>
      <c r="B219" s="16">
        <v>19.0</v>
      </c>
      <c r="C219" s="50" t="s">
        <v>176</v>
      </c>
      <c r="D219" s="54"/>
      <c r="E219" s="50" t="s">
        <v>175</v>
      </c>
    </row>
    <row r="220" ht="22.5" customHeight="1">
      <c r="A220" s="49">
        <v>46090.0</v>
      </c>
      <c r="B220" s="16">
        <v>7.0</v>
      </c>
      <c r="C220" s="50" t="s">
        <v>174</v>
      </c>
      <c r="D220" s="54"/>
      <c r="E220" s="50" t="s">
        <v>175</v>
      </c>
    </row>
    <row r="221" ht="22.5" customHeight="1">
      <c r="A221" s="49">
        <v>46090.0</v>
      </c>
      <c r="B221" s="16">
        <v>1.0</v>
      </c>
      <c r="C221" s="50" t="s">
        <v>196</v>
      </c>
      <c r="D221" s="54"/>
      <c r="E221" s="50" t="s">
        <v>175</v>
      </c>
    </row>
    <row r="222" ht="22.5" customHeight="1">
      <c r="A222" s="49">
        <v>46090.0</v>
      </c>
      <c r="B222" s="16">
        <v>4.0</v>
      </c>
      <c r="C222" s="50" t="s">
        <v>186</v>
      </c>
      <c r="D222" s="54"/>
      <c r="E222" s="50" t="s">
        <v>175</v>
      </c>
    </row>
    <row r="223" ht="22.5" customHeight="1">
      <c r="A223" s="49">
        <v>46090.0</v>
      </c>
      <c r="B223" s="16">
        <v>2.0</v>
      </c>
      <c r="C223" s="50" t="s">
        <v>187</v>
      </c>
      <c r="D223" s="54"/>
      <c r="E223" s="50" t="s">
        <v>175</v>
      </c>
    </row>
    <row r="224" ht="22.5" customHeight="1">
      <c r="A224" s="49">
        <v>46090.0</v>
      </c>
      <c r="B224" s="16">
        <v>1.0</v>
      </c>
      <c r="C224" s="50" t="s">
        <v>197</v>
      </c>
      <c r="D224" s="54"/>
      <c r="E224" s="50" t="s">
        <v>175</v>
      </c>
    </row>
    <row r="225" ht="22.5" customHeight="1">
      <c r="A225" s="49">
        <v>46090.0</v>
      </c>
      <c r="B225" s="16">
        <v>2.0</v>
      </c>
      <c r="C225" s="50" t="s">
        <v>192</v>
      </c>
      <c r="D225" s="54"/>
      <c r="E225" s="50" t="s">
        <v>175</v>
      </c>
    </row>
    <row r="226" ht="22.5" customHeight="1">
      <c r="A226" s="49">
        <v>46090.0</v>
      </c>
      <c r="B226" s="16">
        <v>5.0</v>
      </c>
      <c r="C226" s="50" t="s">
        <v>182</v>
      </c>
      <c r="D226" s="54"/>
      <c r="E226" s="50" t="s">
        <v>175</v>
      </c>
    </row>
    <row r="227" ht="22.5" customHeight="1">
      <c r="A227" s="49">
        <v>46090.0</v>
      </c>
      <c r="B227" s="16">
        <v>45.0</v>
      </c>
      <c r="C227" s="50" t="s">
        <v>183</v>
      </c>
      <c r="D227" s="54"/>
      <c r="E227" s="50" t="s">
        <v>175</v>
      </c>
    </row>
    <row r="228" ht="22.5" customHeight="1">
      <c r="A228" s="49">
        <v>46090.0</v>
      </c>
      <c r="B228" s="16">
        <v>17.0</v>
      </c>
      <c r="C228" s="50" t="s">
        <v>184</v>
      </c>
      <c r="D228" s="54"/>
      <c r="E228" s="50" t="s">
        <v>175</v>
      </c>
    </row>
    <row r="229" ht="22.5" customHeight="1">
      <c r="A229" s="49">
        <v>46090.0</v>
      </c>
      <c r="B229" s="16">
        <v>10.0</v>
      </c>
      <c r="C229" s="50" t="s">
        <v>185</v>
      </c>
      <c r="D229" s="54"/>
      <c r="E229" s="50" t="s">
        <v>175</v>
      </c>
    </row>
    <row r="230" ht="22.5" customHeight="1">
      <c r="A230" s="49">
        <v>46091.0</v>
      </c>
      <c r="B230" s="16">
        <v>12.0</v>
      </c>
      <c r="C230" s="50" t="s">
        <v>178</v>
      </c>
      <c r="D230" s="54" t="s">
        <v>198</v>
      </c>
      <c r="E230" s="50" t="s">
        <v>175</v>
      </c>
    </row>
    <row r="231" ht="22.5" customHeight="1">
      <c r="A231" s="49">
        <v>46091.0</v>
      </c>
      <c r="B231" s="16">
        <v>20.0</v>
      </c>
      <c r="C231" s="50" t="s">
        <v>177</v>
      </c>
      <c r="D231" s="54"/>
      <c r="E231" s="50" t="s">
        <v>175</v>
      </c>
    </row>
    <row r="232" ht="22.5" customHeight="1">
      <c r="A232" s="49">
        <v>46091.0</v>
      </c>
      <c r="B232" s="16">
        <v>8.0</v>
      </c>
      <c r="C232" s="50" t="s">
        <v>176</v>
      </c>
      <c r="D232" s="54"/>
      <c r="E232" s="50" t="s">
        <v>175</v>
      </c>
    </row>
    <row r="233" ht="22.5" customHeight="1">
      <c r="A233" s="49">
        <v>46091.0</v>
      </c>
      <c r="B233" s="16">
        <v>6.0</v>
      </c>
      <c r="C233" s="50" t="s">
        <v>186</v>
      </c>
      <c r="D233" s="54"/>
      <c r="E233" s="50" t="s">
        <v>175</v>
      </c>
    </row>
    <row r="234" ht="22.5" customHeight="1">
      <c r="A234" s="49">
        <v>46091.0</v>
      </c>
      <c r="B234" s="16">
        <v>3.0</v>
      </c>
      <c r="C234" s="50" t="s">
        <v>192</v>
      </c>
      <c r="D234" s="54"/>
      <c r="E234" s="50" t="s">
        <v>175</v>
      </c>
    </row>
    <row r="235" ht="22.5" customHeight="1">
      <c r="A235" s="49">
        <v>46091.0</v>
      </c>
      <c r="B235" s="16">
        <v>1.0</v>
      </c>
      <c r="C235" s="50" t="s">
        <v>199</v>
      </c>
      <c r="D235" s="54"/>
      <c r="E235" s="50" t="s">
        <v>175</v>
      </c>
    </row>
    <row r="236" ht="22.5" customHeight="1">
      <c r="A236" s="49">
        <v>46091.0</v>
      </c>
      <c r="B236" s="16">
        <v>5.0</v>
      </c>
      <c r="C236" s="50" t="s">
        <v>182</v>
      </c>
      <c r="D236" s="54"/>
      <c r="E236" s="50" t="s">
        <v>175</v>
      </c>
    </row>
    <row r="237" ht="22.5" customHeight="1">
      <c r="A237" s="49">
        <v>46091.0</v>
      </c>
      <c r="B237" s="16">
        <v>3.0</v>
      </c>
      <c r="C237" s="50" t="s">
        <v>174</v>
      </c>
      <c r="D237" s="54"/>
      <c r="E237" s="50" t="s">
        <v>175</v>
      </c>
    </row>
    <row r="238" ht="22.5" customHeight="1">
      <c r="A238" s="49">
        <v>46091.0</v>
      </c>
      <c r="B238" s="16">
        <v>1.0</v>
      </c>
      <c r="C238" s="50" t="s">
        <v>187</v>
      </c>
      <c r="D238" s="54"/>
      <c r="E238" s="50" t="s">
        <v>175</v>
      </c>
    </row>
    <row r="239" ht="22.5" customHeight="1">
      <c r="A239" s="49">
        <v>46092.0</v>
      </c>
      <c r="B239" s="16">
        <v>19.0</v>
      </c>
      <c r="C239" s="50" t="s">
        <v>178</v>
      </c>
      <c r="D239" s="54"/>
      <c r="E239" s="12" t="s">
        <v>175</v>
      </c>
    </row>
    <row r="240" ht="22.5" customHeight="1">
      <c r="A240" s="49">
        <v>46092.0</v>
      </c>
      <c r="B240" s="16">
        <v>15.0</v>
      </c>
      <c r="C240" s="50" t="s">
        <v>177</v>
      </c>
      <c r="D240" s="54"/>
      <c r="E240" s="12" t="s">
        <v>175</v>
      </c>
    </row>
    <row r="241" ht="22.5" customHeight="1">
      <c r="A241" s="49">
        <v>46092.0</v>
      </c>
      <c r="B241" s="16">
        <v>17.0</v>
      </c>
      <c r="C241" s="50" t="s">
        <v>176</v>
      </c>
      <c r="D241" s="54"/>
      <c r="E241" s="12" t="s">
        <v>175</v>
      </c>
    </row>
    <row r="242" ht="22.5" customHeight="1">
      <c r="A242" s="49">
        <v>46092.0</v>
      </c>
      <c r="B242" s="16">
        <v>4.0</v>
      </c>
      <c r="C242" s="50" t="s">
        <v>187</v>
      </c>
      <c r="D242" s="54"/>
      <c r="E242" s="12" t="s">
        <v>175</v>
      </c>
    </row>
    <row r="243" ht="22.5" customHeight="1">
      <c r="A243" s="49">
        <v>46092.0</v>
      </c>
      <c r="B243" s="16">
        <v>2.0</v>
      </c>
      <c r="C243" s="50" t="s">
        <v>192</v>
      </c>
      <c r="D243" s="54"/>
      <c r="E243" s="12" t="s">
        <v>175</v>
      </c>
    </row>
    <row r="244" ht="22.5" customHeight="1">
      <c r="A244" s="49">
        <v>46092.0</v>
      </c>
      <c r="B244" s="16">
        <v>4.0</v>
      </c>
      <c r="C244" s="50" t="s">
        <v>186</v>
      </c>
      <c r="D244" s="54"/>
      <c r="E244" s="12" t="s">
        <v>175</v>
      </c>
    </row>
    <row r="245" ht="22.5" customHeight="1">
      <c r="A245" s="49">
        <v>46092.0</v>
      </c>
      <c r="B245" s="16">
        <v>1.0</v>
      </c>
      <c r="C245" s="50" t="s">
        <v>199</v>
      </c>
      <c r="D245" s="54"/>
      <c r="E245" s="12" t="s">
        <v>175</v>
      </c>
    </row>
    <row r="246" ht="22.5" customHeight="1">
      <c r="A246" s="49">
        <v>46092.0</v>
      </c>
      <c r="B246" s="16">
        <v>2.0</v>
      </c>
      <c r="C246" s="50" t="s">
        <v>174</v>
      </c>
      <c r="D246" s="54"/>
      <c r="E246" s="12" t="s">
        <v>175</v>
      </c>
    </row>
    <row r="247" ht="22.5" customHeight="1">
      <c r="A247" s="49">
        <v>46092.0</v>
      </c>
      <c r="B247" s="16">
        <v>1.0</v>
      </c>
      <c r="C247" s="50" t="s">
        <v>182</v>
      </c>
      <c r="D247" s="54"/>
      <c r="E247" s="12" t="s">
        <v>175</v>
      </c>
    </row>
    <row r="248" ht="22.5" customHeight="1">
      <c r="A248" s="49">
        <v>46093.0</v>
      </c>
      <c r="B248" s="16">
        <v>17.0</v>
      </c>
      <c r="C248" s="50" t="s">
        <v>178</v>
      </c>
      <c r="D248" s="54"/>
      <c r="E248" s="12" t="s">
        <v>175</v>
      </c>
    </row>
    <row r="249" ht="22.5" customHeight="1">
      <c r="A249" s="49">
        <v>46093.0</v>
      </c>
      <c r="B249" s="16">
        <v>19.0</v>
      </c>
      <c r="C249" s="50" t="s">
        <v>177</v>
      </c>
      <c r="D249" s="54"/>
      <c r="E249" s="12" t="s">
        <v>175</v>
      </c>
    </row>
    <row r="250" ht="22.5" customHeight="1">
      <c r="A250" s="49">
        <v>46093.0</v>
      </c>
      <c r="B250" s="16">
        <v>10.0</v>
      </c>
      <c r="C250" s="50" t="s">
        <v>176</v>
      </c>
      <c r="D250" s="54"/>
      <c r="E250" s="12" t="s">
        <v>175</v>
      </c>
    </row>
    <row r="251" ht="22.5" customHeight="1">
      <c r="A251" s="49">
        <v>46093.0</v>
      </c>
      <c r="B251" s="16">
        <v>11.0</v>
      </c>
      <c r="C251" s="50" t="s">
        <v>174</v>
      </c>
      <c r="D251" s="54"/>
      <c r="E251" s="12" t="s">
        <v>175</v>
      </c>
    </row>
    <row r="252" ht="22.5" customHeight="1">
      <c r="A252" s="49">
        <v>46093.0</v>
      </c>
      <c r="B252" s="16">
        <v>1.0</v>
      </c>
      <c r="C252" s="50" t="s">
        <v>199</v>
      </c>
      <c r="D252" s="54"/>
      <c r="E252" s="12" t="s">
        <v>175</v>
      </c>
    </row>
    <row r="253" ht="22.5" customHeight="1">
      <c r="A253" s="49">
        <v>46093.0</v>
      </c>
      <c r="B253" s="16">
        <v>4.0</v>
      </c>
      <c r="C253" s="50" t="s">
        <v>186</v>
      </c>
      <c r="D253" s="54"/>
      <c r="E253" s="12" t="s">
        <v>175</v>
      </c>
    </row>
    <row r="254" ht="22.5" customHeight="1">
      <c r="A254" s="49">
        <v>46093.0</v>
      </c>
      <c r="B254" s="16">
        <v>4.0</v>
      </c>
      <c r="C254" s="50" t="s">
        <v>187</v>
      </c>
      <c r="D254" s="54"/>
      <c r="E254" s="12" t="s">
        <v>175</v>
      </c>
    </row>
    <row r="255" ht="22.5" customHeight="1">
      <c r="A255" s="49">
        <v>46093.0</v>
      </c>
      <c r="B255" s="16">
        <v>2.0</v>
      </c>
      <c r="C255" s="50" t="s">
        <v>192</v>
      </c>
      <c r="D255" s="54"/>
      <c r="E255" s="12" t="s">
        <v>175</v>
      </c>
    </row>
    <row r="256" ht="22.5" customHeight="1">
      <c r="A256" s="49">
        <v>46093.0</v>
      </c>
      <c r="B256" s="16">
        <v>1.0</v>
      </c>
      <c r="C256" s="50" t="s">
        <v>182</v>
      </c>
      <c r="D256" s="54"/>
      <c r="E256" s="12" t="s">
        <v>175</v>
      </c>
    </row>
    <row r="257" ht="22.5" customHeight="1">
      <c r="A257" s="49">
        <v>46093.0</v>
      </c>
      <c r="B257" s="16">
        <v>6.0</v>
      </c>
      <c r="C257" s="50" t="s">
        <v>183</v>
      </c>
      <c r="D257" s="54"/>
      <c r="E257" s="12" t="s">
        <v>175</v>
      </c>
    </row>
    <row r="258" ht="22.5" customHeight="1">
      <c r="A258" s="49">
        <v>46093.0</v>
      </c>
      <c r="B258" s="16">
        <v>8.0</v>
      </c>
      <c r="C258" s="50" t="s">
        <v>184</v>
      </c>
      <c r="D258" s="54"/>
      <c r="E258" s="12" t="s">
        <v>175</v>
      </c>
    </row>
    <row r="259" ht="22.5" customHeight="1">
      <c r="A259" s="49">
        <v>46093.0</v>
      </c>
      <c r="B259" s="16">
        <v>10.0</v>
      </c>
      <c r="C259" s="50" t="s">
        <v>185</v>
      </c>
      <c r="D259" s="54"/>
      <c r="E259" s="12" t="s">
        <v>175</v>
      </c>
    </row>
    <row r="260" ht="22.5" customHeight="1">
      <c r="A260" s="49">
        <v>46094.0</v>
      </c>
      <c r="B260" s="16">
        <v>17.0</v>
      </c>
      <c r="C260" s="50" t="s">
        <v>178</v>
      </c>
      <c r="D260" s="54"/>
      <c r="E260" s="12" t="s">
        <v>175</v>
      </c>
    </row>
    <row r="261" ht="22.5" customHeight="1">
      <c r="A261" s="49">
        <v>46094.0</v>
      </c>
      <c r="B261" s="16">
        <v>13.0</v>
      </c>
      <c r="C261" s="50" t="s">
        <v>177</v>
      </c>
      <c r="D261" s="59"/>
      <c r="E261" s="12" t="s">
        <v>175</v>
      </c>
    </row>
    <row r="262" ht="22.5" customHeight="1">
      <c r="A262" s="49">
        <v>46094.0</v>
      </c>
      <c r="B262" s="16">
        <v>18.0</v>
      </c>
      <c r="C262" s="50" t="s">
        <v>176</v>
      </c>
      <c r="D262" s="54"/>
      <c r="E262" s="12" t="s">
        <v>175</v>
      </c>
    </row>
    <row r="263" ht="22.5" customHeight="1">
      <c r="A263" s="49">
        <v>46094.0</v>
      </c>
      <c r="B263" s="16">
        <v>4.0</v>
      </c>
      <c r="C263" s="50" t="s">
        <v>174</v>
      </c>
      <c r="D263" s="54"/>
      <c r="E263" s="12" t="s">
        <v>175</v>
      </c>
    </row>
    <row r="264" ht="22.5" customHeight="1">
      <c r="A264" s="49">
        <v>46094.0</v>
      </c>
      <c r="B264" s="16">
        <v>2.0</v>
      </c>
      <c r="C264" s="50" t="s">
        <v>188</v>
      </c>
      <c r="D264" s="54"/>
      <c r="E264" s="12" t="s">
        <v>175</v>
      </c>
    </row>
    <row r="265" ht="22.5" customHeight="1">
      <c r="A265" s="49">
        <v>46094.0</v>
      </c>
      <c r="B265" s="16">
        <v>1.0</v>
      </c>
      <c r="C265" s="50" t="s">
        <v>192</v>
      </c>
      <c r="D265" s="57"/>
      <c r="E265" s="12" t="s">
        <v>175</v>
      </c>
    </row>
    <row r="266" ht="22.5" customHeight="1">
      <c r="A266" s="49">
        <v>46094.0</v>
      </c>
      <c r="B266" s="16">
        <v>2.0</v>
      </c>
      <c r="C266" s="50" t="s">
        <v>189</v>
      </c>
      <c r="D266" s="54"/>
      <c r="E266" s="12" t="s">
        <v>175</v>
      </c>
    </row>
    <row r="267" ht="22.5" customHeight="1">
      <c r="A267" s="49">
        <v>46094.0</v>
      </c>
      <c r="B267" s="16">
        <v>3.0</v>
      </c>
      <c r="C267" s="50" t="s">
        <v>186</v>
      </c>
      <c r="D267" s="54"/>
      <c r="E267" s="12" t="s">
        <v>175</v>
      </c>
    </row>
    <row r="268" ht="22.5" customHeight="1">
      <c r="A268" s="49">
        <v>46094.0</v>
      </c>
      <c r="B268" s="16">
        <v>1.0</v>
      </c>
      <c r="C268" s="50" t="s">
        <v>181</v>
      </c>
      <c r="D268" s="54"/>
      <c r="E268" s="12" t="s">
        <v>175</v>
      </c>
    </row>
    <row r="269" ht="22.5" customHeight="1">
      <c r="A269" s="49">
        <v>46094.0</v>
      </c>
      <c r="B269" s="16">
        <v>4.0</v>
      </c>
      <c r="C269" s="50" t="s">
        <v>187</v>
      </c>
      <c r="D269" s="54"/>
      <c r="E269" s="12" t="s">
        <v>175</v>
      </c>
    </row>
    <row r="270" ht="22.5" customHeight="1">
      <c r="A270" s="49">
        <v>46094.0</v>
      </c>
      <c r="B270" s="16">
        <v>1.0</v>
      </c>
      <c r="C270" s="50" t="s">
        <v>199</v>
      </c>
      <c r="D270" s="54"/>
      <c r="E270" s="12" t="s">
        <v>175</v>
      </c>
    </row>
    <row r="271" ht="22.5" customHeight="1">
      <c r="A271" s="49">
        <v>46094.0</v>
      </c>
      <c r="B271" s="16">
        <v>1.0</v>
      </c>
      <c r="C271" s="50" t="s">
        <v>182</v>
      </c>
      <c r="D271" s="54"/>
      <c r="E271" s="12" t="s">
        <v>175</v>
      </c>
    </row>
    <row r="272" ht="22.5" customHeight="1">
      <c r="A272" s="49">
        <v>46095.0</v>
      </c>
      <c r="B272" s="60">
        <v>19.0</v>
      </c>
      <c r="C272" s="61" t="s">
        <v>178</v>
      </c>
      <c r="D272" s="54"/>
      <c r="E272" s="12" t="s">
        <v>175</v>
      </c>
    </row>
    <row r="273" ht="22.5" customHeight="1">
      <c r="A273" s="49">
        <v>46095.0</v>
      </c>
      <c r="B273" s="62">
        <v>34.0</v>
      </c>
      <c r="C273" s="63" t="s">
        <v>177</v>
      </c>
      <c r="D273" s="54"/>
      <c r="E273" s="12" t="s">
        <v>175</v>
      </c>
    </row>
    <row r="274" ht="22.5" customHeight="1">
      <c r="A274" s="49">
        <v>46095.0</v>
      </c>
      <c r="B274" s="60">
        <v>13.0</v>
      </c>
      <c r="C274" s="61" t="s">
        <v>176</v>
      </c>
      <c r="D274" s="54"/>
      <c r="E274" s="12" t="s">
        <v>175</v>
      </c>
    </row>
    <row r="275" ht="22.5" customHeight="1">
      <c r="A275" s="49">
        <v>46095.0</v>
      </c>
      <c r="B275" s="62">
        <v>11.0</v>
      </c>
      <c r="C275" s="63" t="s">
        <v>174</v>
      </c>
      <c r="D275" s="54"/>
      <c r="E275" s="12" t="s">
        <v>175</v>
      </c>
    </row>
    <row r="276" ht="22.5" customHeight="1">
      <c r="A276" s="49">
        <v>46095.0</v>
      </c>
      <c r="B276" s="60">
        <v>1.0</v>
      </c>
      <c r="C276" s="61" t="s">
        <v>188</v>
      </c>
      <c r="D276" s="54"/>
      <c r="E276" s="12" t="s">
        <v>175</v>
      </c>
    </row>
    <row r="277" ht="22.5" customHeight="1">
      <c r="A277" s="49">
        <v>46095.0</v>
      </c>
      <c r="B277" s="34">
        <v>1.0</v>
      </c>
      <c r="C277" s="63" t="s">
        <v>192</v>
      </c>
      <c r="D277" s="54"/>
      <c r="E277" s="12" t="s">
        <v>175</v>
      </c>
    </row>
    <row r="278" ht="22.5" customHeight="1">
      <c r="A278" s="49">
        <v>46095.0</v>
      </c>
      <c r="B278" s="64">
        <v>2.0</v>
      </c>
      <c r="C278" s="61" t="s">
        <v>189</v>
      </c>
      <c r="D278" s="54"/>
      <c r="E278" s="12" t="s">
        <v>175</v>
      </c>
    </row>
    <row r="279" ht="22.5" customHeight="1">
      <c r="A279" s="49">
        <v>46095.0</v>
      </c>
      <c r="B279" s="62">
        <v>2.0</v>
      </c>
      <c r="C279" s="63" t="s">
        <v>186</v>
      </c>
      <c r="D279" s="54"/>
      <c r="E279" s="12" t="s">
        <v>175</v>
      </c>
    </row>
    <row r="280" ht="22.5" customHeight="1">
      <c r="A280" s="49">
        <v>46095.0</v>
      </c>
      <c r="B280" s="64">
        <v>1.0</v>
      </c>
      <c r="C280" s="61" t="s">
        <v>181</v>
      </c>
      <c r="D280" s="54"/>
      <c r="E280" s="12" t="s">
        <v>175</v>
      </c>
    </row>
    <row r="281" ht="22.5" customHeight="1">
      <c r="A281" s="49">
        <v>46095.0</v>
      </c>
      <c r="B281" s="62">
        <v>2.0</v>
      </c>
      <c r="C281" s="63" t="s">
        <v>187</v>
      </c>
      <c r="D281" s="54"/>
      <c r="E281" s="12" t="s">
        <v>175</v>
      </c>
    </row>
    <row r="282" ht="22.5" customHeight="1">
      <c r="A282" s="49">
        <v>46097.0</v>
      </c>
      <c r="B282" s="60">
        <v>15.0</v>
      </c>
      <c r="C282" s="61" t="s">
        <v>178</v>
      </c>
      <c r="D282" s="54"/>
      <c r="E282" s="12" t="s">
        <v>175</v>
      </c>
    </row>
    <row r="283" ht="22.5" customHeight="1">
      <c r="A283" s="49">
        <v>46097.0</v>
      </c>
      <c r="B283" s="62">
        <v>28.0</v>
      </c>
      <c r="C283" s="63" t="s">
        <v>177</v>
      </c>
      <c r="D283" s="54"/>
      <c r="E283" s="12" t="s">
        <v>175</v>
      </c>
    </row>
    <row r="284" ht="22.5" customHeight="1">
      <c r="A284" s="49">
        <v>46097.0</v>
      </c>
      <c r="B284" s="60">
        <v>3.0</v>
      </c>
      <c r="C284" s="61" t="s">
        <v>176</v>
      </c>
      <c r="D284" s="54"/>
      <c r="E284" s="12" t="s">
        <v>175</v>
      </c>
    </row>
    <row r="285" ht="22.5" customHeight="1">
      <c r="A285" s="49">
        <v>46097.0</v>
      </c>
      <c r="B285" s="62">
        <v>6.0</v>
      </c>
      <c r="C285" s="63" t="s">
        <v>174</v>
      </c>
      <c r="D285" s="54"/>
      <c r="E285" s="12" t="s">
        <v>175</v>
      </c>
    </row>
    <row r="286" ht="22.5" customHeight="1">
      <c r="A286" s="49">
        <v>46097.0</v>
      </c>
      <c r="B286" s="60">
        <v>1.0</v>
      </c>
      <c r="C286" s="61" t="s">
        <v>188</v>
      </c>
      <c r="D286" s="54"/>
      <c r="E286" s="12" t="s">
        <v>175</v>
      </c>
    </row>
    <row r="287" ht="22.5" customHeight="1">
      <c r="A287" s="49">
        <v>46097.0</v>
      </c>
      <c r="B287" s="60">
        <v>1.0</v>
      </c>
      <c r="C287" s="65" t="s">
        <v>200</v>
      </c>
      <c r="D287" s="54"/>
      <c r="E287" s="12" t="s">
        <v>175</v>
      </c>
    </row>
    <row r="288" ht="22.5" customHeight="1">
      <c r="A288" s="49">
        <v>46097.0</v>
      </c>
      <c r="B288" s="62">
        <v>1.0</v>
      </c>
      <c r="C288" s="63" t="s">
        <v>192</v>
      </c>
      <c r="D288" s="54"/>
      <c r="E288" s="12" t="s">
        <v>175</v>
      </c>
    </row>
    <row r="289" ht="22.5" customHeight="1">
      <c r="A289" s="49">
        <v>46097.0</v>
      </c>
      <c r="B289" s="60">
        <v>1.0</v>
      </c>
      <c r="C289" s="61" t="s">
        <v>189</v>
      </c>
      <c r="D289" s="54"/>
      <c r="E289" s="12" t="s">
        <v>175</v>
      </c>
    </row>
    <row r="290" ht="22.5" customHeight="1">
      <c r="A290" s="49">
        <v>46097.0</v>
      </c>
      <c r="B290" s="62">
        <v>2.0</v>
      </c>
      <c r="C290" s="63" t="s">
        <v>186</v>
      </c>
      <c r="D290" s="54"/>
      <c r="E290" s="12" t="s">
        <v>175</v>
      </c>
    </row>
    <row r="291" ht="22.5" customHeight="1">
      <c r="A291" s="49">
        <v>46097.0</v>
      </c>
      <c r="B291" s="60">
        <v>1.0</v>
      </c>
      <c r="C291" s="61" t="s">
        <v>181</v>
      </c>
      <c r="D291" s="54"/>
      <c r="E291" s="12" t="s">
        <v>175</v>
      </c>
    </row>
    <row r="292" ht="22.5" customHeight="1">
      <c r="A292" s="49">
        <v>46097.0</v>
      </c>
      <c r="B292" s="62">
        <v>1.0</v>
      </c>
      <c r="C292" s="63" t="s">
        <v>187</v>
      </c>
      <c r="D292" s="54"/>
      <c r="E292" s="12" t="s">
        <v>175</v>
      </c>
    </row>
    <row r="293" ht="22.5" customHeight="1">
      <c r="A293" s="49">
        <v>46097.0</v>
      </c>
      <c r="B293" s="66">
        <v>60.0</v>
      </c>
      <c r="C293" s="67" t="s">
        <v>183</v>
      </c>
      <c r="D293" s="54"/>
      <c r="E293" s="12" t="s">
        <v>175</v>
      </c>
    </row>
    <row r="294" ht="22.5" customHeight="1">
      <c r="A294" s="49">
        <v>46097.0</v>
      </c>
      <c r="B294" s="66">
        <v>42.0</v>
      </c>
      <c r="C294" s="67" t="s">
        <v>184</v>
      </c>
      <c r="D294" s="54"/>
      <c r="E294" s="12" t="s">
        <v>175</v>
      </c>
    </row>
    <row r="295" ht="22.5" customHeight="1">
      <c r="A295" s="49">
        <v>46097.0</v>
      </c>
      <c r="B295" s="66">
        <v>24.0</v>
      </c>
      <c r="C295" s="67" t="s">
        <v>185</v>
      </c>
      <c r="D295" s="54"/>
      <c r="E295" s="12" t="s">
        <v>175</v>
      </c>
    </row>
    <row r="296" ht="22.5" customHeight="1">
      <c r="A296" s="49">
        <v>46098.0</v>
      </c>
      <c r="B296" s="60">
        <v>13.0</v>
      </c>
      <c r="C296" s="61" t="s">
        <v>178</v>
      </c>
      <c r="D296" s="54"/>
      <c r="E296" s="12" t="s">
        <v>175</v>
      </c>
    </row>
    <row r="297" ht="22.5" customHeight="1">
      <c r="A297" s="49">
        <v>46098.0</v>
      </c>
      <c r="B297" s="62">
        <v>24.0</v>
      </c>
      <c r="C297" s="63" t="s">
        <v>177</v>
      </c>
      <c r="D297" s="54"/>
      <c r="E297" s="12" t="s">
        <v>175</v>
      </c>
    </row>
    <row r="298" ht="22.5" customHeight="1">
      <c r="A298" s="49">
        <v>46098.0</v>
      </c>
      <c r="B298" s="60">
        <v>16.0</v>
      </c>
      <c r="C298" s="61" t="s">
        <v>176</v>
      </c>
      <c r="D298" s="54"/>
      <c r="E298" s="12" t="s">
        <v>175</v>
      </c>
    </row>
    <row r="299" ht="22.5" customHeight="1">
      <c r="A299" s="49">
        <v>46098.0</v>
      </c>
      <c r="B299" s="62">
        <v>12.0</v>
      </c>
      <c r="C299" s="63" t="s">
        <v>174</v>
      </c>
      <c r="D299" s="54"/>
      <c r="E299" s="12" t="s">
        <v>175</v>
      </c>
    </row>
    <row r="300" ht="22.5" customHeight="1">
      <c r="A300" s="49">
        <v>46098.0</v>
      </c>
      <c r="B300" s="60">
        <v>1.0</v>
      </c>
      <c r="C300" s="61" t="s">
        <v>188</v>
      </c>
      <c r="D300" s="54"/>
      <c r="E300" s="12" t="s">
        <v>175</v>
      </c>
    </row>
    <row r="301" ht="22.5" customHeight="1">
      <c r="A301" s="49">
        <v>46098.0</v>
      </c>
      <c r="B301" s="60">
        <v>1.0</v>
      </c>
      <c r="C301" s="68" t="s">
        <v>201</v>
      </c>
      <c r="D301" s="54"/>
      <c r="E301" s="12" t="s">
        <v>175</v>
      </c>
    </row>
    <row r="302" ht="22.5" customHeight="1">
      <c r="A302" s="49">
        <v>46098.0</v>
      </c>
      <c r="B302" s="62">
        <v>1.0</v>
      </c>
      <c r="C302" s="68" t="s">
        <v>181</v>
      </c>
      <c r="D302" s="54"/>
      <c r="E302" s="12" t="s">
        <v>175</v>
      </c>
    </row>
    <row r="303" ht="22.5" customHeight="1">
      <c r="A303" s="49">
        <v>46098.0</v>
      </c>
      <c r="B303" s="60">
        <v>1.0</v>
      </c>
      <c r="C303" s="61" t="s">
        <v>189</v>
      </c>
      <c r="D303" s="54"/>
      <c r="E303" s="12" t="s">
        <v>175</v>
      </c>
    </row>
    <row r="304" ht="22.5" customHeight="1">
      <c r="A304" s="49">
        <v>46098.0</v>
      </c>
      <c r="B304" s="62">
        <v>3.0</v>
      </c>
      <c r="C304" s="63" t="s">
        <v>186</v>
      </c>
      <c r="D304" s="54"/>
      <c r="E304" s="12" t="s">
        <v>175</v>
      </c>
    </row>
    <row r="305" ht="22.5" customHeight="1">
      <c r="A305" s="49">
        <v>46098.0</v>
      </c>
      <c r="B305" s="60">
        <v>1.0</v>
      </c>
      <c r="C305" s="65" t="s">
        <v>192</v>
      </c>
      <c r="D305" s="54"/>
      <c r="E305" s="12" t="s">
        <v>175</v>
      </c>
    </row>
    <row r="306" ht="22.5" customHeight="1">
      <c r="A306" s="49">
        <v>46098.0</v>
      </c>
      <c r="B306" s="62">
        <v>2.0</v>
      </c>
      <c r="C306" s="63" t="s">
        <v>187</v>
      </c>
      <c r="D306" s="54"/>
      <c r="E306" s="12" t="s">
        <v>175</v>
      </c>
    </row>
    <row r="307" ht="22.5" customHeight="1">
      <c r="A307" s="49">
        <v>46098.0</v>
      </c>
      <c r="B307" s="66">
        <v>4.0</v>
      </c>
      <c r="C307" s="67" t="s">
        <v>182</v>
      </c>
      <c r="D307" s="54"/>
      <c r="E307" s="12" t="s">
        <v>175</v>
      </c>
    </row>
    <row r="308" ht="22.5" customHeight="1">
      <c r="A308" s="49">
        <v>46099.0</v>
      </c>
      <c r="B308" s="60">
        <v>22.0</v>
      </c>
      <c r="C308" s="61" t="s">
        <v>178</v>
      </c>
      <c r="D308" s="54"/>
      <c r="E308" s="12" t="s">
        <v>175</v>
      </c>
    </row>
    <row r="309" ht="22.5" customHeight="1">
      <c r="A309" s="49">
        <v>46099.0</v>
      </c>
      <c r="B309" s="62">
        <v>19.0</v>
      </c>
      <c r="C309" s="63" t="s">
        <v>177</v>
      </c>
      <c r="D309" s="54"/>
      <c r="E309" s="12" t="s">
        <v>175</v>
      </c>
    </row>
    <row r="310" ht="22.5" customHeight="1">
      <c r="A310" s="49">
        <v>46099.0</v>
      </c>
      <c r="B310" s="60">
        <v>10.0</v>
      </c>
      <c r="C310" s="61" t="s">
        <v>176</v>
      </c>
      <c r="D310" s="54"/>
      <c r="E310" s="12" t="s">
        <v>175</v>
      </c>
    </row>
    <row r="311" ht="22.5" customHeight="1">
      <c r="A311" s="49">
        <v>46099.0</v>
      </c>
      <c r="B311" s="62">
        <v>9.0</v>
      </c>
      <c r="C311" s="63" t="s">
        <v>174</v>
      </c>
      <c r="D311" s="54"/>
      <c r="E311" s="12" t="s">
        <v>175</v>
      </c>
    </row>
    <row r="312" ht="22.5" customHeight="1">
      <c r="A312" s="49">
        <v>46099.0</v>
      </c>
      <c r="B312" s="60">
        <v>1.0</v>
      </c>
      <c r="C312" s="61" t="s">
        <v>188</v>
      </c>
      <c r="D312" s="54"/>
      <c r="E312" s="12" t="s">
        <v>175</v>
      </c>
    </row>
    <row r="313" ht="22.5" customHeight="1">
      <c r="A313" s="49">
        <v>46099.0</v>
      </c>
      <c r="B313" s="62">
        <v>1.0</v>
      </c>
      <c r="C313" s="68" t="s">
        <v>181</v>
      </c>
      <c r="D313" s="54"/>
      <c r="E313" s="12" t="s">
        <v>175</v>
      </c>
    </row>
    <row r="314" ht="22.5" customHeight="1">
      <c r="A314" s="49">
        <v>46099.0</v>
      </c>
      <c r="B314" s="60">
        <v>1.0</v>
      </c>
      <c r="C314" s="61" t="s">
        <v>189</v>
      </c>
      <c r="D314" s="54"/>
      <c r="E314" s="12" t="s">
        <v>175</v>
      </c>
    </row>
    <row r="315" ht="22.5" customHeight="1">
      <c r="A315" s="49">
        <v>46099.0</v>
      </c>
      <c r="B315" s="62">
        <v>5.0</v>
      </c>
      <c r="C315" s="63" t="s">
        <v>186</v>
      </c>
      <c r="D315" s="54"/>
      <c r="E315" s="12" t="s">
        <v>175</v>
      </c>
    </row>
    <row r="316" ht="22.5" customHeight="1">
      <c r="A316" s="49">
        <v>46099.0</v>
      </c>
      <c r="B316" s="60">
        <v>2.0</v>
      </c>
      <c r="C316" s="65" t="s">
        <v>192</v>
      </c>
      <c r="D316" s="54"/>
      <c r="E316" s="12" t="s">
        <v>175</v>
      </c>
    </row>
    <row r="317" ht="22.5" customHeight="1">
      <c r="A317" s="49">
        <v>46099.0</v>
      </c>
      <c r="B317" s="62">
        <v>4.0</v>
      </c>
      <c r="C317" s="63" t="s">
        <v>187</v>
      </c>
      <c r="D317" s="54"/>
      <c r="E317" s="12" t="s">
        <v>175</v>
      </c>
    </row>
    <row r="318" ht="22.5" customHeight="1">
      <c r="A318" s="49">
        <v>46099.0</v>
      </c>
      <c r="B318" s="66">
        <v>1.0</v>
      </c>
      <c r="C318" s="67" t="s">
        <v>182</v>
      </c>
      <c r="D318" s="54"/>
      <c r="E318" s="12" t="s">
        <v>175</v>
      </c>
    </row>
    <row r="319" ht="22.5" customHeight="1">
      <c r="A319" s="49">
        <v>46100.0</v>
      </c>
      <c r="B319" s="60">
        <v>13.0</v>
      </c>
      <c r="C319" s="61" t="s">
        <v>178</v>
      </c>
      <c r="D319" s="54"/>
      <c r="E319" s="12" t="s">
        <v>175</v>
      </c>
    </row>
    <row r="320" ht="22.5" customHeight="1">
      <c r="A320" s="49">
        <v>46100.0</v>
      </c>
      <c r="B320" s="62">
        <v>16.0</v>
      </c>
      <c r="C320" s="63" t="s">
        <v>177</v>
      </c>
      <c r="D320" s="54"/>
      <c r="E320" s="12" t="s">
        <v>175</v>
      </c>
    </row>
    <row r="321" ht="22.5" customHeight="1">
      <c r="A321" s="49">
        <v>46100.0</v>
      </c>
      <c r="B321" s="60">
        <v>20.0</v>
      </c>
      <c r="C321" s="61" t="s">
        <v>176</v>
      </c>
      <c r="D321" s="54"/>
      <c r="E321" s="12" t="s">
        <v>175</v>
      </c>
    </row>
    <row r="322" ht="22.5" customHeight="1">
      <c r="A322" s="49">
        <v>46100.0</v>
      </c>
      <c r="B322" s="62">
        <v>2.0</v>
      </c>
      <c r="C322" s="63" t="s">
        <v>174</v>
      </c>
      <c r="D322" s="54"/>
      <c r="E322" s="12" t="s">
        <v>175</v>
      </c>
    </row>
    <row r="323" ht="22.5" customHeight="1">
      <c r="A323" s="49">
        <v>46100.0</v>
      </c>
      <c r="B323" s="60">
        <v>1.0</v>
      </c>
      <c r="C323" s="61" t="s">
        <v>188</v>
      </c>
      <c r="D323" s="54"/>
      <c r="E323" s="12" t="s">
        <v>175</v>
      </c>
    </row>
    <row r="324" ht="22.5" customHeight="1">
      <c r="A324" s="49">
        <v>46100.0</v>
      </c>
      <c r="B324" s="62">
        <v>1.0</v>
      </c>
      <c r="C324" s="68" t="s">
        <v>181</v>
      </c>
      <c r="D324" s="54"/>
      <c r="E324" s="12" t="s">
        <v>175</v>
      </c>
    </row>
    <row r="325" ht="22.5" customHeight="1">
      <c r="A325" s="49">
        <v>46100.0</v>
      </c>
      <c r="B325" s="60">
        <v>2.0</v>
      </c>
      <c r="C325" s="61" t="s">
        <v>189</v>
      </c>
      <c r="D325" s="54"/>
      <c r="E325" s="12" t="s">
        <v>175</v>
      </c>
    </row>
    <row r="326" ht="22.5" customHeight="1">
      <c r="A326" s="49">
        <v>46100.0</v>
      </c>
      <c r="B326" s="62">
        <v>5.0</v>
      </c>
      <c r="C326" s="63" t="s">
        <v>186</v>
      </c>
      <c r="D326" s="54"/>
      <c r="E326" s="12" t="s">
        <v>175</v>
      </c>
    </row>
    <row r="327" ht="22.5" customHeight="1">
      <c r="A327" s="49">
        <v>46100.0</v>
      </c>
      <c r="B327" s="60">
        <v>3.0</v>
      </c>
      <c r="C327" s="65" t="s">
        <v>192</v>
      </c>
      <c r="D327" s="54"/>
      <c r="E327" s="12" t="s">
        <v>175</v>
      </c>
    </row>
    <row r="328" ht="22.5" customHeight="1">
      <c r="A328" s="49">
        <v>46100.0</v>
      </c>
      <c r="B328" s="62">
        <v>6.0</v>
      </c>
      <c r="C328" s="63" t="s">
        <v>187</v>
      </c>
      <c r="D328" s="54"/>
      <c r="E328" s="12" t="s">
        <v>175</v>
      </c>
    </row>
    <row r="329" ht="22.5" customHeight="1">
      <c r="A329" s="49">
        <v>46100.0</v>
      </c>
      <c r="B329" s="66">
        <v>2.0</v>
      </c>
      <c r="C329" s="67" t="s">
        <v>182</v>
      </c>
      <c r="D329" s="54"/>
      <c r="E329" s="12" t="s">
        <v>175</v>
      </c>
    </row>
    <row r="330" ht="22.5" customHeight="1">
      <c r="A330" s="49">
        <v>46101.0</v>
      </c>
      <c r="B330" s="60">
        <v>17.0</v>
      </c>
      <c r="C330" s="61" t="s">
        <v>178</v>
      </c>
      <c r="D330" s="54"/>
      <c r="E330" s="12" t="s">
        <v>175</v>
      </c>
    </row>
    <row r="331" ht="22.5" customHeight="1">
      <c r="A331" s="49">
        <v>46101.0</v>
      </c>
      <c r="B331" s="62">
        <v>28.0</v>
      </c>
      <c r="C331" s="63" t="s">
        <v>177</v>
      </c>
      <c r="D331" s="54"/>
      <c r="E331" s="12" t="s">
        <v>175</v>
      </c>
    </row>
    <row r="332" ht="22.5" customHeight="1">
      <c r="A332" s="49">
        <v>46101.0</v>
      </c>
      <c r="B332" s="60">
        <v>10.0</v>
      </c>
      <c r="C332" s="61" t="s">
        <v>176</v>
      </c>
      <c r="D332" s="54"/>
      <c r="E332" s="12" t="s">
        <v>175</v>
      </c>
    </row>
    <row r="333" ht="22.5" customHeight="1">
      <c r="A333" s="49">
        <v>46101.0</v>
      </c>
      <c r="B333" s="62">
        <v>9.0</v>
      </c>
      <c r="C333" s="63" t="s">
        <v>174</v>
      </c>
      <c r="D333" s="54"/>
      <c r="E333" s="12" t="s">
        <v>175</v>
      </c>
    </row>
    <row r="334" ht="22.5" customHeight="1">
      <c r="A334" s="49">
        <v>46101.0</v>
      </c>
      <c r="B334" s="60">
        <v>1.0</v>
      </c>
      <c r="C334" s="61" t="s">
        <v>188</v>
      </c>
      <c r="D334" s="54"/>
      <c r="E334" s="12" t="s">
        <v>175</v>
      </c>
    </row>
    <row r="335" ht="22.5" customHeight="1">
      <c r="A335" s="49">
        <v>46101.0</v>
      </c>
      <c r="B335" s="62">
        <v>2.0</v>
      </c>
      <c r="C335" s="68" t="s">
        <v>181</v>
      </c>
      <c r="D335" s="54"/>
      <c r="E335" s="12" t="s">
        <v>175</v>
      </c>
    </row>
    <row r="336" ht="22.5" customHeight="1">
      <c r="A336" s="49">
        <v>46101.0</v>
      </c>
      <c r="B336" s="60">
        <v>2.0</v>
      </c>
      <c r="C336" s="61" t="s">
        <v>189</v>
      </c>
      <c r="D336" s="54"/>
      <c r="E336" s="12" t="s">
        <v>175</v>
      </c>
    </row>
    <row r="337" ht="22.5" customHeight="1">
      <c r="A337" s="49">
        <v>46101.0</v>
      </c>
      <c r="B337" s="62">
        <v>3.0</v>
      </c>
      <c r="C337" s="68" t="s">
        <v>200</v>
      </c>
      <c r="D337" s="54"/>
      <c r="E337" s="12" t="s">
        <v>175</v>
      </c>
    </row>
    <row r="338" ht="22.5" customHeight="1">
      <c r="A338" s="49">
        <v>46101.0</v>
      </c>
      <c r="B338" s="62">
        <v>5.0</v>
      </c>
      <c r="C338" s="63" t="s">
        <v>186</v>
      </c>
      <c r="D338" s="54"/>
      <c r="E338" s="12" t="s">
        <v>175</v>
      </c>
    </row>
    <row r="339" ht="22.5" customHeight="1">
      <c r="A339" s="49">
        <v>46101.0</v>
      </c>
      <c r="B339" s="60">
        <v>3.0</v>
      </c>
      <c r="C339" s="65" t="s">
        <v>192</v>
      </c>
      <c r="D339" s="54"/>
      <c r="E339" s="12" t="s">
        <v>175</v>
      </c>
    </row>
    <row r="340" ht="22.5" customHeight="1">
      <c r="A340" s="49">
        <v>46101.0</v>
      </c>
      <c r="B340" s="62">
        <v>6.0</v>
      </c>
      <c r="C340" s="63" t="s">
        <v>187</v>
      </c>
      <c r="D340" s="54"/>
      <c r="E340" s="12" t="s">
        <v>175</v>
      </c>
    </row>
    <row r="341" ht="22.5" customHeight="1">
      <c r="A341" s="49">
        <v>46101.0</v>
      </c>
      <c r="B341" s="66">
        <v>4.0</v>
      </c>
      <c r="C341" s="67" t="s">
        <v>182</v>
      </c>
      <c r="D341" s="54"/>
      <c r="E341" s="12" t="s">
        <v>175</v>
      </c>
    </row>
    <row r="342" ht="22.5" customHeight="1">
      <c r="A342" s="49">
        <v>46102.0</v>
      </c>
      <c r="B342" s="60">
        <v>15.0</v>
      </c>
      <c r="C342" s="61" t="s">
        <v>178</v>
      </c>
      <c r="D342" s="54"/>
      <c r="E342" s="12" t="s">
        <v>175</v>
      </c>
    </row>
    <row r="343" ht="22.5" customHeight="1">
      <c r="A343" s="49">
        <v>46102.0</v>
      </c>
      <c r="B343" s="62">
        <v>24.0</v>
      </c>
      <c r="C343" s="63" t="s">
        <v>177</v>
      </c>
      <c r="D343" s="54"/>
      <c r="E343" s="12" t="s">
        <v>175</v>
      </c>
    </row>
    <row r="344" ht="22.5" customHeight="1">
      <c r="A344" s="49">
        <v>46102.0</v>
      </c>
      <c r="B344" s="60">
        <v>8.0</v>
      </c>
      <c r="C344" s="61" t="s">
        <v>176</v>
      </c>
      <c r="D344" s="54"/>
      <c r="E344" s="12" t="s">
        <v>175</v>
      </c>
    </row>
    <row r="345" ht="22.5" customHeight="1">
      <c r="A345" s="49">
        <v>46102.0</v>
      </c>
      <c r="B345" s="62">
        <v>6.0</v>
      </c>
      <c r="C345" s="63" t="s">
        <v>174</v>
      </c>
      <c r="D345" s="54"/>
      <c r="E345" s="12" t="s">
        <v>175</v>
      </c>
    </row>
    <row r="346" ht="22.5" customHeight="1">
      <c r="A346" s="49">
        <v>46102.0</v>
      </c>
      <c r="B346" s="60">
        <v>1.0</v>
      </c>
      <c r="C346" s="61" t="s">
        <v>188</v>
      </c>
      <c r="D346" s="54"/>
      <c r="E346" s="12" t="s">
        <v>175</v>
      </c>
    </row>
    <row r="347" ht="22.5" customHeight="1">
      <c r="A347" s="49">
        <v>46102.0</v>
      </c>
      <c r="B347" s="62">
        <v>1.0</v>
      </c>
      <c r="C347" s="68" t="s">
        <v>181</v>
      </c>
      <c r="D347" s="54"/>
      <c r="E347" s="12" t="s">
        <v>175</v>
      </c>
    </row>
    <row r="348" ht="22.5" customHeight="1">
      <c r="A348" s="49">
        <v>46102.0</v>
      </c>
      <c r="B348" s="60">
        <v>2.0</v>
      </c>
      <c r="C348" s="61" t="s">
        <v>189</v>
      </c>
      <c r="D348" s="54"/>
      <c r="E348" s="12" t="s">
        <v>175</v>
      </c>
    </row>
    <row r="349" ht="22.5" customHeight="1">
      <c r="A349" s="49">
        <v>46102.0</v>
      </c>
      <c r="B349" s="62">
        <v>2.0</v>
      </c>
      <c r="C349" s="68" t="s">
        <v>200</v>
      </c>
      <c r="D349" s="54"/>
      <c r="E349" s="12" t="s">
        <v>175</v>
      </c>
    </row>
    <row r="350" ht="22.5" customHeight="1">
      <c r="A350" s="49">
        <v>46102.0</v>
      </c>
      <c r="B350" s="62">
        <v>4.0</v>
      </c>
      <c r="C350" s="63" t="s">
        <v>186</v>
      </c>
      <c r="D350" s="54"/>
      <c r="E350" s="12" t="s">
        <v>175</v>
      </c>
    </row>
    <row r="351" ht="22.5" customHeight="1">
      <c r="A351" s="49">
        <v>46102.0</v>
      </c>
      <c r="B351" s="60">
        <v>2.0</v>
      </c>
      <c r="C351" s="65" t="s">
        <v>192</v>
      </c>
      <c r="D351" s="54"/>
      <c r="E351" s="12" t="s">
        <v>175</v>
      </c>
    </row>
    <row r="352" ht="22.5" customHeight="1">
      <c r="A352" s="49">
        <v>46102.0</v>
      </c>
      <c r="B352" s="62">
        <v>5.0</v>
      </c>
      <c r="C352" s="63" t="s">
        <v>187</v>
      </c>
      <c r="D352" s="54"/>
      <c r="E352" s="12" t="s">
        <v>175</v>
      </c>
    </row>
    <row r="353" ht="22.5" customHeight="1">
      <c r="A353" s="49">
        <v>46105.0</v>
      </c>
      <c r="B353" s="60">
        <v>15.0</v>
      </c>
      <c r="C353" s="61" t="s">
        <v>178</v>
      </c>
      <c r="D353" s="54"/>
      <c r="E353" s="12" t="s">
        <v>175</v>
      </c>
    </row>
    <row r="354" ht="22.5" customHeight="1">
      <c r="A354" s="49">
        <v>46105.0</v>
      </c>
      <c r="B354" s="62">
        <v>13.0</v>
      </c>
      <c r="C354" s="63" t="s">
        <v>177</v>
      </c>
      <c r="D354" s="54"/>
      <c r="E354" s="12" t="s">
        <v>175</v>
      </c>
    </row>
    <row r="355" ht="22.5" customHeight="1">
      <c r="A355" s="49">
        <v>46105.0</v>
      </c>
      <c r="B355" s="60">
        <v>10.0</v>
      </c>
      <c r="C355" s="61" t="s">
        <v>176</v>
      </c>
      <c r="D355" s="54"/>
      <c r="E355" s="12" t="s">
        <v>175</v>
      </c>
    </row>
    <row r="356" ht="22.5" customHeight="1">
      <c r="A356" s="49">
        <v>46105.0</v>
      </c>
      <c r="B356" s="62">
        <v>7.0</v>
      </c>
      <c r="C356" s="63" t="s">
        <v>174</v>
      </c>
      <c r="D356" s="54" t="s">
        <v>202</v>
      </c>
      <c r="E356" s="12" t="s">
        <v>175</v>
      </c>
    </row>
    <row r="357" ht="22.5" customHeight="1">
      <c r="A357" s="49">
        <v>46105.0</v>
      </c>
      <c r="B357" s="60">
        <v>1.0</v>
      </c>
      <c r="C357" s="61" t="s">
        <v>188</v>
      </c>
      <c r="D357" s="54"/>
      <c r="E357" s="12" t="s">
        <v>175</v>
      </c>
    </row>
    <row r="358" ht="22.5" customHeight="1">
      <c r="A358" s="49">
        <v>46105.0</v>
      </c>
      <c r="B358" s="62">
        <v>1.0</v>
      </c>
      <c r="C358" s="68" t="s">
        <v>181</v>
      </c>
      <c r="D358" s="54"/>
      <c r="E358" s="12" t="s">
        <v>175</v>
      </c>
    </row>
    <row r="359" ht="22.5" customHeight="1">
      <c r="A359" s="49">
        <v>46105.0</v>
      </c>
      <c r="B359" s="60">
        <v>2.0</v>
      </c>
      <c r="C359" s="61" t="s">
        <v>189</v>
      </c>
      <c r="D359" s="54"/>
      <c r="E359" s="12" t="s">
        <v>175</v>
      </c>
    </row>
    <row r="360" ht="22.5" customHeight="1">
      <c r="A360" s="49">
        <v>46105.0</v>
      </c>
      <c r="B360" s="62">
        <v>2.0</v>
      </c>
      <c r="C360" s="68" t="s">
        <v>200</v>
      </c>
      <c r="D360" s="54"/>
      <c r="E360" s="12" t="s">
        <v>175</v>
      </c>
    </row>
    <row r="361" ht="22.5" customHeight="1">
      <c r="A361" s="49">
        <v>46105.0</v>
      </c>
      <c r="B361" s="62">
        <v>4.0</v>
      </c>
      <c r="C361" s="63" t="s">
        <v>186</v>
      </c>
      <c r="D361" s="54"/>
      <c r="E361" s="12" t="s">
        <v>175</v>
      </c>
    </row>
    <row r="362" ht="22.5" customHeight="1">
      <c r="A362" s="49">
        <v>46105.0</v>
      </c>
      <c r="B362" s="60">
        <v>1.0</v>
      </c>
      <c r="C362" s="65" t="s">
        <v>192</v>
      </c>
      <c r="D362" s="54"/>
      <c r="E362" s="12" t="s">
        <v>175</v>
      </c>
    </row>
    <row r="363" ht="22.5" customHeight="1">
      <c r="A363" s="49">
        <v>46105.0</v>
      </c>
      <c r="B363" s="62">
        <v>4.0</v>
      </c>
      <c r="C363" s="63" t="s">
        <v>187</v>
      </c>
      <c r="D363" s="54"/>
      <c r="E363" s="12" t="s">
        <v>175</v>
      </c>
    </row>
    <row r="364" ht="22.5" customHeight="1">
      <c r="A364" s="49">
        <v>46105.0</v>
      </c>
      <c r="B364" s="66">
        <v>7.0</v>
      </c>
      <c r="C364" s="67" t="s">
        <v>182</v>
      </c>
      <c r="D364" s="54"/>
      <c r="E364" s="12" t="s">
        <v>175</v>
      </c>
    </row>
    <row r="365" ht="22.5" customHeight="1">
      <c r="A365" s="49">
        <v>46106.0</v>
      </c>
      <c r="B365" s="60">
        <v>29.0</v>
      </c>
      <c r="C365" s="61" t="s">
        <v>178</v>
      </c>
      <c r="D365" s="54"/>
      <c r="E365" s="12" t="s">
        <v>175</v>
      </c>
    </row>
    <row r="366" ht="22.5" customHeight="1">
      <c r="A366" s="49">
        <v>46106.0</v>
      </c>
      <c r="B366" s="62">
        <v>25.0</v>
      </c>
      <c r="C366" s="63" t="s">
        <v>177</v>
      </c>
      <c r="D366" s="54"/>
      <c r="E366" s="12" t="s">
        <v>175</v>
      </c>
    </row>
    <row r="367" ht="22.5" customHeight="1">
      <c r="A367" s="49">
        <v>46106.0</v>
      </c>
      <c r="B367" s="60">
        <v>19.0</v>
      </c>
      <c r="C367" s="61" t="s">
        <v>176</v>
      </c>
      <c r="D367" s="54"/>
      <c r="E367" s="12" t="s">
        <v>175</v>
      </c>
    </row>
    <row r="368" ht="22.5" customHeight="1">
      <c r="A368" s="49">
        <v>46106.0</v>
      </c>
      <c r="B368" s="62">
        <v>9.0</v>
      </c>
      <c r="C368" s="63" t="s">
        <v>174</v>
      </c>
      <c r="D368" s="54"/>
      <c r="E368" s="12" t="s">
        <v>175</v>
      </c>
    </row>
    <row r="369" ht="22.5" customHeight="1">
      <c r="A369" s="49">
        <v>46106.0</v>
      </c>
      <c r="B369" s="60">
        <v>1.0</v>
      </c>
      <c r="C369" s="61" t="s">
        <v>188</v>
      </c>
      <c r="D369" s="54"/>
      <c r="E369" s="12" t="s">
        <v>175</v>
      </c>
    </row>
    <row r="370" ht="22.5" customHeight="1">
      <c r="A370" s="49">
        <v>46106.0</v>
      </c>
      <c r="B370" s="62">
        <v>1.0</v>
      </c>
      <c r="C370" s="68" t="s">
        <v>181</v>
      </c>
      <c r="D370" s="54"/>
      <c r="E370" s="12" t="s">
        <v>175</v>
      </c>
    </row>
    <row r="371" ht="22.5" customHeight="1">
      <c r="A371" s="49">
        <v>46106.0</v>
      </c>
      <c r="B371" s="60">
        <v>1.0</v>
      </c>
      <c r="C371" s="61" t="s">
        <v>189</v>
      </c>
      <c r="D371" s="54"/>
      <c r="E371" s="12" t="s">
        <v>175</v>
      </c>
    </row>
    <row r="372" ht="22.5" customHeight="1">
      <c r="A372" s="49">
        <v>46106.0</v>
      </c>
      <c r="B372" s="62">
        <v>2.0</v>
      </c>
      <c r="C372" s="68" t="s">
        <v>200</v>
      </c>
      <c r="D372" s="54"/>
      <c r="E372" s="12" t="s">
        <v>175</v>
      </c>
    </row>
    <row r="373" ht="22.5" customHeight="1">
      <c r="A373" s="49">
        <v>46106.0</v>
      </c>
      <c r="B373" s="62">
        <v>4.0</v>
      </c>
      <c r="C373" s="63" t="s">
        <v>186</v>
      </c>
      <c r="D373" s="54"/>
      <c r="E373" s="12" t="s">
        <v>175</v>
      </c>
    </row>
    <row r="374" ht="22.5" customHeight="1">
      <c r="A374" s="49">
        <v>46106.0</v>
      </c>
      <c r="B374" s="60">
        <v>1.0</v>
      </c>
      <c r="C374" s="65" t="s">
        <v>192</v>
      </c>
      <c r="D374" s="54"/>
      <c r="E374" s="12" t="s">
        <v>175</v>
      </c>
    </row>
    <row r="375" ht="22.5" customHeight="1">
      <c r="A375" s="49">
        <v>46106.0</v>
      </c>
      <c r="B375" s="62">
        <v>4.0</v>
      </c>
      <c r="C375" s="63" t="s">
        <v>187</v>
      </c>
      <c r="D375" s="54"/>
      <c r="E375" s="12" t="s">
        <v>175</v>
      </c>
    </row>
    <row r="376" ht="22.5" customHeight="1">
      <c r="A376" s="49">
        <v>46106.0</v>
      </c>
      <c r="B376" s="66">
        <v>6.0</v>
      </c>
      <c r="C376" s="67" t="s">
        <v>182</v>
      </c>
      <c r="D376" s="54"/>
      <c r="E376" s="12" t="s">
        <v>175</v>
      </c>
    </row>
    <row r="377" ht="22.5" customHeight="1">
      <c r="A377" s="49">
        <v>46107.0</v>
      </c>
      <c r="B377" s="60">
        <v>20.0</v>
      </c>
      <c r="C377" s="61" t="s">
        <v>178</v>
      </c>
      <c r="D377" s="54"/>
      <c r="E377" s="12" t="s">
        <v>175</v>
      </c>
    </row>
    <row r="378" ht="22.5" customHeight="1">
      <c r="A378" s="49">
        <v>46107.0</v>
      </c>
      <c r="B378" s="62">
        <v>24.0</v>
      </c>
      <c r="C378" s="63" t="s">
        <v>177</v>
      </c>
      <c r="D378" s="54"/>
      <c r="E378" s="12" t="s">
        <v>175</v>
      </c>
    </row>
    <row r="379" ht="22.5" customHeight="1">
      <c r="A379" s="49">
        <v>46107.0</v>
      </c>
      <c r="B379" s="60">
        <v>18.0</v>
      </c>
      <c r="C379" s="61" t="s">
        <v>176</v>
      </c>
      <c r="D379" s="54"/>
      <c r="E379" s="12" t="s">
        <v>175</v>
      </c>
    </row>
    <row r="380" ht="22.5" customHeight="1">
      <c r="A380" s="49">
        <v>46107.0</v>
      </c>
      <c r="B380" s="62">
        <v>2.0</v>
      </c>
      <c r="C380" s="63" t="s">
        <v>174</v>
      </c>
      <c r="D380" s="54"/>
      <c r="E380" s="12" t="s">
        <v>175</v>
      </c>
    </row>
    <row r="381" ht="22.5" customHeight="1">
      <c r="A381" s="49">
        <v>46107.0</v>
      </c>
      <c r="B381" s="60">
        <v>1.0</v>
      </c>
      <c r="C381" s="61" t="s">
        <v>188</v>
      </c>
      <c r="D381" s="54"/>
      <c r="E381" s="12" t="s">
        <v>175</v>
      </c>
    </row>
    <row r="382" ht="22.5" customHeight="1">
      <c r="A382" s="49">
        <v>46107.0</v>
      </c>
      <c r="B382" s="62">
        <v>1.0</v>
      </c>
      <c r="C382" s="68" t="s">
        <v>181</v>
      </c>
      <c r="D382" s="54"/>
      <c r="E382" s="12" t="s">
        <v>175</v>
      </c>
    </row>
    <row r="383" ht="22.5" customHeight="1">
      <c r="A383" s="49">
        <v>46107.0</v>
      </c>
      <c r="B383" s="60">
        <v>1.0</v>
      </c>
      <c r="C383" s="61" t="s">
        <v>189</v>
      </c>
      <c r="D383" s="54"/>
      <c r="E383" s="12" t="s">
        <v>175</v>
      </c>
    </row>
    <row r="384" ht="22.5" customHeight="1">
      <c r="A384" s="49">
        <v>46107.0</v>
      </c>
      <c r="B384" s="62">
        <v>2.0</v>
      </c>
      <c r="C384" s="68" t="s">
        <v>200</v>
      </c>
      <c r="D384" s="54"/>
      <c r="E384" s="12" t="s">
        <v>175</v>
      </c>
    </row>
    <row r="385" ht="22.5" customHeight="1">
      <c r="A385" s="49">
        <v>46107.0</v>
      </c>
      <c r="B385" s="62">
        <v>4.0</v>
      </c>
      <c r="C385" s="63" t="s">
        <v>186</v>
      </c>
      <c r="D385" s="54"/>
      <c r="E385" s="12" t="s">
        <v>175</v>
      </c>
    </row>
    <row r="386" ht="22.5" customHeight="1">
      <c r="A386" s="49">
        <v>46107.0</v>
      </c>
      <c r="B386" s="62">
        <v>4.0</v>
      </c>
      <c r="C386" s="63" t="s">
        <v>187</v>
      </c>
      <c r="D386" s="54"/>
      <c r="E386" s="12" t="s">
        <v>175</v>
      </c>
    </row>
    <row r="387" ht="22.5" customHeight="1">
      <c r="A387" s="49">
        <v>46107.0</v>
      </c>
      <c r="B387" s="66">
        <v>6.0</v>
      </c>
      <c r="C387" s="67" t="s">
        <v>182</v>
      </c>
      <c r="D387" s="54"/>
      <c r="E387" s="12" t="s">
        <v>175</v>
      </c>
    </row>
    <row r="388" ht="22.5" customHeight="1">
      <c r="A388" s="49">
        <v>46107.0</v>
      </c>
      <c r="B388" s="66">
        <v>96.0</v>
      </c>
      <c r="C388" s="67" t="s">
        <v>183</v>
      </c>
      <c r="D388" s="54"/>
      <c r="E388" s="12" t="s">
        <v>175</v>
      </c>
    </row>
    <row r="389" ht="22.5" customHeight="1">
      <c r="A389" s="49">
        <v>46107.0</v>
      </c>
      <c r="B389" s="66">
        <v>18.0</v>
      </c>
      <c r="C389" s="67" t="s">
        <v>184</v>
      </c>
      <c r="D389" s="54"/>
      <c r="E389" s="12" t="s">
        <v>175</v>
      </c>
    </row>
    <row r="390" ht="22.5" customHeight="1">
      <c r="A390" s="49">
        <v>46107.0</v>
      </c>
      <c r="B390" s="66">
        <v>12.0</v>
      </c>
      <c r="C390" s="67" t="s">
        <v>185</v>
      </c>
      <c r="D390" s="54"/>
      <c r="E390" s="12" t="s">
        <v>175</v>
      </c>
    </row>
    <row r="391" ht="22.5" customHeight="1">
      <c r="A391" s="49">
        <v>46108.0</v>
      </c>
      <c r="B391" s="60">
        <v>27.0</v>
      </c>
      <c r="C391" s="61" t="s">
        <v>178</v>
      </c>
      <c r="D391" s="54"/>
      <c r="E391" s="12" t="s">
        <v>175</v>
      </c>
    </row>
    <row r="392" ht="22.5" customHeight="1">
      <c r="A392" s="49">
        <v>46108.0</v>
      </c>
      <c r="B392" s="62">
        <v>23.0</v>
      </c>
      <c r="C392" s="63" t="s">
        <v>177</v>
      </c>
      <c r="D392" s="54"/>
      <c r="E392" s="12" t="s">
        <v>175</v>
      </c>
    </row>
    <row r="393" ht="22.5" customHeight="1">
      <c r="A393" s="49">
        <v>46108.0</v>
      </c>
      <c r="B393" s="60">
        <v>14.0</v>
      </c>
      <c r="C393" s="61" t="s">
        <v>176</v>
      </c>
      <c r="D393" s="54"/>
      <c r="E393" s="12" t="s">
        <v>175</v>
      </c>
    </row>
    <row r="394" ht="22.5" customHeight="1">
      <c r="A394" s="49">
        <v>46108.0</v>
      </c>
      <c r="B394" s="62">
        <v>12.0</v>
      </c>
      <c r="C394" s="63" t="s">
        <v>174</v>
      </c>
      <c r="D394" s="54"/>
      <c r="E394" s="12" t="s">
        <v>175</v>
      </c>
    </row>
    <row r="395" ht="22.5" customHeight="1">
      <c r="A395" s="49">
        <v>46108.0</v>
      </c>
      <c r="B395" s="60">
        <v>1.0</v>
      </c>
      <c r="C395" s="61" t="s">
        <v>188</v>
      </c>
      <c r="D395" s="54"/>
      <c r="E395" s="12" t="s">
        <v>175</v>
      </c>
    </row>
    <row r="396" ht="22.5" customHeight="1">
      <c r="A396" s="49">
        <v>46108.0</v>
      </c>
      <c r="B396" s="62">
        <v>1.0</v>
      </c>
      <c r="C396" s="68" t="s">
        <v>181</v>
      </c>
      <c r="D396" s="54"/>
      <c r="E396" s="12" t="s">
        <v>175</v>
      </c>
    </row>
    <row r="397" ht="22.5" customHeight="1">
      <c r="A397" s="49">
        <v>46108.0</v>
      </c>
      <c r="B397" s="60">
        <v>1.0</v>
      </c>
      <c r="C397" s="61" t="s">
        <v>189</v>
      </c>
      <c r="D397" s="54"/>
      <c r="E397" s="12" t="s">
        <v>175</v>
      </c>
    </row>
    <row r="398" ht="22.5" customHeight="1">
      <c r="A398" s="49">
        <v>46108.0</v>
      </c>
      <c r="B398" s="62">
        <v>2.0</v>
      </c>
      <c r="C398" s="68" t="s">
        <v>200</v>
      </c>
      <c r="D398" s="54"/>
      <c r="E398" s="12" t="s">
        <v>175</v>
      </c>
    </row>
    <row r="399" ht="22.5" customHeight="1">
      <c r="A399" s="49">
        <v>46108.0</v>
      </c>
      <c r="B399" s="62">
        <v>6.0</v>
      </c>
      <c r="C399" s="63" t="s">
        <v>186</v>
      </c>
      <c r="D399" s="54"/>
      <c r="E399" s="12" t="s">
        <v>175</v>
      </c>
    </row>
    <row r="400" ht="22.5" customHeight="1">
      <c r="A400" s="49">
        <v>46108.0</v>
      </c>
      <c r="B400" s="62">
        <v>7.0</v>
      </c>
      <c r="C400" s="63" t="s">
        <v>187</v>
      </c>
      <c r="D400" s="54"/>
      <c r="E400" s="12" t="s">
        <v>175</v>
      </c>
    </row>
    <row r="401" ht="22.5" customHeight="1">
      <c r="A401" s="49">
        <v>46108.0</v>
      </c>
      <c r="B401" s="66">
        <v>6.0</v>
      </c>
      <c r="C401" s="67" t="s">
        <v>182</v>
      </c>
      <c r="D401" s="54"/>
      <c r="E401" s="12" t="s">
        <v>175</v>
      </c>
    </row>
    <row r="402" ht="22.5" customHeight="1">
      <c r="A402" s="49">
        <v>46109.0</v>
      </c>
      <c r="B402" s="60">
        <v>20.0</v>
      </c>
      <c r="C402" s="61" t="s">
        <v>178</v>
      </c>
      <c r="D402" s="54"/>
      <c r="E402" s="12" t="s">
        <v>175</v>
      </c>
    </row>
    <row r="403" ht="22.5" customHeight="1">
      <c r="A403" s="49">
        <v>46109.0</v>
      </c>
      <c r="B403" s="69">
        <v>17.0</v>
      </c>
      <c r="C403" s="63" t="s">
        <v>177</v>
      </c>
      <c r="D403" s="54"/>
      <c r="E403" s="12" t="s">
        <v>175</v>
      </c>
    </row>
    <row r="404" ht="22.5" customHeight="1">
      <c r="A404" s="49">
        <v>46109.0</v>
      </c>
      <c r="B404" s="69">
        <v>10.0</v>
      </c>
      <c r="C404" s="61" t="s">
        <v>176</v>
      </c>
      <c r="D404" s="54"/>
      <c r="E404" s="12" t="s">
        <v>175</v>
      </c>
    </row>
    <row r="405" ht="22.5" customHeight="1">
      <c r="A405" s="49">
        <v>46109.0</v>
      </c>
      <c r="B405" s="62">
        <v>5.0</v>
      </c>
      <c r="C405" s="63" t="s">
        <v>174</v>
      </c>
      <c r="D405" s="54"/>
      <c r="E405" s="12" t="s">
        <v>175</v>
      </c>
    </row>
    <row r="406" ht="22.5" customHeight="1">
      <c r="A406" s="49">
        <v>46109.0</v>
      </c>
      <c r="B406" s="60">
        <v>1.0</v>
      </c>
      <c r="C406" s="61" t="s">
        <v>188</v>
      </c>
      <c r="D406" s="54"/>
      <c r="E406" s="12" t="s">
        <v>175</v>
      </c>
    </row>
    <row r="407" ht="22.5" customHeight="1">
      <c r="A407" s="49">
        <v>46109.0</v>
      </c>
      <c r="B407" s="62">
        <v>1.0</v>
      </c>
      <c r="C407" s="68" t="s">
        <v>181</v>
      </c>
      <c r="D407" s="54"/>
      <c r="E407" s="12" t="s">
        <v>175</v>
      </c>
    </row>
    <row r="408" ht="22.5" customHeight="1">
      <c r="A408" s="49">
        <v>46109.0</v>
      </c>
      <c r="B408" s="62">
        <v>2.0</v>
      </c>
      <c r="C408" s="68" t="s">
        <v>200</v>
      </c>
      <c r="D408" s="54"/>
      <c r="E408" s="12" t="s">
        <v>175</v>
      </c>
    </row>
    <row r="409" ht="22.5" customHeight="1">
      <c r="A409" s="49">
        <v>46109.0</v>
      </c>
      <c r="B409" s="62">
        <v>4.0</v>
      </c>
      <c r="C409" s="63" t="s">
        <v>186</v>
      </c>
      <c r="D409" s="54"/>
      <c r="E409" s="12" t="s">
        <v>175</v>
      </c>
    </row>
    <row r="410" ht="22.5" customHeight="1">
      <c r="A410" s="49">
        <v>46109.0</v>
      </c>
      <c r="B410" s="62">
        <v>7.0</v>
      </c>
      <c r="C410" s="63" t="s">
        <v>187</v>
      </c>
      <c r="D410" s="54"/>
      <c r="E410" s="12" t="s">
        <v>175</v>
      </c>
    </row>
    <row r="411" ht="22.5" customHeight="1">
      <c r="A411" s="49">
        <v>46109.0</v>
      </c>
      <c r="B411" s="66">
        <v>5.0</v>
      </c>
      <c r="C411" s="67" t="s">
        <v>182</v>
      </c>
      <c r="D411" s="54"/>
      <c r="E411" s="12" t="s">
        <v>175</v>
      </c>
    </row>
    <row r="412" ht="22.5" customHeight="1">
      <c r="A412" s="49">
        <v>46111.0</v>
      </c>
      <c r="B412" s="69">
        <v>23.0</v>
      </c>
      <c r="C412" s="61" t="s">
        <v>178</v>
      </c>
      <c r="D412" s="54"/>
      <c r="E412" s="12" t="s">
        <v>175</v>
      </c>
    </row>
    <row r="413" ht="22.5" customHeight="1">
      <c r="A413" s="49">
        <v>46111.0</v>
      </c>
      <c r="B413" s="69">
        <v>24.0</v>
      </c>
      <c r="C413" s="63" t="s">
        <v>177</v>
      </c>
      <c r="D413" s="54"/>
      <c r="E413" s="12" t="s">
        <v>175</v>
      </c>
    </row>
    <row r="414" ht="22.5" customHeight="1">
      <c r="A414" s="49">
        <v>46111.0</v>
      </c>
      <c r="B414" s="69">
        <v>19.0</v>
      </c>
      <c r="C414" s="61" t="s">
        <v>176</v>
      </c>
      <c r="D414" s="54"/>
      <c r="E414" s="12" t="s">
        <v>175</v>
      </c>
    </row>
    <row r="415" ht="22.5" customHeight="1">
      <c r="A415" s="49">
        <v>46111.0</v>
      </c>
      <c r="B415" s="69">
        <v>2.0</v>
      </c>
      <c r="C415" s="63" t="s">
        <v>174</v>
      </c>
      <c r="D415" s="54"/>
      <c r="E415" s="12" t="s">
        <v>175</v>
      </c>
    </row>
    <row r="416" ht="22.5" customHeight="1">
      <c r="A416" s="49">
        <v>46111.0</v>
      </c>
      <c r="B416" s="69">
        <v>1.0</v>
      </c>
      <c r="C416" s="61" t="s">
        <v>188</v>
      </c>
      <c r="D416" s="54"/>
      <c r="E416" s="12" t="s">
        <v>175</v>
      </c>
    </row>
    <row r="417" ht="22.5" customHeight="1">
      <c r="A417" s="49">
        <v>46111.0</v>
      </c>
      <c r="B417" s="69">
        <v>1.0</v>
      </c>
      <c r="C417" s="68" t="s">
        <v>181</v>
      </c>
      <c r="D417" s="54"/>
      <c r="E417" s="12" t="s">
        <v>175</v>
      </c>
    </row>
    <row r="418" ht="22.5" customHeight="1">
      <c r="A418" s="49">
        <v>46111.0</v>
      </c>
      <c r="B418" s="69">
        <v>2.0</v>
      </c>
      <c r="C418" s="68" t="s">
        <v>200</v>
      </c>
      <c r="D418" s="54"/>
      <c r="E418" s="12" t="s">
        <v>175</v>
      </c>
    </row>
    <row r="419" ht="22.5" customHeight="1">
      <c r="A419" s="49">
        <v>46111.0</v>
      </c>
      <c r="B419" s="69">
        <v>2.0</v>
      </c>
      <c r="C419" s="68" t="s">
        <v>189</v>
      </c>
      <c r="D419" s="54"/>
      <c r="E419" s="12" t="s">
        <v>175</v>
      </c>
    </row>
    <row r="420" ht="22.5" customHeight="1">
      <c r="A420" s="49">
        <v>46111.0</v>
      </c>
      <c r="B420" s="69">
        <v>3.0</v>
      </c>
      <c r="C420" s="63" t="s">
        <v>186</v>
      </c>
      <c r="D420" s="54"/>
      <c r="E420" s="12" t="s">
        <v>175</v>
      </c>
    </row>
    <row r="421" ht="22.5" customHeight="1">
      <c r="A421" s="49">
        <v>46111.0</v>
      </c>
      <c r="B421" s="69">
        <v>6.0</v>
      </c>
      <c r="C421" s="63" t="s">
        <v>187</v>
      </c>
      <c r="D421" s="54"/>
      <c r="E421" s="12" t="s">
        <v>175</v>
      </c>
    </row>
    <row r="422" ht="22.5" customHeight="1">
      <c r="A422" s="49">
        <v>46111.0</v>
      </c>
      <c r="B422" s="70">
        <v>5.0</v>
      </c>
      <c r="C422" s="67" t="s">
        <v>182</v>
      </c>
      <c r="D422" s="54"/>
      <c r="E422" s="12" t="s">
        <v>175</v>
      </c>
    </row>
    <row r="423" ht="22.5" customHeight="1">
      <c r="A423" s="49">
        <v>46112.0</v>
      </c>
      <c r="B423" s="69">
        <v>21.0</v>
      </c>
      <c r="C423" s="61" t="s">
        <v>178</v>
      </c>
      <c r="D423" s="54"/>
      <c r="E423" s="12" t="s">
        <v>175</v>
      </c>
    </row>
    <row r="424" ht="22.5" customHeight="1">
      <c r="A424" s="49">
        <v>46112.0</v>
      </c>
      <c r="B424" s="69">
        <v>30.0</v>
      </c>
      <c r="C424" s="63" t="s">
        <v>177</v>
      </c>
      <c r="D424" s="54"/>
      <c r="E424" s="12" t="s">
        <v>175</v>
      </c>
    </row>
    <row r="425" ht="22.5" customHeight="1">
      <c r="A425" s="49">
        <v>46112.0</v>
      </c>
      <c r="B425" s="69">
        <v>13.0</v>
      </c>
      <c r="C425" s="61" t="s">
        <v>176</v>
      </c>
      <c r="D425" s="54"/>
      <c r="E425" s="12" t="s">
        <v>175</v>
      </c>
    </row>
    <row r="426" ht="22.5" customHeight="1">
      <c r="A426" s="49">
        <v>46112.0</v>
      </c>
      <c r="B426" s="69">
        <v>9.0</v>
      </c>
      <c r="C426" s="63" t="s">
        <v>174</v>
      </c>
      <c r="D426" s="54"/>
      <c r="E426" s="12" t="s">
        <v>175</v>
      </c>
    </row>
    <row r="427" ht="22.5" customHeight="1">
      <c r="A427" s="49">
        <v>46112.0</v>
      </c>
      <c r="B427" s="69">
        <v>1.0</v>
      </c>
      <c r="C427" s="61" t="s">
        <v>188</v>
      </c>
      <c r="D427" s="54"/>
      <c r="E427" s="12" t="s">
        <v>175</v>
      </c>
    </row>
    <row r="428" ht="22.5" customHeight="1">
      <c r="A428" s="49">
        <v>46112.0</v>
      </c>
      <c r="B428" s="69">
        <v>1.0</v>
      </c>
      <c r="C428" s="68" t="s">
        <v>203</v>
      </c>
      <c r="D428" s="54"/>
      <c r="E428" s="12" t="s">
        <v>175</v>
      </c>
    </row>
    <row r="429" ht="22.5" customHeight="1">
      <c r="A429" s="49">
        <v>46112.0</v>
      </c>
      <c r="B429" s="69">
        <v>1.0</v>
      </c>
      <c r="C429" s="68" t="s">
        <v>181</v>
      </c>
      <c r="D429" s="54"/>
      <c r="E429" s="12" t="s">
        <v>175</v>
      </c>
    </row>
    <row r="430" ht="22.5" customHeight="1">
      <c r="A430" s="49">
        <v>46112.0</v>
      </c>
      <c r="B430" s="69">
        <v>1.0</v>
      </c>
      <c r="C430" s="68" t="s">
        <v>200</v>
      </c>
      <c r="D430" s="54"/>
      <c r="E430" s="12" t="s">
        <v>175</v>
      </c>
    </row>
    <row r="431" ht="22.5" customHeight="1">
      <c r="A431" s="49">
        <v>46112.0</v>
      </c>
      <c r="B431" s="69">
        <v>4.0</v>
      </c>
      <c r="C431" s="68" t="s">
        <v>189</v>
      </c>
      <c r="D431" s="54"/>
      <c r="E431" s="12" t="s">
        <v>175</v>
      </c>
    </row>
    <row r="432" ht="22.5" customHeight="1">
      <c r="A432" s="49">
        <v>46112.0</v>
      </c>
      <c r="B432" s="69">
        <v>3.0</v>
      </c>
      <c r="C432" s="63" t="s">
        <v>186</v>
      </c>
      <c r="D432" s="54"/>
      <c r="E432" s="12" t="s">
        <v>175</v>
      </c>
    </row>
    <row r="433" ht="22.5" customHeight="1">
      <c r="A433" s="49">
        <v>46112.0</v>
      </c>
      <c r="B433" s="69">
        <v>6.0</v>
      </c>
      <c r="C433" s="63" t="s">
        <v>187</v>
      </c>
      <c r="D433" s="54"/>
      <c r="E433" s="12" t="s">
        <v>175</v>
      </c>
    </row>
    <row r="434" ht="22.5" customHeight="1">
      <c r="A434" s="49">
        <v>46112.0</v>
      </c>
      <c r="B434" s="70">
        <v>2.0</v>
      </c>
      <c r="C434" s="67" t="s">
        <v>197</v>
      </c>
      <c r="D434" s="54"/>
      <c r="E434" s="12" t="s">
        <v>175</v>
      </c>
    </row>
    <row r="435" ht="22.5" customHeight="1">
      <c r="A435" s="49">
        <v>46112.0</v>
      </c>
      <c r="B435" s="70">
        <v>3.0</v>
      </c>
      <c r="C435" s="67" t="s">
        <v>182</v>
      </c>
      <c r="D435" s="54"/>
      <c r="E435" s="12" t="s">
        <v>175</v>
      </c>
    </row>
    <row r="436" ht="22.5" customHeight="1">
      <c r="A436" s="49">
        <v>46112.0</v>
      </c>
      <c r="B436" s="70">
        <v>90.0</v>
      </c>
      <c r="C436" s="67" t="s">
        <v>183</v>
      </c>
      <c r="D436" s="54"/>
      <c r="E436" s="12" t="s">
        <v>175</v>
      </c>
    </row>
    <row r="437" ht="22.5" customHeight="1">
      <c r="A437" s="49">
        <v>46112.0</v>
      </c>
      <c r="B437" s="70">
        <v>3.0</v>
      </c>
      <c r="C437" s="67" t="s">
        <v>187</v>
      </c>
      <c r="D437" s="54"/>
      <c r="E437" s="12" t="s">
        <v>175</v>
      </c>
    </row>
    <row r="438" ht="22.5" customHeight="1">
      <c r="A438" s="49">
        <v>46112.0</v>
      </c>
      <c r="B438" s="70">
        <v>3.0</v>
      </c>
      <c r="C438" s="67" t="s">
        <v>199</v>
      </c>
      <c r="D438" s="54"/>
      <c r="E438" s="12" t="s">
        <v>175</v>
      </c>
    </row>
    <row r="439" ht="22.5" customHeight="1">
      <c r="A439" s="49">
        <v>46113.0</v>
      </c>
      <c r="B439" s="69">
        <v>16.0</v>
      </c>
      <c r="C439" s="61" t="s">
        <v>178</v>
      </c>
      <c r="D439" s="54"/>
      <c r="E439" s="12" t="s">
        <v>175</v>
      </c>
    </row>
    <row r="440" ht="22.5" customHeight="1">
      <c r="A440" s="49">
        <v>46113.0</v>
      </c>
      <c r="B440" s="69">
        <v>22.0</v>
      </c>
      <c r="C440" s="63" t="s">
        <v>177</v>
      </c>
      <c r="D440" s="54"/>
      <c r="E440" s="12" t="s">
        <v>175</v>
      </c>
    </row>
    <row r="441" ht="22.5" customHeight="1">
      <c r="A441" s="49">
        <v>46113.0</v>
      </c>
      <c r="B441" s="69">
        <v>17.0</v>
      </c>
      <c r="C441" s="61" t="s">
        <v>176</v>
      </c>
      <c r="D441" s="54"/>
      <c r="E441" s="12" t="s">
        <v>175</v>
      </c>
    </row>
    <row r="442" ht="22.5" customHeight="1">
      <c r="A442" s="49">
        <v>46113.0</v>
      </c>
      <c r="B442" s="69">
        <v>6.0</v>
      </c>
      <c r="C442" s="63" t="s">
        <v>174</v>
      </c>
      <c r="D442" s="54"/>
      <c r="E442" s="12" t="s">
        <v>175</v>
      </c>
    </row>
    <row r="443" ht="22.5" customHeight="1">
      <c r="A443" s="49">
        <v>46113.0</v>
      </c>
      <c r="B443" s="69">
        <v>1.0</v>
      </c>
      <c r="C443" s="61" t="s">
        <v>188</v>
      </c>
      <c r="D443" s="54"/>
      <c r="E443" s="12" t="s">
        <v>175</v>
      </c>
    </row>
    <row r="444" ht="22.5" customHeight="1">
      <c r="A444" s="49">
        <v>46113.0</v>
      </c>
      <c r="B444" s="69">
        <v>1.0</v>
      </c>
      <c r="C444" s="68" t="s">
        <v>181</v>
      </c>
      <c r="D444" s="54"/>
      <c r="E444" s="12" t="s">
        <v>175</v>
      </c>
    </row>
    <row r="445" ht="22.5" customHeight="1">
      <c r="A445" s="49">
        <v>46113.0</v>
      </c>
      <c r="B445" s="69">
        <v>4.0</v>
      </c>
      <c r="C445" s="68" t="s">
        <v>189</v>
      </c>
      <c r="D445" s="54"/>
      <c r="E445" s="12" t="s">
        <v>175</v>
      </c>
    </row>
    <row r="446" ht="22.5" customHeight="1">
      <c r="A446" s="49">
        <v>46113.0</v>
      </c>
      <c r="B446" s="69">
        <v>3.0</v>
      </c>
      <c r="C446" s="63" t="s">
        <v>186</v>
      </c>
      <c r="D446" s="54"/>
      <c r="E446" s="12" t="s">
        <v>175</v>
      </c>
    </row>
    <row r="447" ht="22.5" customHeight="1">
      <c r="A447" s="49">
        <v>46113.0</v>
      </c>
      <c r="B447" s="70">
        <v>5.0</v>
      </c>
      <c r="C447" s="63" t="s">
        <v>187</v>
      </c>
      <c r="D447" s="54"/>
      <c r="E447" s="12" t="s">
        <v>175</v>
      </c>
    </row>
    <row r="448" ht="22.5" customHeight="1">
      <c r="A448" s="49">
        <v>46113.0</v>
      </c>
      <c r="B448" s="70">
        <v>2.0</v>
      </c>
      <c r="C448" s="67" t="s">
        <v>182</v>
      </c>
      <c r="D448" s="54"/>
      <c r="E448" s="12" t="s">
        <v>175</v>
      </c>
    </row>
    <row r="449" ht="22.5" customHeight="1">
      <c r="A449" s="49">
        <v>46116.0</v>
      </c>
      <c r="B449" s="69">
        <v>12.0</v>
      </c>
      <c r="C449" s="61" t="s">
        <v>178</v>
      </c>
      <c r="D449" s="54"/>
      <c r="E449" s="12" t="s">
        <v>175</v>
      </c>
    </row>
    <row r="450" ht="22.5" customHeight="1">
      <c r="A450" s="49">
        <v>46116.0</v>
      </c>
      <c r="B450" s="69">
        <v>23.0</v>
      </c>
      <c r="C450" s="63" t="s">
        <v>177</v>
      </c>
      <c r="D450" s="54" t="s">
        <v>204</v>
      </c>
      <c r="E450" s="12" t="s">
        <v>175</v>
      </c>
    </row>
    <row r="451" ht="22.5" customHeight="1">
      <c r="A451" s="49">
        <v>46116.0</v>
      </c>
      <c r="B451" s="69">
        <v>16.0</v>
      </c>
      <c r="C451" s="61" t="s">
        <v>176</v>
      </c>
      <c r="D451" s="54"/>
      <c r="E451" s="12" t="s">
        <v>175</v>
      </c>
    </row>
    <row r="452" ht="22.5" customHeight="1">
      <c r="A452" s="49">
        <v>46116.0</v>
      </c>
      <c r="B452" s="69">
        <v>12.0</v>
      </c>
      <c r="C452" s="63" t="s">
        <v>174</v>
      </c>
      <c r="D452" s="54"/>
      <c r="E452" s="12" t="s">
        <v>175</v>
      </c>
    </row>
    <row r="453" ht="22.5" customHeight="1">
      <c r="A453" s="49">
        <v>46116.0</v>
      </c>
      <c r="B453" s="69">
        <v>1.0</v>
      </c>
      <c r="C453" s="61" t="s">
        <v>188</v>
      </c>
      <c r="D453" s="54"/>
      <c r="E453" s="12" t="s">
        <v>175</v>
      </c>
    </row>
    <row r="454" ht="22.5" customHeight="1">
      <c r="A454" s="49">
        <v>46116.0</v>
      </c>
      <c r="B454" s="69">
        <v>1.0</v>
      </c>
      <c r="C454" s="68" t="s">
        <v>181</v>
      </c>
      <c r="D454" s="54"/>
      <c r="E454" s="12" t="s">
        <v>175</v>
      </c>
    </row>
    <row r="455" ht="22.5" customHeight="1">
      <c r="A455" s="49">
        <v>46116.0</v>
      </c>
      <c r="B455" s="69">
        <v>3.0</v>
      </c>
      <c r="C455" s="68" t="s">
        <v>189</v>
      </c>
      <c r="D455" s="54"/>
      <c r="E455" s="12" t="s">
        <v>175</v>
      </c>
    </row>
    <row r="456" ht="22.5" customHeight="1">
      <c r="A456" s="49">
        <v>46116.0</v>
      </c>
      <c r="B456" s="69">
        <v>3.0</v>
      </c>
      <c r="C456" s="63" t="s">
        <v>186</v>
      </c>
      <c r="D456" s="54"/>
      <c r="E456" s="12" t="s">
        <v>175</v>
      </c>
    </row>
    <row r="457" ht="22.5" customHeight="1">
      <c r="A457" s="49">
        <v>46116.0</v>
      </c>
      <c r="B457" s="70">
        <v>5.0</v>
      </c>
      <c r="C457" s="63" t="s">
        <v>187</v>
      </c>
      <c r="D457" s="54"/>
      <c r="E457" s="12" t="s">
        <v>175</v>
      </c>
    </row>
    <row r="458" ht="22.5" customHeight="1">
      <c r="A458" s="49">
        <v>46116.0</v>
      </c>
      <c r="B458" s="70">
        <v>2.0</v>
      </c>
      <c r="C458" s="67" t="s">
        <v>182</v>
      </c>
      <c r="D458" s="54"/>
      <c r="E458" s="12" t="s">
        <v>175</v>
      </c>
    </row>
    <row r="459" ht="22.5" customHeight="1">
      <c r="A459" s="49">
        <v>46118.0</v>
      </c>
      <c r="B459" s="69">
        <v>13.0</v>
      </c>
      <c r="C459" s="61" t="s">
        <v>178</v>
      </c>
      <c r="D459" s="54"/>
      <c r="E459" s="12" t="s">
        <v>175</v>
      </c>
    </row>
    <row r="460" ht="22.5" customHeight="1">
      <c r="A460" s="49">
        <v>46118.0</v>
      </c>
      <c r="B460" s="69">
        <v>23.0</v>
      </c>
      <c r="C460" s="63" t="s">
        <v>177</v>
      </c>
      <c r="D460" s="54"/>
      <c r="E460" s="12" t="s">
        <v>175</v>
      </c>
    </row>
    <row r="461" ht="22.5" customHeight="1">
      <c r="A461" s="49">
        <v>46118.0</v>
      </c>
      <c r="B461" s="69">
        <v>13.0</v>
      </c>
      <c r="C461" s="61" t="s">
        <v>176</v>
      </c>
      <c r="D461" s="54"/>
      <c r="E461" s="12" t="s">
        <v>175</v>
      </c>
    </row>
    <row r="462" ht="22.5" customHeight="1">
      <c r="A462" s="49">
        <v>46118.0</v>
      </c>
      <c r="B462" s="69">
        <v>10.0</v>
      </c>
      <c r="C462" s="63" t="s">
        <v>174</v>
      </c>
      <c r="D462" s="54"/>
      <c r="E462" s="12" t="s">
        <v>175</v>
      </c>
    </row>
    <row r="463" ht="22.5" customHeight="1">
      <c r="A463" s="49">
        <v>46118.0</v>
      </c>
      <c r="B463" s="69">
        <v>1.0</v>
      </c>
      <c r="C463" s="61" t="s">
        <v>188</v>
      </c>
      <c r="D463" s="54"/>
      <c r="E463" s="12" t="s">
        <v>175</v>
      </c>
    </row>
    <row r="464" ht="22.5" customHeight="1">
      <c r="A464" s="49">
        <v>46118.0</v>
      </c>
      <c r="B464" s="69">
        <v>2.0</v>
      </c>
      <c r="C464" s="68" t="s">
        <v>189</v>
      </c>
      <c r="D464" s="54"/>
      <c r="E464" s="12" t="s">
        <v>175</v>
      </c>
    </row>
    <row r="465" ht="22.5" customHeight="1">
      <c r="A465" s="49">
        <v>46118.0</v>
      </c>
      <c r="B465" s="69">
        <v>3.0</v>
      </c>
      <c r="C465" s="63" t="s">
        <v>186</v>
      </c>
      <c r="D465" s="54"/>
      <c r="E465" s="12" t="s">
        <v>175</v>
      </c>
    </row>
    <row r="466" ht="22.5" customHeight="1">
      <c r="A466" s="49">
        <v>46118.0</v>
      </c>
      <c r="B466" s="70">
        <v>5.0</v>
      </c>
      <c r="C466" s="63" t="s">
        <v>187</v>
      </c>
      <c r="D466" s="54"/>
      <c r="E466" s="12" t="s">
        <v>175</v>
      </c>
    </row>
    <row r="467" ht="22.5" customHeight="1">
      <c r="A467" s="49">
        <v>46118.0</v>
      </c>
      <c r="B467" s="70">
        <v>1.0</v>
      </c>
      <c r="C467" s="67" t="s">
        <v>182</v>
      </c>
      <c r="D467" s="54"/>
      <c r="E467" s="12" t="s">
        <v>175</v>
      </c>
    </row>
    <row r="468" ht="22.5" customHeight="1">
      <c r="A468" s="49">
        <v>46119.0</v>
      </c>
      <c r="B468" s="69">
        <v>19.0</v>
      </c>
      <c r="C468" s="61" t="s">
        <v>178</v>
      </c>
      <c r="D468" s="54"/>
      <c r="E468" s="12" t="s">
        <v>175</v>
      </c>
    </row>
    <row r="469" ht="22.5" customHeight="1">
      <c r="A469" s="49">
        <v>46119.0</v>
      </c>
      <c r="B469" s="69">
        <v>15.0</v>
      </c>
      <c r="C469" s="63" t="s">
        <v>177</v>
      </c>
      <c r="D469" s="54"/>
      <c r="E469" s="12" t="s">
        <v>175</v>
      </c>
    </row>
    <row r="470" ht="22.5" customHeight="1">
      <c r="A470" s="49">
        <v>46119.0</v>
      </c>
      <c r="B470" s="69">
        <v>13.0</v>
      </c>
      <c r="C470" s="61" t="s">
        <v>176</v>
      </c>
      <c r="D470" s="54"/>
      <c r="E470" s="12" t="s">
        <v>175</v>
      </c>
    </row>
    <row r="471" ht="22.5" customHeight="1">
      <c r="A471" s="49">
        <v>46119.0</v>
      </c>
      <c r="B471" s="69">
        <v>6.0</v>
      </c>
      <c r="C471" s="63" t="s">
        <v>174</v>
      </c>
      <c r="D471" s="54" t="s">
        <v>205</v>
      </c>
      <c r="E471" s="12" t="s">
        <v>175</v>
      </c>
    </row>
    <row r="472" ht="22.5" customHeight="1">
      <c r="A472" s="49">
        <v>46119.0</v>
      </c>
      <c r="B472" s="69">
        <v>2.0</v>
      </c>
      <c r="C472" s="63" t="s">
        <v>186</v>
      </c>
      <c r="D472" s="54"/>
      <c r="E472" s="12" t="s">
        <v>175</v>
      </c>
    </row>
    <row r="473" ht="22.5" customHeight="1">
      <c r="A473" s="49">
        <v>46119.0</v>
      </c>
      <c r="B473" s="70">
        <v>4.0</v>
      </c>
      <c r="C473" s="63" t="s">
        <v>187</v>
      </c>
      <c r="D473" s="54"/>
      <c r="E473" s="12" t="s">
        <v>175</v>
      </c>
    </row>
    <row r="474" ht="22.5" customHeight="1">
      <c r="A474" s="49">
        <v>46119.0</v>
      </c>
      <c r="B474" s="10">
        <v>1.0</v>
      </c>
      <c r="C474" s="67" t="s">
        <v>206</v>
      </c>
      <c r="D474" s="54"/>
      <c r="E474" s="12" t="s">
        <v>175</v>
      </c>
    </row>
    <row r="475" ht="22.5" customHeight="1">
      <c r="A475" s="49">
        <v>46119.0</v>
      </c>
      <c r="B475" s="10">
        <v>3.0</v>
      </c>
      <c r="C475" s="67" t="s">
        <v>207</v>
      </c>
      <c r="D475" s="54"/>
      <c r="E475" s="12" t="s">
        <v>175</v>
      </c>
    </row>
    <row r="476" ht="22.5" customHeight="1">
      <c r="A476" s="49">
        <v>46119.0</v>
      </c>
      <c r="B476" s="10">
        <v>2.0</v>
      </c>
      <c r="C476" s="67" t="s">
        <v>208</v>
      </c>
      <c r="D476" s="54"/>
      <c r="E476" s="12" t="s">
        <v>175</v>
      </c>
    </row>
    <row r="477" ht="22.5" customHeight="1">
      <c r="A477" s="49">
        <v>46120.0</v>
      </c>
      <c r="B477" s="69">
        <v>23.0</v>
      </c>
      <c r="C477" s="61" t="s">
        <v>178</v>
      </c>
      <c r="D477" s="54"/>
      <c r="E477" s="12" t="s">
        <v>175</v>
      </c>
    </row>
    <row r="478" ht="22.5" customHeight="1">
      <c r="A478" s="49">
        <v>46120.0</v>
      </c>
      <c r="B478" s="69">
        <v>15.0</v>
      </c>
      <c r="C478" s="63" t="s">
        <v>177</v>
      </c>
      <c r="D478" s="54"/>
      <c r="E478" s="12" t="s">
        <v>175</v>
      </c>
    </row>
    <row r="479" ht="22.5" customHeight="1">
      <c r="A479" s="49">
        <v>46120.0</v>
      </c>
      <c r="B479" s="69">
        <v>7.0</v>
      </c>
      <c r="C479" s="61" t="s">
        <v>176</v>
      </c>
      <c r="D479" s="54"/>
      <c r="E479" s="12" t="s">
        <v>175</v>
      </c>
    </row>
    <row r="480" ht="22.5" customHeight="1">
      <c r="A480" s="49">
        <v>46120.0</v>
      </c>
      <c r="B480" s="69">
        <v>1.0</v>
      </c>
      <c r="C480" s="63" t="s">
        <v>174</v>
      </c>
      <c r="D480" s="54"/>
      <c r="E480" s="12" t="s">
        <v>175</v>
      </c>
    </row>
    <row r="481" ht="22.5" customHeight="1">
      <c r="A481" s="49">
        <v>46120.0</v>
      </c>
      <c r="B481" s="69">
        <v>2.0</v>
      </c>
      <c r="C481" s="63" t="s">
        <v>186</v>
      </c>
      <c r="D481" s="54"/>
      <c r="E481" s="12" t="s">
        <v>175</v>
      </c>
    </row>
    <row r="482" ht="22.5" customHeight="1">
      <c r="A482" s="49">
        <v>46120.0</v>
      </c>
      <c r="B482" s="70">
        <v>3.0</v>
      </c>
      <c r="C482" s="68" t="s">
        <v>189</v>
      </c>
      <c r="D482" s="54"/>
      <c r="E482" s="12" t="s">
        <v>175</v>
      </c>
    </row>
    <row r="483" ht="22.5" customHeight="1">
      <c r="A483" s="49">
        <v>46120.0</v>
      </c>
      <c r="B483" s="70">
        <v>3.0</v>
      </c>
      <c r="C483" s="63" t="s">
        <v>187</v>
      </c>
      <c r="D483" s="54"/>
      <c r="E483" s="12" t="s">
        <v>175</v>
      </c>
    </row>
    <row r="484" ht="22.5" customHeight="1">
      <c r="A484" s="49">
        <v>46120.0</v>
      </c>
      <c r="B484" s="10">
        <v>8.0</v>
      </c>
      <c r="C484" s="67" t="s">
        <v>206</v>
      </c>
      <c r="D484" s="54"/>
      <c r="E484" s="12" t="s">
        <v>175</v>
      </c>
    </row>
    <row r="485" ht="22.5" customHeight="1">
      <c r="A485" s="49">
        <v>46120.0</v>
      </c>
      <c r="B485" s="10">
        <v>10.0</v>
      </c>
      <c r="C485" s="67" t="s">
        <v>207</v>
      </c>
      <c r="D485" s="54"/>
      <c r="E485" s="12" t="s">
        <v>175</v>
      </c>
    </row>
    <row r="486" ht="22.5" customHeight="1">
      <c r="A486" s="49">
        <v>46120.0</v>
      </c>
      <c r="B486" s="10">
        <v>11.0</v>
      </c>
      <c r="C486" s="67" t="s">
        <v>208</v>
      </c>
      <c r="D486" s="54"/>
      <c r="E486" s="12" t="s">
        <v>175</v>
      </c>
    </row>
    <row r="487" ht="22.5" customHeight="1">
      <c r="A487" s="49">
        <v>46120.0</v>
      </c>
      <c r="B487" s="10">
        <v>5.0</v>
      </c>
      <c r="C487" s="67" t="s">
        <v>209</v>
      </c>
      <c r="D487" s="54"/>
      <c r="E487" s="12" t="s">
        <v>175</v>
      </c>
    </row>
    <row r="488" ht="22.5" customHeight="1">
      <c r="A488" s="49">
        <v>46120.0</v>
      </c>
      <c r="B488" s="10">
        <v>9.0</v>
      </c>
      <c r="C488" s="67" t="s">
        <v>184</v>
      </c>
      <c r="D488" s="54"/>
      <c r="E488" s="12" t="s">
        <v>175</v>
      </c>
    </row>
    <row r="489" ht="22.5" customHeight="1">
      <c r="A489" s="49">
        <v>46120.0</v>
      </c>
      <c r="B489" s="10">
        <v>3.0</v>
      </c>
      <c r="C489" s="67" t="s">
        <v>185</v>
      </c>
      <c r="D489" s="54"/>
      <c r="E489" s="12" t="s">
        <v>175</v>
      </c>
    </row>
    <row r="490" ht="22.5" customHeight="1">
      <c r="A490" s="49">
        <v>46121.0</v>
      </c>
      <c r="B490" s="69">
        <v>26.0</v>
      </c>
      <c r="C490" s="61" t="s">
        <v>178</v>
      </c>
      <c r="D490" s="54"/>
      <c r="E490" s="12" t="s">
        <v>175</v>
      </c>
    </row>
    <row r="491" ht="22.5" customHeight="1">
      <c r="A491" s="49">
        <v>46121.0</v>
      </c>
      <c r="B491" s="69">
        <v>21.0</v>
      </c>
      <c r="C491" s="63" t="s">
        <v>177</v>
      </c>
      <c r="D491" s="54"/>
      <c r="E491" s="12" t="s">
        <v>175</v>
      </c>
    </row>
    <row r="492" ht="22.5" customHeight="1">
      <c r="A492" s="49">
        <v>46121.0</v>
      </c>
      <c r="B492" s="69">
        <v>14.0</v>
      </c>
      <c r="C492" s="61" t="s">
        <v>176</v>
      </c>
      <c r="D492" s="54"/>
      <c r="E492" s="12" t="s">
        <v>175</v>
      </c>
    </row>
    <row r="493" ht="22.5" customHeight="1">
      <c r="A493" s="49">
        <v>46121.0</v>
      </c>
      <c r="B493" s="69">
        <v>5.0</v>
      </c>
      <c r="C493" s="63" t="s">
        <v>174</v>
      </c>
      <c r="D493" s="54"/>
      <c r="E493" s="12" t="s">
        <v>175</v>
      </c>
    </row>
    <row r="494" ht="22.5" customHeight="1">
      <c r="A494" s="49">
        <v>46121.0</v>
      </c>
      <c r="B494" s="70">
        <v>2.0</v>
      </c>
      <c r="C494" s="63" t="s">
        <v>187</v>
      </c>
      <c r="D494" s="54"/>
      <c r="E494" s="12" t="s">
        <v>175</v>
      </c>
    </row>
    <row r="495" ht="22.5" customHeight="1">
      <c r="A495" s="49">
        <v>46121.0</v>
      </c>
      <c r="B495" s="10">
        <v>3.0</v>
      </c>
      <c r="C495" s="67" t="s">
        <v>182</v>
      </c>
      <c r="D495" s="54"/>
      <c r="E495" s="12" t="s">
        <v>175</v>
      </c>
    </row>
    <row r="496" ht="22.5" customHeight="1">
      <c r="A496" s="49">
        <v>46121.0</v>
      </c>
      <c r="B496" s="10">
        <v>11.0</v>
      </c>
      <c r="C496" s="67" t="s">
        <v>206</v>
      </c>
      <c r="D496" s="54"/>
      <c r="E496" s="12" t="s">
        <v>175</v>
      </c>
    </row>
    <row r="497" ht="22.5" customHeight="1">
      <c r="A497" s="49">
        <v>46121.0</v>
      </c>
      <c r="B497" s="10">
        <v>11.0</v>
      </c>
      <c r="C497" s="67" t="s">
        <v>207</v>
      </c>
      <c r="D497" s="54"/>
      <c r="E497" s="12" t="s">
        <v>175</v>
      </c>
    </row>
    <row r="498" ht="22.5" customHeight="1">
      <c r="A498" s="49">
        <v>46121.0</v>
      </c>
      <c r="B498" s="10">
        <v>13.0</v>
      </c>
      <c r="C498" s="67" t="s">
        <v>208</v>
      </c>
      <c r="D498" s="54"/>
      <c r="E498" s="12" t="s">
        <v>175</v>
      </c>
    </row>
    <row r="499" ht="22.5" customHeight="1">
      <c r="A499" s="49">
        <v>46121.0</v>
      </c>
      <c r="B499" s="10">
        <v>3.0</v>
      </c>
      <c r="C499" s="67" t="s">
        <v>209</v>
      </c>
      <c r="D499" s="54"/>
      <c r="E499" s="12" t="s">
        <v>175</v>
      </c>
    </row>
    <row r="500" ht="22.5" customHeight="1">
      <c r="A500" s="49">
        <v>46121.0</v>
      </c>
      <c r="B500" s="10">
        <v>42.0</v>
      </c>
      <c r="C500" s="67" t="s">
        <v>183</v>
      </c>
      <c r="D500" s="54"/>
      <c r="E500" s="12" t="s">
        <v>175</v>
      </c>
    </row>
    <row r="501" ht="22.5" customHeight="1">
      <c r="A501" s="49">
        <v>46122.0</v>
      </c>
      <c r="B501" s="69">
        <v>10.0</v>
      </c>
      <c r="C501" s="61" t="s">
        <v>178</v>
      </c>
      <c r="D501" s="54"/>
      <c r="E501" s="12" t="s">
        <v>175</v>
      </c>
    </row>
    <row r="502" ht="22.5" customHeight="1">
      <c r="A502" s="49">
        <v>46122.0</v>
      </c>
      <c r="B502" s="69">
        <v>12.0</v>
      </c>
      <c r="C502" s="63" t="s">
        <v>177</v>
      </c>
      <c r="D502" s="54"/>
      <c r="E502" s="12" t="s">
        <v>175</v>
      </c>
    </row>
    <row r="503" ht="22.5" customHeight="1">
      <c r="A503" s="49">
        <v>46122.0</v>
      </c>
      <c r="B503" s="69">
        <v>10.0</v>
      </c>
      <c r="C503" s="61" t="s">
        <v>176</v>
      </c>
      <c r="D503" s="54"/>
      <c r="E503" s="12" t="s">
        <v>175</v>
      </c>
    </row>
    <row r="504" ht="22.5" customHeight="1">
      <c r="A504" s="49">
        <v>46122.0</v>
      </c>
      <c r="B504" s="69">
        <v>13.0</v>
      </c>
      <c r="C504" s="63" t="s">
        <v>174</v>
      </c>
      <c r="D504" s="54"/>
      <c r="E504" s="12" t="s">
        <v>175</v>
      </c>
    </row>
    <row r="505" ht="22.5" customHeight="1">
      <c r="A505" s="49">
        <v>46122.0</v>
      </c>
      <c r="B505" s="69">
        <v>9.0</v>
      </c>
      <c r="C505" s="63" t="s">
        <v>186</v>
      </c>
      <c r="D505" s="54"/>
      <c r="E505" s="12" t="s">
        <v>175</v>
      </c>
    </row>
    <row r="506" ht="22.5" customHeight="1">
      <c r="A506" s="49">
        <v>46122.0</v>
      </c>
      <c r="B506" s="70">
        <v>2.0</v>
      </c>
      <c r="C506" s="68" t="s">
        <v>189</v>
      </c>
      <c r="D506" s="54"/>
      <c r="E506" s="12" t="s">
        <v>175</v>
      </c>
    </row>
    <row r="507" ht="22.5" customHeight="1">
      <c r="A507" s="49">
        <v>46122.0</v>
      </c>
      <c r="B507" s="70">
        <v>2.0</v>
      </c>
      <c r="C507" s="68" t="s">
        <v>182</v>
      </c>
      <c r="D507" s="54"/>
      <c r="E507" s="12" t="s">
        <v>175</v>
      </c>
    </row>
    <row r="508" ht="22.5" customHeight="1">
      <c r="A508" s="49">
        <v>46122.0</v>
      </c>
      <c r="B508" s="70">
        <v>3.0</v>
      </c>
      <c r="C508" s="63" t="s">
        <v>187</v>
      </c>
      <c r="D508" s="54"/>
      <c r="E508" s="12" t="s">
        <v>175</v>
      </c>
    </row>
    <row r="509" ht="22.5" customHeight="1">
      <c r="A509" s="49">
        <v>46122.0</v>
      </c>
      <c r="B509" s="10">
        <v>11.0</v>
      </c>
      <c r="C509" s="67" t="s">
        <v>206</v>
      </c>
      <c r="D509" s="54"/>
      <c r="E509" s="12" t="s">
        <v>175</v>
      </c>
    </row>
    <row r="510" ht="22.5" customHeight="1">
      <c r="A510" s="49">
        <v>46122.0</v>
      </c>
      <c r="B510" s="10">
        <v>11.0</v>
      </c>
      <c r="C510" s="67" t="s">
        <v>207</v>
      </c>
      <c r="D510" s="54"/>
      <c r="E510" s="12" t="s">
        <v>175</v>
      </c>
    </row>
    <row r="511" ht="22.5" customHeight="1">
      <c r="A511" s="49">
        <v>46122.0</v>
      </c>
      <c r="B511" s="10">
        <v>13.0</v>
      </c>
      <c r="C511" s="67" t="s">
        <v>208</v>
      </c>
      <c r="D511" s="54"/>
      <c r="E511" s="12" t="s">
        <v>175</v>
      </c>
    </row>
    <row r="512" ht="22.5" customHeight="1">
      <c r="A512" s="49">
        <v>46122.0</v>
      </c>
      <c r="B512" s="10">
        <v>1.0</v>
      </c>
      <c r="C512" s="67" t="s">
        <v>209</v>
      </c>
      <c r="D512" s="54"/>
      <c r="E512" s="12" t="s">
        <v>175</v>
      </c>
    </row>
    <row r="513" ht="22.5" customHeight="1">
      <c r="A513" s="49">
        <v>46122.0</v>
      </c>
      <c r="B513" s="70">
        <v>42.0</v>
      </c>
      <c r="C513" s="56" t="s">
        <v>183</v>
      </c>
      <c r="D513" s="54"/>
      <c r="E513" s="12" t="s">
        <v>175</v>
      </c>
    </row>
    <row r="514" ht="22.5" customHeight="1">
      <c r="A514" s="49">
        <v>46123.0</v>
      </c>
      <c r="B514" s="69">
        <v>10.0</v>
      </c>
      <c r="C514" s="61" t="s">
        <v>178</v>
      </c>
      <c r="D514" s="54"/>
      <c r="E514" s="12" t="s">
        <v>175</v>
      </c>
    </row>
    <row r="515" ht="22.5" customHeight="1">
      <c r="A515" s="49">
        <v>46123.0</v>
      </c>
      <c r="B515" s="69">
        <v>11.0</v>
      </c>
      <c r="C515" s="63" t="s">
        <v>177</v>
      </c>
      <c r="D515" s="54"/>
      <c r="E515" s="12" t="s">
        <v>175</v>
      </c>
    </row>
    <row r="516" ht="22.5" customHeight="1">
      <c r="A516" s="49">
        <v>46123.0</v>
      </c>
      <c r="B516" s="69">
        <v>16.0</v>
      </c>
      <c r="C516" s="61" t="s">
        <v>176</v>
      </c>
      <c r="D516" s="54"/>
      <c r="E516" s="12" t="s">
        <v>175</v>
      </c>
    </row>
    <row r="517" ht="22.5" customHeight="1">
      <c r="A517" s="49">
        <v>46123.0</v>
      </c>
      <c r="B517" s="69">
        <v>6.0</v>
      </c>
      <c r="C517" s="63" t="s">
        <v>174</v>
      </c>
      <c r="D517" s="54"/>
      <c r="E517" s="12" t="s">
        <v>175</v>
      </c>
    </row>
    <row r="518" ht="22.5" customHeight="1">
      <c r="A518" s="49">
        <v>46123.0</v>
      </c>
      <c r="B518" s="69">
        <v>7.0</v>
      </c>
      <c r="C518" s="63" t="s">
        <v>186</v>
      </c>
      <c r="D518" s="54" t="s">
        <v>210</v>
      </c>
      <c r="E518" s="12" t="s">
        <v>175</v>
      </c>
    </row>
    <row r="519" ht="22.5" customHeight="1">
      <c r="A519" s="49">
        <v>46123.0</v>
      </c>
      <c r="B519" s="70">
        <v>2.0</v>
      </c>
      <c r="C519" s="68" t="s">
        <v>189</v>
      </c>
      <c r="D519" s="54"/>
      <c r="E519" s="12" t="s">
        <v>175</v>
      </c>
    </row>
    <row r="520" ht="22.5" customHeight="1">
      <c r="A520" s="49">
        <v>46123.0</v>
      </c>
      <c r="B520" s="70">
        <v>1.0</v>
      </c>
      <c r="C520" s="63" t="s">
        <v>187</v>
      </c>
      <c r="D520" s="54" t="s">
        <v>211</v>
      </c>
      <c r="E520" s="12" t="s">
        <v>175</v>
      </c>
    </row>
    <row r="521" ht="22.5" customHeight="1">
      <c r="A521" s="49">
        <v>46123.0</v>
      </c>
      <c r="B521" s="10">
        <v>8.0</v>
      </c>
      <c r="C521" s="67" t="s">
        <v>206</v>
      </c>
      <c r="D521" s="54" t="s">
        <v>211</v>
      </c>
      <c r="E521" s="12" t="s">
        <v>175</v>
      </c>
    </row>
    <row r="522" ht="22.5" customHeight="1">
      <c r="A522" s="49">
        <v>46123.0</v>
      </c>
      <c r="B522" s="10">
        <v>8.0</v>
      </c>
      <c r="C522" s="67" t="s">
        <v>207</v>
      </c>
      <c r="D522" s="54" t="s">
        <v>212</v>
      </c>
      <c r="E522" s="12" t="s">
        <v>175</v>
      </c>
    </row>
    <row r="523" ht="22.5" customHeight="1">
      <c r="A523" s="49">
        <v>46123.0</v>
      </c>
      <c r="B523" s="10">
        <v>8.0</v>
      </c>
      <c r="C523" s="67" t="s">
        <v>208</v>
      </c>
      <c r="D523" s="54" t="s">
        <v>210</v>
      </c>
      <c r="E523" s="12" t="s">
        <v>175</v>
      </c>
    </row>
    <row r="524" ht="22.5" customHeight="1">
      <c r="A524" s="49">
        <v>46123.0</v>
      </c>
      <c r="B524" s="10">
        <v>1.0</v>
      </c>
      <c r="C524" s="67" t="s">
        <v>209</v>
      </c>
      <c r="D524" s="54"/>
      <c r="E524" s="12" t="s">
        <v>175</v>
      </c>
    </row>
    <row r="525" ht="22.5" customHeight="1">
      <c r="A525" s="49">
        <v>46125.0</v>
      </c>
      <c r="B525" s="69">
        <v>23.0</v>
      </c>
      <c r="C525" s="61" t="s">
        <v>178</v>
      </c>
      <c r="D525" s="54"/>
      <c r="E525" s="12" t="s">
        <v>175</v>
      </c>
    </row>
    <row r="526" ht="22.5" customHeight="1">
      <c r="A526" s="49">
        <v>46125.0</v>
      </c>
      <c r="B526" s="69">
        <v>19.0</v>
      </c>
      <c r="C526" s="63" t="s">
        <v>177</v>
      </c>
      <c r="D526" s="54"/>
      <c r="E526" s="12" t="s">
        <v>175</v>
      </c>
    </row>
    <row r="527" ht="22.5" customHeight="1">
      <c r="A527" s="49">
        <v>46125.0</v>
      </c>
      <c r="B527" s="69">
        <v>16.0</v>
      </c>
      <c r="C527" s="61" t="s">
        <v>176</v>
      </c>
      <c r="D527" s="54"/>
      <c r="E527" s="12" t="s">
        <v>175</v>
      </c>
    </row>
    <row r="528" ht="22.5" customHeight="1">
      <c r="A528" s="49">
        <v>46125.0</v>
      </c>
      <c r="B528" s="69">
        <v>5.0</v>
      </c>
      <c r="C528" s="63" t="s">
        <v>174</v>
      </c>
      <c r="D528" s="54"/>
      <c r="E528" s="12" t="s">
        <v>175</v>
      </c>
    </row>
    <row r="529" ht="22.5" customHeight="1">
      <c r="A529" s="49">
        <v>46125.0</v>
      </c>
      <c r="B529" s="69">
        <v>6.0</v>
      </c>
      <c r="C529" s="63" t="s">
        <v>186</v>
      </c>
      <c r="D529" s="54"/>
      <c r="E529" s="12" t="s">
        <v>175</v>
      </c>
    </row>
    <row r="530" ht="22.5" customHeight="1">
      <c r="A530" s="49">
        <v>46125.0</v>
      </c>
      <c r="B530" s="70">
        <v>1.0</v>
      </c>
      <c r="C530" s="68" t="s">
        <v>189</v>
      </c>
      <c r="D530" s="54"/>
      <c r="E530" s="12" t="s">
        <v>175</v>
      </c>
    </row>
    <row r="531" ht="22.5" customHeight="1">
      <c r="A531" s="49">
        <v>46125.0</v>
      </c>
      <c r="B531" s="70">
        <v>1.0</v>
      </c>
      <c r="C531" s="63" t="s">
        <v>187</v>
      </c>
      <c r="D531" s="54"/>
      <c r="E531" s="12" t="s">
        <v>175</v>
      </c>
    </row>
    <row r="532" ht="22.5" customHeight="1">
      <c r="A532" s="49">
        <v>46125.0</v>
      </c>
      <c r="B532" s="10">
        <v>13.0</v>
      </c>
      <c r="C532" s="67" t="s">
        <v>206</v>
      </c>
      <c r="D532" s="54"/>
      <c r="E532" s="12" t="s">
        <v>175</v>
      </c>
    </row>
    <row r="533" ht="22.5" customHeight="1">
      <c r="A533" s="49">
        <v>46125.0</v>
      </c>
      <c r="B533" s="10">
        <v>13.0</v>
      </c>
      <c r="C533" s="67" t="s">
        <v>207</v>
      </c>
      <c r="D533" s="54"/>
      <c r="E533" s="12" t="s">
        <v>175</v>
      </c>
    </row>
    <row r="534" ht="22.5" customHeight="1">
      <c r="A534" s="49">
        <v>46125.0</v>
      </c>
      <c r="B534" s="10">
        <v>13.0</v>
      </c>
      <c r="C534" s="67" t="s">
        <v>208</v>
      </c>
      <c r="D534" s="54"/>
      <c r="E534" s="12" t="s">
        <v>175</v>
      </c>
    </row>
    <row r="535" ht="22.5" customHeight="1">
      <c r="A535" s="49">
        <v>46125.0</v>
      </c>
      <c r="B535" s="10">
        <v>5.0</v>
      </c>
      <c r="C535" s="67" t="s">
        <v>209</v>
      </c>
      <c r="D535" s="54"/>
      <c r="E535" s="12" t="s">
        <v>175</v>
      </c>
    </row>
    <row r="536" ht="22.5" customHeight="1">
      <c r="A536" s="49">
        <v>46126.0</v>
      </c>
      <c r="B536" s="69">
        <v>22.0</v>
      </c>
      <c r="C536" s="61" t="s">
        <v>178</v>
      </c>
      <c r="D536" s="54"/>
      <c r="E536" s="12" t="s">
        <v>175</v>
      </c>
    </row>
    <row r="537" ht="22.5" customHeight="1">
      <c r="A537" s="49">
        <v>46126.0</v>
      </c>
      <c r="B537" s="69">
        <v>16.0</v>
      </c>
      <c r="C537" s="63" t="s">
        <v>177</v>
      </c>
      <c r="D537" s="54"/>
      <c r="E537" s="12" t="s">
        <v>175</v>
      </c>
    </row>
    <row r="538" ht="22.5" customHeight="1">
      <c r="A538" s="49">
        <v>46126.0</v>
      </c>
      <c r="B538" s="69">
        <v>12.0</v>
      </c>
      <c r="C538" s="61" t="s">
        <v>176</v>
      </c>
      <c r="D538" s="54"/>
      <c r="E538" s="12" t="s">
        <v>175</v>
      </c>
    </row>
    <row r="539" ht="22.5" customHeight="1">
      <c r="A539" s="49">
        <v>46126.0</v>
      </c>
      <c r="B539" s="69">
        <v>3.0</v>
      </c>
      <c r="C539" s="63" t="s">
        <v>174</v>
      </c>
      <c r="D539" s="54"/>
      <c r="E539" s="12" t="s">
        <v>175</v>
      </c>
    </row>
    <row r="540" ht="22.5" customHeight="1">
      <c r="A540" s="49">
        <v>46126.0</v>
      </c>
      <c r="B540" s="69">
        <v>5.0</v>
      </c>
      <c r="C540" s="63" t="s">
        <v>186</v>
      </c>
      <c r="D540" s="54" t="s">
        <v>213</v>
      </c>
      <c r="E540" s="12" t="s">
        <v>175</v>
      </c>
    </row>
    <row r="541" ht="22.5" customHeight="1">
      <c r="A541" s="49">
        <v>46126.0</v>
      </c>
      <c r="B541" s="70">
        <v>1.0</v>
      </c>
      <c r="C541" s="68" t="s">
        <v>189</v>
      </c>
      <c r="D541" s="54"/>
      <c r="E541" s="12" t="s">
        <v>175</v>
      </c>
    </row>
    <row r="542" ht="22.5" customHeight="1">
      <c r="A542" s="49">
        <v>46126.0</v>
      </c>
      <c r="B542" s="70">
        <v>2.0</v>
      </c>
      <c r="C542" s="68" t="s">
        <v>182</v>
      </c>
      <c r="D542" s="54"/>
      <c r="E542" s="12" t="s">
        <v>175</v>
      </c>
    </row>
    <row r="543" ht="22.5" customHeight="1">
      <c r="A543" s="49">
        <v>46126.0</v>
      </c>
      <c r="B543" s="10">
        <v>13.0</v>
      </c>
      <c r="C543" s="67" t="s">
        <v>206</v>
      </c>
      <c r="D543" s="54"/>
      <c r="E543" s="12" t="s">
        <v>175</v>
      </c>
    </row>
    <row r="544" ht="22.5" customHeight="1">
      <c r="A544" s="49">
        <v>46126.0</v>
      </c>
      <c r="B544" s="10">
        <v>12.0</v>
      </c>
      <c r="C544" s="67" t="s">
        <v>207</v>
      </c>
      <c r="D544" s="54"/>
      <c r="E544" s="12" t="s">
        <v>175</v>
      </c>
    </row>
    <row r="545" ht="22.5" customHeight="1">
      <c r="A545" s="49">
        <v>46126.0</v>
      </c>
      <c r="B545" s="10">
        <v>12.0</v>
      </c>
      <c r="C545" s="67" t="s">
        <v>208</v>
      </c>
      <c r="D545" s="54" t="s">
        <v>213</v>
      </c>
      <c r="E545" s="12" t="s">
        <v>175</v>
      </c>
    </row>
    <row r="546" ht="22.5" customHeight="1">
      <c r="A546" s="49">
        <v>46126.0</v>
      </c>
      <c r="B546" s="10">
        <v>4.0</v>
      </c>
      <c r="C546" s="67" t="s">
        <v>209</v>
      </c>
      <c r="D546" s="54"/>
      <c r="E546" s="12" t="s">
        <v>175</v>
      </c>
    </row>
    <row r="547" ht="22.5" customHeight="1">
      <c r="A547" s="49">
        <v>46127.0</v>
      </c>
      <c r="B547" s="69">
        <v>24.0</v>
      </c>
      <c r="C547" s="61" t="s">
        <v>178</v>
      </c>
      <c r="D547" s="54"/>
      <c r="E547" s="12" t="s">
        <v>175</v>
      </c>
    </row>
    <row r="548" ht="22.5" customHeight="1">
      <c r="A548" s="49">
        <v>46127.0</v>
      </c>
      <c r="B548" s="69">
        <v>25.0</v>
      </c>
      <c r="C548" s="63" t="s">
        <v>177</v>
      </c>
      <c r="D548" s="54"/>
      <c r="E548" s="12" t="s">
        <v>175</v>
      </c>
    </row>
    <row r="549" ht="22.5" customHeight="1">
      <c r="A549" s="49">
        <v>46127.0</v>
      </c>
      <c r="B549" s="69">
        <v>17.0</v>
      </c>
      <c r="C549" s="61" t="s">
        <v>176</v>
      </c>
      <c r="D549" s="54"/>
      <c r="E549" s="12" t="s">
        <v>175</v>
      </c>
    </row>
    <row r="550" ht="22.5" customHeight="1">
      <c r="A550" s="49">
        <v>46127.0</v>
      </c>
      <c r="B550" s="69">
        <v>11.0</v>
      </c>
      <c r="C550" s="63" t="s">
        <v>174</v>
      </c>
      <c r="D550" s="54"/>
      <c r="E550" s="12" t="s">
        <v>175</v>
      </c>
    </row>
    <row r="551" ht="22.5" customHeight="1">
      <c r="A551" s="49">
        <v>46127.0</v>
      </c>
      <c r="B551" s="69">
        <v>4.0</v>
      </c>
      <c r="C551" s="63" t="s">
        <v>186</v>
      </c>
      <c r="D551" s="54" t="s">
        <v>213</v>
      </c>
      <c r="E551" s="12" t="s">
        <v>175</v>
      </c>
    </row>
    <row r="552" ht="22.5" customHeight="1">
      <c r="A552" s="49">
        <v>46127.0</v>
      </c>
      <c r="B552" s="70">
        <v>1.0</v>
      </c>
      <c r="C552" s="68" t="s">
        <v>189</v>
      </c>
      <c r="D552" s="54"/>
      <c r="E552" s="12" t="s">
        <v>175</v>
      </c>
    </row>
    <row r="553" ht="22.5" customHeight="1">
      <c r="A553" s="49">
        <v>46127.0</v>
      </c>
      <c r="B553" s="70">
        <v>2.0</v>
      </c>
      <c r="C553" s="68" t="s">
        <v>182</v>
      </c>
      <c r="D553" s="54"/>
      <c r="E553" s="12" t="s">
        <v>175</v>
      </c>
    </row>
    <row r="554" ht="22.5" customHeight="1">
      <c r="A554" s="49">
        <v>46127.0</v>
      </c>
      <c r="B554" s="10">
        <v>13.0</v>
      </c>
      <c r="C554" s="67" t="s">
        <v>206</v>
      </c>
      <c r="D554" s="54"/>
      <c r="E554" s="12" t="s">
        <v>175</v>
      </c>
    </row>
    <row r="555" ht="22.5" customHeight="1">
      <c r="A555" s="49">
        <v>46127.0</v>
      </c>
      <c r="B555" s="10">
        <v>11.0</v>
      </c>
      <c r="C555" s="67" t="s">
        <v>207</v>
      </c>
      <c r="D555" s="54"/>
      <c r="E555" s="12" t="s">
        <v>175</v>
      </c>
    </row>
    <row r="556" ht="22.5" customHeight="1">
      <c r="A556" s="49">
        <v>46127.0</v>
      </c>
      <c r="B556" s="10">
        <v>12.0</v>
      </c>
      <c r="C556" s="67" t="s">
        <v>208</v>
      </c>
      <c r="D556" s="54"/>
      <c r="E556" s="12" t="s">
        <v>175</v>
      </c>
    </row>
    <row r="557" ht="22.5" customHeight="1">
      <c r="A557" s="49">
        <v>46127.0</v>
      </c>
      <c r="B557" s="10">
        <v>4.0</v>
      </c>
      <c r="C557" s="67" t="s">
        <v>209</v>
      </c>
      <c r="D557" s="54"/>
      <c r="E557" s="12" t="s">
        <v>175</v>
      </c>
    </row>
    <row r="558" ht="22.5" customHeight="1">
      <c r="A558" s="49">
        <v>46128.0</v>
      </c>
      <c r="B558" s="69">
        <v>13.0</v>
      </c>
      <c r="C558" s="61" t="s">
        <v>178</v>
      </c>
      <c r="D558" s="54"/>
      <c r="E558" s="12" t="s">
        <v>175</v>
      </c>
    </row>
    <row r="559" ht="22.5" customHeight="1">
      <c r="A559" s="49">
        <v>46128.0</v>
      </c>
      <c r="B559" s="69">
        <v>19.0</v>
      </c>
      <c r="C559" s="63" t="s">
        <v>177</v>
      </c>
      <c r="D559" s="54"/>
      <c r="E559" s="12" t="s">
        <v>175</v>
      </c>
    </row>
    <row r="560" ht="22.5" customHeight="1">
      <c r="A560" s="49">
        <v>46128.0</v>
      </c>
      <c r="B560" s="69">
        <v>9.0</v>
      </c>
      <c r="C560" s="61" t="s">
        <v>176</v>
      </c>
      <c r="D560" s="54"/>
      <c r="E560" s="12" t="s">
        <v>175</v>
      </c>
    </row>
    <row r="561" ht="22.5" customHeight="1">
      <c r="A561" s="49">
        <v>46128.0</v>
      </c>
      <c r="B561" s="69">
        <v>9.0</v>
      </c>
      <c r="C561" s="63" t="s">
        <v>174</v>
      </c>
      <c r="D561" s="54"/>
      <c r="E561" s="12" t="s">
        <v>175</v>
      </c>
    </row>
    <row r="562" ht="22.5" customHeight="1">
      <c r="A562" s="49">
        <v>46128.0</v>
      </c>
      <c r="B562" s="69">
        <v>2.0</v>
      </c>
      <c r="C562" s="63" t="s">
        <v>186</v>
      </c>
      <c r="D562" s="54"/>
      <c r="E562" s="12" t="s">
        <v>175</v>
      </c>
    </row>
    <row r="563" ht="22.5" customHeight="1">
      <c r="A563" s="49">
        <v>46128.0</v>
      </c>
      <c r="B563" s="70">
        <v>3.0</v>
      </c>
      <c r="C563" s="68" t="s">
        <v>187</v>
      </c>
      <c r="D563" s="54"/>
      <c r="E563" s="12" t="s">
        <v>175</v>
      </c>
    </row>
    <row r="564" ht="22.5" customHeight="1">
      <c r="A564" s="49">
        <v>46128.0</v>
      </c>
      <c r="B564" s="70">
        <v>1.0</v>
      </c>
      <c r="C564" s="68" t="s">
        <v>189</v>
      </c>
      <c r="D564" s="54"/>
      <c r="E564" s="12" t="s">
        <v>175</v>
      </c>
    </row>
    <row r="565" ht="22.5" customHeight="1">
      <c r="A565" s="49">
        <v>46128.0</v>
      </c>
      <c r="B565" s="70">
        <v>1.0</v>
      </c>
      <c r="C565" s="68" t="s">
        <v>203</v>
      </c>
      <c r="D565" s="54"/>
      <c r="E565" s="12" t="s">
        <v>175</v>
      </c>
    </row>
    <row r="566" ht="22.5" customHeight="1">
      <c r="A566" s="49">
        <v>46128.0</v>
      </c>
      <c r="B566" s="70">
        <v>2.0</v>
      </c>
      <c r="C566" s="68" t="s">
        <v>182</v>
      </c>
      <c r="D566" s="54"/>
      <c r="E566" s="12" t="s">
        <v>175</v>
      </c>
    </row>
    <row r="567" ht="22.5" customHeight="1">
      <c r="A567" s="49">
        <v>46128.0</v>
      </c>
      <c r="B567" s="10">
        <v>13.0</v>
      </c>
      <c r="C567" s="67" t="s">
        <v>206</v>
      </c>
      <c r="D567" s="54"/>
      <c r="E567" s="12" t="s">
        <v>175</v>
      </c>
    </row>
    <row r="568" ht="22.5" customHeight="1">
      <c r="A568" s="49">
        <v>46128.0</v>
      </c>
      <c r="B568" s="10">
        <v>11.0</v>
      </c>
      <c r="C568" s="67" t="s">
        <v>207</v>
      </c>
      <c r="D568" s="54"/>
      <c r="E568" s="12" t="s">
        <v>175</v>
      </c>
    </row>
    <row r="569" ht="22.5" customHeight="1">
      <c r="A569" s="49">
        <v>46128.0</v>
      </c>
      <c r="B569" s="10">
        <v>10.0</v>
      </c>
      <c r="C569" s="67" t="s">
        <v>208</v>
      </c>
      <c r="D569" s="54"/>
      <c r="E569" s="12" t="s">
        <v>175</v>
      </c>
    </row>
    <row r="570">
      <c r="A570" s="71"/>
      <c r="B570" s="72"/>
      <c r="C570" s="72"/>
      <c r="D570" s="72"/>
      <c r="E570" s="72"/>
    </row>
    <row r="571">
      <c r="A571" s="71"/>
      <c r="B571" s="72"/>
      <c r="C571" s="72"/>
      <c r="D571" s="72"/>
      <c r="E571" s="72"/>
    </row>
    <row r="572">
      <c r="A572" s="71"/>
      <c r="B572" s="72"/>
      <c r="C572" s="72"/>
      <c r="D572" s="72"/>
      <c r="E572" s="72"/>
    </row>
    <row r="573">
      <c r="A573" s="71"/>
      <c r="B573" s="72"/>
      <c r="C573" s="72"/>
      <c r="D573" s="72"/>
      <c r="E573" s="72"/>
    </row>
    <row r="574">
      <c r="A574" s="71"/>
      <c r="B574" s="72"/>
      <c r="C574" s="72"/>
      <c r="D574" s="72"/>
      <c r="E574" s="72"/>
    </row>
    <row r="575">
      <c r="A575" s="71"/>
      <c r="B575" s="72"/>
      <c r="C575" s="72"/>
      <c r="D575" s="72"/>
      <c r="E575" s="72"/>
    </row>
    <row r="576">
      <c r="A576" s="71"/>
      <c r="B576" s="72"/>
      <c r="C576" s="72"/>
      <c r="D576" s="72"/>
      <c r="E576" s="72"/>
    </row>
    <row r="577">
      <c r="A577" s="71"/>
      <c r="B577" s="72"/>
      <c r="C577" s="72"/>
      <c r="D577" s="72"/>
      <c r="E577" s="72"/>
    </row>
    <row r="578">
      <c r="A578" s="71"/>
      <c r="B578" s="72"/>
      <c r="C578" s="72"/>
      <c r="D578" s="72"/>
      <c r="E578" s="72"/>
    </row>
    <row r="579">
      <c r="A579" s="71"/>
      <c r="B579" s="72"/>
      <c r="C579" s="72"/>
      <c r="D579" s="72"/>
      <c r="E579" s="72"/>
    </row>
    <row r="580">
      <c r="A580" s="71"/>
      <c r="B580" s="72"/>
      <c r="C580" s="72"/>
      <c r="D580" s="72"/>
      <c r="E580" s="72"/>
    </row>
    <row r="581">
      <c r="A581" s="71"/>
      <c r="B581" s="72"/>
      <c r="C581" s="72"/>
      <c r="D581" s="72"/>
      <c r="E581" s="72"/>
    </row>
    <row r="582">
      <c r="A582" s="71"/>
      <c r="B582" s="72"/>
      <c r="C582" s="72"/>
      <c r="D582" s="72"/>
      <c r="E582" s="72"/>
    </row>
    <row r="583">
      <c r="A583" s="71"/>
      <c r="B583" s="72"/>
      <c r="C583" s="72"/>
      <c r="D583" s="72"/>
      <c r="E583" s="72"/>
    </row>
    <row r="584">
      <c r="A584" s="71"/>
      <c r="B584" s="72"/>
      <c r="C584" s="72"/>
      <c r="D584" s="72"/>
      <c r="E584" s="72"/>
    </row>
    <row r="585">
      <c r="A585" s="71"/>
      <c r="B585" s="72"/>
      <c r="C585" s="72"/>
      <c r="D585" s="72"/>
      <c r="E585" s="72"/>
    </row>
    <row r="586">
      <c r="A586" s="71"/>
      <c r="B586" s="72"/>
      <c r="C586" s="72"/>
      <c r="D586" s="72"/>
      <c r="E586" s="72"/>
    </row>
    <row r="587">
      <c r="A587" s="71"/>
      <c r="B587" s="72"/>
      <c r="C587" s="72"/>
      <c r="D587" s="72"/>
      <c r="E587" s="72"/>
    </row>
    <row r="588">
      <c r="A588" s="71"/>
      <c r="B588" s="72"/>
      <c r="C588" s="72"/>
      <c r="D588" s="72"/>
      <c r="E588" s="72"/>
    </row>
    <row r="589">
      <c r="A589" s="71"/>
      <c r="B589" s="72"/>
      <c r="C589" s="72"/>
      <c r="D589" s="72"/>
      <c r="E589" s="72"/>
    </row>
    <row r="590">
      <c r="A590" s="71"/>
      <c r="B590" s="72"/>
      <c r="C590" s="72"/>
      <c r="D590" s="72"/>
      <c r="E590" s="72"/>
    </row>
    <row r="591">
      <c r="A591" s="71"/>
      <c r="B591" s="72"/>
      <c r="C591" s="72"/>
      <c r="D591" s="72"/>
      <c r="E591" s="72"/>
    </row>
    <row r="592">
      <c r="A592" s="71"/>
      <c r="B592" s="72"/>
      <c r="C592" s="72"/>
      <c r="D592" s="72"/>
      <c r="E592" s="72"/>
    </row>
    <row r="593">
      <c r="A593" s="71"/>
      <c r="B593" s="72"/>
      <c r="C593" s="72"/>
      <c r="D593" s="72"/>
      <c r="E593" s="72"/>
    </row>
    <row r="594">
      <c r="A594" s="71"/>
      <c r="B594" s="72"/>
      <c r="C594" s="72"/>
      <c r="D594" s="72"/>
      <c r="E594" s="72"/>
    </row>
    <row r="595">
      <c r="A595" s="71"/>
      <c r="B595" s="72"/>
      <c r="C595" s="72"/>
      <c r="D595" s="72"/>
      <c r="E595" s="72"/>
    </row>
    <row r="596">
      <c r="A596" s="71"/>
      <c r="B596" s="72"/>
      <c r="C596" s="72"/>
      <c r="D596" s="72"/>
      <c r="E596" s="72"/>
    </row>
    <row r="597">
      <c r="A597" s="71"/>
      <c r="B597" s="72"/>
      <c r="C597" s="72"/>
      <c r="D597" s="72"/>
      <c r="E597" s="72"/>
    </row>
    <row r="598">
      <c r="A598" s="71"/>
      <c r="B598" s="72"/>
      <c r="C598" s="72"/>
      <c r="D598" s="72"/>
      <c r="E598" s="72"/>
    </row>
    <row r="599">
      <c r="A599" s="71"/>
      <c r="B599" s="72"/>
      <c r="C599" s="72"/>
      <c r="D599" s="72"/>
      <c r="E599" s="72"/>
    </row>
    <row r="600">
      <c r="A600" s="71"/>
      <c r="B600" s="72"/>
      <c r="C600" s="72"/>
      <c r="D600" s="72"/>
      <c r="E600" s="72"/>
    </row>
    <row r="601">
      <c r="A601" s="71"/>
      <c r="B601" s="72"/>
      <c r="C601" s="72"/>
      <c r="D601" s="72"/>
      <c r="E601" s="72"/>
    </row>
    <row r="602">
      <c r="A602" s="71"/>
      <c r="B602" s="72"/>
      <c r="C602" s="72"/>
      <c r="D602" s="72"/>
      <c r="E602" s="72"/>
    </row>
    <row r="603">
      <c r="A603" s="71"/>
      <c r="B603" s="72"/>
      <c r="C603" s="72"/>
      <c r="D603" s="72"/>
      <c r="E603" s="72"/>
    </row>
    <row r="604">
      <c r="A604" s="71"/>
      <c r="B604" s="72"/>
      <c r="C604" s="72"/>
      <c r="D604" s="72"/>
      <c r="E604" s="72"/>
    </row>
    <row r="605">
      <c r="A605" s="71"/>
      <c r="B605" s="72"/>
      <c r="C605" s="72"/>
      <c r="D605" s="72"/>
      <c r="E605" s="72"/>
    </row>
    <row r="606">
      <c r="A606" s="71"/>
      <c r="B606" s="72"/>
      <c r="C606" s="72"/>
      <c r="D606" s="72"/>
      <c r="E606" s="72"/>
    </row>
    <row r="607">
      <c r="A607" s="71"/>
      <c r="B607" s="72"/>
      <c r="C607" s="72"/>
      <c r="D607" s="72"/>
      <c r="E607" s="72"/>
    </row>
    <row r="608">
      <c r="A608" s="71"/>
      <c r="B608" s="72"/>
      <c r="C608" s="72"/>
      <c r="D608" s="72"/>
      <c r="E608" s="72"/>
    </row>
    <row r="609">
      <c r="A609" s="71"/>
      <c r="B609" s="72"/>
      <c r="C609" s="72"/>
      <c r="D609" s="72"/>
      <c r="E609" s="72"/>
    </row>
    <row r="610">
      <c r="A610" s="71"/>
      <c r="B610" s="72"/>
      <c r="C610" s="72"/>
      <c r="D610" s="72"/>
      <c r="E610" s="72"/>
    </row>
    <row r="611">
      <c r="A611" s="71"/>
      <c r="B611" s="72"/>
      <c r="C611" s="72"/>
      <c r="D611" s="72"/>
      <c r="E611" s="72"/>
    </row>
    <row r="612">
      <c r="A612" s="71"/>
      <c r="B612" s="72"/>
      <c r="C612" s="72"/>
      <c r="D612" s="72"/>
      <c r="E612" s="72"/>
    </row>
    <row r="613">
      <c r="A613" s="71"/>
      <c r="B613" s="72"/>
      <c r="C613" s="72"/>
      <c r="D613" s="72"/>
      <c r="E613" s="72"/>
    </row>
    <row r="614">
      <c r="A614" s="71"/>
      <c r="B614" s="72"/>
      <c r="C614" s="72"/>
      <c r="D614" s="72"/>
      <c r="E614" s="72"/>
    </row>
    <row r="615">
      <c r="A615" s="71"/>
      <c r="B615" s="72"/>
      <c r="C615" s="72"/>
      <c r="D615" s="72"/>
      <c r="E615" s="72"/>
    </row>
    <row r="616">
      <c r="A616" s="71"/>
      <c r="B616" s="72"/>
      <c r="C616" s="72"/>
      <c r="D616" s="72"/>
      <c r="E616" s="72"/>
    </row>
    <row r="617">
      <c r="A617" s="71"/>
      <c r="B617" s="72"/>
      <c r="C617" s="72"/>
      <c r="D617" s="72"/>
      <c r="E617" s="72"/>
    </row>
    <row r="618">
      <c r="A618" s="71"/>
      <c r="B618" s="72"/>
      <c r="C618" s="72"/>
      <c r="D618" s="72"/>
      <c r="E618" s="72"/>
    </row>
    <row r="619">
      <c r="A619" s="71"/>
      <c r="B619" s="72"/>
      <c r="C619" s="72"/>
      <c r="D619" s="72"/>
      <c r="E619" s="72"/>
    </row>
    <row r="620">
      <c r="A620" s="71"/>
      <c r="B620" s="72"/>
      <c r="C620" s="72"/>
      <c r="D620" s="72"/>
      <c r="E620" s="72"/>
    </row>
    <row r="621">
      <c r="A621" s="71"/>
      <c r="B621" s="72"/>
      <c r="C621" s="72"/>
      <c r="D621" s="72"/>
      <c r="E621" s="72"/>
    </row>
    <row r="622">
      <c r="A622" s="71"/>
      <c r="B622" s="72"/>
      <c r="C622" s="72"/>
      <c r="D622" s="72"/>
      <c r="E622" s="72"/>
    </row>
    <row r="623">
      <c r="A623" s="71"/>
      <c r="B623" s="72"/>
      <c r="C623" s="72"/>
      <c r="D623" s="72"/>
      <c r="E623" s="72"/>
    </row>
    <row r="624">
      <c r="A624" s="71"/>
      <c r="B624" s="72"/>
      <c r="C624" s="72"/>
      <c r="D624" s="72"/>
      <c r="E624" s="72"/>
    </row>
    <row r="625">
      <c r="A625" s="71"/>
      <c r="B625" s="72"/>
      <c r="C625" s="72"/>
      <c r="D625" s="72"/>
      <c r="E625" s="72"/>
    </row>
    <row r="626">
      <c r="A626" s="71"/>
      <c r="B626" s="72"/>
      <c r="C626" s="72"/>
      <c r="D626" s="72"/>
      <c r="E626" s="72"/>
    </row>
    <row r="627">
      <c r="A627" s="71"/>
      <c r="B627" s="72"/>
      <c r="C627" s="72"/>
      <c r="D627" s="72"/>
      <c r="E627" s="72"/>
    </row>
    <row r="628">
      <c r="A628" s="71"/>
      <c r="B628" s="72"/>
      <c r="C628" s="72"/>
      <c r="D628" s="72"/>
      <c r="E628" s="72"/>
    </row>
    <row r="629">
      <c r="A629" s="71"/>
      <c r="B629" s="72"/>
      <c r="C629" s="72"/>
      <c r="D629" s="72"/>
      <c r="E629" s="72"/>
    </row>
    <row r="630">
      <c r="A630" s="71"/>
      <c r="B630" s="72"/>
      <c r="C630" s="72"/>
      <c r="D630" s="72"/>
      <c r="E630" s="72"/>
    </row>
    <row r="631">
      <c r="A631" s="71"/>
      <c r="B631" s="72"/>
      <c r="C631" s="72"/>
      <c r="D631" s="72"/>
      <c r="E631" s="72"/>
    </row>
    <row r="632">
      <c r="A632" s="71"/>
      <c r="B632" s="72"/>
      <c r="C632" s="72"/>
      <c r="D632" s="72"/>
      <c r="E632" s="72"/>
    </row>
    <row r="633">
      <c r="A633" s="71"/>
      <c r="B633" s="72"/>
      <c r="C633" s="72"/>
      <c r="D633" s="72"/>
      <c r="E633" s="72"/>
    </row>
    <row r="634">
      <c r="A634" s="71"/>
      <c r="B634" s="72"/>
      <c r="C634" s="72"/>
      <c r="D634" s="72"/>
      <c r="E634" s="72"/>
    </row>
    <row r="635">
      <c r="A635" s="71"/>
      <c r="B635" s="72"/>
      <c r="C635" s="72"/>
      <c r="D635" s="72"/>
      <c r="E635" s="72"/>
    </row>
    <row r="636">
      <c r="A636" s="71"/>
      <c r="B636" s="72"/>
      <c r="C636" s="72"/>
      <c r="D636" s="72"/>
      <c r="E636" s="72"/>
    </row>
    <row r="637">
      <c r="A637" s="71"/>
      <c r="B637" s="72"/>
      <c r="C637" s="72"/>
      <c r="D637" s="72"/>
      <c r="E637" s="72"/>
    </row>
    <row r="638">
      <c r="A638" s="71"/>
      <c r="B638" s="72"/>
      <c r="C638" s="72"/>
      <c r="D638" s="72"/>
      <c r="E638" s="72"/>
    </row>
    <row r="639">
      <c r="A639" s="71"/>
      <c r="B639" s="72"/>
      <c r="C639" s="72"/>
      <c r="D639" s="72"/>
      <c r="E639" s="72"/>
    </row>
    <row r="640">
      <c r="A640" s="71"/>
      <c r="B640" s="72"/>
      <c r="C640" s="72"/>
      <c r="D640" s="72"/>
      <c r="E640" s="72"/>
    </row>
    <row r="641">
      <c r="A641" s="71"/>
      <c r="B641" s="72"/>
      <c r="C641" s="72"/>
      <c r="D641" s="72"/>
      <c r="E641" s="72"/>
    </row>
    <row r="642">
      <c r="A642" s="71"/>
      <c r="B642" s="72"/>
      <c r="C642" s="72"/>
      <c r="D642" s="72"/>
      <c r="E642" s="72"/>
    </row>
    <row r="643">
      <c r="A643" s="71"/>
      <c r="B643" s="72"/>
      <c r="C643" s="72"/>
      <c r="D643" s="72"/>
      <c r="E643" s="72"/>
    </row>
    <row r="644">
      <c r="A644" s="71"/>
      <c r="B644" s="72"/>
      <c r="C644" s="72"/>
      <c r="D644" s="72"/>
      <c r="E644" s="72"/>
    </row>
    <row r="645">
      <c r="A645" s="71"/>
      <c r="B645" s="72"/>
      <c r="C645" s="72"/>
      <c r="D645" s="72"/>
      <c r="E645" s="72"/>
    </row>
    <row r="646">
      <c r="A646" s="71"/>
      <c r="B646" s="72"/>
      <c r="C646" s="72"/>
      <c r="D646" s="72"/>
      <c r="E646" s="72"/>
    </row>
    <row r="647">
      <c r="A647" s="71"/>
      <c r="B647" s="72"/>
      <c r="C647" s="72"/>
      <c r="D647" s="72"/>
      <c r="E647" s="72"/>
    </row>
    <row r="648">
      <c r="A648" s="71"/>
      <c r="B648" s="72"/>
      <c r="C648" s="72"/>
      <c r="D648" s="72"/>
      <c r="E648" s="72"/>
    </row>
    <row r="649">
      <c r="A649" s="71"/>
      <c r="B649" s="72"/>
      <c r="C649" s="72"/>
      <c r="D649" s="72"/>
      <c r="E649" s="72"/>
    </row>
    <row r="650">
      <c r="A650" s="71"/>
      <c r="B650" s="72"/>
      <c r="C650" s="72"/>
      <c r="D650" s="72"/>
      <c r="E650" s="72"/>
    </row>
    <row r="651">
      <c r="A651" s="71"/>
      <c r="B651" s="72"/>
      <c r="C651" s="72"/>
      <c r="D651" s="72"/>
      <c r="E651" s="72"/>
    </row>
    <row r="652">
      <c r="A652" s="71"/>
      <c r="B652" s="72"/>
      <c r="C652" s="72"/>
      <c r="D652" s="72"/>
      <c r="E652" s="72"/>
    </row>
    <row r="653">
      <c r="A653" s="71"/>
      <c r="B653" s="72"/>
      <c r="C653" s="72"/>
      <c r="D653" s="72"/>
      <c r="E653" s="72"/>
    </row>
    <row r="654">
      <c r="A654" s="71"/>
      <c r="B654" s="72"/>
      <c r="C654" s="72"/>
      <c r="D654" s="72"/>
      <c r="E654" s="72"/>
    </row>
    <row r="655">
      <c r="A655" s="71"/>
      <c r="B655" s="72"/>
      <c r="C655" s="72"/>
      <c r="D655" s="72"/>
      <c r="E655" s="72"/>
    </row>
    <row r="656">
      <c r="A656" s="71"/>
      <c r="B656" s="72"/>
      <c r="C656" s="72"/>
      <c r="D656" s="72"/>
      <c r="E656" s="72"/>
    </row>
    <row r="657">
      <c r="A657" s="71"/>
      <c r="B657" s="72"/>
      <c r="C657" s="72"/>
      <c r="D657" s="72"/>
      <c r="E657" s="72"/>
    </row>
    <row r="658">
      <c r="A658" s="71"/>
      <c r="B658" s="72"/>
      <c r="C658" s="72"/>
      <c r="D658" s="72"/>
      <c r="E658" s="72"/>
    </row>
    <row r="659">
      <c r="A659" s="71"/>
      <c r="B659" s="72"/>
      <c r="C659" s="72"/>
      <c r="D659" s="72"/>
      <c r="E659" s="72"/>
    </row>
    <row r="660">
      <c r="A660" s="71"/>
      <c r="B660" s="72"/>
      <c r="C660" s="72"/>
      <c r="D660" s="72"/>
      <c r="E660" s="72"/>
    </row>
    <row r="661">
      <c r="A661" s="71"/>
      <c r="B661" s="72"/>
      <c r="C661" s="72"/>
      <c r="D661" s="72"/>
      <c r="E661" s="72"/>
    </row>
    <row r="662">
      <c r="A662" s="71"/>
      <c r="B662" s="72"/>
      <c r="C662" s="72"/>
      <c r="D662" s="72"/>
      <c r="E662" s="72"/>
    </row>
    <row r="663">
      <c r="A663" s="71"/>
      <c r="B663" s="72"/>
      <c r="C663" s="72"/>
      <c r="D663" s="72"/>
      <c r="E663" s="72"/>
    </row>
    <row r="664">
      <c r="A664" s="71"/>
      <c r="B664" s="72"/>
      <c r="C664" s="72"/>
      <c r="D664" s="72"/>
      <c r="E664" s="72"/>
    </row>
    <row r="665">
      <c r="A665" s="71"/>
      <c r="B665" s="72"/>
      <c r="C665" s="72"/>
      <c r="D665" s="72"/>
      <c r="E665" s="72"/>
    </row>
    <row r="666">
      <c r="A666" s="71"/>
      <c r="B666" s="72"/>
      <c r="C666" s="72"/>
      <c r="D666" s="72"/>
      <c r="E666" s="72"/>
    </row>
    <row r="667">
      <c r="A667" s="71"/>
      <c r="B667" s="72"/>
      <c r="C667" s="72"/>
      <c r="D667" s="72"/>
      <c r="E667" s="72"/>
    </row>
    <row r="668">
      <c r="A668" s="71"/>
      <c r="B668" s="72"/>
      <c r="C668" s="72"/>
      <c r="D668" s="72"/>
      <c r="E668" s="72"/>
    </row>
    <row r="669">
      <c r="A669" s="71"/>
      <c r="B669" s="72"/>
      <c r="C669" s="72"/>
      <c r="D669" s="72"/>
      <c r="E669" s="72"/>
    </row>
    <row r="670">
      <c r="A670" s="71"/>
      <c r="B670" s="72"/>
      <c r="C670" s="72"/>
      <c r="D670" s="72"/>
      <c r="E670" s="72"/>
    </row>
    <row r="671">
      <c r="A671" s="71"/>
      <c r="B671" s="72"/>
      <c r="C671" s="72"/>
      <c r="D671" s="72"/>
      <c r="E671" s="72"/>
    </row>
    <row r="672">
      <c r="A672" s="71"/>
      <c r="B672" s="72"/>
      <c r="C672" s="72"/>
      <c r="D672" s="72"/>
      <c r="E672" s="72"/>
    </row>
    <row r="673">
      <c r="A673" s="71"/>
      <c r="B673" s="72"/>
      <c r="C673" s="72"/>
      <c r="D673" s="72"/>
      <c r="E673" s="72"/>
    </row>
    <row r="674">
      <c r="A674" s="71"/>
      <c r="B674" s="72"/>
      <c r="C674" s="72"/>
      <c r="D674" s="72"/>
      <c r="E674" s="72"/>
    </row>
    <row r="675">
      <c r="A675" s="71"/>
      <c r="B675" s="72"/>
      <c r="C675" s="72"/>
      <c r="D675" s="72"/>
      <c r="E675" s="72"/>
    </row>
    <row r="676">
      <c r="A676" s="71"/>
      <c r="B676" s="72"/>
      <c r="C676" s="72"/>
      <c r="D676" s="72"/>
      <c r="E676" s="72"/>
    </row>
    <row r="677">
      <c r="A677" s="71"/>
      <c r="B677" s="72"/>
      <c r="C677" s="72"/>
      <c r="D677" s="72"/>
      <c r="E677" s="72"/>
    </row>
    <row r="678">
      <c r="A678" s="71"/>
      <c r="B678" s="72"/>
      <c r="C678" s="72"/>
      <c r="D678" s="72"/>
      <c r="E678" s="72"/>
    </row>
    <row r="679">
      <c r="A679" s="71"/>
      <c r="B679" s="72"/>
      <c r="C679" s="72"/>
      <c r="D679" s="72"/>
      <c r="E679" s="72"/>
    </row>
    <row r="680">
      <c r="A680" s="71"/>
      <c r="B680" s="72"/>
      <c r="C680" s="72"/>
      <c r="D680" s="72"/>
      <c r="E680" s="72"/>
    </row>
    <row r="681">
      <c r="A681" s="71"/>
      <c r="B681" s="72"/>
      <c r="C681" s="72"/>
      <c r="D681" s="72"/>
      <c r="E681" s="72"/>
    </row>
    <row r="682">
      <c r="A682" s="71"/>
      <c r="B682" s="72"/>
      <c r="C682" s="72"/>
      <c r="D682" s="72"/>
      <c r="E682" s="72"/>
    </row>
    <row r="683">
      <c r="A683" s="71"/>
      <c r="B683" s="72"/>
      <c r="C683" s="72"/>
      <c r="D683" s="72"/>
      <c r="E683" s="72"/>
    </row>
    <row r="684">
      <c r="A684" s="71"/>
      <c r="B684" s="72"/>
      <c r="C684" s="72"/>
      <c r="D684" s="72"/>
      <c r="E684" s="72"/>
    </row>
    <row r="685">
      <c r="A685" s="71"/>
      <c r="B685" s="72"/>
      <c r="C685" s="72"/>
      <c r="D685" s="72"/>
      <c r="E685" s="72"/>
    </row>
    <row r="686">
      <c r="A686" s="71"/>
      <c r="B686" s="72"/>
      <c r="C686" s="72"/>
      <c r="D686" s="72"/>
      <c r="E686" s="72"/>
    </row>
    <row r="687">
      <c r="A687" s="71"/>
      <c r="B687" s="72"/>
      <c r="C687" s="72"/>
      <c r="D687" s="72"/>
      <c r="E687" s="72"/>
    </row>
    <row r="688">
      <c r="A688" s="71"/>
      <c r="B688" s="72"/>
      <c r="C688" s="72"/>
      <c r="D688" s="72"/>
      <c r="E688" s="72"/>
    </row>
    <row r="689">
      <c r="A689" s="71"/>
      <c r="B689" s="72"/>
      <c r="C689" s="72"/>
      <c r="D689" s="72"/>
      <c r="E689" s="72"/>
    </row>
    <row r="690">
      <c r="A690" s="71"/>
      <c r="B690" s="72"/>
      <c r="C690" s="72"/>
      <c r="D690" s="72"/>
      <c r="E690" s="72"/>
    </row>
    <row r="691">
      <c r="A691" s="71"/>
      <c r="B691" s="72"/>
      <c r="C691" s="72"/>
      <c r="D691" s="72"/>
      <c r="E691" s="72"/>
    </row>
    <row r="692">
      <c r="A692" s="71"/>
      <c r="B692" s="72"/>
      <c r="C692" s="72"/>
      <c r="D692" s="72"/>
      <c r="E692" s="72"/>
    </row>
    <row r="693">
      <c r="A693" s="71"/>
      <c r="B693" s="72"/>
      <c r="C693" s="72"/>
      <c r="D693" s="72"/>
      <c r="E693" s="72"/>
    </row>
    <row r="694">
      <c r="A694" s="71"/>
      <c r="B694" s="72"/>
      <c r="C694" s="72"/>
      <c r="D694" s="72"/>
      <c r="E694" s="72"/>
    </row>
    <row r="695">
      <c r="A695" s="71"/>
      <c r="B695" s="72"/>
      <c r="C695" s="72"/>
      <c r="D695" s="72"/>
      <c r="E695" s="72"/>
    </row>
    <row r="696">
      <c r="A696" s="71"/>
      <c r="B696" s="72"/>
      <c r="C696" s="72"/>
      <c r="D696" s="72"/>
      <c r="E696" s="72"/>
    </row>
    <row r="697">
      <c r="A697" s="71"/>
      <c r="B697" s="72"/>
      <c r="C697" s="72"/>
      <c r="D697" s="72"/>
      <c r="E697" s="72"/>
    </row>
    <row r="698">
      <c r="A698" s="71"/>
      <c r="B698" s="72"/>
      <c r="C698" s="72"/>
      <c r="D698" s="72"/>
      <c r="E698" s="72"/>
    </row>
    <row r="699">
      <c r="A699" s="71"/>
      <c r="B699" s="72"/>
      <c r="C699" s="72"/>
      <c r="D699" s="72"/>
      <c r="E699" s="72"/>
    </row>
    <row r="700">
      <c r="A700" s="71"/>
      <c r="B700" s="72"/>
      <c r="C700" s="72"/>
      <c r="D700" s="72"/>
      <c r="E700" s="72"/>
    </row>
    <row r="701">
      <c r="A701" s="71"/>
      <c r="B701" s="72"/>
      <c r="C701" s="72"/>
      <c r="D701" s="72"/>
      <c r="E701" s="72"/>
    </row>
    <row r="702">
      <c r="A702" s="71"/>
      <c r="B702" s="72"/>
      <c r="C702" s="72"/>
      <c r="D702" s="72"/>
      <c r="E702" s="72"/>
    </row>
    <row r="703">
      <c r="A703" s="71"/>
      <c r="B703" s="72"/>
      <c r="C703" s="72"/>
      <c r="D703" s="72"/>
      <c r="E703" s="72"/>
    </row>
    <row r="704">
      <c r="A704" s="71"/>
      <c r="B704" s="72"/>
      <c r="C704" s="72"/>
      <c r="D704" s="72"/>
      <c r="E704" s="72"/>
    </row>
    <row r="705">
      <c r="A705" s="71"/>
      <c r="B705" s="72"/>
      <c r="C705" s="72"/>
      <c r="D705" s="72"/>
      <c r="E705" s="72"/>
    </row>
    <row r="706">
      <c r="A706" s="71"/>
      <c r="B706" s="72"/>
      <c r="C706" s="72"/>
      <c r="D706" s="72"/>
      <c r="E706" s="72"/>
    </row>
    <row r="707">
      <c r="A707" s="71"/>
      <c r="B707" s="72"/>
      <c r="C707" s="72"/>
      <c r="D707" s="72"/>
      <c r="E707" s="72"/>
    </row>
    <row r="708">
      <c r="A708" s="71"/>
      <c r="B708" s="72"/>
      <c r="C708" s="72"/>
      <c r="D708" s="72"/>
      <c r="E708" s="72"/>
    </row>
    <row r="709">
      <c r="A709" s="71"/>
      <c r="B709" s="72"/>
      <c r="C709" s="72"/>
      <c r="D709" s="72"/>
      <c r="E709" s="72"/>
    </row>
    <row r="710">
      <c r="A710" s="71"/>
      <c r="B710" s="72"/>
      <c r="C710" s="72"/>
      <c r="D710" s="72"/>
      <c r="E710" s="72"/>
    </row>
    <row r="711">
      <c r="A711" s="71"/>
      <c r="B711" s="72"/>
      <c r="C711" s="72"/>
      <c r="D711" s="72"/>
      <c r="E711" s="72"/>
    </row>
    <row r="712">
      <c r="A712" s="71"/>
      <c r="B712" s="72"/>
      <c r="C712" s="72"/>
      <c r="D712" s="72"/>
      <c r="E712" s="72"/>
    </row>
    <row r="713">
      <c r="A713" s="71"/>
      <c r="B713" s="72"/>
      <c r="C713" s="72"/>
      <c r="D713" s="72"/>
      <c r="E713" s="72"/>
    </row>
    <row r="714">
      <c r="A714" s="71"/>
      <c r="B714" s="72"/>
      <c r="C714" s="72"/>
      <c r="D714" s="72"/>
      <c r="E714" s="72"/>
    </row>
    <row r="715">
      <c r="A715" s="71"/>
      <c r="B715" s="72"/>
      <c r="C715" s="72"/>
      <c r="D715" s="72"/>
      <c r="E715" s="72"/>
    </row>
    <row r="716">
      <c r="A716" s="71"/>
      <c r="B716" s="72"/>
      <c r="C716" s="72"/>
      <c r="D716" s="72"/>
      <c r="E716" s="72"/>
    </row>
    <row r="717">
      <c r="A717" s="71"/>
      <c r="B717" s="72"/>
      <c r="C717" s="72"/>
      <c r="D717" s="72"/>
      <c r="E717" s="72"/>
    </row>
    <row r="718">
      <c r="A718" s="71"/>
      <c r="B718" s="72"/>
      <c r="C718" s="72"/>
      <c r="D718" s="72"/>
      <c r="E718" s="72"/>
    </row>
    <row r="719">
      <c r="A719" s="71"/>
      <c r="B719" s="72"/>
      <c r="C719" s="72"/>
      <c r="D719" s="72"/>
      <c r="E719" s="72"/>
    </row>
    <row r="720">
      <c r="A720" s="71"/>
      <c r="B720" s="72"/>
      <c r="C720" s="72"/>
      <c r="D720" s="72"/>
      <c r="E720" s="72"/>
    </row>
    <row r="721">
      <c r="A721" s="71"/>
      <c r="B721" s="72"/>
      <c r="C721" s="72"/>
      <c r="D721" s="72"/>
      <c r="E721" s="72"/>
    </row>
    <row r="722">
      <c r="A722" s="71"/>
      <c r="B722" s="72"/>
      <c r="C722" s="72"/>
      <c r="D722" s="72"/>
      <c r="E722" s="72"/>
    </row>
    <row r="723">
      <c r="A723" s="71"/>
      <c r="B723" s="72"/>
      <c r="C723" s="72"/>
      <c r="D723" s="72"/>
      <c r="E723" s="72"/>
    </row>
    <row r="724">
      <c r="A724" s="71"/>
      <c r="B724" s="72"/>
      <c r="C724" s="72"/>
      <c r="D724" s="72"/>
      <c r="E724" s="72"/>
    </row>
    <row r="725">
      <c r="A725" s="71"/>
      <c r="B725" s="72"/>
      <c r="C725" s="72"/>
      <c r="D725" s="72"/>
      <c r="E725" s="72"/>
    </row>
    <row r="726">
      <c r="A726" s="71"/>
      <c r="B726" s="72"/>
      <c r="C726" s="72"/>
      <c r="D726" s="72"/>
      <c r="E726" s="72"/>
    </row>
    <row r="727">
      <c r="A727" s="71"/>
      <c r="B727" s="72"/>
      <c r="C727" s="72"/>
      <c r="D727" s="72"/>
      <c r="E727" s="72"/>
    </row>
    <row r="728">
      <c r="A728" s="71"/>
      <c r="B728" s="72"/>
      <c r="C728" s="72"/>
      <c r="D728" s="72"/>
      <c r="E728" s="72"/>
    </row>
    <row r="729">
      <c r="A729" s="71"/>
      <c r="B729" s="72"/>
      <c r="C729" s="72"/>
      <c r="D729" s="72"/>
      <c r="E729" s="72"/>
    </row>
    <row r="730">
      <c r="A730" s="71"/>
      <c r="B730" s="72"/>
      <c r="C730" s="72"/>
      <c r="D730" s="72"/>
      <c r="E730" s="72"/>
    </row>
    <row r="731">
      <c r="A731" s="71"/>
      <c r="B731" s="72"/>
      <c r="C731" s="72"/>
      <c r="D731" s="72"/>
      <c r="E731" s="72"/>
    </row>
    <row r="732">
      <c r="A732" s="71"/>
      <c r="B732" s="72"/>
      <c r="C732" s="72"/>
      <c r="D732" s="72"/>
      <c r="E732" s="72"/>
    </row>
    <row r="733">
      <c r="A733" s="71"/>
      <c r="B733" s="72"/>
      <c r="C733" s="72"/>
      <c r="D733" s="72"/>
      <c r="E733" s="72"/>
    </row>
    <row r="734">
      <c r="A734" s="71"/>
      <c r="B734" s="72"/>
      <c r="C734" s="72"/>
      <c r="D734" s="72"/>
      <c r="E734" s="72"/>
    </row>
    <row r="735">
      <c r="A735" s="71"/>
      <c r="B735" s="72"/>
      <c r="C735" s="72"/>
      <c r="D735" s="72"/>
      <c r="E735" s="72"/>
    </row>
    <row r="736">
      <c r="A736" s="71"/>
      <c r="B736" s="72"/>
      <c r="C736" s="72"/>
      <c r="D736" s="72"/>
      <c r="E736" s="72"/>
    </row>
    <row r="737">
      <c r="A737" s="71"/>
      <c r="B737" s="72"/>
      <c r="C737" s="72"/>
      <c r="D737" s="72"/>
      <c r="E737" s="72"/>
    </row>
    <row r="738">
      <c r="A738" s="71"/>
      <c r="B738" s="72"/>
      <c r="C738" s="72"/>
      <c r="D738" s="72"/>
      <c r="E738" s="72"/>
    </row>
    <row r="739">
      <c r="A739" s="71"/>
      <c r="B739" s="72"/>
      <c r="C739" s="72"/>
      <c r="D739" s="72"/>
      <c r="E739" s="72"/>
    </row>
    <row r="740">
      <c r="A740" s="71"/>
      <c r="B740" s="72"/>
      <c r="C740" s="72"/>
      <c r="D740" s="72"/>
      <c r="E740" s="72"/>
    </row>
    <row r="741">
      <c r="A741" s="71"/>
      <c r="B741" s="72"/>
      <c r="C741" s="72"/>
      <c r="D741" s="72"/>
      <c r="E741" s="72"/>
    </row>
    <row r="742">
      <c r="A742" s="71"/>
      <c r="B742" s="72"/>
      <c r="C742" s="72"/>
      <c r="D742" s="72"/>
      <c r="E742" s="72"/>
    </row>
    <row r="743">
      <c r="A743" s="71"/>
      <c r="B743" s="72"/>
      <c r="C743" s="72"/>
      <c r="D743" s="72"/>
      <c r="E743" s="72"/>
    </row>
    <row r="744">
      <c r="A744" s="71"/>
      <c r="B744" s="72"/>
      <c r="C744" s="72"/>
      <c r="D744" s="72"/>
      <c r="E744" s="72"/>
    </row>
    <row r="745">
      <c r="A745" s="71"/>
      <c r="B745" s="72"/>
      <c r="C745" s="72"/>
      <c r="D745" s="72"/>
      <c r="E745" s="72"/>
    </row>
    <row r="746">
      <c r="A746" s="71"/>
      <c r="B746" s="72"/>
      <c r="C746" s="72"/>
      <c r="D746" s="72"/>
      <c r="E746" s="72"/>
    </row>
    <row r="747">
      <c r="A747" s="71"/>
      <c r="B747" s="72"/>
      <c r="C747" s="72"/>
      <c r="D747" s="72"/>
      <c r="E747" s="72"/>
    </row>
    <row r="748">
      <c r="A748" s="71"/>
      <c r="B748" s="72"/>
      <c r="C748" s="72"/>
      <c r="D748" s="72"/>
      <c r="E748" s="72"/>
    </row>
    <row r="749">
      <c r="A749" s="71"/>
      <c r="B749" s="72"/>
      <c r="C749" s="72"/>
      <c r="D749" s="72"/>
      <c r="E749" s="72"/>
    </row>
    <row r="750">
      <c r="A750" s="71"/>
      <c r="B750" s="72"/>
      <c r="C750" s="72"/>
      <c r="D750" s="72"/>
      <c r="E750" s="72"/>
    </row>
    <row r="751">
      <c r="A751" s="71"/>
      <c r="B751" s="72"/>
      <c r="C751" s="72"/>
      <c r="D751" s="72"/>
      <c r="E751" s="72"/>
    </row>
    <row r="752">
      <c r="A752" s="71"/>
      <c r="B752" s="72"/>
      <c r="C752" s="72"/>
      <c r="D752" s="72"/>
      <c r="E752" s="72"/>
    </row>
    <row r="753">
      <c r="A753" s="71"/>
      <c r="B753" s="72"/>
      <c r="C753" s="72"/>
      <c r="D753" s="72"/>
      <c r="E753" s="72"/>
    </row>
    <row r="754">
      <c r="A754" s="71"/>
      <c r="B754" s="72"/>
      <c r="C754" s="72"/>
      <c r="D754" s="72"/>
      <c r="E754" s="72"/>
    </row>
    <row r="755">
      <c r="A755" s="71"/>
      <c r="B755" s="72"/>
      <c r="C755" s="72"/>
      <c r="D755" s="72"/>
      <c r="E755" s="72"/>
    </row>
    <row r="756">
      <c r="A756" s="71"/>
      <c r="B756" s="72"/>
      <c r="C756" s="72"/>
      <c r="D756" s="72"/>
      <c r="E756" s="72"/>
    </row>
    <row r="757">
      <c r="A757" s="71"/>
      <c r="B757" s="72"/>
      <c r="C757" s="72"/>
      <c r="D757" s="72"/>
      <c r="E757" s="72"/>
    </row>
    <row r="758">
      <c r="A758" s="71"/>
      <c r="B758" s="72"/>
      <c r="C758" s="72"/>
      <c r="D758" s="72"/>
      <c r="E758" s="72"/>
    </row>
    <row r="759">
      <c r="A759" s="71"/>
      <c r="B759" s="72"/>
      <c r="C759" s="72"/>
      <c r="D759" s="72"/>
      <c r="E759" s="72"/>
    </row>
    <row r="760">
      <c r="A760" s="71"/>
      <c r="B760" s="72"/>
      <c r="C760" s="72"/>
      <c r="D760" s="72"/>
      <c r="E760" s="72"/>
    </row>
    <row r="761">
      <c r="A761" s="71"/>
      <c r="B761" s="72"/>
      <c r="C761" s="72"/>
      <c r="D761" s="72"/>
      <c r="E761" s="72"/>
    </row>
    <row r="762">
      <c r="A762" s="71"/>
      <c r="B762" s="72"/>
      <c r="C762" s="72"/>
      <c r="D762" s="72"/>
      <c r="E762" s="72"/>
    </row>
    <row r="763">
      <c r="A763" s="71"/>
      <c r="B763" s="72"/>
      <c r="C763" s="72"/>
      <c r="D763" s="72"/>
      <c r="E763" s="72"/>
    </row>
    <row r="764">
      <c r="A764" s="71"/>
      <c r="B764" s="72"/>
      <c r="C764" s="72"/>
      <c r="D764" s="72"/>
      <c r="E764" s="72"/>
    </row>
    <row r="765">
      <c r="A765" s="71"/>
      <c r="B765" s="72"/>
      <c r="C765" s="72"/>
      <c r="D765" s="72"/>
      <c r="E765" s="72"/>
    </row>
    <row r="766">
      <c r="A766" s="71"/>
      <c r="B766" s="72"/>
      <c r="C766" s="72"/>
      <c r="D766" s="72"/>
      <c r="E766" s="72"/>
    </row>
    <row r="767">
      <c r="A767" s="71"/>
      <c r="B767" s="72"/>
      <c r="C767" s="72"/>
      <c r="D767" s="72"/>
      <c r="E767" s="72"/>
    </row>
    <row r="768">
      <c r="A768" s="71"/>
      <c r="B768" s="72"/>
      <c r="C768" s="72"/>
      <c r="D768" s="72"/>
      <c r="E768" s="72"/>
    </row>
    <row r="769">
      <c r="A769" s="71"/>
      <c r="B769" s="72"/>
      <c r="C769" s="72"/>
      <c r="D769" s="72"/>
      <c r="E769" s="72"/>
    </row>
    <row r="770">
      <c r="A770" s="71"/>
      <c r="B770" s="72"/>
      <c r="C770" s="72"/>
      <c r="D770" s="72"/>
      <c r="E770" s="72"/>
    </row>
    <row r="771">
      <c r="A771" s="71"/>
      <c r="B771" s="72"/>
      <c r="C771" s="72"/>
      <c r="D771" s="72"/>
      <c r="E771" s="72"/>
    </row>
    <row r="772">
      <c r="A772" s="71"/>
      <c r="B772" s="72"/>
      <c r="C772" s="72"/>
      <c r="D772" s="72"/>
      <c r="E772" s="72"/>
    </row>
    <row r="773">
      <c r="A773" s="71"/>
      <c r="B773" s="72"/>
      <c r="C773" s="72"/>
      <c r="D773" s="72"/>
      <c r="E773" s="72"/>
    </row>
    <row r="774">
      <c r="A774" s="71"/>
      <c r="B774" s="72"/>
      <c r="C774" s="72"/>
      <c r="D774" s="72"/>
      <c r="E774" s="72"/>
    </row>
    <row r="775">
      <c r="A775" s="71"/>
      <c r="B775" s="72"/>
      <c r="C775" s="72"/>
      <c r="D775" s="72"/>
      <c r="E775" s="72"/>
    </row>
    <row r="776">
      <c r="A776" s="71"/>
      <c r="B776" s="72"/>
      <c r="C776" s="72"/>
      <c r="D776" s="72"/>
      <c r="E776" s="72"/>
    </row>
    <row r="777">
      <c r="A777" s="71"/>
      <c r="B777" s="72"/>
      <c r="C777" s="72"/>
      <c r="D777" s="72"/>
      <c r="E777" s="72"/>
    </row>
    <row r="778">
      <c r="A778" s="71"/>
      <c r="B778" s="72"/>
      <c r="C778" s="72"/>
      <c r="D778" s="72"/>
      <c r="E778" s="72"/>
    </row>
    <row r="779">
      <c r="A779" s="71"/>
      <c r="B779" s="72"/>
      <c r="C779" s="72"/>
      <c r="D779" s="72"/>
      <c r="E779" s="72"/>
    </row>
    <row r="780">
      <c r="A780" s="71"/>
      <c r="B780" s="72"/>
      <c r="C780" s="72"/>
      <c r="D780" s="72"/>
      <c r="E780" s="72"/>
    </row>
    <row r="781">
      <c r="A781" s="71"/>
      <c r="B781" s="72"/>
      <c r="C781" s="72"/>
      <c r="D781" s="72"/>
      <c r="E781" s="72"/>
    </row>
    <row r="782">
      <c r="A782" s="71"/>
      <c r="B782" s="72"/>
      <c r="C782" s="72"/>
      <c r="D782" s="72"/>
      <c r="E782" s="72"/>
    </row>
    <row r="783">
      <c r="A783" s="71"/>
      <c r="B783" s="72"/>
      <c r="C783" s="72"/>
      <c r="D783" s="72"/>
      <c r="E783" s="72"/>
    </row>
    <row r="784">
      <c r="A784" s="71"/>
      <c r="B784" s="72"/>
      <c r="C784" s="72"/>
      <c r="D784" s="72"/>
      <c r="E784" s="72"/>
    </row>
    <row r="785">
      <c r="A785" s="71"/>
      <c r="B785" s="72"/>
      <c r="C785" s="72"/>
      <c r="D785" s="72"/>
      <c r="E785" s="72"/>
    </row>
    <row r="786">
      <c r="A786" s="71"/>
      <c r="B786" s="72"/>
      <c r="C786" s="72"/>
      <c r="D786" s="72"/>
      <c r="E786" s="72"/>
    </row>
    <row r="787">
      <c r="A787" s="71"/>
      <c r="B787" s="72"/>
      <c r="C787" s="72"/>
      <c r="D787" s="72"/>
      <c r="E787" s="72"/>
    </row>
    <row r="788">
      <c r="A788" s="71"/>
      <c r="B788" s="72"/>
      <c r="C788" s="72"/>
      <c r="D788" s="72"/>
      <c r="E788" s="72"/>
    </row>
    <row r="789">
      <c r="A789" s="71"/>
      <c r="B789" s="72"/>
      <c r="C789" s="72"/>
      <c r="D789" s="72"/>
      <c r="E789" s="72"/>
    </row>
    <row r="790">
      <c r="A790" s="71"/>
      <c r="B790" s="72"/>
      <c r="C790" s="72"/>
      <c r="D790" s="72"/>
      <c r="E790" s="72"/>
    </row>
    <row r="791">
      <c r="A791" s="71"/>
      <c r="B791" s="72"/>
      <c r="C791" s="72"/>
      <c r="D791" s="72"/>
      <c r="E791" s="72"/>
    </row>
    <row r="792">
      <c r="A792" s="71"/>
      <c r="B792" s="72"/>
      <c r="C792" s="72"/>
      <c r="D792" s="72"/>
      <c r="E792" s="72"/>
    </row>
    <row r="793">
      <c r="A793" s="71"/>
      <c r="B793" s="72"/>
      <c r="C793" s="72"/>
      <c r="D793" s="72"/>
      <c r="E793" s="72"/>
    </row>
    <row r="794">
      <c r="A794" s="71"/>
      <c r="B794" s="72"/>
      <c r="C794" s="72"/>
      <c r="D794" s="72"/>
      <c r="E794" s="72"/>
    </row>
    <row r="795">
      <c r="A795" s="71"/>
      <c r="B795" s="72"/>
      <c r="C795" s="72"/>
      <c r="D795" s="72"/>
      <c r="E795" s="72"/>
    </row>
    <row r="796">
      <c r="A796" s="71"/>
      <c r="B796" s="72"/>
      <c r="C796" s="72"/>
      <c r="D796" s="72"/>
      <c r="E796" s="72"/>
    </row>
    <row r="797">
      <c r="A797" s="71"/>
      <c r="B797" s="72"/>
      <c r="C797" s="72"/>
      <c r="D797" s="72"/>
      <c r="E797" s="72"/>
    </row>
    <row r="798">
      <c r="A798" s="71"/>
      <c r="B798" s="72"/>
      <c r="C798" s="72"/>
      <c r="D798" s="72"/>
      <c r="E798" s="72"/>
    </row>
    <row r="799">
      <c r="A799" s="71"/>
      <c r="B799" s="72"/>
      <c r="C799" s="72"/>
      <c r="D799" s="72"/>
      <c r="E799" s="72"/>
    </row>
    <row r="800">
      <c r="A800" s="71"/>
      <c r="B800" s="72"/>
      <c r="C800" s="72"/>
      <c r="D800" s="72"/>
      <c r="E800" s="72"/>
    </row>
    <row r="801">
      <c r="A801" s="71"/>
      <c r="B801" s="72"/>
      <c r="C801" s="72"/>
      <c r="D801" s="72"/>
      <c r="E801" s="72"/>
    </row>
    <row r="802">
      <c r="A802" s="71"/>
      <c r="B802" s="72"/>
      <c r="C802" s="72"/>
      <c r="D802" s="72"/>
      <c r="E802" s="72"/>
    </row>
    <row r="803">
      <c r="A803" s="71"/>
      <c r="B803" s="72"/>
      <c r="C803" s="72"/>
      <c r="D803" s="72"/>
      <c r="E803" s="72"/>
    </row>
    <row r="804">
      <c r="A804" s="71"/>
      <c r="B804" s="72"/>
      <c r="C804" s="72"/>
      <c r="D804" s="72"/>
      <c r="E804" s="72"/>
    </row>
    <row r="805">
      <c r="A805" s="71"/>
      <c r="B805" s="72"/>
      <c r="C805" s="72"/>
      <c r="D805" s="72"/>
      <c r="E805" s="72"/>
    </row>
    <row r="806">
      <c r="A806" s="71"/>
      <c r="B806" s="72"/>
      <c r="C806" s="72"/>
      <c r="D806" s="72"/>
      <c r="E806" s="72"/>
    </row>
    <row r="807">
      <c r="A807" s="71"/>
      <c r="B807" s="72"/>
      <c r="C807" s="72"/>
      <c r="D807" s="72"/>
      <c r="E807" s="72"/>
    </row>
    <row r="808">
      <c r="A808" s="71"/>
      <c r="B808" s="72"/>
      <c r="C808" s="72"/>
      <c r="D808" s="72"/>
      <c r="E808" s="72"/>
    </row>
    <row r="809">
      <c r="A809" s="71"/>
      <c r="B809" s="72"/>
      <c r="C809" s="72"/>
      <c r="D809" s="72"/>
      <c r="E809" s="72"/>
    </row>
    <row r="810">
      <c r="A810" s="71"/>
      <c r="B810" s="72"/>
      <c r="C810" s="72"/>
      <c r="D810" s="72"/>
      <c r="E810" s="72"/>
    </row>
    <row r="811">
      <c r="A811" s="71"/>
      <c r="B811" s="72"/>
      <c r="C811" s="72"/>
      <c r="D811" s="72"/>
      <c r="E811" s="72"/>
    </row>
    <row r="812">
      <c r="A812" s="71"/>
      <c r="B812" s="72"/>
      <c r="C812" s="72"/>
      <c r="D812" s="72"/>
      <c r="E812" s="72"/>
    </row>
    <row r="813">
      <c r="A813" s="71"/>
      <c r="B813" s="72"/>
      <c r="C813" s="72"/>
      <c r="D813" s="72"/>
      <c r="E813" s="72"/>
    </row>
    <row r="814">
      <c r="A814" s="71"/>
      <c r="B814" s="72"/>
      <c r="C814" s="72"/>
      <c r="D814" s="72"/>
      <c r="E814" s="72"/>
    </row>
    <row r="815">
      <c r="A815" s="71"/>
      <c r="B815" s="72"/>
      <c r="C815" s="72"/>
      <c r="D815" s="72"/>
      <c r="E815" s="72"/>
    </row>
    <row r="816">
      <c r="A816" s="71"/>
      <c r="B816" s="72"/>
      <c r="C816" s="72"/>
      <c r="D816" s="72"/>
      <c r="E816" s="72"/>
    </row>
    <row r="817">
      <c r="A817" s="71"/>
      <c r="B817" s="72"/>
      <c r="C817" s="72"/>
      <c r="D817" s="72"/>
      <c r="E817" s="72"/>
    </row>
    <row r="818">
      <c r="A818" s="71"/>
      <c r="B818" s="72"/>
      <c r="C818" s="72"/>
      <c r="D818" s="72"/>
      <c r="E818" s="72"/>
    </row>
    <row r="819">
      <c r="A819" s="71"/>
      <c r="B819" s="72"/>
      <c r="C819" s="72"/>
      <c r="D819" s="72"/>
      <c r="E819" s="72"/>
    </row>
    <row r="820">
      <c r="A820" s="71"/>
      <c r="B820" s="72"/>
      <c r="C820" s="72"/>
      <c r="D820" s="72"/>
      <c r="E820" s="72"/>
    </row>
    <row r="821">
      <c r="A821" s="71"/>
      <c r="B821" s="72"/>
      <c r="C821" s="72"/>
      <c r="D821" s="72"/>
      <c r="E821" s="72"/>
    </row>
    <row r="822">
      <c r="A822" s="71"/>
      <c r="B822" s="72"/>
      <c r="C822" s="72"/>
      <c r="D822" s="72"/>
      <c r="E822" s="72"/>
    </row>
    <row r="823">
      <c r="A823" s="71"/>
      <c r="B823" s="72"/>
      <c r="C823" s="72"/>
      <c r="D823" s="72"/>
      <c r="E823" s="72"/>
    </row>
    <row r="824">
      <c r="A824" s="71"/>
      <c r="B824" s="72"/>
      <c r="C824" s="72"/>
      <c r="D824" s="72"/>
      <c r="E824" s="72"/>
    </row>
    <row r="825">
      <c r="A825" s="71"/>
      <c r="B825" s="72"/>
      <c r="C825" s="72"/>
      <c r="D825" s="72"/>
      <c r="E825" s="72"/>
    </row>
    <row r="826">
      <c r="A826" s="71"/>
      <c r="B826" s="72"/>
      <c r="C826" s="72"/>
      <c r="D826" s="72"/>
      <c r="E826" s="72"/>
    </row>
    <row r="827">
      <c r="A827" s="71"/>
      <c r="B827" s="72"/>
      <c r="C827" s="72"/>
      <c r="D827" s="72"/>
      <c r="E827" s="72"/>
    </row>
    <row r="828">
      <c r="A828" s="71"/>
      <c r="B828" s="72"/>
      <c r="C828" s="72"/>
      <c r="D828" s="72"/>
      <c r="E828" s="72"/>
    </row>
    <row r="829">
      <c r="A829" s="71"/>
      <c r="B829" s="72"/>
      <c r="C829" s="72"/>
      <c r="D829" s="72"/>
      <c r="E829" s="72"/>
    </row>
    <row r="830">
      <c r="A830" s="71"/>
      <c r="B830" s="72"/>
      <c r="C830" s="72"/>
      <c r="D830" s="72"/>
      <c r="E830" s="72"/>
    </row>
    <row r="831">
      <c r="A831" s="71"/>
      <c r="B831" s="72"/>
      <c r="C831" s="72"/>
      <c r="D831" s="72"/>
      <c r="E831" s="72"/>
    </row>
    <row r="832">
      <c r="A832" s="71"/>
      <c r="B832" s="72"/>
      <c r="C832" s="72"/>
      <c r="D832" s="72"/>
      <c r="E832" s="72"/>
    </row>
    <row r="833">
      <c r="A833" s="71"/>
      <c r="B833" s="72"/>
      <c r="C833" s="72"/>
      <c r="D833" s="72"/>
      <c r="E833" s="72"/>
    </row>
    <row r="834">
      <c r="A834" s="71"/>
      <c r="B834" s="72"/>
      <c r="C834" s="72"/>
      <c r="D834" s="72"/>
      <c r="E834" s="72"/>
    </row>
    <row r="835">
      <c r="A835" s="71"/>
      <c r="B835" s="72"/>
      <c r="C835" s="72"/>
      <c r="D835" s="72"/>
      <c r="E835" s="72"/>
    </row>
    <row r="836">
      <c r="A836" s="71"/>
      <c r="B836" s="72"/>
      <c r="C836" s="72"/>
      <c r="D836" s="72"/>
      <c r="E836" s="72"/>
    </row>
    <row r="837">
      <c r="A837" s="71"/>
      <c r="B837" s="72"/>
      <c r="C837" s="72"/>
      <c r="D837" s="72"/>
      <c r="E837" s="72"/>
    </row>
    <row r="838">
      <c r="A838" s="71"/>
      <c r="B838" s="72"/>
      <c r="C838" s="72"/>
      <c r="D838" s="72"/>
      <c r="E838" s="72"/>
    </row>
    <row r="839">
      <c r="A839" s="71"/>
      <c r="B839" s="72"/>
      <c r="C839" s="72"/>
      <c r="D839" s="72"/>
      <c r="E839" s="72"/>
    </row>
    <row r="840">
      <c r="A840" s="71"/>
      <c r="B840" s="72"/>
      <c r="C840" s="72"/>
      <c r="D840" s="72"/>
      <c r="E840" s="72"/>
    </row>
    <row r="841">
      <c r="A841" s="71"/>
      <c r="B841" s="72"/>
      <c r="C841" s="72"/>
      <c r="D841" s="72"/>
      <c r="E841" s="72"/>
    </row>
    <row r="842">
      <c r="A842" s="71"/>
      <c r="B842" s="72"/>
      <c r="C842" s="72"/>
      <c r="D842" s="72"/>
      <c r="E842" s="72"/>
    </row>
    <row r="843">
      <c r="A843" s="71"/>
      <c r="B843" s="72"/>
      <c r="C843" s="72"/>
      <c r="D843" s="72"/>
      <c r="E843" s="72"/>
    </row>
    <row r="844">
      <c r="A844" s="71"/>
      <c r="B844" s="72"/>
      <c r="C844" s="72"/>
      <c r="D844" s="72"/>
      <c r="E844" s="72"/>
    </row>
    <row r="845">
      <c r="A845" s="71"/>
      <c r="B845" s="72"/>
      <c r="C845" s="72"/>
      <c r="D845" s="72"/>
      <c r="E845" s="72"/>
    </row>
    <row r="846">
      <c r="A846" s="71"/>
      <c r="B846" s="72"/>
      <c r="C846" s="72"/>
      <c r="D846" s="72"/>
      <c r="E846" s="72"/>
    </row>
    <row r="847">
      <c r="A847" s="71"/>
      <c r="B847" s="72"/>
      <c r="C847" s="72"/>
      <c r="D847" s="72"/>
      <c r="E847" s="72"/>
    </row>
    <row r="848">
      <c r="A848" s="71"/>
      <c r="B848" s="72"/>
      <c r="C848" s="72"/>
      <c r="D848" s="72"/>
      <c r="E848" s="72"/>
    </row>
    <row r="849">
      <c r="A849" s="71"/>
      <c r="B849" s="72"/>
      <c r="C849" s="72"/>
      <c r="D849" s="72"/>
      <c r="E849" s="72"/>
    </row>
    <row r="850">
      <c r="A850" s="71"/>
      <c r="B850" s="72"/>
      <c r="C850" s="72"/>
      <c r="D850" s="72"/>
      <c r="E850" s="72"/>
    </row>
    <row r="851">
      <c r="A851" s="71"/>
      <c r="B851" s="72"/>
      <c r="C851" s="72"/>
      <c r="D851" s="72"/>
      <c r="E851" s="72"/>
    </row>
    <row r="852">
      <c r="A852" s="71"/>
      <c r="B852" s="72"/>
      <c r="C852" s="72"/>
      <c r="D852" s="72"/>
      <c r="E852" s="72"/>
    </row>
    <row r="853">
      <c r="A853" s="71"/>
      <c r="B853" s="72"/>
      <c r="C853" s="72"/>
      <c r="D853" s="72"/>
      <c r="E853" s="72"/>
    </row>
    <row r="854">
      <c r="A854" s="71"/>
      <c r="B854" s="72"/>
      <c r="C854" s="72"/>
      <c r="D854" s="72"/>
      <c r="E854" s="72"/>
    </row>
    <row r="855">
      <c r="A855" s="71"/>
      <c r="B855" s="72"/>
      <c r="C855" s="72"/>
      <c r="D855" s="72"/>
      <c r="E855" s="72"/>
    </row>
    <row r="856">
      <c r="A856" s="71"/>
      <c r="B856" s="72"/>
      <c r="C856" s="72"/>
      <c r="D856" s="72"/>
      <c r="E856" s="72"/>
    </row>
    <row r="857">
      <c r="A857" s="71"/>
      <c r="B857" s="72"/>
      <c r="C857" s="72"/>
      <c r="D857" s="72"/>
      <c r="E857" s="72"/>
    </row>
    <row r="858">
      <c r="A858" s="71"/>
      <c r="B858" s="72"/>
      <c r="C858" s="72"/>
      <c r="D858" s="72"/>
      <c r="E858" s="72"/>
    </row>
    <row r="859">
      <c r="A859" s="71"/>
      <c r="B859" s="72"/>
      <c r="C859" s="72"/>
      <c r="D859" s="72"/>
      <c r="E859" s="72"/>
    </row>
    <row r="860">
      <c r="A860" s="71"/>
      <c r="B860" s="72"/>
      <c r="C860" s="72"/>
      <c r="D860" s="72"/>
      <c r="E860" s="72"/>
    </row>
    <row r="861">
      <c r="A861" s="71"/>
      <c r="B861" s="72"/>
      <c r="C861" s="72"/>
      <c r="D861" s="72"/>
      <c r="E861" s="72"/>
    </row>
    <row r="862">
      <c r="A862" s="71"/>
      <c r="B862" s="72"/>
      <c r="C862" s="72"/>
      <c r="D862" s="72"/>
      <c r="E862" s="72"/>
    </row>
    <row r="863">
      <c r="A863" s="71"/>
      <c r="B863" s="72"/>
      <c r="C863" s="72"/>
      <c r="D863" s="72"/>
      <c r="E863" s="72"/>
    </row>
    <row r="864">
      <c r="A864" s="71"/>
      <c r="B864" s="72"/>
      <c r="C864" s="72"/>
      <c r="D864" s="72"/>
      <c r="E864" s="72"/>
    </row>
    <row r="865">
      <c r="A865" s="71"/>
      <c r="B865" s="72"/>
      <c r="C865" s="72"/>
      <c r="D865" s="72"/>
      <c r="E865" s="72"/>
    </row>
    <row r="866">
      <c r="A866" s="71"/>
      <c r="B866" s="72"/>
      <c r="C866" s="72"/>
      <c r="D866" s="72"/>
      <c r="E866" s="72"/>
    </row>
    <row r="867">
      <c r="A867" s="71"/>
      <c r="B867" s="72"/>
      <c r="C867" s="72"/>
      <c r="D867" s="72"/>
      <c r="E867" s="72"/>
    </row>
    <row r="868">
      <c r="A868" s="71"/>
      <c r="B868" s="72"/>
      <c r="C868" s="72"/>
      <c r="D868" s="72"/>
      <c r="E868" s="72"/>
    </row>
    <row r="869">
      <c r="A869" s="71"/>
      <c r="B869" s="72"/>
      <c r="C869" s="72"/>
      <c r="D869" s="72"/>
      <c r="E869" s="72"/>
    </row>
    <row r="870">
      <c r="A870" s="71"/>
      <c r="B870" s="72"/>
      <c r="C870" s="72"/>
      <c r="D870" s="72"/>
      <c r="E870" s="72"/>
    </row>
    <row r="871">
      <c r="A871" s="71"/>
      <c r="B871" s="72"/>
      <c r="C871" s="72"/>
      <c r="D871" s="72"/>
      <c r="E871" s="72"/>
    </row>
    <row r="872">
      <c r="A872" s="71"/>
      <c r="B872" s="72"/>
      <c r="C872" s="72"/>
      <c r="D872" s="72"/>
      <c r="E872" s="72"/>
    </row>
    <row r="873">
      <c r="A873" s="71"/>
      <c r="B873" s="72"/>
      <c r="C873" s="72"/>
      <c r="D873" s="72"/>
      <c r="E873" s="72"/>
    </row>
    <row r="874">
      <c r="A874" s="71"/>
      <c r="B874" s="72"/>
      <c r="C874" s="72"/>
      <c r="D874" s="72"/>
      <c r="E874" s="72"/>
    </row>
    <row r="875">
      <c r="A875" s="71"/>
      <c r="B875" s="72"/>
      <c r="C875" s="72"/>
      <c r="D875" s="72"/>
      <c r="E875" s="72"/>
    </row>
    <row r="876">
      <c r="A876" s="71"/>
      <c r="B876" s="72"/>
      <c r="C876" s="72"/>
      <c r="D876" s="72"/>
      <c r="E876" s="72"/>
    </row>
    <row r="877">
      <c r="A877" s="71"/>
      <c r="B877" s="72"/>
      <c r="C877" s="72"/>
      <c r="D877" s="72"/>
      <c r="E877" s="72"/>
    </row>
    <row r="878">
      <c r="A878" s="71"/>
      <c r="B878" s="72"/>
      <c r="C878" s="72"/>
      <c r="D878" s="72"/>
      <c r="E878" s="72"/>
    </row>
    <row r="879">
      <c r="A879" s="71"/>
      <c r="B879" s="72"/>
      <c r="C879" s="72"/>
      <c r="D879" s="72"/>
      <c r="E879" s="72"/>
    </row>
    <row r="880">
      <c r="A880" s="71"/>
      <c r="B880" s="72"/>
      <c r="C880" s="72"/>
      <c r="D880" s="72"/>
      <c r="E880" s="72"/>
    </row>
    <row r="881">
      <c r="A881" s="71"/>
      <c r="B881" s="72"/>
      <c r="C881" s="72"/>
      <c r="D881" s="72"/>
      <c r="E881" s="72"/>
    </row>
    <row r="882">
      <c r="A882" s="71"/>
      <c r="B882" s="72"/>
      <c r="C882" s="72"/>
      <c r="D882" s="72"/>
      <c r="E882" s="72"/>
    </row>
    <row r="883">
      <c r="A883" s="71"/>
      <c r="B883" s="72"/>
      <c r="C883" s="72"/>
      <c r="D883" s="72"/>
      <c r="E883" s="72"/>
    </row>
    <row r="884">
      <c r="A884" s="71"/>
      <c r="B884" s="72"/>
      <c r="C884" s="72"/>
      <c r="D884" s="72"/>
      <c r="E884" s="72"/>
    </row>
    <row r="885">
      <c r="A885" s="71"/>
      <c r="B885" s="72"/>
      <c r="C885" s="72"/>
      <c r="D885" s="72"/>
      <c r="E885" s="72"/>
    </row>
    <row r="886">
      <c r="A886" s="71"/>
      <c r="B886" s="72"/>
      <c r="C886" s="72"/>
      <c r="D886" s="72"/>
      <c r="E886" s="72"/>
    </row>
    <row r="887">
      <c r="A887" s="71"/>
      <c r="B887" s="72"/>
      <c r="C887" s="72"/>
      <c r="D887" s="72"/>
      <c r="E887" s="72"/>
    </row>
    <row r="888">
      <c r="A888" s="71"/>
      <c r="B888" s="72"/>
      <c r="C888" s="72"/>
      <c r="D888" s="72"/>
      <c r="E888" s="72"/>
    </row>
    <row r="889">
      <c r="A889" s="71"/>
      <c r="B889" s="72"/>
      <c r="C889" s="72"/>
      <c r="D889" s="72"/>
      <c r="E889" s="72"/>
    </row>
    <row r="890">
      <c r="A890" s="71"/>
      <c r="B890" s="72"/>
      <c r="C890" s="72"/>
      <c r="D890" s="72"/>
      <c r="E890" s="72"/>
    </row>
    <row r="891">
      <c r="A891" s="71"/>
      <c r="B891" s="72"/>
      <c r="C891" s="72"/>
      <c r="D891" s="72"/>
      <c r="E891" s="72"/>
    </row>
    <row r="892">
      <c r="A892" s="71"/>
      <c r="B892" s="72"/>
      <c r="C892" s="72"/>
      <c r="D892" s="72"/>
      <c r="E892" s="72"/>
    </row>
    <row r="893">
      <c r="A893" s="71"/>
      <c r="B893" s="72"/>
      <c r="C893" s="72"/>
      <c r="D893" s="72"/>
      <c r="E893" s="72"/>
    </row>
    <row r="894">
      <c r="A894" s="71"/>
      <c r="B894" s="72"/>
      <c r="C894" s="72"/>
      <c r="D894" s="72"/>
      <c r="E894" s="72"/>
    </row>
    <row r="895">
      <c r="A895" s="71"/>
      <c r="B895" s="72"/>
      <c r="C895" s="72"/>
      <c r="D895" s="72"/>
      <c r="E895" s="72"/>
    </row>
    <row r="896">
      <c r="A896" s="71"/>
      <c r="B896" s="72"/>
      <c r="C896" s="72"/>
      <c r="D896" s="72"/>
      <c r="E896" s="72"/>
    </row>
    <row r="897">
      <c r="A897" s="71"/>
      <c r="B897" s="72"/>
      <c r="C897" s="72"/>
      <c r="D897" s="72"/>
      <c r="E897" s="72"/>
    </row>
    <row r="898">
      <c r="A898" s="71"/>
      <c r="B898" s="72"/>
      <c r="C898" s="72"/>
      <c r="D898" s="72"/>
      <c r="E898" s="72"/>
    </row>
    <row r="899">
      <c r="A899" s="71"/>
      <c r="B899" s="72"/>
      <c r="C899" s="72"/>
      <c r="D899" s="72"/>
      <c r="E899" s="72"/>
    </row>
    <row r="900">
      <c r="A900" s="71"/>
      <c r="B900" s="72"/>
      <c r="C900" s="72"/>
      <c r="D900" s="72"/>
      <c r="E900" s="72"/>
    </row>
    <row r="901">
      <c r="A901" s="71"/>
      <c r="B901" s="72"/>
      <c r="C901" s="72"/>
      <c r="D901" s="72"/>
      <c r="E901" s="72"/>
    </row>
    <row r="902">
      <c r="A902" s="71"/>
      <c r="B902" s="72"/>
      <c r="C902" s="72"/>
      <c r="D902" s="72"/>
      <c r="E902" s="72"/>
    </row>
    <row r="903">
      <c r="A903" s="71"/>
      <c r="B903" s="72"/>
      <c r="C903" s="72"/>
      <c r="D903" s="72"/>
      <c r="E903" s="72"/>
    </row>
    <row r="904">
      <c r="A904" s="71"/>
      <c r="B904" s="72"/>
      <c r="C904" s="72"/>
      <c r="D904" s="72"/>
      <c r="E904" s="72"/>
    </row>
    <row r="905">
      <c r="A905" s="71"/>
      <c r="B905" s="72"/>
      <c r="C905" s="72"/>
      <c r="D905" s="72"/>
      <c r="E905" s="72"/>
    </row>
    <row r="906">
      <c r="A906" s="71"/>
      <c r="B906" s="72"/>
      <c r="C906" s="72"/>
      <c r="D906" s="72"/>
      <c r="E906" s="72"/>
    </row>
    <row r="907">
      <c r="A907" s="71"/>
      <c r="B907" s="72"/>
      <c r="C907" s="72"/>
      <c r="D907" s="72"/>
      <c r="E907" s="72"/>
    </row>
    <row r="908">
      <c r="A908" s="71"/>
      <c r="B908" s="72"/>
      <c r="C908" s="72"/>
      <c r="D908" s="72"/>
      <c r="E908" s="72"/>
    </row>
    <row r="909">
      <c r="A909" s="71"/>
      <c r="B909" s="72"/>
      <c r="C909" s="72"/>
      <c r="D909" s="72"/>
      <c r="E909" s="72"/>
    </row>
    <row r="910">
      <c r="A910" s="71"/>
      <c r="B910" s="72"/>
      <c r="C910" s="72"/>
      <c r="D910" s="72"/>
      <c r="E910" s="72"/>
    </row>
    <row r="911">
      <c r="A911" s="71"/>
      <c r="B911" s="72"/>
      <c r="C911" s="72"/>
      <c r="D911" s="72"/>
      <c r="E911" s="72"/>
    </row>
    <row r="912">
      <c r="A912" s="71"/>
      <c r="B912" s="72"/>
      <c r="C912" s="72"/>
      <c r="D912" s="72"/>
      <c r="E912" s="72"/>
    </row>
    <row r="913">
      <c r="A913" s="71"/>
      <c r="B913" s="72"/>
      <c r="C913" s="72"/>
      <c r="D913" s="72"/>
      <c r="E913" s="72"/>
    </row>
    <row r="914">
      <c r="A914" s="71"/>
      <c r="B914" s="72"/>
      <c r="C914" s="72"/>
      <c r="D914" s="72"/>
      <c r="E914" s="72"/>
    </row>
    <row r="915">
      <c r="A915" s="71"/>
      <c r="B915" s="72"/>
      <c r="C915" s="72"/>
      <c r="D915" s="72"/>
      <c r="E915" s="72"/>
    </row>
    <row r="916">
      <c r="A916" s="71"/>
      <c r="B916" s="72"/>
      <c r="C916" s="72"/>
      <c r="D916" s="72"/>
      <c r="E916" s="72"/>
    </row>
    <row r="917">
      <c r="A917" s="71"/>
      <c r="B917" s="72"/>
      <c r="C917" s="72"/>
      <c r="D917" s="72"/>
      <c r="E917" s="72"/>
    </row>
    <row r="918">
      <c r="A918" s="71"/>
      <c r="B918" s="72"/>
      <c r="C918" s="72"/>
      <c r="D918" s="72"/>
      <c r="E918" s="72"/>
    </row>
    <row r="919">
      <c r="A919" s="71"/>
      <c r="B919" s="72"/>
      <c r="C919" s="72"/>
      <c r="D919" s="72"/>
      <c r="E919" s="72"/>
    </row>
    <row r="920">
      <c r="A920" s="71"/>
      <c r="B920" s="72"/>
      <c r="C920" s="72"/>
      <c r="D920" s="72"/>
      <c r="E920" s="72"/>
    </row>
    <row r="921">
      <c r="A921" s="71"/>
      <c r="B921" s="72"/>
      <c r="C921" s="72"/>
      <c r="D921" s="72"/>
      <c r="E921" s="72"/>
    </row>
    <row r="922">
      <c r="A922" s="71"/>
      <c r="B922" s="72"/>
      <c r="C922" s="72"/>
      <c r="D922" s="72"/>
      <c r="E922" s="72"/>
    </row>
    <row r="923">
      <c r="A923" s="71"/>
      <c r="B923" s="72"/>
      <c r="C923" s="72"/>
      <c r="D923" s="72"/>
      <c r="E923" s="72"/>
    </row>
    <row r="924">
      <c r="A924" s="71"/>
      <c r="B924" s="72"/>
      <c r="C924" s="72"/>
      <c r="D924" s="72"/>
      <c r="E924" s="72"/>
    </row>
    <row r="925">
      <c r="A925" s="71"/>
      <c r="B925" s="72"/>
      <c r="C925" s="72"/>
      <c r="D925" s="72"/>
      <c r="E925" s="72"/>
    </row>
    <row r="926">
      <c r="A926" s="71"/>
      <c r="B926" s="72"/>
      <c r="C926" s="72"/>
      <c r="D926" s="72"/>
      <c r="E926" s="72"/>
    </row>
    <row r="927">
      <c r="A927" s="71"/>
      <c r="B927" s="72"/>
      <c r="C927" s="72"/>
      <c r="D927" s="72"/>
      <c r="E927" s="72"/>
    </row>
    <row r="928">
      <c r="A928" s="71"/>
      <c r="B928" s="72"/>
      <c r="C928" s="72"/>
      <c r="D928" s="72"/>
      <c r="E928" s="72"/>
    </row>
    <row r="929">
      <c r="A929" s="71"/>
      <c r="B929" s="72"/>
      <c r="C929" s="72"/>
      <c r="D929" s="72"/>
      <c r="E929" s="72"/>
    </row>
    <row r="930">
      <c r="A930" s="71"/>
      <c r="B930" s="72"/>
      <c r="C930" s="72"/>
      <c r="D930" s="72"/>
      <c r="E930" s="72"/>
    </row>
    <row r="931">
      <c r="A931" s="71"/>
      <c r="B931" s="72"/>
      <c r="C931" s="72"/>
      <c r="D931" s="72"/>
      <c r="E931" s="72"/>
    </row>
    <row r="932">
      <c r="A932" s="71"/>
      <c r="B932" s="72"/>
      <c r="C932" s="72"/>
      <c r="D932" s="72"/>
      <c r="E932" s="72"/>
    </row>
    <row r="933">
      <c r="A933" s="71"/>
      <c r="B933" s="72"/>
      <c r="C933" s="72"/>
      <c r="D933" s="72"/>
      <c r="E933" s="72"/>
    </row>
    <row r="934">
      <c r="A934" s="71"/>
      <c r="B934" s="72"/>
      <c r="C934" s="72"/>
      <c r="D934" s="72"/>
      <c r="E934" s="72"/>
    </row>
    <row r="935">
      <c r="A935" s="71"/>
      <c r="B935" s="72"/>
      <c r="C935" s="72"/>
      <c r="D935" s="72"/>
      <c r="E935" s="72"/>
    </row>
    <row r="936">
      <c r="A936" s="71"/>
      <c r="B936" s="72"/>
      <c r="C936" s="72"/>
      <c r="D936" s="72"/>
      <c r="E936" s="72"/>
    </row>
    <row r="937">
      <c r="A937" s="71"/>
      <c r="B937" s="72"/>
      <c r="C937" s="72"/>
      <c r="D937" s="72"/>
      <c r="E937" s="72"/>
    </row>
    <row r="938">
      <c r="A938" s="71"/>
      <c r="B938" s="72"/>
      <c r="C938" s="72"/>
      <c r="D938" s="72"/>
      <c r="E938" s="72"/>
    </row>
    <row r="939">
      <c r="A939" s="71"/>
      <c r="B939" s="72"/>
      <c r="C939" s="72"/>
      <c r="D939" s="72"/>
      <c r="E939" s="72"/>
    </row>
    <row r="940">
      <c r="A940" s="71"/>
      <c r="B940" s="72"/>
      <c r="C940" s="72"/>
      <c r="D940" s="72"/>
      <c r="E940" s="72"/>
    </row>
    <row r="941">
      <c r="A941" s="71"/>
      <c r="B941" s="72"/>
      <c r="C941" s="72"/>
      <c r="D941" s="72"/>
      <c r="E941" s="72"/>
    </row>
    <row r="942">
      <c r="A942" s="71"/>
      <c r="B942" s="72"/>
      <c r="C942" s="72"/>
      <c r="D942" s="72"/>
      <c r="E942" s="72"/>
    </row>
    <row r="943">
      <c r="A943" s="71"/>
      <c r="B943" s="72"/>
      <c r="C943" s="72"/>
      <c r="D943" s="72"/>
      <c r="E943" s="72"/>
    </row>
    <row r="944">
      <c r="A944" s="71"/>
      <c r="B944" s="72"/>
      <c r="C944" s="72"/>
      <c r="D944" s="72"/>
      <c r="E944" s="72"/>
    </row>
    <row r="945">
      <c r="A945" s="71"/>
      <c r="B945" s="72"/>
      <c r="C945" s="72"/>
      <c r="D945" s="72"/>
      <c r="E945" s="72"/>
    </row>
    <row r="946">
      <c r="A946" s="71"/>
      <c r="B946" s="72"/>
      <c r="C946" s="72"/>
      <c r="D946" s="72"/>
      <c r="E946" s="72"/>
    </row>
    <row r="947">
      <c r="A947" s="71"/>
      <c r="B947" s="72"/>
      <c r="C947" s="72"/>
      <c r="D947" s="72"/>
      <c r="E947" s="72"/>
    </row>
    <row r="948">
      <c r="A948" s="71"/>
      <c r="B948" s="72"/>
      <c r="C948" s="72"/>
      <c r="D948" s="72"/>
      <c r="E948" s="72"/>
    </row>
    <row r="949">
      <c r="A949" s="71"/>
      <c r="B949" s="72"/>
      <c r="C949" s="72"/>
      <c r="D949" s="72"/>
      <c r="E949" s="72"/>
    </row>
    <row r="950">
      <c r="A950" s="71"/>
      <c r="B950" s="72"/>
      <c r="C950" s="72"/>
      <c r="D950" s="72"/>
      <c r="E950" s="72"/>
    </row>
    <row r="951">
      <c r="A951" s="71"/>
      <c r="B951" s="72"/>
      <c r="C951" s="72"/>
      <c r="D951" s="72"/>
      <c r="E951" s="72"/>
    </row>
    <row r="952">
      <c r="A952" s="71"/>
      <c r="B952" s="72"/>
      <c r="C952" s="72"/>
      <c r="D952" s="72"/>
      <c r="E952" s="72"/>
    </row>
    <row r="953">
      <c r="A953" s="71"/>
      <c r="B953" s="72"/>
      <c r="C953" s="72"/>
      <c r="D953" s="72"/>
      <c r="E953" s="72"/>
    </row>
    <row r="954">
      <c r="A954" s="71"/>
      <c r="B954" s="72"/>
      <c r="C954" s="72"/>
      <c r="D954" s="72"/>
      <c r="E954" s="72"/>
    </row>
    <row r="955">
      <c r="A955" s="71"/>
      <c r="B955" s="72"/>
      <c r="C955" s="72"/>
      <c r="D955" s="72"/>
      <c r="E955" s="72"/>
    </row>
    <row r="956">
      <c r="A956" s="71"/>
      <c r="B956" s="72"/>
      <c r="C956" s="72"/>
      <c r="D956" s="72"/>
      <c r="E956" s="72"/>
    </row>
    <row r="957">
      <c r="A957" s="71"/>
      <c r="B957" s="72"/>
      <c r="C957" s="72"/>
      <c r="D957" s="72"/>
      <c r="E957" s="72"/>
    </row>
    <row r="958">
      <c r="A958" s="71"/>
      <c r="B958" s="72"/>
      <c r="C958" s="72"/>
      <c r="D958" s="72"/>
      <c r="E958" s="72"/>
    </row>
    <row r="959">
      <c r="A959" s="71"/>
      <c r="B959" s="72"/>
      <c r="C959" s="72"/>
      <c r="D959" s="72"/>
      <c r="E959" s="72"/>
    </row>
    <row r="960">
      <c r="A960" s="71"/>
      <c r="B960" s="72"/>
      <c r="C960" s="72"/>
      <c r="D960" s="72"/>
      <c r="E960" s="72"/>
    </row>
    <row r="961">
      <c r="A961" s="71"/>
      <c r="B961" s="72"/>
      <c r="C961" s="72"/>
      <c r="D961" s="72"/>
      <c r="E961" s="72"/>
    </row>
    <row r="962">
      <c r="A962" s="71"/>
      <c r="B962" s="72"/>
      <c r="C962" s="72"/>
      <c r="D962" s="72"/>
      <c r="E962" s="72"/>
    </row>
    <row r="963">
      <c r="A963" s="71"/>
      <c r="B963" s="72"/>
      <c r="C963" s="72"/>
      <c r="D963" s="72"/>
      <c r="E963" s="72"/>
    </row>
    <row r="964">
      <c r="A964" s="71"/>
      <c r="B964" s="72"/>
      <c r="C964" s="72"/>
      <c r="D964" s="72"/>
      <c r="E964" s="72"/>
    </row>
    <row r="965">
      <c r="A965" s="71"/>
      <c r="B965" s="72"/>
      <c r="C965" s="72"/>
      <c r="D965" s="72"/>
      <c r="E965" s="72"/>
    </row>
    <row r="966">
      <c r="A966" s="71"/>
      <c r="B966" s="72"/>
      <c r="C966" s="72"/>
      <c r="D966" s="72"/>
      <c r="E966" s="72"/>
    </row>
    <row r="967">
      <c r="A967" s="71"/>
      <c r="B967" s="72"/>
      <c r="C967" s="72"/>
      <c r="D967" s="72"/>
      <c r="E967" s="72"/>
    </row>
    <row r="968">
      <c r="A968" s="71"/>
      <c r="B968" s="72"/>
      <c r="C968" s="72"/>
      <c r="D968" s="72"/>
      <c r="E968" s="72"/>
    </row>
    <row r="969">
      <c r="A969" s="71"/>
      <c r="B969" s="72"/>
      <c r="C969" s="72"/>
      <c r="D969" s="72"/>
      <c r="E969" s="72"/>
    </row>
    <row r="970">
      <c r="A970" s="71"/>
      <c r="B970" s="72"/>
      <c r="C970" s="72"/>
      <c r="D970" s="72"/>
      <c r="E970" s="72"/>
    </row>
    <row r="971">
      <c r="A971" s="71"/>
      <c r="B971" s="72"/>
      <c r="C971" s="72"/>
      <c r="D971" s="72"/>
      <c r="E971" s="72"/>
    </row>
    <row r="972">
      <c r="A972" s="71"/>
      <c r="B972" s="72"/>
      <c r="C972" s="72"/>
      <c r="D972" s="72"/>
      <c r="E972" s="72"/>
    </row>
    <row r="973">
      <c r="A973" s="71"/>
      <c r="B973" s="72"/>
      <c r="C973" s="72"/>
      <c r="D973" s="72"/>
      <c r="E973" s="72"/>
    </row>
    <row r="974">
      <c r="A974" s="71"/>
      <c r="B974" s="72"/>
      <c r="C974" s="72"/>
      <c r="D974" s="72"/>
      <c r="E974" s="72"/>
    </row>
    <row r="975">
      <c r="A975" s="71"/>
      <c r="B975" s="72"/>
      <c r="C975" s="72"/>
      <c r="D975" s="72"/>
      <c r="E975" s="72"/>
    </row>
    <row r="976">
      <c r="A976" s="71"/>
      <c r="B976" s="72"/>
      <c r="C976" s="72"/>
      <c r="D976" s="72"/>
      <c r="E976" s="72"/>
    </row>
    <row r="977">
      <c r="A977" s="71"/>
      <c r="B977" s="72"/>
      <c r="C977" s="72"/>
      <c r="D977" s="72"/>
      <c r="E977" s="72"/>
    </row>
    <row r="978">
      <c r="A978" s="71"/>
      <c r="B978" s="72"/>
      <c r="C978" s="72"/>
      <c r="D978" s="72"/>
      <c r="E978" s="72"/>
    </row>
    <row r="979">
      <c r="A979" s="71"/>
      <c r="B979" s="72"/>
      <c r="C979" s="72"/>
      <c r="D979" s="72"/>
      <c r="E979" s="72"/>
    </row>
    <row r="980">
      <c r="A980" s="71"/>
      <c r="B980" s="72"/>
      <c r="C980" s="72"/>
      <c r="D980" s="72"/>
      <c r="E980" s="72"/>
    </row>
    <row r="981">
      <c r="A981" s="71"/>
      <c r="B981" s="72"/>
      <c r="C981" s="72"/>
      <c r="D981" s="72"/>
      <c r="E981" s="72"/>
    </row>
    <row r="982">
      <c r="A982" s="71"/>
      <c r="B982" s="72"/>
      <c r="C982" s="72"/>
      <c r="D982" s="72"/>
      <c r="E982" s="72"/>
    </row>
    <row r="983">
      <c r="A983" s="71"/>
      <c r="B983" s="72"/>
      <c r="C983" s="72"/>
      <c r="D983" s="72"/>
      <c r="E983" s="72"/>
    </row>
    <row r="984">
      <c r="A984" s="71"/>
      <c r="B984" s="72"/>
      <c r="C984" s="72"/>
      <c r="D984" s="72"/>
      <c r="E984" s="72"/>
    </row>
    <row r="985">
      <c r="A985" s="71"/>
      <c r="B985" s="72"/>
      <c r="C985" s="72"/>
      <c r="D985" s="72"/>
      <c r="E985" s="72"/>
    </row>
    <row r="986">
      <c r="A986" s="71"/>
      <c r="B986" s="72"/>
      <c r="C986" s="72"/>
      <c r="D986" s="72"/>
      <c r="E986" s="72"/>
    </row>
    <row r="987">
      <c r="A987" s="71"/>
      <c r="B987" s="72"/>
      <c r="C987" s="72"/>
      <c r="D987" s="72"/>
      <c r="E987" s="72"/>
    </row>
    <row r="988">
      <c r="A988" s="71"/>
      <c r="B988" s="72"/>
      <c r="C988" s="72"/>
      <c r="D988" s="72"/>
      <c r="E988" s="72"/>
    </row>
    <row r="989">
      <c r="A989" s="71"/>
      <c r="B989" s="72"/>
      <c r="C989" s="72"/>
      <c r="D989" s="72"/>
      <c r="E989" s="72"/>
    </row>
    <row r="990">
      <c r="A990" s="71"/>
      <c r="B990" s="72"/>
      <c r="C990" s="72"/>
      <c r="D990" s="72"/>
      <c r="E990" s="72"/>
    </row>
    <row r="991">
      <c r="A991" s="71"/>
      <c r="B991" s="72"/>
      <c r="C991" s="72"/>
      <c r="D991" s="72"/>
      <c r="E991" s="72"/>
    </row>
    <row r="992">
      <c r="A992" s="71"/>
      <c r="B992" s="72"/>
      <c r="C992" s="72"/>
      <c r="D992" s="72"/>
      <c r="E992" s="72"/>
    </row>
    <row r="993">
      <c r="A993" s="71"/>
      <c r="B993" s="72"/>
      <c r="C993" s="72"/>
      <c r="D993" s="72"/>
      <c r="E993" s="72"/>
    </row>
    <row r="994">
      <c r="A994" s="71"/>
      <c r="B994" s="72"/>
      <c r="C994" s="72"/>
      <c r="D994" s="72"/>
      <c r="E994" s="72"/>
    </row>
    <row r="995">
      <c r="A995" s="71"/>
      <c r="B995" s="72"/>
      <c r="C995" s="72"/>
      <c r="D995" s="72"/>
      <c r="E995" s="72"/>
    </row>
    <row r="996">
      <c r="A996" s="71"/>
      <c r="B996" s="72"/>
      <c r="C996" s="72"/>
      <c r="D996" s="72"/>
      <c r="E996" s="72"/>
    </row>
    <row r="997">
      <c r="A997" s="71"/>
      <c r="B997" s="72"/>
      <c r="C997" s="72"/>
      <c r="D997" s="72"/>
      <c r="E997" s="72"/>
    </row>
    <row r="998">
      <c r="A998" s="71"/>
      <c r="B998" s="72"/>
      <c r="C998" s="72"/>
      <c r="D998" s="72"/>
      <c r="E998" s="72"/>
    </row>
    <row r="999">
      <c r="A999" s="71"/>
      <c r="B999" s="72"/>
      <c r="C999" s="72"/>
      <c r="D999" s="72"/>
      <c r="E999" s="72"/>
    </row>
    <row r="1000">
      <c r="A1000" s="71"/>
      <c r="B1000" s="72"/>
      <c r="C1000" s="72"/>
      <c r="D1000" s="72"/>
      <c r="E1000" s="72"/>
    </row>
    <row r="1001">
      <c r="A1001" s="71"/>
      <c r="B1001" s="72"/>
      <c r="C1001" s="72"/>
      <c r="D1001" s="72"/>
      <c r="E1001" s="72"/>
    </row>
    <row r="1002">
      <c r="A1002" s="71"/>
      <c r="B1002" s="72"/>
      <c r="C1002" s="72"/>
      <c r="D1002" s="72"/>
      <c r="E1002" s="72"/>
    </row>
    <row r="1003">
      <c r="A1003" s="71"/>
      <c r="B1003" s="72"/>
      <c r="C1003" s="72"/>
      <c r="D1003" s="72"/>
      <c r="E1003" s="72"/>
    </row>
    <row r="1004">
      <c r="A1004" s="71"/>
      <c r="B1004" s="72"/>
      <c r="C1004" s="72"/>
      <c r="D1004" s="72"/>
      <c r="E1004" s="72"/>
    </row>
    <row r="1005">
      <c r="A1005" s="71"/>
      <c r="B1005" s="72"/>
      <c r="C1005" s="72"/>
      <c r="D1005" s="72"/>
      <c r="E1005" s="72"/>
    </row>
    <row r="1006">
      <c r="A1006" s="71"/>
      <c r="B1006" s="72"/>
      <c r="C1006" s="72"/>
      <c r="D1006" s="72"/>
      <c r="E1006" s="72"/>
    </row>
    <row r="1007">
      <c r="A1007" s="71"/>
      <c r="B1007" s="72"/>
      <c r="C1007" s="72"/>
      <c r="D1007" s="72"/>
      <c r="E1007" s="72"/>
    </row>
    <row r="1008">
      <c r="A1008" s="71"/>
      <c r="B1008" s="72"/>
      <c r="C1008" s="72"/>
      <c r="D1008" s="72"/>
      <c r="E1008" s="72"/>
    </row>
    <row r="1009">
      <c r="A1009" s="71"/>
      <c r="B1009" s="72"/>
      <c r="C1009" s="72"/>
      <c r="D1009" s="72"/>
      <c r="E1009" s="72"/>
    </row>
    <row r="1010">
      <c r="A1010" s="71"/>
      <c r="B1010" s="72"/>
      <c r="C1010" s="72"/>
      <c r="D1010" s="72"/>
      <c r="E1010" s="72"/>
    </row>
    <row r="1011">
      <c r="A1011" s="71"/>
      <c r="B1011" s="72"/>
      <c r="C1011" s="72"/>
      <c r="D1011" s="72"/>
      <c r="E1011" s="72"/>
    </row>
    <row r="1012">
      <c r="A1012" s="71"/>
      <c r="B1012" s="72"/>
      <c r="C1012" s="72"/>
      <c r="D1012" s="72"/>
      <c r="E1012" s="72"/>
    </row>
    <row r="1013">
      <c r="A1013" s="71"/>
      <c r="B1013" s="72"/>
      <c r="C1013" s="72"/>
      <c r="D1013" s="72"/>
      <c r="E1013" s="72"/>
    </row>
    <row r="1014">
      <c r="A1014" s="71"/>
      <c r="B1014" s="72"/>
      <c r="C1014" s="72"/>
      <c r="D1014" s="72"/>
      <c r="E1014" s="72"/>
    </row>
    <row r="1015">
      <c r="A1015" s="71"/>
      <c r="B1015" s="72"/>
      <c r="C1015" s="72"/>
      <c r="D1015" s="72"/>
      <c r="E1015" s="72"/>
    </row>
    <row r="1016">
      <c r="A1016" s="71"/>
      <c r="B1016" s="72"/>
      <c r="C1016" s="72"/>
      <c r="D1016" s="72"/>
      <c r="E1016" s="72"/>
    </row>
    <row r="1017">
      <c r="A1017" s="71"/>
      <c r="B1017" s="72"/>
      <c r="C1017" s="72"/>
      <c r="D1017" s="72"/>
      <c r="E1017" s="72"/>
    </row>
    <row r="1018">
      <c r="A1018" s="71"/>
      <c r="B1018" s="72"/>
      <c r="C1018" s="72"/>
      <c r="D1018" s="72"/>
      <c r="E1018" s="72"/>
    </row>
    <row r="1019">
      <c r="A1019" s="71"/>
      <c r="B1019" s="72"/>
      <c r="C1019" s="72"/>
      <c r="D1019" s="72"/>
      <c r="E1019" s="72"/>
    </row>
    <row r="1020">
      <c r="A1020" s="71"/>
      <c r="B1020" s="72"/>
      <c r="C1020" s="72"/>
      <c r="D1020" s="72"/>
      <c r="E1020" s="72"/>
    </row>
    <row r="1021">
      <c r="A1021" s="71"/>
      <c r="B1021" s="72"/>
      <c r="C1021" s="72"/>
      <c r="D1021" s="72"/>
      <c r="E1021" s="72"/>
    </row>
    <row r="1022">
      <c r="A1022" s="71"/>
      <c r="B1022" s="72"/>
      <c r="C1022" s="72"/>
      <c r="D1022" s="72"/>
      <c r="E1022" s="72"/>
    </row>
    <row r="1023">
      <c r="A1023" s="71"/>
      <c r="B1023" s="72"/>
      <c r="C1023" s="72"/>
      <c r="D1023" s="72"/>
      <c r="E1023" s="72"/>
    </row>
    <row r="1024">
      <c r="A1024" s="71"/>
      <c r="B1024" s="72"/>
      <c r="C1024" s="72"/>
      <c r="D1024" s="72"/>
      <c r="E1024" s="72"/>
    </row>
    <row r="1025">
      <c r="A1025" s="71"/>
      <c r="B1025" s="72"/>
      <c r="C1025" s="72"/>
      <c r="D1025" s="72"/>
      <c r="E1025" s="72"/>
    </row>
    <row r="1026">
      <c r="A1026" s="71"/>
      <c r="B1026" s="72"/>
      <c r="C1026" s="72"/>
      <c r="D1026" s="72"/>
      <c r="E1026" s="72"/>
    </row>
    <row r="1027">
      <c r="A1027" s="71"/>
      <c r="B1027" s="72"/>
      <c r="C1027" s="72"/>
      <c r="D1027" s="72"/>
      <c r="E1027" s="72"/>
    </row>
    <row r="1028">
      <c r="A1028" s="71"/>
      <c r="B1028" s="72"/>
      <c r="C1028" s="72"/>
      <c r="D1028" s="72"/>
      <c r="E1028" s="72"/>
    </row>
    <row r="1029">
      <c r="A1029" s="71"/>
      <c r="B1029" s="72"/>
      <c r="C1029" s="72"/>
      <c r="D1029" s="72"/>
      <c r="E1029" s="72"/>
    </row>
    <row r="1030">
      <c r="A1030" s="71"/>
      <c r="B1030" s="72"/>
      <c r="C1030" s="72"/>
      <c r="D1030" s="72"/>
      <c r="E1030" s="72"/>
    </row>
    <row r="1031">
      <c r="A1031" s="71"/>
      <c r="B1031" s="72"/>
      <c r="C1031" s="72"/>
      <c r="D1031" s="72"/>
      <c r="E1031" s="72"/>
    </row>
    <row r="1032">
      <c r="A1032" s="71"/>
      <c r="B1032" s="72"/>
      <c r="C1032" s="72"/>
      <c r="D1032" s="72"/>
      <c r="E1032" s="72"/>
    </row>
    <row r="1033">
      <c r="A1033" s="71"/>
      <c r="B1033" s="72"/>
      <c r="C1033" s="72"/>
      <c r="D1033" s="72"/>
      <c r="E1033" s="72"/>
    </row>
    <row r="1034">
      <c r="A1034" s="71"/>
      <c r="B1034" s="72"/>
      <c r="C1034" s="72"/>
      <c r="D1034" s="72"/>
      <c r="E1034" s="72"/>
    </row>
    <row r="1035">
      <c r="A1035" s="71"/>
      <c r="B1035" s="72"/>
      <c r="C1035" s="72"/>
      <c r="D1035" s="72"/>
      <c r="E1035" s="72"/>
    </row>
    <row r="1036">
      <c r="A1036" s="71"/>
      <c r="B1036" s="72"/>
      <c r="C1036" s="72"/>
      <c r="D1036" s="72"/>
      <c r="E1036" s="72"/>
    </row>
    <row r="1037">
      <c r="A1037" s="71"/>
      <c r="B1037" s="72"/>
      <c r="C1037" s="72"/>
      <c r="D1037" s="72"/>
      <c r="E1037" s="72"/>
    </row>
    <row r="1038">
      <c r="A1038" s="71"/>
      <c r="B1038" s="72"/>
      <c r="C1038" s="72"/>
      <c r="D1038" s="72"/>
      <c r="E1038" s="72"/>
    </row>
    <row r="1039">
      <c r="A1039" s="71"/>
      <c r="B1039" s="72"/>
      <c r="C1039" s="72"/>
      <c r="D1039" s="72"/>
      <c r="E1039" s="72"/>
    </row>
    <row r="1040">
      <c r="A1040" s="71"/>
      <c r="B1040" s="72"/>
      <c r="C1040" s="72"/>
      <c r="D1040" s="72"/>
      <c r="E1040" s="72"/>
    </row>
    <row r="1041">
      <c r="A1041" s="71"/>
      <c r="B1041" s="72"/>
      <c r="C1041" s="72"/>
      <c r="D1041" s="72"/>
      <c r="E1041" s="72"/>
    </row>
    <row r="1042">
      <c r="A1042" s="71"/>
      <c r="B1042" s="72"/>
      <c r="C1042" s="72"/>
      <c r="D1042" s="72"/>
      <c r="E1042" s="72"/>
    </row>
    <row r="1043">
      <c r="A1043" s="71"/>
      <c r="B1043" s="72"/>
      <c r="C1043" s="72"/>
      <c r="D1043" s="72"/>
      <c r="E1043" s="72"/>
    </row>
    <row r="1044">
      <c r="A1044" s="71"/>
      <c r="B1044" s="72"/>
      <c r="C1044" s="72"/>
      <c r="D1044" s="72"/>
      <c r="E1044" s="72"/>
    </row>
    <row r="1045">
      <c r="A1045" s="71"/>
      <c r="B1045" s="72"/>
      <c r="C1045" s="72"/>
      <c r="D1045" s="72"/>
      <c r="E1045" s="72"/>
    </row>
    <row r="1046">
      <c r="A1046" s="71"/>
      <c r="B1046" s="72"/>
      <c r="C1046" s="72"/>
      <c r="D1046" s="72"/>
      <c r="E1046" s="72"/>
    </row>
    <row r="1047">
      <c r="A1047" s="71"/>
      <c r="B1047" s="72"/>
      <c r="C1047" s="72"/>
      <c r="D1047" s="72"/>
      <c r="E1047" s="72"/>
    </row>
    <row r="1048">
      <c r="A1048" s="71"/>
      <c r="B1048" s="72"/>
      <c r="C1048" s="72"/>
      <c r="D1048" s="72"/>
      <c r="E1048" s="72"/>
    </row>
    <row r="1049">
      <c r="A1049" s="71"/>
      <c r="B1049" s="72"/>
      <c r="C1049" s="72"/>
      <c r="D1049" s="72"/>
      <c r="E1049" s="72"/>
    </row>
    <row r="1050">
      <c r="A1050" s="71"/>
      <c r="B1050" s="72"/>
      <c r="C1050" s="72"/>
      <c r="D1050" s="72"/>
      <c r="E1050" s="72"/>
    </row>
    <row r="1051">
      <c r="A1051" s="71"/>
      <c r="B1051" s="72"/>
      <c r="C1051" s="72"/>
      <c r="D1051" s="72"/>
      <c r="E1051" s="72"/>
    </row>
    <row r="1052">
      <c r="A1052" s="71"/>
      <c r="B1052" s="72"/>
      <c r="C1052" s="72"/>
      <c r="D1052" s="72"/>
      <c r="E1052" s="72"/>
    </row>
    <row r="1053">
      <c r="A1053" s="71"/>
      <c r="B1053" s="72"/>
      <c r="C1053" s="72"/>
      <c r="D1053" s="72"/>
      <c r="E1053" s="72"/>
    </row>
    <row r="1054">
      <c r="A1054" s="71"/>
      <c r="B1054" s="72"/>
      <c r="C1054" s="72"/>
      <c r="D1054" s="72"/>
      <c r="E1054" s="72"/>
    </row>
    <row r="1055">
      <c r="A1055" s="71"/>
      <c r="B1055" s="72"/>
      <c r="C1055" s="72"/>
      <c r="D1055" s="72"/>
      <c r="E1055" s="72"/>
    </row>
    <row r="1056">
      <c r="A1056" s="71"/>
      <c r="B1056" s="72"/>
      <c r="C1056" s="72"/>
      <c r="D1056" s="72"/>
      <c r="E1056" s="72"/>
    </row>
    <row r="1057">
      <c r="A1057" s="71"/>
      <c r="B1057" s="72"/>
      <c r="C1057" s="72"/>
      <c r="D1057" s="72"/>
      <c r="E1057" s="72"/>
    </row>
    <row r="1058">
      <c r="A1058" s="71"/>
      <c r="B1058" s="72"/>
      <c r="C1058" s="72"/>
      <c r="D1058" s="72"/>
      <c r="E1058" s="72"/>
    </row>
    <row r="1059">
      <c r="A1059" s="71"/>
      <c r="B1059" s="72"/>
      <c r="C1059" s="72"/>
      <c r="D1059" s="72"/>
      <c r="E1059" s="72"/>
    </row>
    <row r="1060">
      <c r="A1060" s="71"/>
      <c r="B1060" s="72"/>
      <c r="C1060" s="72"/>
      <c r="D1060" s="72"/>
      <c r="E1060" s="72"/>
    </row>
    <row r="1061">
      <c r="A1061" s="71"/>
      <c r="B1061" s="72"/>
      <c r="C1061" s="72"/>
      <c r="D1061" s="72"/>
      <c r="E1061" s="72"/>
    </row>
    <row r="1062">
      <c r="A1062" s="71"/>
      <c r="B1062" s="72"/>
      <c r="C1062" s="72"/>
      <c r="D1062" s="72"/>
      <c r="E1062" s="72"/>
    </row>
    <row r="1063">
      <c r="A1063" s="71"/>
      <c r="B1063" s="72"/>
      <c r="C1063" s="72"/>
      <c r="D1063" s="72"/>
      <c r="E1063" s="72"/>
    </row>
    <row r="1064">
      <c r="A1064" s="71"/>
      <c r="B1064" s="72"/>
      <c r="C1064" s="72"/>
      <c r="D1064" s="72"/>
      <c r="E1064" s="72"/>
    </row>
    <row r="1065">
      <c r="A1065" s="71"/>
      <c r="B1065" s="72"/>
      <c r="C1065" s="72"/>
      <c r="D1065" s="72"/>
      <c r="E1065" s="72"/>
    </row>
    <row r="1066">
      <c r="A1066" s="71"/>
      <c r="B1066" s="72"/>
      <c r="C1066" s="72"/>
      <c r="D1066" s="72"/>
      <c r="E1066" s="72"/>
    </row>
    <row r="1067">
      <c r="A1067" s="71"/>
      <c r="B1067" s="72"/>
      <c r="C1067" s="72"/>
      <c r="D1067" s="72"/>
      <c r="E1067" s="72"/>
    </row>
    <row r="1068">
      <c r="A1068" s="71"/>
      <c r="B1068" s="72"/>
      <c r="C1068" s="72"/>
      <c r="D1068" s="72"/>
      <c r="E1068" s="72"/>
    </row>
    <row r="1069">
      <c r="A1069" s="71"/>
      <c r="B1069" s="72"/>
      <c r="C1069" s="72"/>
      <c r="D1069" s="72"/>
      <c r="E1069" s="72"/>
    </row>
    <row r="1070">
      <c r="A1070" s="71"/>
      <c r="B1070" s="72"/>
      <c r="C1070" s="72"/>
      <c r="D1070" s="72"/>
      <c r="E1070" s="72"/>
    </row>
    <row r="1071">
      <c r="A1071" s="71"/>
      <c r="B1071" s="72"/>
      <c r="C1071" s="72"/>
      <c r="D1071" s="72"/>
      <c r="E1071" s="72"/>
    </row>
    <row r="1072">
      <c r="A1072" s="71"/>
      <c r="B1072" s="72"/>
      <c r="C1072" s="72"/>
      <c r="D1072" s="72"/>
      <c r="E1072" s="72"/>
    </row>
    <row r="1073">
      <c r="A1073" s="71"/>
      <c r="B1073" s="72"/>
      <c r="C1073" s="72"/>
      <c r="D1073" s="72"/>
      <c r="E1073" s="72"/>
    </row>
    <row r="1074">
      <c r="A1074" s="71"/>
      <c r="B1074" s="72"/>
      <c r="C1074" s="72"/>
      <c r="D1074" s="72"/>
      <c r="E1074" s="72"/>
    </row>
    <row r="1075">
      <c r="A1075" s="71"/>
      <c r="B1075" s="72"/>
      <c r="C1075" s="72"/>
      <c r="D1075" s="72"/>
      <c r="E1075" s="72"/>
    </row>
    <row r="1076">
      <c r="A1076" s="71"/>
      <c r="B1076" s="72"/>
      <c r="C1076" s="72"/>
      <c r="D1076" s="72"/>
      <c r="E1076" s="72"/>
    </row>
    <row r="1077">
      <c r="A1077" s="71"/>
      <c r="B1077" s="72"/>
      <c r="C1077" s="72"/>
      <c r="D1077" s="72"/>
      <c r="E1077" s="72"/>
    </row>
    <row r="1078">
      <c r="A1078" s="71"/>
      <c r="B1078" s="72"/>
      <c r="C1078" s="72"/>
      <c r="D1078" s="72"/>
      <c r="E1078" s="72"/>
    </row>
    <row r="1079">
      <c r="A1079" s="71"/>
      <c r="B1079" s="72"/>
      <c r="C1079" s="72"/>
      <c r="D1079" s="72"/>
      <c r="E1079" s="72"/>
    </row>
    <row r="1080">
      <c r="A1080" s="71"/>
      <c r="B1080" s="72"/>
      <c r="C1080" s="72"/>
      <c r="D1080" s="72"/>
      <c r="E1080" s="72"/>
    </row>
    <row r="1081">
      <c r="A1081" s="71"/>
      <c r="B1081" s="72"/>
      <c r="C1081" s="72"/>
      <c r="D1081" s="72"/>
      <c r="E1081" s="72"/>
    </row>
    <row r="1082">
      <c r="A1082" s="71"/>
      <c r="B1082" s="72"/>
      <c r="C1082" s="72"/>
      <c r="D1082" s="72"/>
      <c r="E1082" s="72"/>
    </row>
    <row r="1083">
      <c r="A1083" s="71"/>
      <c r="B1083" s="72"/>
      <c r="C1083" s="72"/>
      <c r="D1083" s="72"/>
      <c r="E1083" s="72"/>
    </row>
    <row r="1084">
      <c r="A1084" s="71"/>
      <c r="B1084" s="72"/>
      <c r="C1084" s="72"/>
      <c r="D1084" s="72"/>
      <c r="E1084" s="72"/>
    </row>
    <row r="1085">
      <c r="A1085" s="71"/>
      <c r="B1085" s="72"/>
      <c r="C1085" s="72"/>
      <c r="D1085" s="72"/>
      <c r="E1085" s="72"/>
    </row>
    <row r="1086">
      <c r="A1086" s="71"/>
      <c r="B1086" s="72"/>
      <c r="C1086" s="72"/>
      <c r="D1086" s="72"/>
      <c r="E1086" s="72"/>
    </row>
    <row r="1087">
      <c r="A1087" s="71"/>
      <c r="B1087" s="72"/>
      <c r="C1087" s="72"/>
      <c r="D1087" s="72"/>
      <c r="E1087" s="72"/>
    </row>
    <row r="1088">
      <c r="A1088" s="71"/>
      <c r="B1088" s="72"/>
      <c r="C1088" s="72"/>
      <c r="D1088" s="72"/>
      <c r="E1088" s="72"/>
    </row>
    <row r="1089">
      <c r="A1089" s="71"/>
      <c r="B1089" s="72"/>
      <c r="C1089" s="72"/>
      <c r="D1089" s="72"/>
      <c r="E1089" s="72"/>
    </row>
    <row r="1090">
      <c r="A1090" s="71"/>
      <c r="B1090" s="72"/>
      <c r="C1090" s="72"/>
      <c r="D1090" s="72"/>
      <c r="E1090" s="72"/>
    </row>
    <row r="1091">
      <c r="A1091" s="71"/>
      <c r="B1091" s="72"/>
      <c r="C1091" s="72"/>
      <c r="D1091" s="72"/>
      <c r="E1091" s="72"/>
    </row>
    <row r="1092">
      <c r="A1092" s="71"/>
      <c r="B1092" s="72"/>
      <c r="C1092" s="72"/>
      <c r="D1092" s="72"/>
      <c r="E1092" s="72"/>
    </row>
    <row r="1093">
      <c r="A1093" s="71"/>
      <c r="B1093" s="72"/>
      <c r="C1093" s="72"/>
      <c r="D1093" s="72"/>
      <c r="E1093" s="72"/>
    </row>
    <row r="1094">
      <c r="A1094" s="71"/>
      <c r="B1094" s="72"/>
      <c r="C1094" s="72"/>
      <c r="D1094" s="72"/>
      <c r="E1094" s="72"/>
    </row>
    <row r="1095">
      <c r="A1095" s="71"/>
      <c r="B1095" s="72"/>
      <c r="C1095" s="72"/>
      <c r="D1095" s="72"/>
      <c r="E1095" s="72"/>
    </row>
    <row r="1096">
      <c r="A1096" s="71"/>
      <c r="B1096" s="72"/>
      <c r="C1096" s="72"/>
      <c r="D1096" s="72"/>
      <c r="E1096" s="72"/>
    </row>
    <row r="1097">
      <c r="A1097" s="71"/>
      <c r="B1097" s="72"/>
      <c r="C1097" s="72"/>
      <c r="D1097" s="72"/>
      <c r="E1097" s="72"/>
    </row>
    <row r="1098">
      <c r="A1098" s="71"/>
      <c r="B1098" s="72"/>
      <c r="C1098" s="72"/>
      <c r="D1098" s="72"/>
      <c r="E1098" s="72"/>
    </row>
    <row r="1099">
      <c r="A1099" s="71"/>
      <c r="B1099" s="72"/>
      <c r="C1099" s="72"/>
      <c r="D1099" s="72"/>
      <c r="E1099" s="72"/>
    </row>
    <row r="1100">
      <c r="A1100" s="71"/>
      <c r="B1100" s="72"/>
      <c r="C1100" s="72"/>
      <c r="D1100" s="72"/>
      <c r="E1100" s="72"/>
    </row>
    <row r="1101">
      <c r="A1101" s="71"/>
      <c r="B1101" s="72"/>
      <c r="C1101" s="72"/>
      <c r="D1101" s="72"/>
      <c r="E1101" s="72"/>
    </row>
    <row r="1102">
      <c r="A1102" s="71"/>
      <c r="B1102" s="72"/>
      <c r="C1102" s="72"/>
      <c r="D1102" s="72"/>
      <c r="E1102" s="72"/>
    </row>
    <row r="1103">
      <c r="A1103" s="71"/>
      <c r="B1103" s="72"/>
      <c r="C1103" s="72"/>
      <c r="D1103" s="72"/>
      <c r="E1103" s="72"/>
    </row>
    <row r="1104">
      <c r="A1104" s="71"/>
      <c r="B1104" s="72"/>
      <c r="C1104" s="72"/>
      <c r="D1104" s="72"/>
      <c r="E1104" s="72"/>
    </row>
    <row r="1105">
      <c r="A1105" s="71"/>
      <c r="B1105" s="72"/>
      <c r="C1105" s="72"/>
      <c r="D1105" s="72"/>
      <c r="E1105" s="72"/>
    </row>
    <row r="1106">
      <c r="A1106" s="71"/>
      <c r="B1106" s="72"/>
      <c r="C1106" s="72"/>
      <c r="D1106" s="72"/>
      <c r="E1106" s="72"/>
    </row>
    <row r="1107">
      <c r="A1107" s="71"/>
      <c r="B1107" s="72"/>
      <c r="C1107" s="72"/>
      <c r="D1107" s="72"/>
      <c r="E1107" s="72"/>
    </row>
    <row r="1108">
      <c r="A1108" s="71"/>
      <c r="B1108" s="72"/>
      <c r="C1108" s="72"/>
      <c r="D1108" s="72"/>
      <c r="E1108" s="72"/>
    </row>
    <row r="1109">
      <c r="A1109" s="71"/>
      <c r="B1109" s="72"/>
      <c r="C1109" s="72"/>
      <c r="D1109" s="72"/>
      <c r="E1109" s="72"/>
    </row>
    <row r="1110">
      <c r="A1110" s="71"/>
      <c r="B1110" s="72"/>
      <c r="C1110" s="72"/>
      <c r="D1110" s="72"/>
      <c r="E1110" s="72"/>
    </row>
    <row r="1111">
      <c r="A1111" s="71"/>
      <c r="B1111" s="72"/>
      <c r="C1111" s="72"/>
      <c r="D1111" s="72"/>
      <c r="E1111" s="72"/>
    </row>
    <row r="1112" ht="1.5" customHeight="1">
      <c r="A1112" s="71"/>
      <c r="B1112" s="72"/>
      <c r="C1112" s="72"/>
      <c r="D1112" s="72"/>
      <c r="E1112" s="72"/>
    </row>
    <row r="1113" ht="1.5" customHeight="1">
      <c r="A1113" s="71"/>
      <c r="B1113" s="72"/>
      <c r="C1113" s="72"/>
      <c r="D1113" s="72"/>
      <c r="E1113" s="72"/>
    </row>
    <row r="1114" ht="1.5" customHeight="1">
      <c r="A1114" s="71"/>
      <c r="B1114" s="72"/>
      <c r="C1114" s="72"/>
      <c r="D1114" s="72"/>
      <c r="E1114" s="72"/>
    </row>
    <row r="1115" ht="1.5" customHeight="1">
      <c r="A1115" s="71"/>
      <c r="B1115" s="72"/>
      <c r="C1115" s="72"/>
      <c r="D1115" s="72"/>
      <c r="E1115" s="72"/>
    </row>
  </sheetData>
  <conditionalFormatting sqref="C1">
    <cfRule type="colorScale" priority="1">
      <colorScale>
        <cfvo type="min"/>
        <cfvo type="max"/>
        <color rgb="FFFFFFFF"/>
        <color rgb="FF57BB8A"/>
      </colorScale>
    </cfRule>
  </conditionalFormatting>
  <dataValidations>
    <dataValidation type="list" allowBlank="1" sqref="E2:E569">
      <formula1>"DANIELA,ANDREA"</formula1>
    </dataValidation>
    <dataValidation type="custom" allowBlank="1" showDropDown="1" sqref="A2:A569">
      <formula1>OR(NOT(ISERROR(DATEVALUE(A2))), AND(ISNUMBER(A2), LEFT(CELL("format", A2))="D"))</formula1>
    </dataValidation>
    <dataValidation type="list" allowBlank="1" sqref="C2:C569">
      <formula1>#REF!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63"/>
    <col customWidth="1" min="2" max="2" width="25.75"/>
    <col customWidth="1" min="3" max="3" width="38.13"/>
    <col customWidth="1" min="4" max="4" width="44.13"/>
    <col customWidth="1" min="5" max="5" width="17.88"/>
  </cols>
  <sheetData>
    <row r="1" ht="22.5" customHeight="1">
      <c r="A1" s="46" t="s">
        <v>170</v>
      </c>
      <c r="B1" s="47" t="s">
        <v>171</v>
      </c>
      <c r="C1" s="48" t="s">
        <v>4</v>
      </c>
      <c r="D1" s="47" t="s">
        <v>172</v>
      </c>
      <c r="E1" s="10" t="s">
        <v>214</v>
      </c>
    </row>
    <row r="2" ht="22.5" customHeight="1">
      <c r="A2" s="49">
        <v>46025.0</v>
      </c>
      <c r="B2" s="16">
        <v>20.0</v>
      </c>
      <c r="C2" s="50" t="s">
        <v>178</v>
      </c>
      <c r="D2" s="53"/>
      <c r="E2" s="50" t="s">
        <v>215</v>
      </c>
    </row>
    <row r="3" ht="22.5" customHeight="1">
      <c r="A3" s="49">
        <v>46025.0</v>
      </c>
      <c r="B3" s="16">
        <v>10.0</v>
      </c>
      <c r="C3" s="50" t="s">
        <v>176</v>
      </c>
      <c r="D3" s="53"/>
      <c r="E3" s="50" t="s">
        <v>215</v>
      </c>
    </row>
    <row r="4" ht="22.5" customHeight="1">
      <c r="A4" s="49">
        <v>46025.0</v>
      </c>
      <c r="B4" s="16">
        <v>2.0</v>
      </c>
      <c r="C4" s="50" t="s">
        <v>189</v>
      </c>
      <c r="D4" s="53"/>
      <c r="E4" s="50" t="s">
        <v>215</v>
      </c>
    </row>
    <row r="5" ht="22.5" customHeight="1">
      <c r="A5" s="49">
        <v>46025.0</v>
      </c>
      <c r="B5" s="16">
        <v>12.0</v>
      </c>
      <c r="C5" s="50" t="s">
        <v>174</v>
      </c>
      <c r="D5" s="54" t="s">
        <v>216</v>
      </c>
      <c r="E5" s="50" t="s">
        <v>215</v>
      </c>
    </row>
    <row r="6" ht="22.5" customHeight="1">
      <c r="A6" s="49">
        <v>46027.0</v>
      </c>
      <c r="B6" s="16">
        <v>20.0</v>
      </c>
      <c r="C6" s="50" t="s">
        <v>177</v>
      </c>
      <c r="D6" s="53"/>
      <c r="E6" s="50" t="s">
        <v>215</v>
      </c>
    </row>
    <row r="7" ht="22.5" customHeight="1">
      <c r="A7" s="49">
        <v>46027.0</v>
      </c>
      <c r="B7" s="16">
        <v>10.0</v>
      </c>
      <c r="C7" s="50" t="s">
        <v>176</v>
      </c>
      <c r="D7" s="53"/>
      <c r="E7" s="50" t="s">
        <v>215</v>
      </c>
    </row>
    <row r="8" ht="22.5" customHeight="1">
      <c r="A8" s="49">
        <v>46028.0</v>
      </c>
      <c r="B8" s="16">
        <v>15.0</v>
      </c>
      <c r="C8" s="50" t="s">
        <v>177</v>
      </c>
      <c r="D8" s="53"/>
      <c r="E8" s="50" t="s">
        <v>215</v>
      </c>
    </row>
    <row r="9" ht="22.5" customHeight="1">
      <c r="A9" s="49">
        <v>46028.0</v>
      </c>
      <c r="B9" s="16">
        <v>15.0</v>
      </c>
      <c r="C9" s="50" t="s">
        <v>176</v>
      </c>
      <c r="D9" s="53"/>
      <c r="E9" s="50" t="s">
        <v>215</v>
      </c>
    </row>
    <row r="10" ht="22.5" customHeight="1">
      <c r="A10" s="49">
        <v>46028.0</v>
      </c>
      <c r="B10" s="16">
        <v>3.0</v>
      </c>
      <c r="C10" s="50" t="s">
        <v>182</v>
      </c>
      <c r="D10" s="53"/>
      <c r="E10" s="50" t="s">
        <v>215</v>
      </c>
    </row>
    <row r="11" ht="22.5" customHeight="1">
      <c r="A11" s="49">
        <v>46028.0</v>
      </c>
      <c r="B11" s="16">
        <v>79.0</v>
      </c>
      <c r="C11" s="50" t="s">
        <v>217</v>
      </c>
      <c r="D11" s="53"/>
      <c r="E11" s="50" t="s">
        <v>215</v>
      </c>
    </row>
    <row r="12" ht="22.5" customHeight="1">
      <c r="A12" s="49">
        <v>46029.0</v>
      </c>
      <c r="B12" s="16">
        <v>15.0</v>
      </c>
      <c r="C12" s="50" t="s">
        <v>178</v>
      </c>
      <c r="D12" s="53"/>
      <c r="E12" s="50" t="s">
        <v>215</v>
      </c>
    </row>
    <row r="13" ht="22.5" customHeight="1">
      <c r="A13" s="49">
        <v>46029.0</v>
      </c>
      <c r="B13" s="16">
        <v>10.0</v>
      </c>
      <c r="C13" s="50" t="s">
        <v>177</v>
      </c>
      <c r="D13" s="53"/>
      <c r="E13" s="50" t="s">
        <v>215</v>
      </c>
    </row>
    <row r="14" ht="22.5" customHeight="1">
      <c r="A14" s="49">
        <v>46029.0</v>
      </c>
      <c r="B14" s="16">
        <v>12.0</v>
      </c>
      <c r="C14" s="50" t="s">
        <v>174</v>
      </c>
      <c r="D14" s="54" t="s">
        <v>216</v>
      </c>
      <c r="E14" s="50" t="s">
        <v>215</v>
      </c>
    </row>
    <row r="15" ht="22.5" customHeight="1">
      <c r="A15" s="49">
        <v>46030.0</v>
      </c>
      <c r="B15" s="16">
        <v>2.0</v>
      </c>
      <c r="C15" s="50" t="s">
        <v>182</v>
      </c>
      <c r="D15" s="53"/>
      <c r="E15" s="50" t="s">
        <v>215</v>
      </c>
    </row>
    <row r="16" ht="22.5" customHeight="1">
      <c r="A16" s="49">
        <v>46030.0</v>
      </c>
      <c r="B16" s="16">
        <v>15.0</v>
      </c>
      <c r="C16" s="50" t="s">
        <v>178</v>
      </c>
      <c r="D16" s="53"/>
      <c r="E16" s="50" t="s">
        <v>215</v>
      </c>
    </row>
    <row r="17" ht="22.5" customHeight="1">
      <c r="A17" s="49">
        <v>46030.0</v>
      </c>
      <c r="B17" s="16">
        <v>15.0</v>
      </c>
      <c r="C17" s="50" t="s">
        <v>176</v>
      </c>
      <c r="D17" s="53"/>
      <c r="E17" s="50" t="s">
        <v>215</v>
      </c>
    </row>
    <row r="18" ht="22.5" customHeight="1">
      <c r="A18" s="49">
        <v>46030.0</v>
      </c>
      <c r="B18" s="16">
        <v>1.0</v>
      </c>
      <c r="C18" s="50" t="s">
        <v>189</v>
      </c>
      <c r="D18" s="53"/>
      <c r="E18" s="50" t="s">
        <v>215</v>
      </c>
    </row>
    <row r="19" ht="22.5" customHeight="1">
      <c r="A19" s="49">
        <v>46032.0</v>
      </c>
      <c r="B19" s="16">
        <v>3.0</v>
      </c>
      <c r="C19" s="50" t="s">
        <v>182</v>
      </c>
      <c r="D19" s="53"/>
      <c r="E19" s="50" t="s">
        <v>215</v>
      </c>
    </row>
    <row r="20" ht="22.5" customHeight="1">
      <c r="A20" s="49">
        <v>46032.0</v>
      </c>
      <c r="B20" s="16">
        <v>10.0</v>
      </c>
      <c r="C20" s="50" t="s">
        <v>176</v>
      </c>
      <c r="D20" s="53"/>
      <c r="E20" s="50" t="s">
        <v>215</v>
      </c>
    </row>
    <row r="21" ht="22.5" customHeight="1">
      <c r="A21" s="49">
        <v>46032.0</v>
      </c>
      <c r="B21" s="16">
        <v>10.0</v>
      </c>
      <c r="C21" s="50" t="s">
        <v>177</v>
      </c>
      <c r="D21" s="53"/>
      <c r="E21" s="50" t="s">
        <v>215</v>
      </c>
    </row>
    <row r="22" ht="22.5" customHeight="1">
      <c r="A22" s="49">
        <v>46032.0</v>
      </c>
      <c r="B22" s="16">
        <v>10.0</v>
      </c>
      <c r="C22" s="50" t="s">
        <v>178</v>
      </c>
      <c r="D22" s="53"/>
      <c r="E22" s="50" t="s">
        <v>215</v>
      </c>
    </row>
    <row r="23" ht="22.5" customHeight="1">
      <c r="A23" s="49">
        <v>46031.0</v>
      </c>
      <c r="B23" s="16">
        <v>1.0</v>
      </c>
      <c r="C23" s="50" t="s">
        <v>200</v>
      </c>
      <c r="D23" s="53"/>
      <c r="E23" s="50" t="s">
        <v>215</v>
      </c>
    </row>
    <row r="24" ht="22.5" customHeight="1">
      <c r="A24" s="49">
        <v>46035.0</v>
      </c>
      <c r="B24" s="16">
        <v>21.0</v>
      </c>
      <c r="C24" s="50" t="s">
        <v>177</v>
      </c>
      <c r="D24" s="53"/>
      <c r="E24" s="50" t="s">
        <v>215</v>
      </c>
    </row>
    <row r="25" ht="22.5" customHeight="1">
      <c r="A25" s="49">
        <v>46035.0</v>
      </c>
      <c r="B25" s="16">
        <v>5.0</v>
      </c>
      <c r="C25" s="50" t="s">
        <v>178</v>
      </c>
      <c r="D25" s="53"/>
      <c r="E25" s="50" t="s">
        <v>215</v>
      </c>
    </row>
    <row r="26" ht="22.5" customHeight="1">
      <c r="A26" s="49">
        <v>46035.0</v>
      </c>
      <c r="B26" s="16">
        <v>10.0</v>
      </c>
      <c r="C26" s="50" t="s">
        <v>176</v>
      </c>
      <c r="D26" s="53"/>
      <c r="E26" s="50" t="s">
        <v>215</v>
      </c>
    </row>
    <row r="27" ht="22.5" customHeight="1">
      <c r="A27" s="49">
        <v>46035.0</v>
      </c>
      <c r="B27" s="16">
        <v>1.0</v>
      </c>
      <c r="C27" s="50" t="s">
        <v>189</v>
      </c>
      <c r="D27" s="53"/>
      <c r="E27" s="50" t="s">
        <v>215</v>
      </c>
    </row>
    <row r="28" ht="22.5" customHeight="1">
      <c r="A28" s="49">
        <v>46036.0</v>
      </c>
      <c r="B28" s="16">
        <v>10.0</v>
      </c>
      <c r="C28" s="50" t="s">
        <v>178</v>
      </c>
      <c r="D28" s="53"/>
      <c r="E28" s="50" t="s">
        <v>215</v>
      </c>
    </row>
    <row r="29" ht="22.5" customHeight="1">
      <c r="A29" s="49">
        <v>46036.0</v>
      </c>
      <c r="B29" s="16">
        <v>10.0</v>
      </c>
      <c r="C29" s="50" t="s">
        <v>176</v>
      </c>
      <c r="D29" s="53"/>
      <c r="E29" s="50" t="s">
        <v>215</v>
      </c>
    </row>
    <row r="30" ht="22.5" customHeight="1">
      <c r="A30" s="49">
        <v>46036.0</v>
      </c>
      <c r="B30" s="16">
        <v>3.0</v>
      </c>
      <c r="C30" s="50" t="s">
        <v>182</v>
      </c>
      <c r="D30" s="53"/>
      <c r="E30" s="50" t="s">
        <v>215</v>
      </c>
    </row>
    <row r="31" ht="22.5" customHeight="1">
      <c r="A31" s="49">
        <v>46036.0</v>
      </c>
      <c r="B31" s="16">
        <v>1.0</v>
      </c>
      <c r="C31" s="50" t="s">
        <v>192</v>
      </c>
      <c r="D31" s="53"/>
      <c r="E31" s="50" t="s">
        <v>215</v>
      </c>
    </row>
    <row r="32" ht="22.5" customHeight="1">
      <c r="A32" s="49">
        <v>46037.0</v>
      </c>
      <c r="B32" s="16">
        <v>15.0</v>
      </c>
      <c r="C32" s="50" t="s">
        <v>178</v>
      </c>
      <c r="D32" s="53"/>
      <c r="E32" s="50" t="s">
        <v>215</v>
      </c>
    </row>
    <row r="33" ht="22.5" customHeight="1">
      <c r="A33" s="49">
        <v>46037.0</v>
      </c>
      <c r="B33" s="16">
        <v>15.0</v>
      </c>
      <c r="C33" s="50" t="s">
        <v>177</v>
      </c>
      <c r="D33" s="53"/>
      <c r="E33" s="50" t="s">
        <v>215</v>
      </c>
    </row>
    <row r="34" ht="22.5" customHeight="1">
      <c r="A34" s="49">
        <v>46037.0</v>
      </c>
      <c r="B34" s="16">
        <v>10.0</v>
      </c>
      <c r="C34" s="50" t="s">
        <v>176</v>
      </c>
      <c r="D34" s="53"/>
      <c r="E34" s="50" t="s">
        <v>215</v>
      </c>
    </row>
    <row r="35" ht="22.5" customHeight="1">
      <c r="A35" s="49">
        <v>46037.0</v>
      </c>
      <c r="B35" s="16">
        <v>2.0</v>
      </c>
      <c r="C35" s="50" t="s">
        <v>186</v>
      </c>
      <c r="D35" s="53"/>
      <c r="E35" s="50" t="s">
        <v>215</v>
      </c>
    </row>
    <row r="36" ht="22.5" customHeight="1">
      <c r="A36" s="49">
        <v>46037.0</v>
      </c>
      <c r="B36" s="16">
        <v>2.0</v>
      </c>
      <c r="C36" s="50" t="s">
        <v>187</v>
      </c>
      <c r="D36" s="53"/>
      <c r="E36" s="50" t="s">
        <v>215</v>
      </c>
    </row>
    <row r="37" ht="22.5" customHeight="1">
      <c r="A37" s="49">
        <v>46037.0</v>
      </c>
      <c r="B37" s="16">
        <v>12.0</v>
      </c>
      <c r="C37" s="50" t="s">
        <v>174</v>
      </c>
      <c r="D37" s="54" t="s">
        <v>216</v>
      </c>
      <c r="E37" s="50" t="s">
        <v>215</v>
      </c>
    </row>
    <row r="38" ht="22.5" customHeight="1">
      <c r="A38" s="49">
        <v>46037.0</v>
      </c>
      <c r="B38" s="16">
        <v>1.0</v>
      </c>
      <c r="C38" s="50" t="s">
        <v>203</v>
      </c>
      <c r="D38" s="53"/>
      <c r="E38" s="50" t="s">
        <v>215</v>
      </c>
    </row>
    <row r="39" ht="22.5" customHeight="1">
      <c r="A39" s="49">
        <v>46038.0</v>
      </c>
      <c r="B39" s="16">
        <v>4.0</v>
      </c>
      <c r="C39" s="50" t="s">
        <v>218</v>
      </c>
      <c r="D39" s="73" t="s">
        <v>219</v>
      </c>
      <c r="E39" s="50" t="s">
        <v>215</v>
      </c>
    </row>
    <row r="40" ht="22.5" customHeight="1">
      <c r="A40" s="49">
        <v>46038.0</v>
      </c>
      <c r="B40" s="16">
        <v>4.0</v>
      </c>
      <c r="C40" s="50" t="s">
        <v>220</v>
      </c>
      <c r="D40" s="73" t="s">
        <v>221</v>
      </c>
      <c r="E40" s="50" t="s">
        <v>215</v>
      </c>
    </row>
    <row r="41" ht="22.5" customHeight="1">
      <c r="A41" s="49">
        <v>46038.0</v>
      </c>
      <c r="B41" s="16">
        <v>4.0</v>
      </c>
      <c r="C41" s="50" t="s">
        <v>182</v>
      </c>
      <c r="D41" s="73" t="s">
        <v>222</v>
      </c>
      <c r="E41" s="50" t="s">
        <v>215</v>
      </c>
    </row>
    <row r="42" ht="22.5" customHeight="1">
      <c r="A42" s="49">
        <v>46038.0</v>
      </c>
      <c r="B42" s="16">
        <v>4.0</v>
      </c>
      <c r="C42" s="50" t="s">
        <v>223</v>
      </c>
      <c r="D42" s="73" t="s">
        <v>224</v>
      </c>
      <c r="E42" s="50" t="s">
        <v>215</v>
      </c>
    </row>
    <row r="43" ht="22.5" customHeight="1">
      <c r="A43" s="49">
        <v>46038.0</v>
      </c>
      <c r="B43" s="16">
        <v>4.0</v>
      </c>
      <c r="C43" s="50" t="s">
        <v>225</v>
      </c>
      <c r="D43" s="73" t="s">
        <v>226</v>
      </c>
      <c r="E43" s="50" t="s">
        <v>215</v>
      </c>
    </row>
    <row r="44" ht="22.5" customHeight="1">
      <c r="A44" s="49">
        <v>46038.0</v>
      </c>
      <c r="B44" s="16">
        <v>4.0</v>
      </c>
      <c r="C44" s="50" t="s">
        <v>182</v>
      </c>
      <c r="D44" s="73" t="s">
        <v>227</v>
      </c>
      <c r="E44" s="50" t="s">
        <v>215</v>
      </c>
    </row>
    <row r="45" ht="22.5" customHeight="1">
      <c r="A45" s="49">
        <v>46038.0</v>
      </c>
      <c r="B45" s="16">
        <v>1.0</v>
      </c>
      <c r="C45" s="50" t="s">
        <v>228</v>
      </c>
      <c r="D45" s="73"/>
      <c r="E45" s="50" t="s">
        <v>215</v>
      </c>
    </row>
    <row r="46" ht="22.5" customHeight="1">
      <c r="A46" s="49">
        <v>46038.0</v>
      </c>
      <c r="B46" s="16">
        <v>1.0</v>
      </c>
      <c r="C46" s="50" t="s">
        <v>229</v>
      </c>
      <c r="D46" s="73"/>
      <c r="E46" s="50" t="s">
        <v>215</v>
      </c>
    </row>
    <row r="47" ht="22.5" customHeight="1">
      <c r="A47" s="49">
        <v>46038.0</v>
      </c>
      <c r="B47" s="16">
        <v>1.0</v>
      </c>
      <c r="C47" s="50" t="s">
        <v>188</v>
      </c>
      <c r="D47" s="53"/>
      <c r="E47" s="50" t="s">
        <v>215</v>
      </c>
    </row>
    <row r="48" ht="22.5" customHeight="1">
      <c r="A48" s="49">
        <v>46038.0</v>
      </c>
      <c r="B48" s="16">
        <v>1.0</v>
      </c>
      <c r="C48" s="50" t="s">
        <v>189</v>
      </c>
      <c r="D48" s="53"/>
      <c r="E48" s="50" t="s">
        <v>215</v>
      </c>
    </row>
    <row r="49" ht="22.5" customHeight="1">
      <c r="A49" s="49">
        <v>46039.0</v>
      </c>
      <c r="B49" s="16">
        <v>10.0</v>
      </c>
      <c r="C49" s="50" t="s">
        <v>176</v>
      </c>
      <c r="D49" s="53"/>
      <c r="E49" s="50" t="s">
        <v>215</v>
      </c>
    </row>
    <row r="50" ht="22.5" customHeight="1">
      <c r="A50" s="49">
        <v>46039.0</v>
      </c>
      <c r="B50" s="16">
        <v>15.0</v>
      </c>
      <c r="C50" s="50" t="s">
        <v>177</v>
      </c>
      <c r="D50" s="53"/>
      <c r="E50" s="50" t="s">
        <v>215</v>
      </c>
    </row>
    <row r="51" ht="22.5" customHeight="1">
      <c r="A51" s="49">
        <v>46039.0</v>
      </c>
      <c r="B51" s="16">
        <v>15.0</v>
      </c>
      <c r="C51" s="50" t="s">
        <v>178</v>
      </c>
      <c r="D51" s="53"/>
      <c r="E51" s="50" t="s">
        <v>215</v>
      </c>
    </row>
    <row r="52" ht="22.5" customHeight="1">
      <c r="A52" s="49">
        <v>46041.0</v>
      </c>
      <c r="B52" s="16">
        <v>1.0</v>
      </c>
      <c r="C52" s="50" t="s">
        <v>178</v>
      </c>
      <c r="D52" s="74" t="s">
        <v>230</v>
      </c>
      <c r="E52" s="50" t="s">
        <v>215</v>
      </c>
    </row>
    <row r="53" ht="22.5" customHeight="1">
      <c r="A53" s="49">
        <v>46041.0</v>
      </c>
      <c r="B53" s="16">
        <v>1.0</v>
      </c>
      <c r="C53" s="50" t="s">
        <v>176</v>
      </c>
      <c r="D53" s="75" t="s">
        <v>231</v>
      </c>
      <c r="E53" s="50" t="s">
        <v>215</v>
      </c>
    </row>
    <row r="54" ht="22.5" customHeight="1">
      <c r="A54" s="49">
        <v>46041.0</v>
      </c>
      <c r="B54" s="16">
        <v>1.0</v>
      </c>
      <c r="C54" s="50" t="s">
        <v>177</v>
      </c>
      <c r="D54" s="75" t="s">
        <v>231</v>
      </c>
      <c r="E54" s="50" t="s">
        <v>215</v>
      </c>
    </row>
    <row r="55" ht="22.5" customHeight="1">
      <c r="A55" s="49">
        <v>46041.0</v>
      </c>
      <c r="B55" s="16">
        <v>1.0</v>
      </c>
      <c r="C55" s="50" t="s">
        <v>178</v>
      </c>
      <c r="D55" s="75" t="s">
        <v>231</v>
      </c>
      <c r="E55" s="50" t="s">
        <v>215</v>
      </c>
    </row>
    <row r="56" ht="22.5" customHeight="1">
      <c r="A56" s="49">
        <v>46041.0</v>
      </c>
      <c r="B56" s="16">
        <v>10.0</v>
      </c>
      <c r="C56" s="50" t="s">
        <v>174</v>
      </c>
      <c r="D56" s="54" t="s">
        <v>216</v>
      </c>
      <c r="E56" s="50" t="s">
        <v>215</v>
      </c>
    </row>
    <row r="57" ht="22.5" customHeight="1">
      <c r="A57" s="49">
        <v>46042.0</v>
      </c>
      <c r="B57" s="16">
        <v>1.0</v>
      </c>
      <c r="C57" s="50" t="s">
        <v>189</v>
      </c>
      <c r="D57" s="75"/>
      <c r="E57" s="50" t="s">
        <v>215</v>
      </c>
    </row>
    <row r="58" ht="22.5" customHeight="1">
      <c r="A58" s="49">
        <v>46043.0</v>
      </c>
      <c r="B58" s="16">
        <v>30.0</v>
      </c>
      <c r="C58" s="50" t="s">
        <v>182</v>
      </c>
      <c r="D58" s="75"/>
      <c r="E58" s="50" t="s">
        <v>215</v>
      </c>
    </row>
    <row r="59" ht="22.5" customHeight="1">
      <c r="A59" s="49">
        <v>46043.0</v>
      </c>
      <c r="B59" s="16">
        <v>1.0</v>
      </c>
      <c r="C59" s="50" t="s">
        <v>181</v>
      </c>
      <c r="D59" s="75"/>
      <c r="E59" s="50" t="s">
        <v>215</v>
      </c>
    </row>
    <row r="60" ht="22.5" customHeight="1">
      <c r="A60" s="49">
        <v>46043.0</v>
      </c>
      <c r="B60" s="16">
        <v>15.0</v>
      </c>
      <c r="C60" s="50" t="s">
        <v>176</v>
      </c>
      <c r="D60" s="75"/>
      <c r="E60" s="50" t="s">
        <v>215</v>
      </c>
    </row>
    <row r="61" ht="22.5" customHeight="1">
      <c r="A61" s="49">
        <v>46043.0</v>
      </c>
      <c r="B61" s="16">
        <v>20.0</v>
      </c>
      <c r="C61" s="50" t="s">
        <v>178</v>
      </c>
      <c r="D61" s="75"/>
      <c r="E61" s="50" t="s">
        <v>215</v>
      </c>
    </row>
    <row r="62" ht="22.5" customHeight="1">
      <c r="A62" s="49">
        <v>46043.0</v>
      </c>
      <c r="B62" s="16">
        <v>15.0</v>
      </c>
      <c r="C62" s="50" t="s">
        <v>177</v>
      </c>
      <c r="D62" s="75"/>
      <c r="E62" s="50" t="s">
        <v>215</v>
      </c>
    </row>
    <row r="63" ht="22.5" customHeight="1">
      <c r="A63" s="49">
        <v>46043.0</v>
      </c>
      <c r="B63" s="16">
        <v>4.0</v>
      </c>
      <c r="C63" s="50" t="s">
        <v>186</v>
      </c>
      <c r="D63" s="75"/>
      <c r="E63" s="50" t="s">
        <v>215</v>
      </c>
    </row>
    <row r="64" ht="22.5" customHeight="1">
      <c r="A64" s="49">
        <v>46043.0</v>
      </c>
      <c r="B64" s="16">
        <v>2.0</v>
      </c>
      <c r="C64" s="50" t="s">
        <v>187</v>
      </c>
      <c r="D64" s="75"/>
      <c r="E64" s="50" t="s">
        <v>215</v>
      </c>
    </row>
    <row r="65" ht="22.5" customHeight="1">
      <c r="A65" s="49">
        <v>46043.0</v>
      </c>
      <c r="B65" s="16">
        <v>1.0</v>
      </c>
      <c r="C65" s="50" t="s">
        <v>178</v>
      </c>
      <c r="D65" s="74" t="s">
        <v>232</v>
      </c>
      <c r="E65" s="50" t="s">
        <v>215</v>
      </c>
    </row>
    <row r="66" ht="22.5" customHeight="1">
      <c r="A66" s="49">
        <v>46044.0</v>
      </c>
      <c r="B66" s="16">
        <v>25.0</v>
      </c>
      <c r="C66" s="50" t="s">
        <v>183</v>
      </c>
      <c r="D66" s="54"/>
      <c r="E66" s="50" t="s">
        <v>215</v>
      </c>
    </row>
    <row r="67" ht="22.5" customHeight="1">
      <c r="A67" s="49">
        <v>46044.0</v>
      </c>
      <c r="B67" s="16">
        <v>27.0</v>
      </c>
      <c r="C67" s="50" t="s">
        <v>184</v>
      </c>
      <c r="D67" s="54"/>
      <c r="E67" s="50" t="s">
        <v>215</v>
      </c>
    </row>
    <row r="68" ht="22.5" customHeight="1">
      <c r="A68" s="49">
        <v>46044.0</v>
      </c>
      <c r="B68" s="16">
        <v>3.0</v>
      </c>
      <c r="C68" s="50" t="s">
        <v>185</v>
      </c>
      <c r="D68" s="54"/>
      <c r="E68" s="50" t="s">
        <v>215</v>
      </c>
    </row>
    <row r="69" ht="22.5" customHeight="1">
      <c r="A69" s="49">
        <v>46044.0</v>
      </c>
      <c r="B69" s="16">
        <v>10.0</v>
      </c>
      <c r="C69" s="50" t="s">
        <v>176</v>
      </c>
      <c r="D69" s="54"/>
      <c r="E69" s="50" t="s">
        <v>215</v>
      </c>
    </row>
    <row r="70" ht="22.5" customHeight="1">
      <c r="A70" s="49">
        <v>46044.0</v>
      </c>
      <c r="B70" s="16">
        <v>10.0</v>
      </c>
      <c r="C70" s="50" t="s">
        <v>178</v>
      </c>
      <c r="D70" s="54"/>
      <c r="E70" s="50" t="s">
        <v>215</v>
      </c>
    </row>
    <row r="71" ht="22.5" customHeight="1">
      <c r="A71" s="49">
        <v>46044.0</v>
      </c>
      <c r="B71" s="16">
        <v>12.0</v>
      </c>
      <c r="C71" s="50" t="s">
        <v>174</v>
      </c>
      <c r="D71" s="54" t="s">
        <v>216</v>
      </c>
      <c r="E71" s="50" t="s">
        <v>215</v>
      </c>
    </row>
    <row r="72" ht="22.5" customHeight="1">
      <c r="A72" s="49">
        <v>46044.0</v>
      </c>
      <c r="B72" s="16">
        <v>1.0</v>
      </c>
      <c r="C72" s="50" t="s">
        <v>176</v>
      </c>
      <c r="D72" s="54" t="s">
        <v>233</v>
      </c>
      <c r="E72" s="50" t="s">
        <v>215</v>
      </c>
    </row>
    <row r="73" ht="22.5" customHeight="1">
      <c r="A73" s="49">
        <v>46045.0</v>
      </c>
      <c r="B73" s="16">
        <v>10.0</v>
      </c>
      <c r="C73" s="50" t="s">
        <v>177</v>
      </c>
      <c r="D73" s="54"/>
      <c r="E73" s="50" t="s">
        <v>215</v>
      </c>
    </row>
    <row r="74" ht="22.5" customHeight="1">
      <c r="A74" s="49">
        <v>46045.0</v>
      </c>
      <c r="B74" s="16">
        <v>10.0</v>
      </c>
      <c r="C74" s="50" t="s">
        <v>178</v>
      </c>
      <c r="D74" s="54"/>
      <c r="E74" s="50" t="s">
        <v>215</v>
      </c>
    </row>
    <row r="75" ht="22.5" customHeight="1">
      <c r="A75" s="49">
        <v>46045.0</v>
      </c>
      <c r="B75" s="16">
        <v>1.0</v>
      </c>
      <c r="C75" s="50" t="s">
        <v>193</v>
      </c>
      <c r="D75" s="54"/>
      <c r="E75" s="50" t="s">
        <v>215</v>
      </c>
    </row>
    <row r="76" ht="22.5" customHeight="1">
      <c r="A76" s="49">
        <v>46046.0</v>
      </c>
      <c r="B76" s="16">
        <v>1.0</v>
      </c>
      <c r="C76" s="50" t="s">
        <v>189</v>
      </c>
      <c r="D76" s="54"/>
      <c r="E76" s="50" t="s">
        <v>215</v>
      </c>
    </row>
    <row r="77" ht="22.5" customHeight="1">
      <c r="A77" s="49">
        <v>46046.0</v>
      </c>
      <c r="B77" s="16">
        <v>12.0</v>
      </c>
      <c r="C77" s="50" t="s">
        <v>174</v>
      </c>
      <c r="D77" s="54" t="s">
        <v>216</v>
      </c>
      <c r="E77" s="50" t="s">
        <v>215</v>
      </c>
    </row>
    <row r="78" ht="22.5" customHeight="1">
      <c r="A78" s="49">
        <v>46048.0</v>
      </c>
      <c r="B78" s="16">
        <v>2.0</v>
      </c>
      <c r="C78" s="50" t="s">
        <v>182</v>
      </c>
      <c r="D78" s="54"/>
      <c r="E78" s="50" t="s">
        <v>215</v>
      </c>
    </row>
    <row r="79" ht="22.5" customHeight="1">
      <c r="A79" s="49">
        <v>46049.0</v>
      </c>
      <c r="B79" s="16">
        <v>1.0</v>
      </c>
      <c r="C79" s="50" t="s">
        <v>188</v>
      </c>
      <c r="D79" s="54"/>
      <c r="E79" s="50" t="s">
        <v>215</v>
      </c>
    </row>
    <row r="80" ht="22.5" customHeight="1">
      <c r="A80" s="49">
        <v>46049.0</v>
      </c>
      <c r="B80" s="16">
        <v>15.0</v>
      </c>
      <c r="C80" s="50" t="s">
        <v>177</v>
      </c>
      <c r="D80" s="54"/>
      <c r="E80" s="50" t="s">
        <v>215</v>
      </c>
    </row>
    <row r="81" ht="22.5" customHeight="1">
      <c r="A81" s="49">
        <v>46049.0</v>
      </c>
      <c r="B81" s="16">
        <v>10.0</v>
      </c>
      <c r="C81" s="50" t="s">
        <v>176</v>
      </c>
      <c r="D81" s="54"/>
      <c r="E81" s="50" t="s">
        <v>215</v>
      </c>
    </row>
    <row r="82" ht="22.5" customHeight="1">
      <c r="A82" s="49">
        <v>46049.0</v>
      </c>
      <c r="B82" s="16">
        <v>6.0</v>
      </c>
      <c r="C82" s="50" t="s">
        <v>178</v>
      </c>
      <c r="D82" s="54"/>
      <c r="E82" s="50" t="s">
        <v>215</v>
      </c>
    </row>
    <row r="83" ht="22.5" customHeight="1">
      <c r="A83" s="49">
        <v>46049.0</v>
      </c>
      <c r="B83" s="16">
        <v>1.0</v>
      </c>
      <c r="C83" s="50" t="s">
        <v>190</v>
      </c>
      <c r="D83" s="54" t="s">
        <v>234</v>
      </c>
      <c r="E83" s="50" t="s">
        <v>215</v>
      </c>
    </row>
    <row r="84" ht="22.5" customHeight="1">
      <c r="A84" s="49">
        <v>46049.0</v>
      </c>
      <c r="B84" s="16">
        <v>1.0</v>
      </c>
      <c r="C84" s="50" t="s">
        <v>180</v>
      </c>
      <c r="D84" s="54" t="s">
        <v>234</v>
      </c>
      <c r="E84" s="50" t="s">
        <v>215</v>
      </c>
    </row>
    <row r="85" ht="22.5" customHeight="1">
      <c r="A85" s="49">
        <v>46049.0</v>
      </c>
      <c r="B85" s="16">
        <v>1.0</v>
      </c>
      <c r="C85" s="50" t="s">
        <v>179</v>
      </c>
      <c r="D85" s="54" t="s">
        <v>234</v>
      </c>
      <c r="E85" s="50" t="s">
        <v>215</v>
      </c>
    </row>
    <row r="86" ht="22.5" customHeight="1">
      <c r="A86" s="49">
        <v>46049.0</v>
      </c>
      <c r="B86" s="16">
        <v>1.0</v>
      </c>
      <c r="C86" s="50" t="s">
        <v>192</v>
      </c>
      <c r="D86" s="54"/>
      <c r="E86" s="50" t="s">
        <v>215</v>
      </c>
    </row>
    <row r="87" ht="22.5" customHeight="1">
      <c r="A87" s="49">
        <v>46050.0</v>
      </c>
      <c r="B87" s="16">
        <v>10.0</v>
      </c>
      <c r="C87" s="50" t="s">
        <v>178</v>
      </c>
      <c r="D87" s="54"/>
      <c r="E87" s="50" t="s">
        <v>215</v>
      </c>
    </row>
    <row r="88" ht="22.5" customHeight="1">
      <c r="A88" s="49">
        <v>46050.0</v>
      </c>
      <c r="B88" s="16">
        <v>10.0</v>
      </c>
      <c r="C88" s="50" t="s">
        <v>177</v>
      </c>
      <c r="D88" s="54"/>
      <c r="E88" s="50" t="s">
        <v>215</v>
      </c>
    </row>
    <row r="89" ht="22.5" customHeight="1">
      <c r="A89" s="49">
        <v>46050.0</v>
      </c>
      <c r="B89" s="16">
        <v>10.0</v>
      </c>
      <c r="C89" s="50" t="s">
        <v>176</v>
      </c>
      <c r="D89" s="54"/>
      <c r="E89" s="50" t="s">
        <v>215</v>
      </c>
    </row>
    <row r="90" ht="22.5" customHeight="1">
      <c r="A90" s="49">
        <v>46050.0</v>
      </c>
      <c r="B90" s="16">
        <v>2.0</v>
      </c>
      <c r="C90" s="50" t="s">
        <v>186</v>
      </c>
      <c r="D90" s="54"/>
      <c r="E90" s="50" t="s">
        <v>215</v>
      </c>
    </row>
    <row r="91" ht="22.5" customHeight="1">
      <c r="A91" s="49">
        <v>46050.0</v>
      </c>
      <c r="B91" s="16">
        <v>1.0</v>
      </c>
      <c r="C91" s="50" t="s">
        <v>187</v>
      </c>
      <c r="D91" s="54"/>
      <c r="E91" s="50" t="s">
        <v>215</v>
      </c>
    </row>
    <row r="92" ht="22.5" customHeight="1">
      <c r="A92" s="49">
        <v>46050.0</v>
      </c>
      <c r="B92" s="16">
        <v>12.0</v>
      </c>
      <c r="C92" s="50" t="s">
        <v>174</v>
      </c>
      <c r="D92" s="54" t="s">
        <v>216</v>
      </c>
      <c r="E92" s="50" t="s">
        <v>215</v>
      </c>
    </row>
    <row r="93" ht="22.5" customHeight="1">
      <c r="A93" s="49">
        <v>46050.0</v>
      </c>
      <c r="B93" s="16">
        <v>1.0</v>
      </c>
      <c r="C93" s="50" t="s">
        <v>188</v>
      </c>
      <c r="D93" s="54"/>
      <c r="E93" s="50" t="s">
        <v>215</v>
      </c>
    </row>
    <row r="94" ht="22.5" customHeight="1">
      <c r="A94" s="49">
        <v>46050.0</v>
      </c>
      <c r="B94" s="16">
        <v>1.0</v>
      </c>
      <c r="C94" s="50" t="s">
        <v>181</v>
      </c>
      <c r="D94" s="54"/>
      <c r="E94" s="50" t="s">
        <v>215</v>
      </c>
    </row>
    <row r="95" ht="22.5" customHeight="1">
      <c r="A95" s="49">
        <v>46051.0</v>
      </c>
      <c r="B95" s="16">
        <v>10.0</v>
      </c>
      <c r="C95" s="50" t="s">
        <v>182</v>
      </c>
      <c r="D95" s="54"/>
      <c r="E95" s="50" t="s">
        <v>215</v>
      </c>
    </row>
    <row r="96" ht="22.5" customHeight="1">
      <c r="A96" s="49">
        <v>46051.0</v>
      </c>
      <c r="B96" s="16">
        <v>10.0</v>
      </c>
      <c r="C96" s="50" t="s">
        <v>178</v>
      </c>
      <c r="D96" s="54"/>
      <c r="E96" s="50" t="s">
        <v>215</v>
      </c>
    </row>
    <row r="97" ht="22.5" customHeight="1">
      <c r="A97" s="49">
        <v>46051.0</v>
      </c>
      <c r="B97" s="16">
        <v>1.0</v>
      </c>
      <c r="C97" s="50" t="s">
        <v>192</v>
      </c>
      <c r="D97" s="54"/>
      <c r="E97" s="50" t="s">
        <v>215</v>
      </c>
    </row>
    <row r="98" ht="22.5" customHeight="1">
      <c r="A98" s="49">
        <v>46051.0</v>
      </c>
      <c r="B98" s="16">
        <v>1.0</v>
      </c>
      <c r="C98" s="50" t="s">
        <v>186</v>
      </c>
      <c r="D98" s="54"/>
      <c r="E98" s="50" t="s">
        <v>215</v>
      </c>
    </row>
    <row r="99" ht="22.5" customHeight="1">
      <c r="A99" s="49">
        <v>46051.0</v>
      </c>
      <c r="B99" s="16">
        <v>1.0</v>
      </c>
      <c r="C99" s="50" t="s">
        <v>199</v>
      </c>
      <c r="D99" s="54"/>
      <c r="E99" s="50" t="s">
        <v>215</v>
      </c>
    </row>
    <row r="100" ht="22.5" customHeight="1">
      <c r="A100" s="49">
        <v>46051.0</v>
      </c>
      <c r="B100" s="16">
        <v>1.0</v>
      </c>
      <c r="C100" s="50" t="s">
        <v>200</v>
      </c>
      <c r="D100" s="54"/>
      <c r="E100" s="50" t="s">
        <v>215</v>
      </c>
    </row>
    <row r="101" ht="22.5" customHeight="1">
      <c r="A101" s="49">
        <v>46052.0</v>
      </c>
      <c r="B101" s="16">
        <v>10.0</v>
      </c>
      <c r="C101" s="50" t="s">
        <v>178</v>
      </c>
      <c r="D101" s="54"/>
      <c r="E101" s="50" t="s">
        <v>215</v>
      </c>
    </row>
    <row r="102" ht="22.5" customHeight="1">
      <c r="A102" s="49">
        <v>46052.0</v>
      </c>
      <c r="B102" s="16">
        <v>8.0</v>
      </c>
      <c r="C102" s="50" t="s">
        <v>177</v>
      </c>
      <c r="D102" s="54"/>
      <c r="E102" s="50" t="s">
        <v>215</v>
      </c>
    </row>
    <row r="103" ht="22.5" customHeight="1">
      <c r="A103" s="49">
        <v>46052.0</v>
      </c>
      <c r="B103" s="16">
        <v>10.0</v>
      </c>
      <c r="C103" s="50" t="s">
        <v>176</v>
      </c>
      <c r="D103" s="54"/>
      <c r="E103" s="50" t="s">
        <v>215</v>
      </c>
    </row>
    <row r="104" ht="22.5" customHeight="1">
      <c r="A104" s="49">
        <v>46052.0</v>
      </c>
      <c r="B104" s="16">
        <v>3.0</v>
      </c>
      <c r="C104" s="50" t="s">
        <v>182</v>
      </c>
      <c r="D104" s="54"/>
      <c r="E104" s="50" t="s">
        <v>215</v>
      </c>
    </row>
    <row r="105" ht="22.5" customHeight="1">
      <c r="A105" s="49">
        <v>46052.0</v>
      </c>
      <c r="B105" s="16">
        <v>1.0</v>
      </c>
      <c r="C105" s="50" t="s">
        <v>203</v>
      </c>
      <c r="D105" s="54"/>
      <c r="E105" s="50" t="s">
        <v>215</v>
      </c>
    </row>
    <row r="106" ht="22.5" customHeight="1">
      <c r="A106" s="49">
        <v>46052.0</v>
      </c>
      <c r="B106" s="16">
        <v>12.0</v>
      </c>
      <c r="C106" s="50" t="s">
        <v>174</v>
      </c>
      <c r="D106" s="54" t="s">
        <v>216</v>
      </c>
      <c r="E106" s="50" t="s">
        <v>215</v>
      </c>
    </row>
    <row r="107" ht="22.5" customHeight="1">
      <c r="A107" s="49">
        <v>46053.0</v>
      </c>
      <c r="B107" s="16">
        <v>10.0</v>
      </c>
      <c r="C107" s="50" t="s">
        <v>178</v>
      </c>
      <c r="D107" s="54"/>
      <c r="E107" s="50" t="s">
        <v>215</v>
      </c>
    </row>
    <row r="108" ht="22.5" customHeight="1">
      <c r="A108" s="49">
        <v>46053.0</v>
      </c>
      <c r="B108" s="16">
        <v>10.0</v>
      </c>
      <c r="C108" s="50" t="s">
        <v>177</v>
      </c>
      <c r="D108" s="54"/>
      <c r="E108" s="50" t="s">
        <v>215</v>
      </c>
    </row>
    <row r="109" ht="22.5" customHeight="1">
      <c r="A109" s="49">
        <v>46053.0</v>
      </c>
      <c r="B109" s="16">
        <v>10.0</v>
      </c>
      <c r="C109" s="50" t="s">
        <v>176</v>
      </c>
      <c r="D109" s="54"/>
      <c r="E109" s="50" t="s">
        <v>215</v>
      </c>
    </row>
    <row r="110" ht="22.5" customHeight="1">
      <c r="A110" s="49">
        <v>46055.0</v>
      </c>
      <c r="B110" s="57">
        <v>10.0</v>
      </c>
      <c r="C110" s="50" t="s">
        <v>178</v>
      </c>
      <c r="D110" s="54"/>
      <c r="E110" s="50" t="s">
        <v>215</v>
      </c>
    </row>
    <row r="111" ht="22.5" customHeight="1">
      <c r="A111" s="49">
        <v>46055.0</v>
      </c>
      <c r="B111" s="57">
        <v>8.0</v>
      </c>
      <c r="C111" s="50" t="s">
        <v>177</v>
      </c>
      <c r="D111" s="54"/>
      <c r="E111" s="50" t="s">
        <v>215</v>
      </c>
    </row>
    <row r="112" ht="22.5" customHeight="1">
      <c r="A112" s="49">
        <v>46055.0</v>
      </c>
      <c r="B112" s="57">
        <v>2.0</v>
      </c>
      <c r="C112" s="50" t="s">
        <v>181</v>
      </c>
      <c r="D112" s="54"/>
      <c r="E112" s="50" t="s">
        <v>215</v>
      </c>
    </row>
    <row r="113" ht="22.5" customHeight="1">
      <c r="A113" s="49">
        <v>46055.0</v>
      </c>
      <c r="B113" s="57">
        <v>56.0</v>
      </c>
      <c r="C113" s="50" t="s">
        <v>183</v>
      </c>
      <c r="D113" s="54"/>
      <c r="E113" s="50" t="s">
        <v>215</v>
      </c>
    </row>
    <row r="114" ht="22.5" customHeight="1">
      <c r="A114" s="49">
        <v>46055.0</v>
      </c>
      <c r="B114" s="57">
        <v>24.0</v>
      </c>
      <c r="C114" s="50" t="s">
        <v>184</v>
      </c>
      <c r="D114" s="54"/>
      <c r="E114" s="50" t="s">
        <v>215</v>
      </c>
    </row>
    <row r="115" ht="22.5" customHeight="1">
      <c r="A115" s="49">
        <v>46056.0</v>
      </c>
      <c r="B115" s="57">
        <v>5.0</v>
      </c>
      <c r="C115" s="50" t="s">
        <v>179</v>
      </c>
      <c r="D115" s="54"/>
      <c r="E115" s="50" t="s">
        <v>215</v>
      </c>
    </row>
    <row r="116" ht="22.5" customHeight="1">
      <c r="A116" s="49">
        <v>46056.0</v>
      </c>
      <c r="B116" s="57">
        <v>2.0</v>
      </c>
      <c r="C116" s="50" t="s">
        <v>186</v>
      </c>
      <c r="D116" s="54"/>
      <c r="E116" s="50" t="s">
        <v>215</v>
      </c>
    </row>
    <row r="117" ht="22.5" customHeight="1">
      <c r="A117" s="49">
        <v>46056.0</v>
      </c>
      <c r="B117" s="57">
        <v>4.0</v>
      </c>
      <c r="C117" s="50" t="s">
        <v>176</v>
      </c>
      <c r="D117" s="54"/>
      <c r="E117" s="50" t="s">
        <v>215</v>
      </c>
    </row>
    <row r="118" ht="22.5" customHeight="1">
      <c r="A118" s="49">
        <v>46056.0</v>
      </c>
      <c r="B118" s="57">
        <v>12.0</v>
      </c>
      <c r="C118" s="50" t="s">
        <v>174</v>
      </c>
      <c r="D118" s="54" t="s">
        <v>216</v>
      </c>
      <c r="E118" s="50" t="s">
        <v>215</v>
      </c>
    </row>
    <row r="119" ht="22.5" customHeight="1">
      <c r="A119" s="49">
        <v>46057.0</v>
      </c>
      <c r="B119" s="16">
        <v>4.0</v>
      </c>
      <c r="C119" s="50" t="s">
        <v>180</v>
      </c>
      <c r="D119" s="54"/>
      <c r="E119" s="50" t="s">
        <v>215</v>
      </c>
    </row>
    <row r="120" ht="22.5" customHeight="1">
      <c r="A120" s="49">
        <v>46057.0</v>
      </c>
      <c r="B120" s="16">
        <v>10.0</v>
      </c>
      <c r="C120" s="50" t="s">
        <v>177</v>
      </c>
      <c r="D120" s="54"/>
      <c r="E120" s="50" t="s">
        <v>215</v>
      </c>
    </row>
    <row r="121" ht="22.5" customHeight="1">
      <c r="A121" s="49">
        <v>46057.0</v>
      </c>
      <c r="B121" s="16">
        <v>10.0</v>
      </c>
      <c r="C121" s="50" t="s">
        <v>178</v>
      </c>
      <c r="D121" s="54"/>
      <c r="E121" s="50" t="s">
        <v>215</v>
      </c>
    </row>
    <row r="122" ht="22.5" customHeight="1">
      <c r="A122" s="49">
        <v>46057.0</v>
      </c>
      <c r="B122" s="16">
        <v>10.0</v>
      </c>
      <c r="C122" s="50" t="s">
        <v>176</v>
      </c>
      <c r="D122" s="54"/>
      <c r="E122" s="50" t="s">
        <v>215</v>
      </c>
    </row>
    <row r="123" ht="22.5" customHeight="1">
      <c r="A123" s="49">
        <v>46057.0</v>
      </c>
      <c r="B123" s="16">
        <v>10.0</v>
      </c>
      <c r="C123" s="50" t="s">
        <v>182</v>
      </c>
      <c r="D123" s="54"/>
      <c r="E123" s="50" t="s">
        <v>215</v>
      </c>
    </row>
    <row r="124" ht="22.5" customHeight="1">
      <c r="A124" s="49">
        <v>46057.0</v>
      </c>
      <c r="B124" s="16">
        <v>5.0</v>
      </c>
      <c r="C124" s="50" t="s">
        <v>179</v>
      </c>
      <c r="D124" s="54"/>
      <c r="E124" s="50" t="s">
        <v>215</v>
      </c>
    </row>
    <row r="125" ht="22.5" customHeight="1">
      <c r="A125" s="49">
        <v>46058.0</v>
      </c>
      <c r="B125" s="16">
        <v>1.0</v>
      </c>
      <c r="C125" s="50" t="s">
        <v>197</v>
      </c>
      <c r="D125" s="54"/>
      <c r="E125" s="50" t="s">
        <v>215</v>
      </c>
    </row>
    <row r="126" ht="22.5" customHeight="1">
      <c r="A126" s="49">
        <v>46058.0</v>
      </c>
      <c r="B126" s="16">
        <v>16.0</v>
      </c>
      <c r="C126" s="50" t="s">
        <v>178</v>
      </c>
      <c r="D126" s="54"/>
      <c r="E126" s="50" t="s">
        <v>215</v>
      </c>
    </row>
    <row r="127" ht="22.5" customHeight="1">
      <c r="A127" s="49">
        <v>46058.0</v>
      </c>
      <c r="B127" s="16">
        <v>2.0</v>
      </c>
      <c r="C127" s="50" t="s">
        <v>186</v>
      </c>
      <c r="D127" s="54"/>
      <c r="E127" s="50" t="s">
        <v>215</v>
      </c>
    </row>
    <row r="128" ht="22.5" customHeight="1">
      <c r="A128" s="49">
        <v>46058.0</v>
      </c>
      <c r="B128" s="16">
        <v>2.0</v>
      </c>
      <c r="C128" s="50" t="s">
        <v>187</v>
      </c>
      <c r="D128" s="54"/>
      <c r="E128" s="50" t="s">
        <v>215</v>
      </c>
    </row>
    <row r="129" ht="22.5" customHeight="1">
      <c r="A129" s="49">
        <v>46058.0</v>
      </c>
      <c r="B129" s="16">
        <v>3.0</v>
      </c>
      <c r="C129" s="50" t="s">
        <v>182</v>
      </c>
      <c r="D129" s="54"/>
      <c r="E129" s="50" t="s">
        <v>215</v>
      </c>
    </row>
    <row r="130" ht="22.5" customHeight="1">
      <c r="A130" s="49">
        <v>46058.0</v>
      </c>
      <c r="B130" s="16">
        <v>1.0</v>
      </c>
      <c r="C130" s="50" t="s">
        <v>203</v>
      </c>
      <c r="D130" s="54"/>
      <c r="E130" s="50" t="s">
        <v>215</v>
      </c>
    </row>
    <row r="131" ht="22.5" customHeight="1">
      <c r="A131" s="49">
        <v>46058.0</v>
      </c>
      <c r="B131" s="16">
        <v>1.0</v>
      </c>
      <c r="C131" s="50" t="s">
        <v>235</v>
      </c>
      <c r="D131" s="54"/>
      <c r="E131" s="50" t="s">
        <v>215</v>
      </c>
    </row>
    <row r="132" ht="22.5" customHeight="1">
      <c r="A132" s="49">
        <v>46058.0</v>
      </c>
      <c r="B132" s="16">
        <v>10.0</v>
      </c>
      <c r="C132" s="50" t="s">
        <v>176</v>
      </c>
      <c r="D132" s="54"/>
      <c r="E132" s="50" t="s">
        <v>215</v>
      </c>
    </row>
    <row r="133" ht="22.5" customHeight="1">
      <c r="A133" s="49">
        <v>46058.0</v>
      </c>
      <c r="B133" s="57">
        <v>7.0</v>
      </c>
      <c r="C133" s="50" t="s">
        <v>217</v>
      </c>
      <c r="D133" s="54"/>
      <c r="E133" s="50" t="s">
        <v>215</v>
      </c>
    </row>
    <row r="134" ht="22.5" customHeight="1">
      <c r="A134" s="49">
        <v>46059.0</v>
      </c>
      <c r="B134" s="57">
        <v>3.0</v>
      </c>
      <c r="C134" s="50" t="s">
        <v>182</v>
      </c>
      <c r="D134" s="54"/>
      <c r="E134" s="50" t="s">
        <v>215</v>
      </c>
    </row>
    <row r="135" ht="22.5" customHeight="1">
      <c r="A135" s="49">
        <v>46059.0</v>
      </c>
      <c r="B135" s="57">
        <v>1.0</v>
      </c>
      <c r="C135" s="50" t="s">
        <v>195</v>
      </c>
      <c r="D135" s="54"/>
      <c r="E135" s="50" t="s">
        <v>215</v>
      </c>
    </row>
    <row r="136" ht="22.5" customHeight="1">
      <c r="A136" s="49">
        <v>46059.0</v>
      </c>
      <c r="B136" s="57">
        <v>1.0</v>
      </c>
      <c r="C136" s="50" t="s">
        <v>220</v>
      </c>
      <c r="D136" s="54"/>
      <c r="E136" s="50" t="s">
        <v>215</v>
      </c>
    </row>
    <row r="137" ht="22.5" customHeight="1">
      <c r="A137" s="49">
        <v>46059.0</v>
      </c>
      <c r="B137" s="57">
        <v>12.0</v>
      </c>
      <c r="C137" s="50" t="s">
        <v>174</v>
      </c>
      <c r="D137" s="54" t="s">
        <v>216</v>
      </c>
      <c r="E137" s="50" t="s">
        <v>215</v>
      </c>
    </row>
    <row r="138" ht="22.5" customHeight="1">
      <c r="A138" s="49">
        <v>46059.0</v>
      </c>
      <c r="B138" s="57">
        <v>5.0</v>
      </c>
      <c r="C138" s="50" t="s">
        <v>236</v>
      </c>
      <c r="D138" s="54"/>
      <c r="E138" s="50" t="s">
        <v>215</v>
      </c>
    </row>
    <row r="139" ht="22.5" customHeight="1">
      <c r="A139" s="49">
        <v>46059.0</v>
      </c>
      <c r="B139" s="57">
        <v>15.0</v>
      </c>
      <c r="C139" s="50" t="s">
        <v>176</v>
      </c>
      <c r="D139" s="54"/>
      <c r="E139" s="50" t="s">
        <v>215</v>
      </c>
    </row>
    <row r="140" ht="22.5" customHeight="1">
      <c r="A140" s="49">
        <v>46059.0</v>
      </c>
      <c r="B140" s="57">
        <v>1.0</v>
      </c>
      <c r="C140" s="50" t="s">
        <v>203</v>
      </c>
      <c r="D140" s="54"/>
      <c r="E140" s="50" t="s">
        <v>215</v>
      </c>
    </row>
    <row r="141" ht="22.5" customHeight="1">
      <c r="A141" s="49">
        <v>46059.0</v>
      </c>
      <c r="B141" s="57">
        <v>1.0</v>
      </c>
      <c r="C141" s="50" t="s">
        <v>237</v>
      </c>
      <c r="D141" s="54"/>
      <c r="E141" s="50" t="s">
        <v>215</v>
      </c>
    </row>
    <row r="142" ht="22.5" customHeight="1">
      <c r="A142" s="49">
        <v>46059.0</v>
      </c>
      <c r="B142" s="57">
        <v>3.0</v>
      </c>
      <c r="C142" s="50" t="s">
        <v>180</v>
      </c>
      <c r="D142" s="54"/>
      <c r="E142" s="50" t="s">
        <v>215</v>
      </c>
    </row>
    <row r="143" ht="22.5" customHeight="1">
      <c r="A143" s="49">
        <v>46060.0</v>
      </c>
      <c r="B143" s="16">
        <v>10.0</v>
      </c>
      <c r="C143" s="50" t="s">
        <v>176</v>
      </c>
      <c r="D143" s="54"/>
      <c r="E143" s="50" t="s">
        <v>215</v>
      </c>
    </row>
    <row r="144" ht="22.5" customHeight="1">
      <c r="A144" s="49">
        <v>46060.0</v>
      </c>
      <c r="B144" s="16">
        <v>10.0</v>
      </c>
      <c r="C144" s="50" t="s">
        <v>177</v>
      </c>
      <c r="D144" s="54"/>
      <c r="E144" s="50" t="s">
        <v>215</v>
      </c>
    </row>
    <row r="145" ht="22.5" customHeight="1">
      <c r="A145" s="49">
        <v>46060.0</v>
      </c>
      <c r="B145" s="16">
        <v>10.0</v>
      </c>
      <c r="C145" s="50" t="s">
        <v>178</v>
      </c>
      <c r="D145" s="54"/>
      <c r="E145" s="50" t="s">
        <v>215</v>
      </c>
    </row>
    <row r="146" ht="22.5" customHeight="1">
      <c r="A146" s="49">
        <v>46060.0</v>
      </c>
      <c r="B146" s="16">
        <v>4.0</v>
      </c>
      <c r="C146" s="50" t="s">
        <v>179</v>
      </c>
      <c r="D146" s="54"/>
      <c r="E146" s="50" t="s">
        <v>215</v>
      </c>
    </row>
    <row r="147" ht="22.5" customHeight="1">
      <c r="A147" s="49">
        <v>46060.0</v>
      </c>
      <c r="B147" s="16">
        <v>1.0</v>
      </c>
      <c r="C147" s="50" t="s">
        <v>189</v>
      </c>
      <c r="D147" s="54"/>
      <c r="E147" s="50" t="s">
        <v>215</v>
      </c>
    </row>
    <row r="148" ht="22.5" customHeight="1">
      <c r="A148" s="49">
        <v>46062.0</v>
      </c>
      <c r="B148" s="16">
        <v>15.0</v>
      </c>
      <c r="C148" s="50" t="s">
        <v>178</v>
      </c>
      <c r="D148" s="54"/>
      <c r="E148" s="50" t="s">
        <v>215</v>
      </c>
    </row>
    <row r="149" ht="22.5" customHeight="1">
      <c r="A149" s="49">
        <v>46062.0</v>
      </c>
      <c r="B149" s="16">
        <v>15.0</v>
      </c>
      <c r="C149" s="50" t="s">
        <v>177</v>
      </c>
      <c r="D149" s="54"/>
      <c r="E149" s="50" t="s">
        <v>215</v>
      </c>
    </row>
    <row r="150" ht="22.5" customHeight="1">
      <c r="A150" s="49">
        <v>46062.0</v>
      </c>
      <c r="B150" s="16">
        <v>5.0</v>
      </c>
      <c r="C150" s="50" t="s">
        <v>180</v>
      </c>
      <c r="D150" s="54"/>
      <c r="E150" s="50" t="s">
        <v>215</v>
      </c>
    </row>
    <row r="151" ht="22.5" customHeight="1">
      <c r="A151" s="49">
        <v>46062.0</v>
      </c>
      <c r="B151" s="16">
        <v>3.0</v>
      </c>
      <c r="C151" s="50" t="s">
        <v>179</v>
      </c>
      <c r="D151" s="54"/>
      <c r="E151" s="50" t="s">
        <v>215</v>
      </c>
    </row>
    <row r="152" ht="22.5" customHeight="1">
      <c r="A152" s="49">
        <v>46062.0</v>
      </c>
      <c r="B152" s="16">
        <v>21.0</v>
      </c>
      <c r="C152" s="50" t="s">
        <v>183</v>
      </c>
      <c r="D152" s="54"/>
      <c r="E152" s="50" t="s">
        <v>215</v>
      </c>
    </row>
    <row r="153" ht="22.5" customHeight="1">
      <c r="A153" s="49">
        <v>46062.0</v>
      </c>
      <c r="B153" s="16">
        <v>9.0</v>
      </c>
      <c r="C153" s="50" t="s">
        <v>184</v>
      </c>
      <c r="D153" s="54"/>
      <c r="E153" s="50" t="s">
        <v>215</v>
      </c>
    </row>
    <row r="154" ht="22.5" customHeight="1">
      <c r="A154" s="49">
        <v>46062.0</v>
      </c>
      <c r="B154" s="16">
        <v>6.0</v>
      </c>
      <c r="C154" s="50" t="s">
        <v>185</v>
      </c>
      <c r="D154" s="54"/>
      <c r="E154" s="50" t="s">
        <v>215</v>
      </c>
    </row>
    <row r="155" ht="22.5" customHeight="1">
      <c r="A155" s="49">
        <v>46062.0</v>
      </c>
      <c r="B155" s="16">
        <v>15.0</v>
      </c>
      <c r="C155" s="50" t="s">
        <v>176</v>
      </c>
      <c r="D155" s="54"/>
      <c r="E155" s="50" t="s">
        <v>215</v>
      </c>
    </row>
    <row r="156" ht="22.5" customHeight="1">
      <c r="A156" s="49">
        <v>46063.0</v>
      </c>
      <c r="B156" s="16">
        <v>6.0</v>
      </c>
      <c r="C156" s="50" t="s">
        <v>177</v>
      </c>
      <c r="D156" s="54"/>
      <c r="E156" s="50" t="s">
        <v>215</v>
      </c>
    </row>
    <row r="157" ht="22.5" customHeight="1">
      <c r="A157" s="49">
        <v>46063.0</v>
      </c>
      <c r="B157" s="16">
        <v>10.0</v>
      </c>
      <c r="C157" s="50" t="s">
        <v>178</v>
      </c>
      <c r="D157" s="54"/>
      <c r="E157" s="50" t="s">
        <v>215</v>
      </c>
    </row>
    <row r="158" ht="22.5" customHeight="1">
      <c r="A158" s="49">
        <v>46063.0</v>
      </c>
      <c r="B158" s="16">
        <v>2.0</v>
      </c>
      <c r="C158" s="50" t="s">
        <v>186</v>
      </c>
      <c r="D158" s="54"/>
      <c r="E158" s="50" t="s">
        <v>215</v>
      </c>
    </row>
    <row r="159" ht="22.5" customHeight="1">
      <c r="A159" s="49">
        <v>46063.0</v>
      </c>
      <c r="B159" s="16">
        <v>2.0</v>
      </c>
      <c r="C159" s="50" t="s">
        <v>187</v>
      </c>
      <c r="D159" s="54"/>
      <c r="E159" s="50" t="s">
        <v>215</v>
      </c>
    </row>
    <row r="160" ht="22.5" customHeight="1">
      <c r="A160" s="49">
        <v>46063.0</v>
      </c>
      <c r="B160" s="16">
        <v>12.0</v>
      </c>
      <c r="C160" s="50" t="s">
        <v>174</v>
      </c>
      <c r="D160" s="54" t="s">
        <v>238</v>
      </c>
      <c r="E160" s="50" t="s">
        <v>215</v>
      </c>
    </row>
    <row r="161" ht="22.5" customHeight="1">
      <c r="A161" s="49">
        <v>46064.0</v>
      </c>
      <c r="B161" s="16">
        <v>15.0</v>
      </c>
      <c r="C161" s="50" t="s">
        <v>176</v>
      </c>
      <c r="D161" s="54" t="s">
        <v>239</v>
      </c>
      <c r="E161" s="50" t="s">
        <v>215</v>
      </c>
    </row>
    <row r="162" ht="22.5" customHeight="1">
      <c r="A162" s="49">
        <v>46064.0</v>
      </c>
      <c r="B162" s="16">
        <v>5.0</v>
      </c>
      <c r="C162" s="50" t="s">
        <v>177</v>
      </c>
      <c r="D162" s="54" t="s">
        <v>240</v>
      </c>
      <c r="E162" s="50" t="s">
        <v>215</v>
      </c>
    </row>
    <row r="163" ht="22.5" customHeight="1">
      <c r="A163" s="49">
        <v>46064.0</v>
      </c>
      <c r="B163" s="16">
        <v>5.0</v>
      </c>
      <c r="C163" s="50" t="s">
        <v>178</v>
      </c>
      <c r="D163" s="54" t="s">
        <v>241</v>
      </c>
      <c r="E163" s="50" t="s">
        <v>215</v>
      </c>
    </row>
    <row r="164" ht="22.5" customHeight="1">
      <c r="A164" s="49">
        <v>46065.0</v>
      </c>
      <c r="B164" s="55">
        <v>21.0</v>
      </c>
      <c r="C164" s="56" t="s">
        <v>183</v>
      </c>
      <c r="D164" s="54" t="s">
        <v>242</v>
      </c>
      <c r="E164" s="50" t="s">
        <v>215</v>
      </c>
    </row>
    <row r="165" ht="22.5" customHeight="1">
      <c r="A165" s="49">
        <v>46065.0</v>
      </c>
      <c r="B165" s="55">
        <v>9.0</v>
      </c>
      <c r="C165" s="56" t="s">
        <v>184</v>
      </c>
      <c r="D165" s="54" t="s">
        <v>243</v>
      </c>
      <c r="E165" s="50" t="s">
        <v>215</v>
      </c>
    </row>
    <row r="166" ht="22.5" customHeight="1">
      <c r="A166" s="49">
        <v>46065.0</v>
      </c>
      <c r="B166" s="55">
        <v>6.0</v>
      </c>
      <c r="C166" s="56" t="s">
        <v>185</v>
      </c>
      <c r="D166" s="54" t="s">
        <v>244</v>
      </c>
      <c r="E166" s="50" t="s">
        <v>215</v>
      </c>
    </row>
    <row r="167" ht="22.5" customHeight="1">
      <c r="A167" s="49">
        <v>46065.0</v>
      </c>
      <c r="B167" s="16">
        <v>10.0</v>
      </c>
      <c r="C167" s="50" t="s">
        <v>178</v>
      </c>
      <c r="D167" s="54" t="s">
        <v>245</v>
      </c>
      <c r="E167" s="50" t="s">
        <v>215</v>
      </c>
    </row>
    <row r="168" ht="22.5" customHeight="1">
      <c r="A168" s="49">
        <v>46065.0</v>
      </c>
      <c r="B168" s="16">
        <v>10.0</v>
      </c>
      <c r="C168" s="50" t="s">
        <v>177</v>
      </c>
      <c r="D168" s="54" t="s">
        <v>246</v>
      </c>
      <c r="E168" s="50" t="s">
        <v>215</v>
      </c>
    </row>
    <row r="169" ht="22.5" customHeight="1">
      <c r="A169" s="49">
        <v>46065.0</v>
      </c>
      <c r="B169" s="16">
        <v>4.0</v>
      </c>
      <c r="C169" s="50" t="s">
        <v>179</v>
      </c>
      <c r="D169" s="54" t="s">
        <v>247</v>
      </c>
      <c r="E169" s="50" t="s">
        <v>215</v>
      </c>
    </row>
    <row r="170" ht="22.5" customHeight="1">
      <c r="A170" s="49">
        <v>46065.0</v>
      </c>
      <c r="B170" s="16">
        <v>2.0</v>
      </c>
      <c r="C170" s="50" t="s">
        <v>186</v>
      </c>
      <c r="D170" s="54" t="s">
        <v>248</v>
      </c>
      <c r="E170" s="50" t="s">
        <v>215</v>
      </c>
    </row>
    <row r="171" ht="22.5" customHeight="1">
      <c r="A171" s="49">
        <v>46065.0</v>
      </c>
      <c r="B171" s="16">
        <v>10.0</v>
      </c>
      <c r="C171" s="50" t="s">
        <v>182</v>
      </c>
      <c r="D171" s="54" t="s">
        <v>249</v>
      </c>
      <c r="E171" s="50" t="s">
        <v>215</v>
      </c>
    </row>
    <row r="172" ht="22.5" customHeight="1">
      <c r="A172" s="49">
        <v>46065.0</v>
      </c>
      <c r="B172" s="16">
        <v>10.0</v>
      </c>
      <c r="C172" s="50" t="s">
        <v>176</v>
      </c>
      <c r="D172" s="54" t="s">
        <v>250</v>
      </c>
      <c r="E172" s="50" t="s">
        <v>215</v>
      </c>
    </row>
    <row r="173" ht="22.5" customHeight="1">
      <c r="A173" s="49">
        <v>46066.0</v>
      </c>
      <c r="B173" s="16">
        <v>8.0</v>
      </c>
      <c r="C173" s="50" t="s">
        <v>182</v>
      </c>
      <c r="D173" s="54" t="s">
        <v>251</v>
      </c>
      <c r="E173" s="50" t="s">
        <v>215</v>
      </c>
    </row>
    <row r="174" ht="22.5" customHeight="1">
      <c r="A174" s="49">
        <v>46066.0</v>
      </c>
      <c r="B174" s="16">
        <v>10.0</v>
      </c>
      <c r="C174" s="50" t="s">
        <v>178</v>
      </c>
      <c r="D174" s="54" t="s">
        <v>252</v>
      </c>
      <c r="E174" s="50" t="s">
        <v>215</v>
      </c>
    </row>
    <row r="175" ht="22.5" customHeight="1">
      <c r="A175" s="49">
        <v>46066.0</v>
      </c>
      <c r="B175" s="16">
        <v>10.0</v>
      </c>
      <c r="C175" s="50" t="s">
        <v>177</v>
      </c>
      <c r="D175" s="54" t="s">
        <v>253</v>
      </c>
      <c r="E175" s="50" t="s">
        <v>215</v>
      </c>
    </row>
    <row r="176" ht="22.5" customHeight="1">
      <c r="A176" s="49">
        <v>46066.0</v>
      </c>
      <c r="B176" s="16">
        <v>10.0</v>
      </c>
      <c r="C176" s="50" t="s">
        <v>176</v>
      </c>
      <c r="D176" s="54" t="s">
        <v>254</v>
      </c>
      <c r="E176" s="50" t="s">
        <v>215</v>
      </c>
    </row>
    <row r="177" ht="22.5" customHeight="1">
      <c r="A177" s="49">
        <v>46066.0</v>
      </c>
      <c r="B177" s="16">
        <v>1.0</v>
      </c>
      <c r="C177" s="50" t="s">
        <v>188</v>
      </c>
      <c r="D177" s="54" t="s">
        <v>255</v>
      </c>
      <c r="E177" s="50" t="s">
        <v>215</v>
      </c>
    </row>
    <row r="178" ht="22.5" customHeight="1">
      <c r="A178" s="49">
        <v>46067.0</v>
      </c>
      <c r="B178" s="16">
        <v>1.0</v>
      </c>
      <c r="C178" s="50" t="s">
        <v>189</v>
      </c>
      <c r="D178" s="54" t="s">
        <v>256</v>
      </c>
      <c r="E178" s="50" t="s">
        <v>215</v>
      </c>
    </row>
    <row r="179" ht="22.5" customHeight="1">
      <c r="A179" s="49">
        <v>46067.0</v>
      </c>
      <c r="B179" s="16">
        <v>15.0</v>
      </c>
      <c r="C179" s="50" t="s">
        <v>178</v>
      </c>
      <c r="D179" s="54" t="s">
        <v>257</v>
      </c>
      <c r="E179" s="50" t="s">
        <v>215</v>
      </c>
    </row>
    <row r="180" ht="22.5" customHeight="1">
      <c r="A180" s="49">
        <v>46067.0</v>
      </c>
      <c r="B180" s="16">
        <v>10.0</v>
      </c>
      <c r="C180" s="50" t="s">
        <v>176</v>
      </c>
      <c r="D180" s="54" t="s">
        <v>258</v>
      </c>
      <c r="E180" s="50" t="s">
        <v>215</v>
      </c>
    </row>
    <row r="181" ht="22.5" customHeight="1">
      <c r="A181" s="49">
        <v>46067.0</v>
      </c>
      <c r="B181" s="16">
        <v>1.0</v>
      </c>
      <c r="C181" s="50" t="s">
        <v>225</v>
      </c>
      <c r="D181" s="54" t="s">
        <v>259</v>
      </c>
      <c r="E181" s="50" t="s">
        <v>215</v>
      </c>
    </row>
    <row r="182" ht="22.5" customHeight="1">
      <c r="A182" s="49">
        <v>46069.0</v>
      </c>
      <c r="B182" s="16">
        <v>3.0</v>
      </c>
      <c r="C182" s="50" t="s">
        <v>179</v>
      </c>
      <c r="D182" s="54" t="s">
        <v>260</v>
      </c>
      <c r="E182" s="50" t="s">
        <v>215</v>
      </c>
    </row>
    <row r="183" ht="22.5" customHeight="1">
      <c r="A183" s="49">
        <v>46069.0</v>
      </c>
      <c r="B183" s="16">
        <v>3.0</v>
      </c>
      <c r="C183" s="50" t="s">
        <v>186</v>
      </c>
      <c r="D183" s="54" t="s">
        <v>261</v>
      </c>
      <c r="E183" s="50" t="s">
        <v>215</v>
      </c>
    </row>
    <row r="184" ht="22.5" customHeight="1">
      <c r="A184" s="49">
        <v>46069.0</v>
      </c>
      <c r="B184" s="16">
        <v>10.0</v>
      </c>
      <c r="C184" s="50" t="s">
        <v>176</v>
      </c>
      <c r="D184" s="54" t="s">
        <v>262</v>
      </c>
      <c r="E184" s="50" t="s">
        <v>215</v>
      </c>
    </row>
    <row r="185" ht="22.5" customHeight="1">
      <c r="A185" s="49">
        <v>46070.0</v>
      </c>
      <c r="B185" s="16">
        <v>5.0</v>
      </c>
      <c r="C185" s="50" t="s">
        <v>176</v>
      </c>
      <c r="D185" s="54" t="s">
        <v>263</v>
      </c>
      <c r="E185" s="50" t="s">
        <v>215</v>
      </c>
    </row>
    <row r="186" ht="22.5" customHeight="1">
      <c r="A186" s="49">
        <v>46070.0</v>
      </c>
      <c r="B186" s="16">
        <v>5.0</v>
      </c>
      <c r="C186" s="50" t="s">
        <v>177</v>
      </c>
      <c r="D186" s="54" t="s">
        <v>264</v>
      </c>
      <c r="E186" s="50" t="s">
        <v>215</v>
      </c>
    </row>
    <row r="187" ht="22.5" customHeight="1">
      <c r="A187" s="49">
        <v>46070.0</v>
      </c>
      <c r="B187" s="16">
        <v>5.0</v>
      </c>
      <c r="C187" s="50" t="s">
        <v>178</v>
      </c>
      <c r="D187" s="54" t="s">
        <v>265</v>
      </c>
      <c r="E187" s="50" t="s">
        <v>215</v>
      </c>
    </row>
    <row r="188" ht="22.5" customHeight="1">
      <c r="A188" s="49">
        <v>46070.0</v>
      </c>
      <c r="B188" s="16">
        <v>24.0</v>
      </c>
      <c r="C188" s="50" t="s">
        <v>183</v>
      </c>
      <c r="D188" s="54" t="s">
        <v>266</v>
      </c>
      <c r="E188" s="50" t="s">
        <v>215</v>
      </c>
    </row>
    <row r="189" ht="22.5" customHeight="1">
      <c r="A189" s="49">
        <v>46070.0</v>
      </c>
      <c r="B189" s="16">
        <v>12.0</v>
      </c>
      <c r="C189" s="50" t="s">
        <v>184</v>
      </c>
      <c r="D189" s="54" t="s">
        <v>267</v>
      </c>
      <c r="E189" s="50" t="s">
        <v>215</v>
      </c>
    </row>
    <row r="190" ht="22.5" customHeight="1">
      <c r="A190" s="49">
        <v>46070.0</v>
      </c>
      <c r="B190" s="16">
        <v>9.0</v>
      </c>
      <c r="C190" s="50" t="s">
        <v>185</v>
      </c>
      <c r="D190" s="54" t="s">
        <v>268</v>
      </c>
      <c r="E190" s="50" t="s">
        <v>215</v>
      </c>
    </row>
    <row r="191" ht="22.5" customHeight="1">
      <c r="A191" s="49">
        <v>46071.0</v>
      </c>
      <c r="B191" s="16">
        <v>10.0</v>
      </c>
      <c r="C191" s="50" t="s">
        <v>176</v>
      </c>
      <c r="D191" s="54" t="s">
        <v>269</v>
      </c>
      <c r="E191" s="50" t="s">
        <v>215</v>
      </c>
    </row>
    <row r="192" ht="22.5" customHeight="1">
      <c r="A192" s="49">
        <v>46071.0</v>
      </c>
      <c r="B192" s="16">
        <v>10.0</v>
      </c>
      <c r="C192" s="50" t="s">
        <v>177</v>
      </c>
      <c r="D192" s="54" t="s">
        <v>270</v>
      </c>
      <c r="E192" s="50" t="s">
        <v>215</v>
      </c>
    </row>
    <row r="193" ht="22.5" customHeight="1">
      <c r="A193" s="49">
        <v>46071.0</v>
      </c>
      <c r="B193" s="16">
        <v>10.0</v>
      </c>
      <c r="C193" s="50" t="s">
        <v>178</v>
      </c>
      <c r="D193" s="54" t="s">
        <v>271</v>
      </c>
      <c r="E193" s="50" t="s">
        <v>215</v>
      </c>
    </row>
    <row r="194" ht="22.5" customHeight="1">
      <c r="A194" s="49">
        <v>46071.0</v>
      </c>
      <c r="B194" s="16">
        <v>2.0</v>
      </c>
      <c r="C194" s="50" t="s">
        <v>181</v>
      </c>
      <c r="D194" s="54" t="s">
        <v>272</v>
      </c>
      <c r="E194" s="50" t="s">
        <v>215</v>
      </c>
    </row>
    <row r="195" ht="22.5" customHeight="1">
      <c r="A195" s="49">
        <v>46071.0</v>
      </c>
      <c r="B195" s="16">
        <v>3.0</v>
      </c>
      <c r="C195" s="50" t="s">
        <v>182</v>
      </c>
      <c r="D195" s="54" t="s">
        <v>273</v>
      </c>
      <c r="E195" s="50" t="s">
        <v>215</v>
      </c>
    </row>
    <row r="196" ht="22.5" customHeight="1">
      <c r="A196" s="49">
        <v>46071.0</v>
      </c>
      <c r="B196" s="16">
        <v>12.0</v>
      </c>
      <c r="C196" s="50" t="s">
        <v>174</v>
      </c>
      <c r="D196" s="54" t="s">
        <v>274</v>
      </c>
      <c r="E196" s="50" t="s">
        <v>215</v>
      </c>
    </row>
    <row r="197" ht="22.5" customHeight="1">
      <c r="A197" s="49">
        <v>46072.0</v>
      </c>
      <c r="B197" s="55">
        <v>1.0</v>
      </c>
      <c r="C197" s="56" t="s">
        <v>180</v>
      </c>
      <c r="D197" s="54" t="s">
        <v>275</v>
      </c>
      <c r="E197" s="50" t="s">
        <v>215</v>
      </c>
    </row>
    <row r="198" ht="22.5" customHeight="1">
      <c r="A198" s="49">
        <v>46072.0</v>
      </c>
      <c r="B198" s="55">
        <v>24.0</v>
      </c>
      <c r="C198" s="56" t="s">
        <v>183</v>
      </c>
      <c r="D198" s="54" t="s">
        <v>276</v>
      </c>
      <c r="E198" s="50" t="s">
        <v>215</v>
      </c>
    </row>
    <row r="199" ht="22.5" customHeight="1">
      <c r="A199" s="49">
        <v>46072.0</v>
      </c>
      <c r="B199" s="55">
        <v>12.0</v>
      </c>
      <c r="C199" s="56" t="s">
        <v>184</v>
      </c>
      <c r="D199" s="54" t="s">
        <v>277</v>
      </c>
      <c r="E199" s="50" t="s">
        <v>215</v>
      </c>
    </row>
    <row r="200" ht="22.5" customHeight="1">
      <c r="A200" s="49">
        <v>46072.0</v>
      </c>
      <c r="B200" s="55">
        <v>9.0</v>
      </c>
      <c r="C200" s="56" t="s">
        <v>185</v>
      </c>
      <c r="D200" s="54" t="s">
        <v>278</v>
      </c>
      <c r="E200" s="50" t="s">
        <v>215</v>
      </c>
    </row>
    <row r="201" ht="22.5" customHeight="1">
      <c r="A201" s="49">
        <v>46072.0</v>
      </c>
      <c r="B201" s="55">
        <v>5.0</v>
      </c>
      <c r="C201" s="56" t="s">
        <v>182</v>
      </c>
      <c r="D201" s="54" t="s">
        <v>279</v>
      </c>
      <c r="E201" s="50" t="s">
        <v>215</v>
      </c>
    </row>
    <row r="202" ht="22.5" customHeight="1">
      <c r="A202" s="49">
        <v>46072.0</v>
      </c>
      <c r="B202" s="16">
        <v>15.0</v>
      </c>
      <c r="C202" s="50" t="s">
        <v>178</v>
      </c>
      <c r="D202" s="54" t="s">
        <v>280</v>
      </c>
      <c r="E202" s="50" t="s">
        <v>215</v>
      </c>
    </row>
    <row r="203" ht="22.5" customHeight="1">
      <c r="A203" s="49">
        <v>46072.0</v>
      </c>
      <c r="B203" s="16">
        <v>15.0</v>
      </c>
      <c r="C203" s="50" t="s">
        <v>177</v>
      </c>
      <c r="D203" s="54" t="s">
        <v>281</v>
      </c>
      <c r="E203" s="50" t="s">
        <v>215</v>
      </c>
    </row>
    <row r="204" ht="22.5" customHeight="1">
      <c r="A204" s="49">
        <v>46072.0</v>
      </c>
      <c r="B204" s="16">
        <v>15.0</v>
      </c>
      <c r="C204" s="50" t="s">
        <v>176</v>
      </c>
      <c r="D204" s="54" t="s">
        <v>282</v>
      </c>
      <c r="E204" s="50" t="s">
        <v>215</v>
      </c>
    </row>
    <row r="205" ht="22.5" customHeight="1">
      <c r="A205" s="49">
        <v>46072.0</v>
      </c>
      <c r="B205" s="16">
        <v>4.0</v>
      </c>
      <c r="C205" s="50" t="s">
        <v>179</v>
      </c>
      <c r="D205" s="54" t="s">
        <v>283</v>
      </c>
      <c r="E205" s="50" t="s">
        <v>215</v>
      </c>
    </row>
    <row r="206" ht="22.5" customHeight="1">
      <c r="A206" s="76">
        <v>46073.0</v>
      </c>
      <c r="B206" s="70">
        <v>3.0</v>
      </c>
      <c r="C206" s="77" t="s">
        <v>284</v>
      </c>
      <c r="D206" s="78" t="s">
        <v>285</v>
      </c>
      <c r="E206" s="58"/>
    </row>
    <row r="207" ht="22.5" customHeight="1">
      <c r="A207" s="76">
        <v>46073.0</v>
      </c>
      <c r="B207" s="70">
        <v>4.0</v>
      </c>
      <c r="C207" s="77" t="s">
        <v>223</v>
      </c>
      <c r="D207" s="59"/>
      <c r="E207" s="58" t="s">
        <v>215</v>
      </c>
    </row>
    <row r="208" ht="22.5" customHeight="1">
      <c r="A208" s="76">
        <v>46073.0</v>
      </c>
      <c r="B208" s="70">
        <v>4.0</v>
      </c>
      <c r="C208" s="77" t="s">
        <v>218</v>
      </c>
      <c r="D208" s="59"/>
      <c r="E208" s="58" t="s">
        <v>215</v>
      </c>
    </row>
    <row r="209" ht="22.5" customHeight="1">
      <c r="A209" s="76">
        <v>46073.0</v>
      </c>
      <c r="B209" s="70">
        <v>4.0</v>
      </c>
      <c r="C209" s="77" t="s">
        <v>182</v>
      </c>
      <c r="D209" s="59"/>
      <c r="E209" s="58" t="s">
        <v>215</v>
      </c>
    </row>
    <row r="210" ht="22.5" customHeight="1">
      <c r="A210" s="76">
        <v>46073.0</v>
      </c>
      <c r="B210" s="70">
        <v>4.0</v>
      </c>
      <c r="C210" s="77" t="s">
        <v>220</v>
      </c>
      <c r="D210" s="59"/>
      <c r="E210" s="58" t="s">
        <v>215</v>
      </c>
    </row>
    <row r="211" ht="22.5" customHeight="1">
      <c r="A211" s="76">
        <v>46073.0</v>
      </c>
      <c r="B211" s="70">
        <v>3.0</v>
      </c>
      <c r="C211" s="77" t="s">
        <v>286</v>
      </c>
      <c r="D211" s="78" t="s">
        <v>285</v>
      </c>
      <c r="E211" s="58"/>
    </row>
    <row r="212" ht="22.5" customHeight="1">
      <c r="A212" s="76">
        <v>46073.0</v>
      </c>
      <c r="B212" s="70">
        <v>1.0</v>
      </c>
      <c r="C212" s="77" t="s">
        <v>287</v>
      </c>
      <c r="D212" s="78" t="s">
        <v>285</v>
      </c>
      <c r="E212" s="58"/>
    </row>
    <row r="213" ht="22.5" customHeight="1">
      <c r="A213" s="76">
        <v>46073.0</v>
      </c>
      <c r="B213" s="70">
        <v>3.0</v>
      </c>
      <c r="C213" s="77" t="s">
        <v>288</v>
      </c>
      <c r="D213" s="78" t="s">
        <v>285</v>
      </c>
      <c r="E213" s="58"/>
    </row>
    <row r="214" ht="22.5" customHeight="1">
      <c r="A214" s="76">
        <v>46073.0</v>
      </c>
      <c r="B214" s="70">
        <v>1.0</v>
      </c>
      <c r="C214" s="77" t="s">
        <v>289</v>
      </c>
      <c r="D214" s="78" t="s">
        <v>285</v>
      </c>
      <c r="E214" s="58"/>
    </row>
    <row r="215" ht="22.5" customHeight="1">
      <c r="A215" s="76">
        <v>46073.0</v>
      </c>
      <c r="B215" s="70">
        <v>8.0</v>
      </c>
      <c r="C215" s="77" t="s">
        <v>182</v>
      </c>
      <c r="D215" s="59" t="s">
        <v>290</v>
      </c>
      <c r="E215" s="58" t="s">
        <v>215</v>
      </c>
    </row>
    <row r="216" ht="22.5" customHeight="1">
      <c r="A216" s="76">
        <v>46073.0</v>
      </c>
      <c r="B216" s="70">
        <v>1.0</v>
      </c>
      <c r="C216" s="77" t="s">
        <v>190</v>
      </c>
      <c r="D216" s="59" t="s">
        <v>291</v>
      </c>
      <c r="E216" s="58" t="s">
        <v>215</v>
      </c>
    </row>
    <row r="217" ht="22.5" customHeight="1">
      <c r="A217" s="49">
        <v>46074.0</v>
      </c>
      <c r="B217" s="55">
        <v>20.0</v>
      </c>
      <c r="C217" s="56" t="s">
        <v>178</v>
      </c>
      <c r="D217" s="54" t="s">
        <v>292</v>
      </c>
      <c r="E217" s="50" t="s">
        <v>215</v>
      </c>
    </row>
    <row r="218" ht="22.5" customHeight="1">
      <c r="A218" s="49">
        <v>46074.0</v>
      </c>
      <c r="B218" s="55">
        <v>15.0</v>
      </c>
      <c r="C218" s="56" t="s">
        <v>177</v>
      </c>
      <c r="D218" s="54" t="s">
        <v>293</v>
      </c>
      <c r="E218" s="50" t="s">
        <v>215</v>
      </c>
    </row>
    <row r="219" ht="22.5" customHeight="1">
      <c r="A219" s="49">
        <v>46074.0</v>
      </c>
      <c r="B219" s="55">
        <v>1.0</v>
      </c>
      <c r="C219" s="56" t="s">
        <v>189</v>
      </c>
      <c r="D219" s="54" t="s">
        <v>294</v>
      </c>
      <c r="E219" s="50" t="s">
        <v>215</v>
      </c>
    </row>
    <row r="220" ht="22.5" customHeight="1">
      <c r="A220" s="49">
        <v>46074.0</v>
      </c>
      <c r="B220" s="55">
        <v>12.0</v>
      </c>
      <c r="C220" s="56" t="s">
        <v>174</v>
      </c>
      <c r="D220" s="54" t="s">
        <v>295</v>
      </c>
      <c r="E220" s="50" t="s">
        <v>215</v>
      </c>
    </row>
    <row r="221" ht="22.5" customHeight="1">
      <c r="A221" s="49">
        <v>46076.0</v>
      </c>
      <c r="B221" s="55">
        <v>5.0</v>
      </c>
      <c r="C221" s="56" t="s">
        <v>176</v>
      </c>
      <c r="D221" s="54" t="s">
        <v>296</v>
      </c>
      <c r="E221" s="50" t="s">
        <v>215</v>
      </c>
    </row>
    <row r="222" ht="22.5" customHeight="1">
      <c r="A222" s="49">
        <v>46076.0</v>
      </c>
      <c r="B222" s="55">
        <v>5.0</v>
      </c>
      <c r="C222" s="56" t="s">
        <v>178</v>
      </c>
      <c r="D222" s="54" t="s">
        <v>297</v>
      </c>
      <c r="E222" s="50" t="s">
        <v>215</v>
      </c>
    </row>
    <row r="223" ht="22.5" customHeight="1">
      <c r="A223" s="49">
        <v>46076.0</v>
      </c>
      <c r="B223" s="55">
        <v>3.0</v>
      </c>
      <c r="C223" s="56" t="s">
        <v>186</v>
      </c>
      <c r="D223" s="54" t="s">
        <v>298</v>
      </c>
      <c r="E223" s="50" t="s">
        <v>215</v>
      </c>
    </row>
    <row r="224" ht="22.5" customHeight="1">
      <c r="A224" s="49">
        <v>46076.0</v>
      </c>
      <c r="B224" s="55">
        <v>2.0</v>
      </c>
      <c r="C224" s="56" t="s">
        <v>187</v>
      </c>
      <c r="D224" s="54" t="s">
        <v>299</v>
      </c>
      <c r="E224" s="50" t="s">
        <v>215</v>
      </c>
    </row>
    <row r="225" ht="22.5" customHeight="1">
      <c r="A225" s="49">
        <v>46076.0</v>
      </c>
      <c r="B225" s="55">
        <v>2.0</v>
      </c>
      <c r="C225" s="56" t="s">
        <v>192</v>
      </c>
      <c r="D225" s="54" t="s">
        <v>300</v>
      </c>
      <c r="E225" s="50" t="s">
        <v>215</v>
      </c>
    </row>
    <row r="226" ht="22.5" customHeight="1">
      <c r="A226" s="49">
        <v>46076.0</v>
      </c>
      <c r="B226" s="55">
        <v>1.0</v>
      </c>
      <c r="C226" s="56" t="s">
        <v>191</v>
      </c>
      <c r="D226" s="54" t="s">
        <v>301</v>
      </c>
      <c r="E226" s="50" t="s">
        <v>215</v>
      </c>
    </row>
    <row r="227" ht="22.5" customHeight="1">
      <c r="A227" s="49">
        <v>46076.0</v>
      </c>
      <c r="B227" s="55">
        <v>1.0</v>
      </c>
      <c r="C227" s="56" t="s">
        <v>192</v>
      </c>
      <c r="D227" s="54" t="s">
        <v>302</v>
      </c>
      <c r="E227" s="50" t="s">
        <v>215</v>
      </c>
    </row>
    <row r="228" ht="22.5" customHeight="1">
      <c r="A228" s="49">
        <v>46077.0</v>
      </c>
      <c r="B228" s="55">
        <v>1.0</v>
      </c>
      <c r="C228" s="56" t="s">
        <v>180</v>
      </c>
      <c r="D228" s="54" t="s">
        <v>303</v>
      </c>
      <c r="E228" s="50" t="s">
        <v>215</v>
      </c>
    </row>
    <row r="229" ht="22.5" customHeight="1">
      <c r="A229" s="49">
        <v>46077.0</v>
      </c>
      <c r="B229" s="55">
        <v>18.0</v>
      </c>
      <c r="C229" s="56" t="s">
        <v>183</v>
      </c>
      <c r="D229" s="54" t="s">
        <v>304</v>
      </c>
      <c r="E229" s="50" t="s">
        <v>215</v>
      </c>
    </row>
    <row r="230" ht="22.5" customHeight="1">
      <c r="A230" s="49">
        <v>46077.0</v>
      </c>
      <c r="B230" s="55">
        <v>12.0</v>
      </c>
      <c r="C230" s="56" t="s">
        <v>184</v>
      </c>
      <c r="D230" s="54" t="s">
        <v>305</v>
      </c>
      <c r="E230" s="50" t="s">
        <v>215</v>
      </c>
    </row>
    <row r="231" ht="22.5" customHeight="1">
      <c r="A231" s="49">
        <v>46077.0</v>
      </c>
      <c r="B231" s="55">
        <v>10.0</v>
      </c>
      <c r="C231" s="56" t="s">
        <v>178</v>
      </c>
      <c r="D231" s="54" t="s">
        <v>306</v>
      </c>
      <c r="E231" s="50" t="s">
        <v>215</v>
      </c>
    </row>
    <row r="232" ht="22.5" customHeight="1">
      <c r="A232" s="49">
        <v>46077.0</v>
      </c>
      <c r="B232" s="55">
        <v>10.0</v>
      </c>
      <c r="C232" s="56" t="s">
        <v>177</v>
      </c>
      <c r="D232" s="54" t="s">
        <v>307</v>
      </c>
      <c r="E232" s="50" t="s">
        <v>215</v>
      </c>
    </row>
    <row r="233" ht="22.5" customHeight="1">
      <c r="A233" s="49">
        <v>46078.0</v>
      </c>
      <c r="B233" s="55">
        <v>11.0</v>
      </c>
      <c r="C233" s="56" t="s">
        <v>182</v>
      </c>
      <c r="D233" s="54" t="s">
        <v>308</v>
      </c>
      <c r="E233" s="50" t="s">
        <v>215</v>
      </c>
    </row>
    <row r="234" ht="22.5" customHeight="1">
      <c r="A234" s="49">
        <v>46078.0</v>
      </c>
      <c r="B234" s="55">
        <v>10.0</v>
      </c>
      <c r="C234" s="56" t="s">
        <v>176</v>
      </c>
      <c r="D234" s="54" t="s">
        <v>309</v>
      </c>
      <c r="E234" s="50" t="s">
        <v>215</v>
      </c>
    </row>
    <row r="235" ht="22.5" customHeight="1">
      <c r="A235" s="49">
        <v>46078.0</v>
      </c>
      <c r="B235" s="55">
        <v>5.0</v>
      </c>
      <c r="C235" s="56" t="s">
        <v>177</v>
      </c>
      <c r="D235" s="54" t="s">
        <v>310</v>
      </c>
      <c r="E235" s="50" t="s">
        <v>215</v>
      </c>
    </row>
    <row r="236" ht="22.5" customHeight="1">
      <c r="A236" s="49">
        <v>46078.0</v>
      </c>
      <c r="B236" s="55">
        <v>5.0</v>
      </c>
      <c r="C236" s="56" t="s">
        <v>178</v>
      </c>
      <c r="D236" s="54" t="s">
        <v>311</v>
      </c>
      <c r="E236" s="50" t="s">
        <v>215</v>
      </c>
    </row>
    <row r="237" ht="22.5" customHeight="1">
      <c r="A237" s="49">
        <v>46078.0</v>
      </c>
      <c r="B237" s="55">
        <v>2.0</v>
      </c>
      <c r="C237" s="56" t="s">
        <v>181</v>
      </c>
      <c r="D237" s="54" t="s">
        <v>312</v>
      </c>
      <c r="E237" s="50" t="s">
        <v>215</v>
      </c>
    </row>
    <row r="238" ht="22.5" customHeight="1">
      <c r="A238" s="49">
        <v>46078.0</v>
      </c>
      <c r="B238" s="55">
        <v>3.0</v>
      </c>
      <c r="C238" s="56" t="s">
        <v>182</v>
      </c>
      <c r="D238" s="54" t="s">
        <v>313</v>
      </c>
      <c r="E238" s="50" t="s">
        <v>215</v>
      </c>
    </row>
    <row r="239" ht="22.5" customHeight="1">
      <c r="A239" s="49">
        <v>46079.0</v>
      </c>
      <c r="B239" s="55">
        <v>24.0</v>
      </c>
      <c r="C239" s="56" t="s">
        <v>183</v>
      </c>
      <c r="D239" s="54" t="s">
        <v>314</v>
      </c>
      <c r="E239" s="50" t="s">
        <v>215</v>
      </c>
    </row>
    <row r="240" ht="22.5" customHeight="1">
      <c r="A240" s="49">
        <v>46079.0</v>
      </c>
      <c r="B240" s="55">
        <v>18.0</v>
      </c>
      <c r="C240" s="56" t="s">
        <v>184</v>
      </c>
      <c r="D240" s="54" t="s">
        <v>315</v>
      </c>
      <c r="E240" s="50" t="s">
        <v>215</v>
      </c>
    </row>
    <row r="241" ht="22.5" customHeight="1">
      <c r="A241" s="49">
        <v>46079.0</v>
      </c>
      <c r="B241" s="55">
        <v>3.0</v>
      </c>
      <c r="C241" s="56" t="s">
        <v>185</v>
      </c>
      <c r="D241" s="54" t="s">
        <v>316</v>
      </c>
      <c r="E241" s="50" t="s">
        <v>215</v>
      </c>
    </row>
    <row r="242" ht="22.5" customHeight="1">
      <c r="A242" s="49">
        <v>46079.0</v>
      </c>
      <c r="B242" s="55">
        <v>1.0</v>
      </c>
      <c r="C242" s="56" t="s">
        <v>188</v>
      </c>
      <c r="D242" s="54" t="s">
        <v>317</v>
      </c>
      <c r="E242" s="50" t="s">
        <v>215</v>
      </c>
    </row>
    <row r="243" ht="22.5" customHeight="1">
      <c r="A243" s="49">
        <v>46079.0</v>
      </c>
      <c r="B243" s="55">
        <v>5.0</v>
      </c>
      <c r="C243" s="56" t="s">
        <v>178</v>
      </c>
      <c r="D243" s="54" t="s">
        <v>318</v>
      </c>
      <c r="E243" s="50" t="s">
        <v>215</v>
      </c>
    </row>
    <row r="244" ht="22.5" customHeight="1">
      <c r="A244" s="49">
        <v>46079.0</v>
      </c>
      <c r="B244" s="55">
        <v>10.0</v>
      </c>
      <c r="C244" s="56" t="s">
        <v>176</v>
      </c>
      <c r="D244" s="54" t="s">
        <v>319</v>
      </c>
      <c r="E244" s="50" t="s">
        <v>215</v>
      </c>
    </row>
    <row r="245" ht="22.5" customHeight="1">
      <c r="A245" s="49">
        <v>46079.0</v>
      </c>
      <c r="B245" s="55">
        <v>1.0</v>
      </c>
      <c r="C245" s="56" t="s">
        <v>193</v>
      </c>
      <c r="D245" s="54" t="s">
        <v>320</v>
      </c>
      <c r="E245" s="50" t="s">
        <v>215</v>
      </c>
    </row>
    <row r="246" ht="22.5" customHeight="1">
      <c r="A246" s="49">
        <v>46080.0</v>
      </c>
      <c r="B246" s="69">
        <v>4.0</v>
      </c>
      <c r="C246" s="79" t="s">
        <v>225</v>
      </c>
      <c r="D246" s="54" t="s">
        <v>321</v>
      </c>
      <c r="E246" s="50" t="s">
        <v>215</v>
      </c>
    </row>
    <row r="247" ht="22.5" customHeight="1">
      <c r="A247" s="49">
        <v>46080.0</v>
      </c>
      <c r="B247" s="80">
        <v>8.0</v>
      </c>
      <c r="C247" s="81" t="s">
        <v>182</v>
      </c>
      <c r="D247" s="54" t="s">
        <v>322</v>
      </c>
      <c r="E247" s="50" t="s">
        <v>215</v>
      </c>
    </row>
    <row r="248" ht="22.5" customHeight="1">
      <c r="A248" s="49">
        <v>46080.0</v>
      </c>
      <c r="B248" s="82">
        <v>1.0</v>
      </c>
      <c r="C248" s="81" t="s">
        <v>228</v>
      </c>
      <c r="D248" s="54" t="s">
        <v>323</v>
      </c>
      <c r="E248" s="50" t="s">
        <v>215</v>
      </c>
    </row>
    <row r="249" ht="22.5" customHeight="1">
      <c r="A249" s="49">
        <v>46080.0</v>
      </c>
      <c r="B249" s="83">
        <v>1.0</v>
      </c>
      <c r="C249" s="79" t="s">
        <v>235</v>
      </c>
      <c r="D249" s="54" t="s">
        <v>324</v>
      </c>
      <c r="E249" s="50" t="s">
        <v>215</v>
      </c>
    </row>
    <row r="250" ht="22.5" customHeight="1">
      <c r="A250" s="49">
        <v>46080.0</v>
      </c>
      <c r="B250" s="80">
        <v>4.0</v>
      </c>
      <c r="C250" s="81" t="s">
        <v>223</v>
      </c>
      <c r="D250" s="54" t="s">
        <v>325</v>
      </c>
      <c r="E250" s="50" t="s">
        <v>215</v>
      </c>
    </row>
    <row r="251" ht="22.5" customHeight="1">
      <c r="A251" s="49">
        <v>46080.0</v>
      </c>
      <c r="B251" s="69">
        <v>4.0</v>
      </c>
      <c r="C251" s="79" t="s">
        <v>220</v>
      </c>
      <c r="D251" s="54" t="s">
        <v>326</v>
      </c>
      <c r="E251" s="50" t="s">
        <v>215</v>
      </c>
    </row>
    <row r="252" ht="22.5" customHeight="1">
      <c r="A252" s="49">
        <v>46080.0</v>
      </c>
      <c r="B252" s="83">
        <v>1.0</v>
      </c>
      <c r="C252" s="79" t="s">
        <v>193</v>
      </c>
      <c r="D252" s="54" t="s">
        <v>327</v>
      </c>
      <c r="E252" s="50" t="s">
        <v>215</v>
      </c>
    </row>
    <row r="253" ht="22.5" customHeight="1">
      <c r="A253" s="49">
        <v>46080.0</v>
      </c>
      <c r="B253" s="55">
        <v>5.0</v>
      </c>
      <c r="C253" s="56" t="s">
        <v>178</v>
      </c>
      <c r="D253" s="54" t="s">
        <v>328</v>
      </c>
      <c r="E253" s="50" t="s">
        <v>215</v>
      </c>
    </row>
    <row r="254" ht="22.5" customHeight="1">
      <c r="A254" s="49">
        <v>46080.0</v>
      </c>
      <c r="B254" s="55">
        <v>5.0</v>
      </c>
      <c r="C254" s="56" t="s">
        <v>176</v>
      </c>
      <c r="D254" s="54" t="s">
        <v>329</v>
      </c>
      <c r="E254" s="50" t="s">
        <v>215</v>
      </c>
    </row>
    <row r="255" ht="22.5" customHeight="1">
      <c r="A255" s="49">
        <v>46080.0</v>
      </c>
      <c r="B255" s="55">
        <v>5.0</v>
      </c>
      <c r="C255" s="56" t="s">
        <v>177</v>
      </c>
      <c r="D255" s="54" t="s">
        <v>330</v>
      </c>
      <c r="E255" s="50" t="s">
        <v>215</v>
      </c>
    </row>
    <row r="256" ht="22.5" customHeight="1">
      <c r="A256" s="49">
        <v>46080.0</v>
      </c>
      <c r="B256" s="55">
        <v>12.0</v>
      </c>
      <c r="C256" s="56" t="s">
        <v>174</v>
      </c>
      <c r="D256" s="54" t="s">
        <v>331</v>
      </c>
      <c r="E256" s="50" t="s">
        <v>215</v>
      </c>
    </row>
    <row r="257" ht="22.5" customHeight="1">
      <c r="A257" s="49">
        <v>46080.0</v>
      </c>
      <c r="B257" s="55">
        <v>1.0</v>
      </c>
      <c r="C257" s="56" t="s">
        <v>194</v>
      </c>
      <c r="D257" s="54" t="s">
        <v>332</v>
      </c>
      <c r="E257" s="50" t="s">
        <v>215</v>
      </c>
    </row>
    <row r="258" ht="22.5" customHeight="1">
      <c r="A258" s="49">
        <v>46081.0</v>
      </c>
      <c r="B258" s="55">
        <v>1.0</v>
      </c>
      <c r="C258" s="56" t="s">
        <v>189</v>
      </c>
      <c r="D258" s="54" t="s">
        <v>333</v>
      </c>
      <c r="E258" s="50" t="s">
        <v>215</v>
      </c>
    </row>
    <row r="259" ht="22.5" customHeight="1">
      <c r="A259" s="49">
        <v>46081.0</v>
      </c>
      <c r="B259" s="55">
        <v>15.0</v>
      </c>
      <c r="C259" s="56" t="s">
        <v>178</v>
      </c>
      <c r="D259" s="54" t="s">
        <v>334</v>
      </c>
      <c r="E259" s="50" t="s">
        <v>215</v>
      </c>
    </row>
    <row r="260" ht="22.5" customHeight="1">
      <c r="A260" s="49">
        <v>46081.0</v>
      </c>
      <c r="B260" s="55">
        <v>10.0</v>
      </c>
      <c r="C260" s="56" t="s">
        <v>177</v>
      </c>
      <c r="D260" s="54" t="s">
        <v>335</v>
      </c>
      <c r="E260" s="50" t="s">
        <v>215</v>
      </c>
    </row>
    <row r="261" ht="22.5" customHeight="1">
      <c r="A261" s="49">
        <v>46081.0</v>
      </c>
      <c r="B261" s="55">
        <v>15.0</v>
      </c>
      <c r="C261" s="56" t="s">
        <v>176</v>
      </c>
      <c r="D261" s="54" t="s">
        <v>336</v>
      </c>
      <c r="E261" s="50" t="s">
        <v>215</v>
      </c>
    </row>
    <row r="262" ht="22.5" customHeight="1">
      <c r="A262" s="49">
        <v>46081.0</v>
      </c>
      <c r="B262" s="55">
        <v>2.0</v>
      </c>
      <c r="C262" s="56" t="s">
        <v>186</v>
      </c>
      <c r="D262" s="54" t="s">
        <v>337</v>
      </c>
      <c r="E262" s="50" t="s">
        <v>215</v>
      </c>
    </row>
    <row r="263" ht="22.5" customHeight="1">
      <c r="A263" s="49">
        <v>46081.0</v>
      </c>
      <c r="B263" s="55">
        <v>1.0</v>
      </c>
      <c r="C263" s="56" t="s">
        <v>179</v>
      </c>
      <c r="D263" s="54" t="s">
        <v>338</v>
      </c>
      <c r="E263" s="50" t="s">
        <v>215</v>
      </c>
    </row>
    <row r="264" ht="22.5" customHeight="1">
      <c r="A264" s="49">
        <v>46083.0</v>
      </c>
      <c r="B264" s="55">
        <v>5.0</v>
      </c>
      <c r="C264" s="56" t="s">
        <v>178</v>
      </c>
      <c r="D264" s="54" t="s">
        <v>339</v>
      </c>
      <c r="E264" s="50" t="s">
        <v>215</v>
      </c>
    </row>
    <row r="265" ht="22.5" customHeight="1">
      <c r="A265" s="49">
        <v>46083.0</v>
      </c>
      <c r="B265" s="55">
        <v>10.0</v>
      </c>
      <c r="C265" s="56" t="s">
        <v>177</v>
      </c>
      <c r="D265" s="54" t="s">
        <v>340</v>
      </c>
      <c r="E265" s="50" t="s">
        <v>215</v>
      </c>
    </row>
    <row r="266" ht="22.5" customHeight="1">
      <c r="A266" s="49">
        <v>46083.0</v>
      </c>
      <c r="B266" s="55">
        <v>5.0</v>
      </c>
      <c r="C266" s="56" t="s">
        <v>176</v>
      </c>
      <c r="D266" s="54" t="s">
        <v>341</v>
      </c>
      <c r="E266" s="50" t="s">
        <v>215</v>
      </c>
    </row>
    <row r="267" ht="22.5" customHeight="1">
      <c r="A267" s="49">
        <v>46083.0</v>
      </c>
      <c r="B267" s="55">
        <v>3.0</v>
      </c>
      <c r="C267" s="56" t="s">
        <v>182</v>
      </c>
      <c r="D267" s="54" t="s">
        <v>342</v>
      </c>
      <c r="E267" s="50" t="s">
        <v>215</v>
      </c>
    </row>
    <row r="268" ht="22.5" customHeight="1">
      <c r="A268" s="49">
        <v>46083.0</v>
      </c>
      <c r="B268" s="55">
        <v>24.0</v>
      </c>
      <c r="C268" s="56" t="s">
        <v>174</v>
      </c>
      <c r="D268" s="54" t="s">
        <v>343</v>
      </c>
      <c r="E268" s="50" t="s">
        <v>215</v>
      </c>
    </row>
    <row r="269" ht="22.5" customHeight="1">
      <c r="A269" s="49">
        <v>46084.0</v>
      </c>
      <c r="B269" s="55">
        <v>24.0</v>
      </c>
      <c r="C269" s="56" t="s">
        <v>183</v>
      </c>
      <c r="D269" s="54" t="s">
        <v>344</v>
      </c>
      <c r="E269" s="50" t="s">
        <v>215</v>
      </c>
    </row>
    <row r="270" ht="22.5" customHeight="1">
      <c r="A270" s="49">
        <v>46084.0</v>
      </c>
      <c r="B270" s="55">
        <v>3.0</v>
      </c>
      <c r="C270" s="56" t="s">
        <v>185</v>
      </c>
      <c r="D270" s="54" t="s">
        <v>345</v>
      </c>
      <c r="E270" s="50" t="s">
        <v>215</v>
      </c>
    </row>
    <row r="271" ht="22.5" customHeight="1">
      <c r="A271" s="49">
        <v>46084.0</v>
      </c>
      <c r="B271" s="55">
        <v>15.0</v>
      </c>
      <c r="C271" s="56" t="s">
        <v>178</v>
      </c>
      <c r="D271" s="54" t="s">
        <v>346</v>
      </c>
      <c r="E271" s="50" t="s">
        <v>215</v>
      </c>
    </row>
    <row r="272" ht="22.5" customHeight="1">
      <c r="A272" s="49">
        <v>46084.0</v>
      </c>
      <c r="B272" s="55">
        <v>10.0</v>
      </c>
      <c r="C272" s="56" t="s">
        <v>177</v>
      </c>
      <c r="D272" s="54" t="s">
        <v>347</v>
      </c>
      <c r="E272" s="50" t="s">
        <v>215</v>
      </c>
    </row>
    <row r="273" ht="22.5" customHeight="1">
      <c r="A273" s="49">
        <v>46084.0</v>
      </c>
      <c r="B273" s="55">
        <v>12.0</v>
      </c>
      <c r="C273" s="56" t="s">
        <v>184</v>
      </c>
      <c r="D273" s="54" t="s">
        <v>348</v>
      </c>
      <c r="E273" s="50" t="s">
        <v>215</v>
      </c>
    </row>
    <row r="274" ht="22.5" customHeight="1">
      <c r="A274" s="49">
        <v>46084.0</v>
      </c>
      <c r="B274" s="55">
        <v>8.0</v>
      </c>
      <c r="C274" s="56" t="s">
        <v>182</v>
      </c>
      <c r="D274" s="54" t="s">
        <v>349</v>
      </c>
      <c r="E274" s="50" t="s">
        <v>215</v>
      </c>
    </row>
    <row r="275" ht="22.5" customHeight="1">
      <c r="A275" s="49">
        <v>46085.0</v>
      </c>
      <c r="B275" s="55">
        <v>14.0</v>
      </c>
      <c r="C275" s="56" t="s">
        <v>182</v>
      </c>
      <c r="D275" s="54" t="s">
        <v>350</v>
      </c>
      <c r="E275" s="50" t="s">
        <v>215</v>
      </c>
    </row>
    <row r="276" ht="22.5" customHeight="1">
      <c r="A276" s="49">
        <v>46085.0</v>
      </c>
      <c r="B276" s="55">
        <v>10.0</v>
      </c>
      <c r="C276" s="56" t="s">
        <v>195</v>
      </c>
      <c r="D276" s="54" t="s">
        <v>351</v>
      </c>
      <c r="E276" s="50" t="s">
        <v>215</v>
      </c>
    </row>
    <row r="277" ht="22.5" customHeight="1">
      <c r="A277" s="49">
        <v>46085.0</v>
      </c>
      <c r="B277" s="55">
        <v>10.0</v>
      </c>
      <c r="C277" s="56" t="s">
        <v>178</v>
      </c>
      <c r="D277" s="54" t="s">
        <v>352</v>
      </c>
      <c r="E277" s="50" t="s">
        <v>215</v>
      </c>
    </row>
    <row r="278" ht="22.5" customHeight="1">
      <c r="A278" s="49">
        <v>46085.0</v>
      </c>
      <c r="B278" s="55">
        <v>10.0</v>
      </c>
      <c r="C278" s="56" t="s">
        <v>177</v>
      </c>
      <c r="D278" s="54" t="s">
        <v>353</v>
      </c>
      <c r="E278" s="50" t="s">
        <v>215</v>
      </c>
    </row>
    <row r="279" ht="22.5" customHeight="1">
      <c r="A279" s="49">
        <v>46085.0</v>
      </c>
      <c r="B279" s="55">
        <v>10.0</v>
      </c>
      <c r="C279" s="56" t="s">
        <v>176</v>
      </c>
      <c r="D279" s="54" t="s">
        <v>354</v>
      </c>
      <c r="E279" s="50" t="s">
        <v>215</v>
      </c>
    </row>
    <row r="280" ht="22.5" customHeight="1">
      <c r="A280" s="49">
        <v>46085.0</v>
      </c>
      <c r="B280" s="55">
        <v>2.0</v>
      </c>
      <c r="C280" s="56" t="s">
        <v>181</v>
      </c>
      <c r="D280" s="54" t="s">
        <v>355</v>
      </c>
      <c r="E280" s="50" t="s">
        <v>215</v>
      </c>
    </row>
    <row r="281" ht="22.5" customHeight="1">
      <c r="A281" s="49">
        <v>46086.0</v>
      </c>
      <c r="B281" s="55">
        <v>3.0</v>
      </c>
      <c r="C281" s="56" t="s">
        <v>182</v>
      </c>
      <c r="D281" s="54" t="s">
        <v>356</v>
      </c>
      <c r="E281" s="50" t="s">
        <v>215</v>
      </c>
    </row>
    <row r="282" ht="22.5" customHeight="1">
      <c r="A282" s="49">
        <v>46086.0</v>
      </c>
      <c r="B282" s="55">
        <v>10.0</v>
      </c>
      <c r="C282" s="56" t="s">
        <v>177</v>
      </c>
      <c r="D282" s="54" t="s">
        <v>357</v>
      </c>
      <c r="E282" s="50" t="s">
        <v>215</v>
      </c>
    </row>
    <row r="283" ht="22.5" customHeight="1">
      <c r="A283" s="49">
        <v>46086.0</v>
      </c>
      <c r="B283" s="55">
        <v>10.0</v>
      </c>
      <c r="C283" s="56" t="s">
        <v>178</v>
      </c>
      <c r="D283" s="54" t="s">
        <v>358</v>
      </c>
      <c r="E283" s="50" t="s">
        <v>215</v>
      </c>
    </row>
    <row r="284" ht="22.5" customHeight="1">
      <c r="A284" s="49">
        <v>46086.0</v>
      </c>
      <c r="B284" s="55">
        <v>4.0</v>
      </c>
      <c r="C284" s="56" t="s">
        <v>186</v>
      </c>
      <c r="D284" s="54" t="s">
        <v>359</v>
      </c>
      <c r="E284" s="50" t="s">
        <v>215</v>
      </c>
    </row>
    <row r="285" ht="22.5" customHeight="1">
      <c r="A285" s="49">
        <v>46087.0</v>
      </c>
      <c r="B285" s="55">
        <v>10.0</v>
      </c>
      <c r="C285" s="56" t="s">
        <v>178</v>
      </c>
      <c r="D285" s="54" t="s">
        <v>360</v>
      </c>
      <c r="E285" s="50" t="s">
        <v>215</v>
      </c>
    </row>
    <row r="286" ht="22.5" customHeight="1">
      <c r="A286" s="49">
        <v>46087.0</v>
      </c>
      <c r="B286" s="55">
        <v>5.0</v>
      </c>
      <c r="C286" s="56" t="s">
        <v>177</v>
      </c>
      <c r="D286" s="54" t="s">
        <v>361</v>
      </c>
      <c r="E286" s="50" t="s">
        <v>215</v>
      </c>
    </row>
    <row r="287" ht="22.5" customHeight="1">
      <c r="A287" s="49">
        <v>46087.0</v>
      </c>
      <c r="B287" s="55">
        <v>5.0</v>
      </c>
      <c r="C287" s="56" t="s">
        <v>176</v>
      </c>
      <c r="D287" s="54" t="s">
        <v>362</v>
      </c>
      <c r="E287" s="50" t="s">
        <v>215</v>
      </c>
    </row>
    <row r="288" ht="22.5" customHeight="1">
      <c r="A288" s="49">
        <v>46087.0</v>
      </c>
      <c r="B288" s="55">
        <v>36.0</v>
      </c>
      <c r="C288" s="56" t="s">
        <v>174</v>
      </c>
      <c r="D288" s="54" t="s">
        <v>363</v>
      </c>
      <c r="E288" s="50" t="s">
        <v>215</v>
      </c>
    </row>
    <row r="289" ht="22.5" customHeight="1">
      <c r="A289" s="49">
        <v>46087.0</v>
      </c>
      <c r="B289" s="55">
        <v>16.0</v>
      </c>
      <c r="C289" s="56" t="s">
        <v>182</v>
      </c>
      <c r="D289" s="54" t="s">
        <v>364</v>
      </c>
      <c r="E289" s="50" t="s">
        <v>215</v>
      </c>
    </row>
    <row r="290" ht="22.5" customHeight="1">
      <c r="A290" s="49">
        <v>46087.0</v>
      </c>
      <c r="B290" s="55">
        <v>1.0</v>
      </c>
      <c r="C290" s="56" t="s">
        <v>189</v>
      </c>
      <c r="D290" s="54" t="s">
        <v>365</v>
      </c>
      <c r="E290" s="50" t="s">
        <v>215</v>
      </c>
    </row>
    <row r="291" ht="22.5" customHeight="1">
      <c r="A291" s="49">
        <v>46088.0</v>
      </c>
      <c r="B291" s="55">
        <v>15.0</v>
      </c>
      <c r="C291" s="56" t="s">
        <v>178</v>
      </c>
      <c r="D291" s="54" t="s">
        <v>366</v>
      </c>
      <c r="E291" s="50" t="s">
        <v>215</v>
      </c>
    </row>
    <row r="292" ht="22.5" customHeight="1">
      <c r="A292" s="49">
        <v>46088.0</v>
      </c>
      <c r="B292" s="55">
        <v>15.0</v>
      </c>
      <c r="C292" s="56" t="s">
        <v>177</v>
      </c>
      <c r="D292" s="54" t="s">
        <v>367</v>
      </c>
      <c r="E292" s="50" t="s">
        <v>215</v>
      </c>
    </row>
    <row r="293" ht="22.5" customHeight="1">
      <c r="A293" s="49">
        <v>46088.0</v>
      </c>
      <c r="B293" s="55">
        <v>10.0</v>
      </c>
      <c r="C293" s="56" t="s">
        <v>176</v>
      </c>
      <c r="D293" s="54" t="s">
        <v>368</v>
      </c>
      <c r="E293" s="50" t="s">
        <v>215</v>
      </c>
    </row>
    <row r="294" ht="22.5" customHeight="1">
      <c r="A294" s="49">
        <v>46088.0</v>
      </c>
      <c r="B294" s="55">
        <v>4.0</v>
      </c>
      <c r="C294" s="56" t="s">
        <v>182</v>
      </c>
      <c r="D294" s="54" t="s">
        <v>369</v>
      </c>
      <c r="E294" s="50" t="s">
        <v>215</v>
      </c>
    </row>
    <row r="295" ht="22.5" customHeight="1">
      <c r="A295" s="49">
        <v>46090.0</v>
      </c>
      <c r="B295" s="55">
        <v>20.0</v>
      </c>
      <c r="C295" s="56" t="s">
        <v>178</v>
      </c>
      <c r="D295" s="54" t="s">
        <v>370</v>
      </c>
      <c r="E295" s="50" t="s">
        <v>215</v>
      </c>
    </row>
    <row r="296" ht="22.5" customHeight="1">
      <c r="A296" s="49">
        <v>46090.0</v>
      </c>
      <c r="B296" s="55">
        <v>8.0</v>
      </c>
      <c r="C296" s="56" t="s">
        <v>177</v>
      </c>
      <c r="D296" s="54" t="s">
        <v>371</v>
      </c>
      <c r="E296" s="50" t="s">
        <v>215</v>
      </c>
    </row>
    <row r="297" ht="22.5" customHeight="1">
      <c r="A297" s="49">
        <v>46090.0</v>
      </c>
      <c r="B297" s="55">
        <v>10.0</v>
      </c>
      <c r="C297" s="56" t="s">
        <v>176</v>
      </c>
      <c r="D297" s="54" t="s">
        <v>372</v>
      </c>
      <c r="E297" s="50" t="s">
        <v>215</v>
      </c>
    </row>
    <row r="298" ht="22.5" customHeight="1">
      <c r="A298" s="49">
        <v>46090.0</v>
      </c>
      <c r="B298" s="55">
        <v>4.0</v>
      </c>
      <c r="C298" s="56" t="s">
        <v>186</v>
      </c>
      <c r="D298" s="54" t="s">
        <v>373</v>
      </c>
      <c r="E298" s="50" t="s">
        <v>215</v>
      </c>
    </row>
    <row r="299" ht="22.5" customHeight="1">
      <c r="A299" s="49">
        <v>46090.0</v>
      </c>
      <c r="B299" s="55">
        <v>1.0</v>
      </c>
      <c r="C299" s="56" t="s">
        <v>196</v>
      </c>
      <c r="D299" s="54" t="s">
        <v>374</v>
      </c>
      <c r="E299" s="50" t="s">
        <v>215</v>
      </c>
    </row>
    <row r="300" ht="22.5" customHeight="1">
      <c r="A300" s="49">
        <v>46090.0</v>
      </c>
      <c r="B300" s="55">
        <v>2.0</v>
      </c>
      <c r="C300" s="56" t="s">
        <v>187</v>
      </c>
      <c r="D300" s="54" t="s">
        <v>375</v>
      </c>
      <c r="E300" s="50" t="s">
        <v>215</v>
      </c>
    </row>
    <row r="301" ht="22.5" customHeight="1">
      <c r="A301" s="49">
        <v>46090.0</v>
      </c>
      <c r="B301" s="55">
        <v>2.0</v>
      </c>
      <c r="C301" s="56" t="s">
        <v>192</v>
      </c>
      <c r="D301" s="54" t="s">
        <v>376</v>
      </c>
      <c r="E301" s="50" t="s">
        <v>215</v>
      </c>
    </row>
    <row r="302" ht="22.5" customHeight="1">
      <c r="A302" s="49">
        <v>46090.0</v>
      </c>
      <c r="B302" s="55">
        <v>1.0</v>
      </c>
      <c r="C302" s="56" t="s">
        <v>197</v>
      </c>
      <c r="D302" s="54" t="s">
        <v>377</v>
      </c>
      <c r="E302" s="50" t="s">
        <v>215</v>
      </c>
    </row>
    <row r="303" ht="22.5" customHeight="1">
      <c r="A303" s="49">
        <v>46090.0</v>
      </c>
      <c r="B303" s="55">
        <v>45.0</v>
      </c>
      <c r="C303" s="56" t="s">
        <v>183</v>
      </c>
      <c r="D303" s="54" t="s">
        <v>378</v>
      </c>
      <c r="E303" s="50" t="s">
        <v>215</v>
      </c>
    </row>
    <row r="304" ht="22.5" customHeight="1">
      <c r="A304" s="49">
        <v>46090.0</v>
      </c>
      <c r="B304" s="55">
        <v>17.0</v>
      </c>
      <c r="C304" s="56" t="s">
        <v>184</v>
      </c>
      <c r="D304" s="54" t="s">
        <v>379</v>
      </c>
      <c r="E304" s="50" t="s">
        <v>215</v>
      </c>
    </row>
    <row r="305" ht="22.5" customHeight="1">
      <c r="A305" s="49">
        <v>46090.0</v>
      </c>
      <c r="B305" s="55">
        <v>10.0</v>
      </c>
      <c r="C305" s="56" t="s">
        <v>185</v>
      </c>
      <c r="D305" s="54" t="s">
        <v>380</v>
      </c>
      <c r="E305" s="50" t="s">
        <v>215</v>
      </c>
    </row>
    <row r="306" ht="22.5" customHeight="1">
      <c r="A306" s="49">
        <v>46090.0</v>
      </c>
      <c r="B306" s="55">
        <v>4.0</v>
      </c>
      <c r="C306" s="56" t="s">
        <v>182</v>
      </c>
      <c r="D306" s="54" t="s">
        <v>381</v>
      </c>
      <c r="E306" s="50" t="s">
        <v>215</v>
      </c>
    </row>
    <row r="307" ht="22.5" customHeight="1">
      <c r="A307" s="49">
        <v>46090.0</v>
      </c>
      <c r="B307" s="55">
        <v>12.0</v>
      </c>
      <c r="C307" s="56" t="s">
        <v>174</v>
      </c>
      <c r="D307" s="54" t="s">
        <v>382</v>
      </c>
      <c r="E307" s="50" t="s">
        <v>215</v>
      </c>
    </row>
    <row r="308" ht="22.5" customHeight="1">
      <c r="A308" s="49">
        <v>46091.0</v>
      </c>
      <c r="B308" s="55">
        <v>4.0</v>
      </c>
      <c r="C308" s="56" t="s">
        <v>186</v>
      </c>
      <c r="D308" s="54" t="s">
        <v>383</v>
      </c>
      <c r="E308" s="50" t="s">
        <v>215</v>
      </c>
    </row>
    <row r="309" ht="22.5" customHeight="1">
      <c r="A309" s="49">
        <v>46091.0</v>
      </c>
      <c r="B309" s="55">
        <v>2.0</v>
      </c>
      <c r="C309" s="56" t="s">
        <v>192</v>
      </c>
      <c r="D309" s="54" t="s">
        <v>384</v>
      </c>
      <c r="E309" s="50" t="s">
        <v>215</v>
      </c>
    </row>
    <row r="310" ht="22.5" customHeight="1">
      <c r="A310" s="49">
        <v>46091.0</v>
      </c>
      <c r="B310" s="55">
        <v>1.0</v>
      </c>
      <c r="C310" s="56" t="s">
        <v>199</v>
      </c>
      <c r="D310" s="54" t="s">
        <v>385</v>
      </c>
      <c r="E310" s="50" t="s">
        <v>215</v>
      </c>
    </row>
    <row r="311" ht="22.5" customHeight="1">
      <c r="A311" s="49">
        <v>46091.0</v>
      </c>
      <c r="B311" s="55">
        <v>4.0</v>
      </c>
      <c r="C311" s="56" t="s">
        <v>217</v>
      </c>
      <c r="D311" s="54" t="s">
        <v>386</v>
      </c>
      <c r="E311" s="50" t="s">
        <v>215</v>
      </c>
    </row>
    <row r="312" ht="22.5" customHeight="1">
      <c r="A312" s="49">
        <v>46091.0</v>
      </c>
      <c r="B312" s="55">
        <v>4.0</v>
      </c>
      <c r="C312" s="56" t="s">
        <v>182</v>
      </c>
      <c r="D312" s="54" t="s">
        <v>387</v>
      </c>
      <c r="E312" s="50" t="s">
        <v>215</v>
      </c>
    </row>
    <row r="313" ht="22.5" customHeight="1">
      <c r="A313" s="49">
        <v>46092.0</v>
      </c>
      <c r="B313" s="55">
        <v>10.0</v>
      </c>
      <c r="C313" s="56" t="s">
        <v>178</v>
      </c>
      <c r="D313" s="54" t="s">
        <v>388</v>
      </c>
      <c r="E313" s="50" t="s">
        <v>215</v>
      </c>
    </row>
    <row r="314" ht="22.5" customHeight="1">
      <c r="A314" s="49">
        <v>46092.0</v>
      </c>
      <c r="B314" s="55">
        <v>10.0</v>
      </c>
      <c r="C314" s="56" t="s">
        <v>176</v>
      </c>
      <c r="D314" s="54" t="s">
        <v>389</v>
      </c>
      <c r="E314" s="50" t="s">
        <v>215</v>
      </c>
    </row>
    <row r="315" ht="22.5" customHeight="1">
      <c r="A315" s="49">
        <v>46092.0</v>
      </c>
      <c r="B315" s="55">
        <v>3.0</v>
      </c>
      <c r="C315" s="56" t="s">
        <v>187</v>
      </c>
      <c r="D315" s="54" t="s">
        <v>390</v>
      </c>
      <c r="E315" s="50" t="s">
        <v>215</v>
      </c>
    </row>
    <row r="316" ht="22.5" customHeight="1">
      <c r="A316" s="49">
        <v>46093.0</v>
      </c>
      <c r="B316" s="55">
        <v>10.0</v>
      </c>
      <c r="C316" s="56" t="s">
        <v>178</v>
      </c>
      <c r="D316" s="54" t="s">
        <v>391</v>
      </c>
      <c r="E316" s="50" t="s">
        <v>215</v>
      </c>
    </row>
    <row r="317" ht="22.5" customHeight="1">
      <c r="A317" s="49">
        <v>46093.0</v>
      </c>
      <c r="B317" s="55">
        <v>10.0</v>
      </c>
      <c r="C317" s="56" t="s">
        <v>177</v>
      </c>
      <c r="D317" s="54" t="s">
        <v>392</v>
      </c>
      <c r="E317" s="50" t="s">
        <v>215</v>
      </c>
    </row>
    <row r="318" ht="22.5" customHeight="1">
      <c r="A318" s="49">
        <v>46093.0</v>
      </c>
      <c r="B318" s="55">
        <v>6.0</v>
      </c>
      <c r="C318" s="56" t="s">
        <v>183</v>
      </c>
      <c r="D318" s="54" t="s">
        <v>393</v>
      </c>
      <c r="E318" s="50" t="s">
        <v>215</v>
      </c>
    </row>
    <row r="319" ht="22.5" customHeight="1">
      <c r="A319" s="49">
        <v>46093.0</v>
      </c>
      <c r="B319" s="55">
        <v>8.0</v>
      </c>
      <c r="C319" s="56" t="s">
        <v>184</v>
      </c>
      <c r="D319" s="54" t="s">
        <v>394</v>
      </c>
      <c r="E319" s="50" t="s">
        <v>215</v>
      </c>
    </row>
    <row r="320" ht="22.5" customHeight="1">
      <c r="A320" s="49">
        <v>46093.0</v>
      </c>
      <c r="B320" s="55">
        <v>10.0</v>
      </c>
      <c r="C320" s="56" t="s">
        <v>185</v>
      </c>
      <c r="D320" s="54" t="s">
        <v>395</v>
      </c>
      <c r="E320" s="50" t="s">
        <v>215</v>
      </c>
    </row>
    <row r="321" ht="22.5" customHeight="1">
      <c r="A321" s="49">
        <v>46093.0</v>
      </c>
      <c r="B321" s="55">
        <v>5.0</v>
      </c>
      <c r="C321" s="56" t="s">
        <v>236</v>
      </c>
      <c r="D321" s="54" t="s">
        <v>396</v>
      </c>
      <c r="E321" s="50" t="s">
        <v>215</v>
      </c>
    </row>
    <row r="322" ht="22.5" customHeight="1">
      <c r="A322" s="49">
        <v>46093.0</v>
      </c>
      <c r="B322" s="55">
        <v>12.0</v>
      </c>
      <c r="C322" s="56" t="s">
        <v>174</v>
      </c>
      <c r="D322" s="54" t="s">
        <v>397</v>
      </c>
      <c r="E322" s="50" t="s">
        <v>215</v>
      </c>
    </row>
    <row r="323" ht="22.5" customHeight="1">
      <c r="A323" s="49">
        <v>46094.0</v>
      </c>
      <c r="B323" s="55">
        <v>10.0</v>
      </c>
      <c r="C323" s="56" t="s">
        <v>178</v>
      </c>
      <c r="D323" s="54" t="s">
        <v>398</v>
      </c>
      <c r="E323" s="50" t="s">
        <v>215</v>
      </c>
    </row>
    <row r="324" ht="22.5" customHeight="1">
      <c r="A324" s="49">
        <v>46094.0</v>
      </c>
      <c r="B324" s="55">
        <v>10.0</v>
      </c>
      <c r="C324" s="56" t="s">
        <v>177</v>
      </c>
      <c r="D324" s="54" t="s">
        <v>399</v>
      </c>
      <c r="E324" s="50" t="s">
        <v>215</v>
      </c>
    </row>
    <row r="325" ht="22.5" customHeight="1">
      <c r="A325" s="49">
        <v>46094.0</v>
      </c>
      <c r="B325" s="55">
        <v>10.0</v>
      </c>
      <c r="C325" s="56" t="s">
        <v>176</v>
      </c>
      <c r="D325" s="54" t="s">
        <v>400</v>
      </c>
      <c r="E325" s="50" t="s">
        <v>215</v>
      </c>
    </row>
    <row r="326" ht="22.5" customHeight="1">
      <c r="A326" s="49">
        <v>46094.0</v>
      </c>
      <c r="B326" s="55">
        <v>37.0</v>
      </c>
      <c r="C326" s="56" t="s">
        <v>182</v>
      </c>
      <c r="D326" s="54" t="s">
        <v>401</v>
      </c>
      <c r="E326" s="50" t="s">
        <v>215</v>
      </c>
    </row>
    <row r="327" ht="22.5" customHeight="1">
      <c r="A327" s="49">
        <v>46094.0</v>
      </c>
      <c r="B327" s="55">
        <v>2.0</v>
      </c>
      <c r="C327" s="56" t="s">
        <v>188</v>
      </c>
      <c r="D327" s="54" t="s">
        <v>402</v>
      </c>
      <c r="E327" s="50" t="s">
        <v>215</v>
      </c>
    </row>
    <row r="328" ht="22.5" customHeight="1">
      <c r="A328" s="49">
        <v>46094.0</v>
      </c>
      <c r="B328" s="55">
        <v>2.0</v>
      </c>
      <c r="C328" s="56" t="s">
        <v>189</v>
      </c>
      <c r="D328" s="54" t="s">
        <v>403</v>
      </c>
      <c r="E328" s="50" t="s">
        <v>215</v>
      </c>
    </row>
    <row r="329" ht="22.5" customHeight="1">
      <c r="A329" s="49">
        <v>46094.0</v>
      </c>
      <c r="B329" s="55">
        <v>1.0</v>
      </c>
      <c r="C329" s="56" t="s">
        <v>181</v>
      </c>
      <c r="D329" s="54" t="s">
        <v>404</v>
      </c>
      <c r="E329" s="50" t="s">
        <v>215</v>
      </c>
    </row>
    <row r="330" ht="22.5" customHeight="1">
      <c r="A330" s="49">
        <v>46094.0</v>
      </c>
      <c r="B330" s="55">
        <v>1.0</v>
      </c>
      <c r="C330" s="56" t="s">
        <v>223</v>
      </c>
      <c r="D330" s="54" t="s">
        <v>405</v>
      </c>
      <c r="E330" s="50" t="s">
        <v>215</v>
      </c>
    </row>
    <row r="331" ht="22.5" customHeight="1">
      <c r="A331" s="49">
        <v>46095.0</v>
      </c>
      <c r="B331" s="55">
        <v>15.0</v>
      </c>
      <c r="C331" s="56" t="s">
        <v>178</v>
      </c>
      <c r="D331" s="54" t="s">
        <v>406</v>
      </c>
      <c r="E331" s="50" t="s">
        <v>215</v>
      </c>
    </row>
    <row r="332" ht="22.5" customHeight="1">
      <c r="A332" s="49">
        <v>46095.0</v>
      </c>
      <c r="B332" s="55">
        <v>20.0</v>
      </c>
      <c r="C332" s="56" t="s">
        <v>177</v>
      </c>
      <c r="D332" s="54" t="s">
        <v>407</v>
      </c>
      <c r="E332" s="50" t="s">
        <v>215</v>
      </c>
    </row>
    <row r="333" ht="22.5" customHeight="1">
      <c r="A333" s="49">
        <v>46095.0</v>
      </c>
      <c r="B333" s="55">
        <v>1.0</v>
      </c>
      <c r="C333" s="56" t="s">
        <v>189</v>
      </c>
      <c r="D333" s="54" t="s">
        <v>408</v>
      </c>
      <c r="E333" s="50" t="s">
        <v>215</v>
      </c>
    </row>
    <row r="334" ht="22.5" customHeight="1">
      <c r="A334" s="49">
        <v>46095.0</v>
      </c>
      <c r="B334" s="55">
        <v>12.0</v>
      </c>
      <c r="C334" s="56" t="s">
        <v>174</v>
      </c>
      <c r="D334" s="54" t="s">
        <v>409</v>
      </c>
      <c r="E334" s="50" t="s">
        <v>215</v>
      </c>
    </row>
    <row r="335" ht="22.5" customHeight="1">
      <c r="A335" s="49">
        <v>46097.0</v>
      </c>
      <c r="B335" s="55">
        <v>60.0</v>
      </c>
      <c r="C335" s="56" t="s">
        <v>183</v>
      </c>
      <c r="D335" s="54" t="s">
        <v>410</v>
      </c>
      <c r="E335" s="50" t="s">
        <v>215</v>
      </c>
    </row>
    <row r="336" ht="22.5" customHeight="1">
      <c r="A336" s="49">
        <v>46097.0</v>
      </c>
      <c r="B336" s="55">
        <v>42.0</v>
      </c>
      <c r="C336" s="56" t="s">
        <v>184</v>
      </c>
      <c r="D336" s="54" t="s">
        <v>410</v>
      </c>
      <c r="E336" s="50" t="s">
        <v>215</v>
      </c>
    </row>
    <row r="337" ht="22.5" customHeight="1">
      <c r="A337" s="49">
        <v>46097.0</v>
      </c>
      <c r="B337" s="55">
        <v>24.0</v>
      </c>
      <c r="C337" s="56" t="s">
        <v>185</v>
      </c>
      <c r="D337" s="54" t="s">
        <v>411</v>
      </c>
      <c r="E337" s="50" t="s">
        <v>215</v>
      </c>
    </row>
    <row r="338" ht="22.5" customHeight="1">
      <c r="A338" s="49">
        <v>46097.0</v>
      </c>
      <c r="B338" s="55">
        <v>1.0</v>
      </c>
      <c r="C338" s="56" t="s">
        <v>200</v>
      </c>
      <c r="D338" s="54" t="s">
        <v>412</v>
      </c>
      <c r="E338" s="50" t="s">
        <v>215</v>
      </c>
    </row>
    <row r="339" ht="22.5" customHeight="1">
      <c r="A339" s="49">
        <v>46097.0</v>
      </c>
      <c r="B339" s="55">
        <v>10.0</v>
      </c>
      <c r="C339" s="56" t="s">
        <v>178</v>
      </c>
      <c r="D339" s="54" t="s">
        <v>413</v>
      </c>
      <c r="E339" s="50" t="s">
        <v>215</v>
      </c>
    </row>
    <row r="340" ht="22.5" customHeight="1">
      <c r="A340" s="49">
        <v>46098.0</v>
      </c>
      <c r="B340" s="55">
        <v>9.0</v>
      </c>
      <c r="C340" s="56" t="s">
        <v>182</v>
      </c>
      <c r="D340" s="54" t="s">
        <v>414</v>
      </c>
      <c r="E340" s="50" t="s">
        <v>215</v>
      </c>
    </row>
    <row r="341" ht="22.5" customHeight="1">
      <c r="A341" s="49">
        <v>46098.0</v>
      </c>
      <c r="B341" s="55">
        <v>1.0</v>
      </c>
      <c r="C341" s="56" t="s">
        <v>195</v>
      </c>
      <c r="D341" s="54" t="s">
        <v>415</v>
      </c>
      <c r="E341" s="50" t="s">
        <v>215</v>
      </c>
    </row>
    <row r="342" ht="22.5" customHeight="1">
      <c r="A342" s="49">
        <v>46098.0</v>
      </c>
      <c r="B342" s="55">
        <v>15.0</v>
      </c>
      <c r="C342" s="56" t="s">
        <v>176</v>
      </c>
      <c r="D342" s="54" t="s">
        <v>416</v>
      </c>
      <c r="E342" s="50" t="s">
        <v>215</v>
      </c>
    </row>
    <row r="343" ht="22.5" customHeight="1">
      <c r="A343" s="49">
        <v>46098.0</v>
      </c>
      <c r="B343" s="55">
        <v>2.0</v>
      </c>
      <c r="C343" s="56" t="s">
        <v>186</v>
      </c>
      <c r="D343" s="54" t="s">
        <v>417</v>
      </c>
      <c r="E343" s="50" t="s">
        <v>215</v>
      </c>
    </row>
    <row r="344" ht="22.5" customHeight="1">
      <c r="A344" s="49">
        <v>46098.0</v>
      </c>
      <c r="B344" s="55">
        <v>2.0</v>
      </c>
      <c r="C344" s="56" t="s">
        <v>187</v>
      </c>
      <c r="D344" s="54" t="s">
        <v>418</v>
      </c>
      <c r="E344" s="50" t="s">
        <v>215</v>
      </c>
    </row>
    <row r="345" ht="22.5" customHeight="1">
      <c r="A345" s="49">
        <v>46098.0</v>
      </c>
      <c r="B345" s="55">
        <v>1.0</v>
      </c>
      <c r="C345" s="56" t="s">
        <v>201</v>
      </c>
      <c r="D345" s="54" t="s">
        <v>419</v>
      </c>
      <c r="E345" s="50" t="s">
        <v>215</v>
      </c>
    </row>
    <row r="346" ht="22.5" customHeight="1">
      <c r="A346" s="49">
        <v>46098.0</v>
      </c>
      <c r="B346" s="55">
        <v>12.0</v>
      </c>
      <c r="C346" s="56" t="s">
        <v>174</v>
      </c>
      <c r="D346" s="54" t="s">
        <v>420</v>
      </c>
      <c r="E346" s="50" t="s">
        <v>215</v>
      </c>
    </row>
    <row r="347" ht="22.5" customHeight="1">
      <c r="A347" s="49">
        <v>46099.0</v>
      </c>
      <c r="B347" s="55">
        <v>15.0</v>
      </c>
      <c r="C347" s="56" t="s">
        <v>178</v>
      </c>
      <c r="D347" s="54" t="s">
        <v>421</v>
      </c>
      <c r="E347" s="50" t="s">
        <v>215</v>
      </c>
    </row>
    <row r="348" ht="22.5" customHeight="1">
      <c r="A348" s="49">
        <v>46099.0</v>
      </c>
      <c r="B348" s="55">
        <v>4.0</v>
      </c>
      <c r="C348" s="56" t="s">
        <v>186</v>
      </c>
      <c r="D348" s="54" t="s">
        <v>422</v>
      </c>
      <c r="E348" s="50" t="s">
        <v>215</v>
      </c>
    </row>
    <row r="349" ht="22.5" customHeight="1">
      <c r="A349" s="49">
        <v>46099.0</v>
      </c>
      <c r="B349" s="55">
        <v>4.0</v>
      </c>
      <c r="C349" s="56" t="s">
        <v>187</v>
      </c>
      <c r="D349" s="54" t="s">
        <v>423</v>
      </c>
      <c r="E349" s="50" t="s">
        <v>215</v>
      </c>
    </row>
    <row r="350" ht="22.5" customHeight="1">
      <c r="A350" s="49">
        <v>46099.0</v>
      </c>
      <c r="B350" s="55">
        <v>2.0</v>
      </c>
      <c r="C350" s="56" t="s">
        <v>192</v>
      </c>
      <c r="D350" s="54" t="s">
        <v>424</v>
      </c>
      <c r="E350" s="50" t="s">
        <v>215</v>
      </c>
    </row>
    <row r="351" ht="22.5" customHeight="1">
      <c r="A351" s="49">
        <v>46099.0</v>
      </c>
      <c r="B351" s="55">
        <v>14.0</v>
      </c>
      <c r="C351" s="56" t="s">
        <v>217</v>
      </c>
      <c r="D351" s="54" t="s">
        <v>425</v>
      </c>
      <c r="E351" s="50" t="s">
        <v>215</v>
      </c>
    </row>
    <row r="352" ht="22.5" customHeight="1">
      <c r="A352" s="49">
        <v>46100.0</v>
      </c>
      <c r="B352" s="55">
        <v>10.0</v>
      </c>
      <c r="C352" s="56" t="s">
        <v>178</v>
      </c>
      <c r="D352" s="54" t="s">
        <v>426</v>
      </c>
      <c r="E352" s="50" t="s">
        <v>215</v>
      </c>
    </row>
    <row r="353" ht="22.5" customHeight="1">
      <c r="A353" s="49">
        <v>46100.0</v>
      </c>
      <c r="B353" s="55">
        <v>10.0</v>
      </c>
      <c r="C353" s="56" t="s">
        <v>177</v>
      </c>
      <c r="D353" s="54" t="s">
        <v>427</v>
      </c>
      <c r="E353" s="50" t="s">
        <v>215</v>
      </c>
    </row>
    <row r="354" ht="22.5" customHeight="1">
      <c r="A354" s="49">
        <v>46100.0</v>
      </c>
      <c r="B354" s="55">
        <v>20.0</v>
      </c>
      <c r="C354" s="56" t="s">
        <v>176</v>
      </c>
      <c r="D354" s="54" t="s">
        <v>428</v>
      </c>
      <c r="E354" s="50" t="s">
        <v>215</v>
      </c>
    </row>
    <row r="355" ht="22.5" customHeight="1">
      <c r="A355" s="49">
        <v>46100.0</v>
      </c>
      <c r="B355" s="55">
        <v>8.0</v>
      </c>
      <c r="C355" s="56" t="s">
        <v>182</v>
      </c>
      <c r="D355" s="54" t="s">
        <v>429</v>
      </c>
      <c r="E355" s="50" t="s">
        <v>215</v>
      </c>
    </row>
    <row r="356" ht="22.5" customHeight="1">
      <c r="A356" s="49">
        <v>46100.0</v>
      </c>
      <c r="B356" s="55">
        <v>5.0</v>
      </c>
      <c r="C356" s="56" t="s">
        <v>186</v>
      </c>
      <c r="D356" s="54" t="s">
        <v>430</v>
      </c>
      <c r="E356" s="50" t="s">
        <v>215</v>
      </c>
    </row>
    <row r="357" ht="22.5" customHeight="1">
      <c r="A357" s="49">
        <v>46100.0</v>
      </c>
      <c r="B357" s="55">
        <v>5.0</v>
      </c>
      <c r="C357" s="56" t="s">
        <v>187</v>
      </c>
      <c r="D357" s="54" t="s">
        <v>431</v>
      </c>
      <c r="E357" s="50" t="s">
        <v>215</v>
      </c>
    </row>
    <row r="358" ht="22.5" customHeight="1">
      <c r="A358" s="49">
        <v>46100.0</v>
      </c>
      <c r="B358" s="55">
        <v>3.0</v>
      </c>
      <c r="C358" s="56" t="s">
        <v>192</v>
      </c>
      <c r="D358" s="54" t="s">
        <v>432</v>
      </c>
      <c r="E358" s="50" t="s">
        <v>215</v>
      </c>
    </row>
    <row r="359" ht="22.5" customHeight="1">
      <c r="A359" s="49">
        <v>46100.0</v>
      </c>
      <c r="B359" s="55">
        <v>1.0</v>
      </c>
      <c r="C359" s="56" t="s">
        <v>189</v>
      </c>
      <c r="D359" s="54" t="s">
        <v>433</v>
      </c>
      <c r="E359" s="50" t="s">
        <v>215</v>
      </c>
    </row>
    <row r="360" ht="22.5" customHeight="1">
      <c r="A360" s="49">
        <v>46100.0</v>
      </c>
      <c r="B360" s="55">
        <v>1.0</v>
      </c>
      <c r="C360" s="56" t="s">
        <v>225</v>
      </c>
      <c r="D360" s="54" t="s">
        <v>434</v>
      </c>
      <c r="E360" s="50" t="s">
        <v>215</v>
      </c>
    </row>
    <row r="361" ht="22.5" customHeight="1">
      <c r="A361" s="49">
        <v>46101.0</v>
      </c>
      <c r="B361" s="55">
        <v>15.0</v>
      </c>
      <c r="C361" s="56" t="s">
        <v>178</v>
      </c>
      <c r="D361" s="54" t="s">
        <v>435</v>
      </c>
      <c r="E361" s="50" t="s">
        <v>215</v>
      </c>
    </row>
    <row r="362" ht="22.5" customHeight="1">
      <c r="A362" s="49">
        <v>46101.0</v>
      </c>
      <c r="B362" s="55">
        <v>15.0</v>
      </c>
      <c r="C362" s="56" t="s">
        <v>177</v>
      </c>
      <c r="D362" s="54" t="s">
        <v>436</v>
      </c>
      <c r="E362" s="50" t="s">
        <v>215</v>
      </c>
    </row>
    <row r="363" ht="22.5" customHeight="1">
      <c r="A363" s="49">
        <v>46101.0</v>
      </c>
      <c r="B363" s="55">
        <v>12.0</v>
      </c>
      <c r="C363" s="56" t="s">
        <v>182</v>
      </c>
      <c r="D363" s="54" t="s">
        <v>437</v>
      </c>
      <c r="E363" s="50" t="s">
        <v>215</v>
      </c>
    </row>
    <row r="364" ht="22.5" customHeight="1">
      <c r="A364" s="49">
        <v>46101.0</v>
      </c>
      <c r="B364" s="55">
        <v>2.0</v>
      </c>
      <c r="C364" s="56" t="s">
        <v>189</v>
      </c>
      <c r="D364" s="54" t="s">
        <v>438</v>
      </c>
      <c r="E364" s="50" t="s">
        <v>215</v>
      </c>
    </row>
    <row r="365" ht="22.5" customHeight="1">
      <c r="A365" s="49">
        <v>46101.0</v>
      </c>
      <c r="B365" s="55">
        <v>1.0</v>
      </c>
      <c r="C365" s="56" t="s">
        <v>181</v>
      </c>
      <c r="D365" s="54" t="s">
        <v>439</v>
      </c>
      <c r="E365" s="50" t="s">
        <v>215</v>
      </c>
    </row>
    <row r="366" ht="22.5" customHeight="1">
      <c r="A366" s="49">
        <v>46101.0</v>
      </c>
      <c r="B366" s="55">
        <v>3.0</v>
      </c>
      <c r="C366" s="56" t="s">
        <v>200</v>
      </c>
      <c r="D366" s="54" t="s">
        <v>440</v>
      </c>
      <c r="E366" s="50" t="s">
        <v>215</v>
      </c>
    </row>
    <row r="367" ht="22.5" customHeight="1">
      <c r="A367" s="49">
        <v>46101.0</v>
      </c>
      <c r="B367" s="55">
        <v>12.0</v>
      </c>
      <c r="C367" s="56" t="s">
        <v>174</v>
      </c>
      <c r="D367" s="54" t="s">
        <v>441</v>
      </c>
      <c r="E367" s="50" t="s">
        <v>215</v>
      </c>
    </row>
    <row r="368" ht="22.5" customHeight="1">
      <c r="A368" s="49">
        <v>46105.0</v>
      </c>
      <c r="B368" s="55">
        <v>15.0</v>
      </c>
      <c r="C368" s="56" t="s">
        <v>178</v>
      </c>
      <c r="D368" s="54" t="s">
        <v>442</v>
      </c>
      <c r="E368" s="50" t="s">
        <v>215</v>
      </c>
    </row>
    <row r="369" ht="22.5" customHeight="1">
      <c r="A369" s="49">
        <v>46105.0</v>
      </c>
      <c r="B369" s="55">
        <v>10.0</v>
      </c>
      <c r="C369" s="56" t="s">
        <v>176</v>
      </c>
      <c r="D369" s="54" t="s">
        <v>443</v>
      </c>
      <c r="E369" s="50" t="s">
        <v>215</v>
      </c>
    </row>
    <row r="370" ht="22.5" customHeight="1">
      <c r="A370" s="49">
        <v>46105.0</v>
      </c>
      <c r="B370" s="55">
        <v>8.0</v>
      </c>
      <c r="C370" s="56" t="s">
        <v>182</v>
      </c>
      <c r="D370" s="54" t="s">
        <v>444</v>
      </c>
      <c r="E370" s="50" t="s">
        <v>215</v>
      </c>
    </row>
    <row r="371" ht="22.5" customHeight="1">
      <c r="A371" s="49">
        <v>46105.0</v>
      </c>
      <c r="B371" s="55">
        <v>1.0</v>
      </c>
      <c r="C371" s="56" t="s">
        <v>195</v>
      </c>
      <c r="D371" s="54" t="s">
        <v>445</v>
      </c>
      <c r="E371" s="50" t="s">
        <v>215</v>
      </c>
    </row>
    <row r="372" ht="22.5" customHeight="1">
      <c r="A372" s="49">
        <v>46105.0</v>
      </c>
      <c r="B372" s="55">
        <v>1.0</v>
      </c>
      <c r="C372" s="56" t="s">
        <v>189</v>
      </c>
      <c r="D372" s="54" t="s">
        <v>446</v>
      </c>
      <c r="E372" s="50" t="s">
        <v>215</v>
      </c>
    </row>
    <row r="373" ht="22.5" customHeight="1">
      <c r="A373" s="49">
        <v>46105.0</v>
      </c>
      <c r="B373" s="55">
        <v>8.0</v>
      </c>
      <c r="C373" s="56" t="s">
        <v>174</v>
      </c>
      <c r="D373" s="54" t="s">
        <v>447</v>
      </c>
      <c r="E373" s="50" t="s">
        <v>215</v>
      </c>
    </row>
    <row r="374" ht="22.5" customHeight="1">
      <c r="A374" s="49">
        <v>46106.0</v>
      </c>
      <c r="B374" s="55">
        <v>15.0</v>
      </c>
      <c r="C374" s="56" t="s">
        <v>178</v>
      </c>
      <c r="D374" s="54" t="s">
        <v>448</v>
      </c>
      <c r="E374" s="50" t="s">
        <v>215</v>
      </c>
    </row>
    <row r="375" ht="22.5" customHeight="1">
      <c r="A375" s="49">
        <v>46106.0</v>
      </c>
      <c r="B375" s="55">
        <v>15.0</v>
      </c>
      <c r="C375" s="56" t="s">
        <v>177</v>
      </c>
      <c r="D375" s="54" t="s">
        <v>449</v>
      </c>
      <c r="E375" s="50" t="s">
        <v>215</v>
      </c>
    </row>
    <row r="376" ht="22.5" customHeight="1">
      <c r="A376" s="49">
        <v>46106.0</v>
      </c>
      <c r="B376" s="55">
        <v>10.0</v>
      </c>
      <c r="C376" s="56" t="s">
        <v>176</v>
      </c>
      <c r="D376" s="54" t="s">
        <v>450</v>
      </c>
      <c r="E376" s="50" t="s">
        <v>215</v>
      </c>
    </row>
    <row r="377" ht="22.5" customHeight="1">
      <c r="A377" s="84">
        <v>46107.0</v>
      </c>
      <c r="B377" s="85">
        <v>96.0</v>
      </c>
      <c r="C377" s="86" t="s">
        <v>183</v>
      </c>
      <c r="D377" s="54" t="s">
        <v>451</v>
      </c>
      <c r="E377" s="50" t="s">
        <v>215</v>
      </c>
    </row>
    <row r="378" ht="22.5" customHeight="1">
      <c r="A378" s="84">
        <v>46107.0</v>
      </c>
      <c r="B378" s="85">
        <v>18.0</v>
      </c>
      <c r="C378" s="86" t="s">
        <v>184</v>
      </c>
      <c r="D378" s="54" t="s">
        <v>452</v>
      </c>
      <c r="E378" s="50" t="s">
        <v>215</v>
      </c>
    </row>
    <row r="379" ht="22.5" customHeight="1">
      <c r="A379" s="84">
        <v>46107.0</v>
      </c>
      <c r="B379" s="85">
        <v>15.0</v>
      </c>
      <c r="C379" s="86" t="s">
        <v>182</v>
      </c>
      <c r="D379" s="54" t="s">
        <v>453</v>
      </c>
      <c r="E379" s="50" t="s">
        <v>215</v>
      </c>
    </row>
    <row r="380" ht="22.5" customHeight="1">
      <c r="A380" s="84">
        <v>46107.0</v>
      </c>
      <c r="B380" s="85">
        <v>12.0</v>
      </c>
      <c r="C380" s="86" t="s">
        <v>185</v>
      </c>
      <c r="D380" s="54" t="s">
        <v>454</v>
      </c>
      <c r="E380" s="50" t="s">
        <v>215</v>
      </c>
    </row>
    <row r="381" ht="22.5" customHeight="1">
      <c r="A381" s="84">
        <v>46108.0</v>
      </c>
      <c r="B381" s="85">
        <v>4.0</v>
      </c>
      <c r="C381" s="86" t="s">
        <v>182</v>
      </c>
      <c r="D381" s="54" t="s">
        <v>455</v>
      </c>
      <c r="E381" s="50" t="s">
        <v>215</v>
      </c>
    </row>
    <row r="382" ht="22.5" customHeight="1">
      <c r="A382" s="84">
        <v>46108.0</v>
      </c>
      <c r="B382" s="85">
        <v>4.0</v>
      </c>
      <c r="C382" s="86" t="s">
        <v>186</v>
      </c>
      <c r="D382" s="54" t="s">
        <v>456</v>
      </c>
      <c r="E382" s="50" t="s">
        <v>215</v>
      </c>
    </row>
    <row r="383" ht="22.5" customHeight="1">
      <c r="A383" s="84">
        <v>46108.0</v>
      </c>
      <c r="B383" s="87">
        <v>4.0</v>
      </c>
      <c r="C383" s="88" t="s">
        <v>187</v>
      </c>
      <c r="D383" s="54" t="s">
        <v>457</v>
      </c>
      <c r="E383" s="50" t="s">
        <v>215</v>
      </c>
    </row>
    <row r="384" ht="22.5" customHeight="1">
      <c r="A384" s="84">
        <v>46108.0</v>
      </c>
      <c r="B384" s="87">
        <v>10.0</v>
      </c>
      <c r="C384" s="88" t="s">
        <v>178</v>
      </c>
      <c r="D384" s="54" t="s">
        <v>458</v>
      </c>
      <c r="E384" s="50" t="s">
        <v>215</v>
      </c>
    </row>
    <row r="385" ht="22.5" customHeight="1">
      <c r="A385" s="84">
        <v>46108.0</v>
      </c>
      <c r="B385" s="87">
        <v>10.0</v>
      </c>
      <c r="C385" s="88" t="s">
        <v>176</v>
      </c>
      <c r="D385" s="54" t="s">
        <v>459</v>
      </c>
      <c r="E385" s="50" t="s">
        <v>215</v>
      </c>
    </row>
    <row r="386" ht="22.5" customHeight="1">
      <c r="A386" s="84">
        <v>46108.0</v>
      </c>
      <c r="B386" s="87">
        <v>1.0</v>
      </c>
      <c r="C386" s="88" t="s">
        <v>189</v>
      </c>
      <c r="D386" s="54" t="s">
        <v>460</v>
      </c>
      <c r="E386" s="50" t="s">
        <v>215</v>
      </c>
    </row>
    <row r="387" ht="22.5" customHeight="1">
      <c r="A387" s="84">
        <v>46108.0</v>
      </c>
      <c r="B387" s="87">
        <v>12.0</v>
      </c>
      <c r="C387" s="88" t="s">
        <v>174</v>
      </c>
      <c r="D387" s="89" t="s">
        <v>461</v>
      </c>
      <c r="E387" s="50" t="s">
        <v>215</v>
      </c>
    </row>
    <row r="388" ht="22.5" customHeight="1">
      <c r="A388" s="84">
        <v>46108.0</v>
      </c>
      <c r="B388" s="87">
        <v>1.0</v>
      </c>
      <c r="C388" s="88" t="s">
        <v>462</v>
      </c>
      <c r="D388" s="78" t="s">
        <v>285</v>
      </c>
      <c r="E388" s="50"/>
    </row>
    <row r="389" ht="22.5" customHeight="1">
      <c r="A389" s="84">
        <v>46109.0</v>
      </c>
      <c r="B389" s="87">
        <v>10.0</v>
      </c>
      <c r="C389" s="88" t="s">
        <v>178</v>
      </c>
      <c r="D389" s="59" t="s">
        <v>463</v>
      </c>
      <c r="E389" s="50" t="s">
        <v>215</v>
      </c>
    </row>
    <row r="390" ht="22.5" customHeight="1">
      <c r="A390" s="84">
        <v>46109.0</v>
      </c>
      <c r="B390" s="87">
        <v>10.0</v>
      </c>
      <c r="C390" s="88" t="s">
        <v>177</v>
      </c>
      <c r="D390" s="59" t="s">
        <v>464</v>
      </c>
      <c r="E390" s="50" t="s">
        <v>215</v>
      </c>
    </row>
    <row r="391" ht="22.5" customHeight="1">
      <c r="A391" s="84">
        <v>46109.0</v>
      </c>
      <c r="B391" s="87">
        <v>10.0</v>
      </c>
      <c r="C391" s="88" t="s">
        <v>176</v>
      </c>
      <c r="D391" s="59" t="s">
        <v>465</v>
      </c>
      <c r="E391" s="50" t="s">
        <v>215</v>
      </c>
    </row>
    <row r="392" ht="22.5" customHeight="1">
      <c r="A392" s="90">
        <v>46111.0</v>
      </c>
      <c r="B392" s="87">
        <v>32.0</v>
      </c>
      <c r="C392" s="88" t="s">
        <v>183</v>
      </c>
      <c r="D392" s="59" t="s">
        <v>466</v>
      </c>
      <c r="E392" s="50" t="s">
        <v>215</v>
      </c>
    </row>
    <row r="393" ht="22.5" customHeight="1">
      <c r="A393" s="90">
        <v>46111.0</v>
      </c>
      <c r="B393" s="87">
        <v>24.0</v>
      </c>
      <c r="C393" s="88" t="s">
        <v>184</v>
      </c>
      <c r="D393" s="59" t="s">
        <v>467</v>
      </c>
      <c r="E393" s="50" t="s">
        <v>215</v>
      </c>
    </row>
    <row r="394" ht="22.5" customHeight="1">
      <c r="A394" s="90">
        <v>46111.0</v>
      </c>
      <c r="B394" s="87">
        <v>18.0</v>
      </c>
      <c r="C394" s="88" t="s">
        <v>185</v>
      </c>
      <c r="D394" s="59" t="s">
        <v>468</v>
      </c>
      <c r="E394" s="50" t="s">
        <v>215</v>
      </c>
    </row>
    <row r="395" ht="22.5" customHeight="1">
      <c r="A395" s="90">
        <v>46111.0</v>
      </c>
      <c r="B395" s="87">
        <v>10.0</v>
      </c>
      <c r="C395" s="88" t="s">
        <v>176</v>
      </c>
      <c r="D395" s="59" t="s">
        <v>469</v>
      </c>
      <c r="E395" s="50" t="s">
        <v>215</v>
      </c>
    </row>
    <row r="396" ht="22.5" customHeight="1">
      <c r="A396" s="90">
        <v>46111.0</v>
      </c>
      <c r="B396" s="87">
        <v>10.0</v>
      </c>
      <c r="C396" s="88" t="s">
        <v>177</v>
      </c>
      <c r="D396" s="59" t="s">
        <v>470</v>
      </c>
      <c r="E396" s="50" t="s">
        <v>215</v>
      </c>
    </row>
    <row r="397" ht="22.5" customHeight="1">
      <c r="A397" s="90">
        <v>46111.0</v>
      </c>
      <c r="B397" s="87">
        <v>10.0</v>
      </c>
      <c r="C397" s="88" t="s">
        <v>178</v>
      </c>
      <c r="D397" s="59" t="s">
        <v>471</v>
      </c>
      <c r="E397" s="50" t="s">
        <v>215</v>
      </c>
    </row>
    <row r="398" ht="22.5" customHeight="1">
      <c r="A398" s="90">
        <v>46111.0</v>
      </c>
      <c r="B398" s="87">
        <v>2.0</v>
      </c>
      <c r="C398" s="88" t="s">
        <v>189</v>
      </c>
      <c r="D398" s="59" t="s">
        <v>472</v>
      </c>
      <c r="E398" s="50" t="s">
        <v>215</v>
      </c>
    </row>
    <row r="399" ht="22.5" customHeight="1">
      <c r="A399" s="90">
        <v>46111.0</v>
      </c>
      <c r="B399" s="87">
        <v>6.0</v>
      </c>
      <c r="C399" s="88" t="s">
        <v>217</v>
      </c>
      <c r="D399" s="59" t="s">
        <v>473</v>
      </c>
      <c r="E399" s="50" t="s">
        <v>215</v>
      </c>
    </row>
    <row r="400" ht="22.5" customHeight="1">
      <c r="A400" s="90">
        <v>46112.0</v>
      </c>
      <c r="B400" s="87">
        <v>15.0</v>
      </c>
      <c r="C400" s="88" t="s">
        <v>178</v>
      </c>
      <c r="D400" s="59" t="s">
        <v>474</v>
      </c>
      <c r="E400" s="50" t="s">
        <v>215</v>
      </c>
    </row>
    <row r="401" ht="22.5" customHeight="1">
      <c r="A401" s="90">
        <v>46112.0</v>
      </c>
      <c r="B401" s="87">
        <v>15.0</v>
      </c>
      <c r="C401" s="88" t="s">
        <v>177</v>
      </c>
      <c r="D401" s="59" t="s">
        <v>475</v>
      </c>
      <c r="E401" s="50" t="s">
        <v>215</v>
      </c>
    </row>
    <row r="402" ht="22.5" customHeight="1">
      <c r="A402" s="90">
        <v>46112.0</v>
      </c>
      <c r="B402" s="87">
        <v>6.0</v>
      </c>
      <c r="C402" s="88" t="s">
        <v>176</v>
      </c>
      <c r="D402" s="59" t="s">
        <v>476</v>
      </c>
      <c r="E402" s="50" t="s">
        <v>215</v>
      </c>
    </row>
    <row r="403" ht="22.5" customHeight="1">
      <c r="A403" s="90">
        <v>46112.0</v>
      </c>
      <c r="B403" s="87">
        <v>2.0</v>
      </c>
      <c r="C403" s="88" t="s">
        <v>189</v>
      </c>
      <c r="D403" s="59" t="s">
        <v>477</v>
      </c>
      <c r="E403" s="50" t="s">
        <v>215</v>
      </c>
    </row>
    <row r="404" ht="22.5" customHeight="1">
      <c r="A404" s="90">
        <v>46112.0</v>
      </c>
      <c r="B404" s="87">
        <v>1.0</v>
      </c>
      <c r="C404" s="88" t="s">
        <v>203</v>
      </c>
      <c r="D404" s="59" t="s">
        <v>478</v>
      </c>
      <c r="E404" s="50" t="s">
        <v>215</v>
      </c>
    </row>
    <row r="405" ht="22.5" customHeight="1">
      <c r="A405" s="90">
        <v>46112.0</v>
      </c>
      <c r="B405" s="87">
        <v>2.0</v>
      </c>
      <c r="C405" s="88" t="s">
        <v>197</v>
      </c>
      <c r="D405" s="59" t="s">
        <v>479</v>
      </c>
      <c r="E405" s="50" t="s">
        <v>215</v>
      </c>
    </row>
    <row r="406" ht="22.5" customHeight="1">
      <c r="A406" s="90">
        <v>46112.0</v>
      </c>
      <c r="B406" s="87">
        <v>90.0</v>
      </c>
      <c r="C406" s="88" t="s">
        <v>183</v>
      </c>
      <c r="D406" s="59" t="s">
        <v>480</v>
      </c>
      <c r="E406" s="50" t="s">
        <v>215</v>
      </c>
    </row>
    <row r="407" ht="22.5" customHeight="1">
      <c r="A407" s="90">
        <v>46112.0</v>
      </c>
      <c r="B407" s="87">
        <v>3.0</v>
      </c>
      <c r="C407" s="88" t="s">
        <v>184</v>
      </c>
      <c r="D407" s="59" t="s">
        <v>481</v>
      </c>
      <c r="E407" s="50" t="s">
        <v>215</v>
      </c>
    </row>
    <row r="408" ht="22.5" customHeight="1">
      <c r="A408" s="90">
        <v>46112.0</v>
      </c>
      <c r="B408" s="87">
        <v>3.0</v>
      </c>
      <c r="C408" s="88" t="s">
        <v>185</v>
      </c>
      <c r="D408" s="59" t="s">
        <v>482</v>
      </c>
      <c r="E408" s="50" t="s">
        <v>215</v>
      </c>
    </row>
    <row r="409" ht="22.5" customHeight="1">
      <c r="A409" s="90">
        <v>46112.0</v>
      </c>
      <c r="B409" s="87">
        <v>12.0</v>
      </c>
      <c r="C409" s="88" t="s">
        <v>174</v>
      </c>
      <c r="D409" s="59" t="s">
        <v>483</v>
      </c>
      <c r="E409" s="50" t="s">
        <v>215</v>
      </c>
    </row>
    <row r="410" ht="22.5" customHeight="1">
      <c r="A410" s="90">
        <v>46113.0</v>
      </c>
      <c r="B410" s="87">
        <v>8.0</v>
      </c>
      <c r="C410" s="88" t="s">
        <v>182</v>
      </c>
      <c r="D410" s="59" t="s">
        <v>484</v>
      </c>
      <c r="E410" s="50" t="s">
        <v>215</v>
      </c>
    </row>
    <row r="411" ht="22.5" customHeight="1">
      <c r="A411" s="90">
        <v>46113.0</v>
      </c>
      <c r="B411" s="87">
        <v>6.0</v>
      </c>
      <c r="C411" s="88" t="s">
        <v>176</v>
      </c>
      <c r="D411" s="59" t="s">
        <v>485</v>
      </c>
      <c r="E411" s="50" t="s">
        <v>215</v>
      </c>
    </row>
    <row r="412" ht="22.5" customHeight="1">
      <c r="A412" s="90">
        <v>46113.0</v>
      </c>
      <c r="B412" s="87">
        <v>6.0</v>
      </c>
      <c r="C412" s="88" t="s">
        <v>178</v>
      </c>
      <c r="D412" s="59" t="s">
        <v>486</v>
      </c>
      <c r="E412" s="50" t="s">
        <v>215</v>
      </c>
    </row>
    <row r="413" ht="22.5" customHeight="1">
      <c r="A413" s="90">
        <v>46113.0</v>
      </c>
      <c r="B413" s="87">
        <v>1.0</v>
      </c>
      <c r="C413" s="88" t="s">
        <v>189</v>
      </c>
      <c r="D413" s="59" t="s">
        <v>487</v>
      </c>
      <c r="E413" s="50" t="s">
        <v>215</v>
      </c>
    </row>
    <row r="414" ht="22.5" customHeight="1">
      <c r="A414" s="90">
        <v>46116.0</v>
      </c>
      <c r="B414" s="87">
        <v>10.0</v>
      </c>
      <c r="C414" s="88" t="s">
        <v>178</v>
      </c>
      <c r="D414" s="59" t="s">
        <v>488</v>
      </c>
      <c r="E414" s="50" t="s">
        <v>215</v>
      </c>
    </row>
    <row r="415" ht="22.5" customHeight="1">
      <c r="A415" s="90">
        <v>46116.0</v>
      </c>
      <c r="B415" s="87">
        <v>10.0</v>
      </c>
      <c r="C415" s="88" t="s">
        <v>177</v>
      </c>
      <c r="D415" s="59" t="s">
        <v>489</v>
      </c>
      <c r="E415" s="50" t="s">
        <v>215</v>
      </c>
    </row>
    <row r="416" ht="22.5" customHeight="1">
      <c r="A416" s="90">
        <v>46116.0</v>
      </c>
      <c r="B416" s="87">
        <v>7.0</v>
      </c>
      <c r="C416" s="88" t="s">
        <v>176</v>
      </c>
      <c r="D416" s="59" t="s">
        <v>490</v>
      </c>
      <c r="E416" s="50" t="s">
        <v>215</v>
      </c>
    </row>
    <row r="417" ht="22.5" customHeight="1">
      <c r="A417" s="90">
        <v>46118.0</v>
      </c>
      <c r="B417" s="87">
        <v>10.0</v>
      </c>
      <c r="C417" s="88" t="s">
        <v>178</v>
      </c>
      <c r="D417" s="59" t="s">
        <v>491</v>
      </c>
      <c r="E417" s="50" t="s">
        <v>215</v>
      </c>
    </row>
    <row r="418" ht="22.5" customHeight="1">
      <c r="A418" s="90">
        <v>46119.0</v>
      </c>
      <c r="B418" s="87">
        <v>15.0</v>
      </c>
      <c r="C418" s="88" t="s">
        <v>178</v>
      </c>
      <c r="D418" s="59" t="s">
        <v>492</v>
      </c>
      <c r="E418" s="50" t="s">
        <v>215</v>
      </c>
    </row>
    <row r="419" ht="22.5" customHeight="1">
      <c r="A419" s="90">
        <v>46119.0</v>
      </c>
      <c r="B419" s="87">
        <v>8.0</v>
      </c>
      <c r="C419" s="88" t="s">
        <v>176</v>
      </c>
      <c r="D419" s="59" t="s">
        <v>493</v>
      </c>
      <c r="E419" s="50" t="s">
        <v>215</v>
      </c>
    </row>
    <row r="420" ht="22.5" customHeight="1">
      <c r="A420" s="90">
        <v>46119.0</v>
      </c>
      <c r="B420" s="87">
        <v>5.0</v>
      </c>
      <c r="C420" s="88" t="s">
        <v>208</v>
      </c>
      <c r="D420" s="59" t="s">
        <v>494</v>
      </c>
      <c r="E420" s="50" t="s">
        <v>215</v>
      </c>
    </row>
    <row r="421" ht="22.5" customHeight="1">
      <c r="A421" s="90">
        <v>46119.0</v>
      </c>
      <c r="B421" s="87">
        <v>5.0</v>
      </c>
      <c r="C421" s="88" t="s">
        <v>207</v>
      </c>
      <c r="D421" s="59" t="s">
        <v>495</v>
      </c>
      <c r="E421" s="50" t="s">
        <v>215</v>
      </c>
    </row>
    <row r="422" ht="22.5" customHeight="1">
      <c r="A422" s="90">
        <v>46119.0</v>
      </c>
      <c r="B422" s="87">
        <v>5.0</v>
      </c>
      <c r="C422" s="88" t="s">
        <v>206</v>
      </c>
      <c r="D422" s="59" t="s">
        <v>496</v>
      </c>
      <c r="E422" s="50" t="s">
        <v>215</v>
      </c>
    </row>
    <row r="423" ht="22.5" customHeight="1">
      <c r="A423" s="90">
        <v>46119.0</v>
      </c>
      <c r="B423" s="87">
        <v>3.0</v>
      </c>
      <c r="C423" s="88" t="s">
        <v>182</v>
      </c>
      <c r="D423" s="59" t="s">
        <v>497</v>
      </c>
      <c r="E423" s="50" t="s">
        <v>215</v>
      </c>
    </row>
    <row r="424" ht="22.5" customHeight="1">
      <c r="A424" s="90">
        <v>46120.0</v>
      </c>
      <c r="B424" s="87">
        <v>6.0</v>
      </c>
      <c r="C424" s="88" t="s">
        <v>178</v>
      </c>
      <c r="D424" s="59" t="s">
        <v>498</v>
      </c>
      <c r="E424" s="50" t="s">
        <v>215</v>
      </c>
    </row>
    <row r="425" ht="22.5" customHeight="1">
      <c r="A425" s="90">
        <v>46120.0</v>
      </c>
      <c r="B425" s="87">
        <v>6.0</v>
      </c>
      <c r="C425" s="88" t="s">
        <v>177</v>
      </c>
      <c r="D425" s="59" t="s">
        <v>499</v>
      </c>
      <c r="E425" s="50" t="s">
        <v>215</v>
      </c>
    </row>
    <row r="426" ht="22.5" customHeight="1">
      <c r="A426" s="90">
        <v>46120.0</v>
      </c>
      <c r="B426" s="87">
        <v>3.0</v>
      </c>
      <c r="C426" s="88" t="s">
        <v>189</v>
      </c>
      <c r="D426" s="59" t="s">
        <v>500</v>
      </c>
      <c r="E426" s="50" t="s">
        <v>215</v>
      </c>
    </row>
    <row r="427" ht="22.5" customHeight="1">
      <c r="A427" s="90">
        <v>46120.0</v>
      </c>
      <c r="B427" s="87">
        <v>10.0</v>
      </c>
      <c r="C427" s="88" t="s">
        <v>206</v>
      </c>
      <c r="D427" s="59" t="s">
        <v>501</v>
      </c>
      <c r="E427" s="50" t="s">
        <v>215</v>
      </c>
    </row>
    <row r="428" ht="22.5" customHeight="1">
      <c r="A428" s="90">
        <v>46120.0</v>
      </c>
      <c r="B428" s="87">
        <v>10.0</v>
      </c>
      <c r="C428" s="88" t="s">
        <v>208</v>
      </c>
      <c r="D428" s="59" t="s">
        <v>502</v>
      </c>
      <c r="E428" s="50" t="s">
        <v>215</v>
      </c>
    </row>
    <row r="429" ht="22.5" customHeight="1">
      <c r="A429" s="90">
        <v>46120.0</v>
      </c>
      <c r="B429" s="87">
        <v>10.0</v>
      </c>
      <c r="C429" s="88" t="s">
        <v>207</v>
      </c>
      <c r="D429" s="59" t="s">
        <v>503</v>
      </c>
      <c r="E429" s="50" t="s">
        <v>215</v>
      </c>
    </row>
    <row r="430" ht="22.5" customHeight="1">
      <c r="A430" s="90">
        <v>46120.0</v>
      </c>
      <c r="B430" s="87">
        <v>5.0</v>
      </c>
      <c r="C430" s="88" t="s">
        <v>209</v>
      </c>
      <c r="D430" s="59" t="s">
        <v>504</v>
      </c>
      <c r="E430" s="50" t="s">
        <v>215</v>
      </c>
    </row>
    <row r="431" ht="22.5" customHeight="1">
      <c r="A431" s="90">
        <v>46120.0</v>
      </c>
      <c r="B431" s="87">
        <v>4.0</v>
      </c>
      <c r="C431" s="88" t="s">
        <v>182</v>
      </c>
      <c r="D431" s="59" t="s">
        <v>505</v>
      </c>
      <c r="E431" s="50" t="s">
        <v>215</v>
      </c>
    </row>
    <row r="432" ht="22.5" customHeight="1">
      <c r="A432" s="90">
        <v>46120.0</v>
      </c>
      <c r="B432" s="87">
        <v>9.0</v>
      </c>
      <c r="C432" s="88" t="s">
        <v>184</v>
      </c>
      <c r="D432" s="59" t="s">
        <v>506</v>
      </c>
      <c r="E432" s="50" t="s">
        <v>215</v>
      </c>
    </row>
    <row r="433" ht="22.5" customHeight="1">
      <c r="A433" s="90">
        <v>46120.0</v>
      </c>
      <c r="B433" s="87">
        <v>3.0</v>
      </c>
      <c r="C433" s="88" t="s">
        <v>185</v>
      </c>
      <c r="D433" s="59" t="s">
        <v>507</v>
      </c>
      <c r="E433" s="50" t="s">
        <v>215</v>
      </c>
    </row>
    <row r="434" ht="22.5" customHeight="1">
      <c r="A434" s="90">
        <v>46121.0</v>
      </c>
      <c r="B434" s="87">
        <v>12.0</v>
      </c>
      <c r="C434" s="88" t="s">
        <v>174</v>
      </c>
      <c r="D434" s="59" t="s">
        <v>508</v>
      </c>
      <c r="E434" s="50" t="s">
        <v>215</v>
      </c>
    </row>
    <row r="435" ht="22.5" customHeight="1">
      <c r="A435" s="90">
        <v>46121.0</v>
      </c>
      <c r="B435" s="87">
        <v>7.0</v>
      </c>
      <c r="C435" s="88" t="s">
        <v>178</v>
      </c>
      <c r="D435" s="59" t="s">
        <v>509</v>
      </c>
      <c r="E435" s="50" t="s">
        <v>215</v>
      </c>
    </row>
    <row r="436" ht="22.5" customHeight="1">
      <c r="A436" s="90">
        <v>46121.0</v>
      </c>
      <c r="B436" s="87">
        <v>10.0</v>
      </c>
      <c r="C436" s="88" t="s">
        <v>177</v>
      </c>
      <c r="D436" s="59" t="s">
        <v>510</v>
      </c>
      <c r="E436" s="50" t="s">
        <v>215</v>
      </c>
    </row>
    <row r="437" ht="22.5" customHeight="1">
      <c r="A437" s="90">
        <v>46121.0</v>
      </c>
      <c r="B437" s="87">
        <v>10.0</v>
      </c>
      <c r="C437" s="88" t="s">
        <v>176</v>
      </c>
      <c r="D437" s="59" t="s">
        <v>511</v>
      </c>
      <c r="E437" s="50" t="s">
        <v>215</v>
      </c>
    </row>
    <row r="438" ht="22.5" customHeight="1">
      <c r="A438" s="90">
        <v>46121.0</v>
      </c>
      <c r="B438" s="87">
        <v>3.0</v>
      </c>
      <c r="C438" s="88" t="s">
        <v>186</v>
      </c>
      <c r="D438" s="59" t="s">
        <v>512</v>
      </c>
      <c r="E438" s="50" t="s">
        <v>215</v>
      </c>
    </row>
    <row r="439" ht="22.5" customHeight="1">
      <c r="A439" s="90">
        <v>46121.0</v>
      </c>
      <c r="B439" s="87">
        <v>5.0</v>
      </c>
      <c r="C439" s="88" t="s">
        <v>208</v>
      </c>
      <c r="D439" s="59" t="s">
        <v>513</v>
      </c>
      <c r="E439" s="50" t="s">
        <v>215</v>
      </c>
    </row>
    <row r="440" ht="22.5" customHeight="1">
      <c r="A440" s="90">
        <v>46121.0</v>
      </c>
      <c r="B440" s="87">
        <v>5.0</v>
      </c>
      <c r="C440" s="88" t="s">
        <v>206</v>
      </c>
      <c r="D440" s="59" t="s">
        <v>514</v>
      </c>
      <c r="E440" s="50" t="s">
        <v>215</v>
      </c>
    </row>
    <row r="441" ht="22.5" customHeight="1">
      <c r="A441" s="90">
        <v>46121.0</v>
      </c>
      <c r="B441" s="87">
        <v>5.0</v>
      </c>
      <c r="C441" s="88" t="s">
        <v>207</v>
      </c>
      <c r="D441" s="59" t="s">
        <v>515</v>
      </c>
      <c r="E441" s="50" t="s">
        <v>215</v>
      </c>
    </row>
    <row r="442" ht="22.5" customHeight="1">
      <c r="A442" s="90">
        <v>46122.0</v>
      </c>
      <c r="B442" s="87">
        <v>6.0</v>
      </c>
      <c r="C442" s="88" t="s">
        <v>176</v>
      </c>
      <c r="D442" s="59" t="s">
        <v>516</v>
      </c>
      <c r="E442" s="50" t="s">
        <v>215</v>
      </c>
    </row>
    <row r="443" ht="22.5" customHeight="1">
      <c r="A443" s="90">
        <v>46122.0</v>
      </c>
      <c r="B443" s="87">
        <v>6.0</v>
      </c>
      <c r="C443" s="88" t="s">
        <v>186</v>
      </c>
      <c r="D443" s="59" t="s">
        <v>517</v>
      </c>
      <c r="E443" s="50" t="s">
        <v>215</v>
      </c>
    </row>
    <row r="444" ht="22.5" customHeight="1">
      <c r="A444" s="90">
        <v>46122.0</v>
      </c>
      <c r="B444" s="87">
        <v>2.0</v>
      </c>
      <c r="C444" s="88" t="s">
        <v>187</v>
      </c>
      <c r="D444" s="59" t="s">
        <v>518</v>
      </c>
      <c r="E444" s="50" t="s">
        <v>215</v>
      </c>
    </row>
    <row r="445" ht="22.5" customHeight="1">
      <c r="A445" s="90">
        <v>46122.0</v>
      </c>
      <c r="B445" s="87">
        <v>8.0</v>
      </c>
      <c r="C445" s="88" t="s">
        <v>182</v>
      </c>
      <c r="D445" s="59" t="s">
        <v>519</v>
      </c>
      <c r="E445" s="50" t="s">
        <v>215</v>
      </c>
    </row>
    <row r="446" ht="22.5" customHeight="1">
      <c r="A446" s="90">
        <v>46122.0</v>
      </c>
      <c r="B446" s="87">
        <v>2.0</v>
      </c>
      <c r="C446" s="88" t="s">
        <v>520</v>
      </c>
      <c r="D446" s="59"/>
      <c r="E446" s="50" t="s">
        <v>215</v>
      </c>
    </row>
    <row r="447" ht="22.5" customHeight="1">
      <c r="A447" s="90">
        <v>46122.0</v>
      </c>
      <c r="B447" s="87">
        <v>12.0</v>
      </c>
      <c r="C447" s="88" t="s">
        <v>174</v>
      </c>
      <c r="D447" s="59" t="s">
        <v>521</v>
      </c>
      <c r="E447" s="50" t="s">
        <v>215</v>
      </c>
    </row>
    <row r="448" ht="22.5" customHeight="1">
      <c r="A448" s="90">
        <v>46123.0</v>
      </c>
      <c r="B448" s="87">
        <v>10.0</v>
      </c>
      <c r="C448" s="88" t="s">
        <v>178</v>
      </c>
      <c r="D448" s="59" t="s">
        <v>522</v>
      </c>
      <c r="E448" s="50" t="s">
        <v>215</v>
      </c>
    </row>
    <row r="449" ht="22.5" customHeight="1">
      <c r="A449" s="90">
        <v>46123.0</v>
      </c>
      <c r="B449" s="87">
        <v>10.0</v>
      </c>
      <c r="C449" s="88" t="s">
        <v>177</v>
      </c>
      <c r="D449" s="59" t="s">
        <v>523</v>
      </c>
      <c r="E449" s="50" t="s">
        <v>215</v>
      </c>
    </row>
    <row r="450" ht="22.5" customHeight="1">
      <c r="A450" s="90">
        <v>46123.0</v>
      </c>
      <c r="B450" s="87">
        <v>10.0</v>
      </c>
      <c r="C450" s="88" t="s">
        <v>176</v>
      </c>
      <c r="D450" s="59" t="s">
        <v>524</v>
      </c>
      <c r="E450" s="50" t="s">
        <v>215</v>
      </c>
    </row>
    <row r="451" ht="22.5" customHeight="1">
      <c r="A451" s="90">
        <v>46125.0</v>
      </c>
      <c r="B451" s="87">
        <v>10.0</v>
      </c>
      <c r="C451" s="88" t="s">
        <v>177</v>
      </c>
      <c r="D451" s="59" t="s">
        <v>525</v>
      </c>
      <c r="E451" s="50" t="s">
        <v>215</v>
      </c>
    </row>
    <row r="452" ht="22.5" customHeight="1">
      <c r="A452" s="90">
        <v>46125.0</v>
      </c>
      <c r="B452" s="87">
        <v>20.0</v>
      </c>
      <c r="C452" s="88" t="s">
        <v>178</v>
      </c>
      <c r="D452" s="59" t="s">
        <v>526</v>
      </c>
      <c r="E452" s="50" t="s">
        <v>215</v>
      </c>
    </row>
    <row r="453" ht="22.5" customHeight="1">
      <c r="A453" s="90">
        <v>46125.0</v>
      </c>
      <c r="B453" s="87">
        <v>5.0</v>
      </c>
      <c r="C453" s="88" t="s">
        <v>209</v>
      </c>
      <c r="D453" s="59" t="s">
        <v>527</v>
      </c>
      <c r="E453" s="50" t="s">
        <v>215</v>
      </c>
    </row>
    <row r="454" ht="22.5" customHeight="1">
      <c r="A454" s="90">
        <v>46125.0</v>
      </c>
      <c r="B454" s="87">
        <v>5.0</v>
      </c>
      <c r="C454" s="88" t="s">
        <v>206</v>
      </c>
      <c r="D454" s="59" t="s">
        <v>528</v>
      </c>
      <c r="E454" s="50" t="s">
        <v>215</v>
      </c>
    </row>
    <row r="455" ht="22.5" customHeight="1">
      <c r="A455" s="90">
        <v>46125.0</v>
      </c>
      <c r="B455" s="87">
        <v>5.0</v>
      </c>
      <c r="C455" s="88" t="s">
        <v>208</v>
      </c>
      <c r="D455" s="59" t="s">
        <v>529</v>
      </c>
      <c r="E455" s="50" t="s">
        <v>215</v>
      </c>
    </row>
    <row r="456" ht="22.5" customHeight="1">
      <c r="A456" s="90">
        <v>46125.0</v>
      </c>
      <c r="B456" s="87">
        <v>5.0</v>
      </c>
      <c r="C456" s="88" t="s">
        <v>207</v>
      </c>
      <c r="D456" s="59" t="s">
        <v>530</v>
      </c>
      <c r="E456" s="50" t="s">
        <v>215</v>
      </c>
    </row>
    <row r="457" ht="22.5" customHeight="1">
      <c r="A457" s="90">
        <v>46125.0</v>
      </c>
      <c r="B457" s="87">
        <v>60.0</v>
      </c>
      <c r="C457" s="88" t="s">
        <v>183</v>
      </c>
      <c r="D457" s="59" t="s">
        <v>531</v>
      </c>
      <c r="E457" s="50" t="s">
        <v>215</v>
      </c>
    </row>
    <row r="458" ht="22.5" customHeight="1">
      <c r="A458" s="90">
        <v>46125.0</v>
      </c>
      <c r="B458" s="87">
        <v>36.0</v>
      </c>
      <c r="C458" s="88" t="s">
        <v>185</v>
      </c>
      <c r="D458" s="59" t="s">
        <v>532</v>
      </c>
      <c r="E458" s="50" t="s">
        <v>215</v>
      </c>
    </row>
    <row r="459" ht="22.5" customHeight="1">
      <c r="A459" s="90">
        <v>46125.0</v>
      </c>
      <c r="B459" s="87">
        <v>30.0</v>
      </c>
      <c r="C459" s="88" t="s">
        <v>184</v>
      </c>
      <c r="D459" s="59" t="s">
        <v>533</v>
      </c>
      <c r="E459" s="50" t="s">
        <v>215</v>
      </c>
    </row>
    <row r="460" ht="22.5" customHeight="1">
      <c r="A460" s="90">
        <v>46125.0</v>
      </c>
      <c r="B460" s="87">
        <v>4.0</v>
      </c>
      <c r="C460" s="88" t="s">
        <v>182</v>
      </c>
      <c r="D460" s="59" t="s">
        <v>534</v>
      </c>
      <c r="E460" s="50" t="s">
        <v>215</v>
      </c>
    </row>
    <row r="461" ht="22.5" customHeight="1">
      <c r="A461" s="90">
        <v>46127.0</v>
      </c>
      <c r="B461" s="87">
        <v>10.0</v>
      </c>
      <c r="C461" s="88" t="s">
        <v>178</v>
      </c>
      <c r="D461" s="59" t="s">
        <v>535</v>
      </c>
      <c r="E461" s="50" t="s">
        <v>215</v>
      </c>
    </row>
    <row r="462" ht="22.5" customHeight="1">
      <c r="A462" s="90">
        <v>46127.0</v>
      </c>
      <c r="B462" s="87">
        <v>10.0</v>
      </c>
      <c r="C462" s="88" t="s">
        <v>177</v>
      </c>
      <c r="D462" s="59" t="s">
        <v>536</v>
      </c>
      <c r="E462" s="50" t="s">
        <v>215</v>
      </c>
    </row>
    <row r="463" ht="22.5" customHeight="1">
      <c r="A463" s="90">
        <v>46127.0</v>
      </c>
      <c r="B463" s="87">
        <v>10.0</v>
      </c>
      <c r="C463" s="88" t="s">
        <v>176</v>
      </c>
      <c r="D463" s="59" t="s">
        <v>537</v>
      </c>
      <c r="E463" s="50" t="s">
        <v>215</v>
      </c>
    </row>
    <row r="464" ht="22.5" customHeight="1">
      <c r="A464" s="90">
        <v>46127.0</v>
      </c>
      <c r="B464" s="87">
        <v>3.0</v>
      </c>
      <c r="C464" s="88" t="s">
        <v>187</v>
      </c>
      <c r="D464" s="59" t="s">
        <v>538</v>
      </c>
      <c r="E464" s="50" t="s">
        <v>215</v>
      </c>
    </row>
    <row r="465" ht="22.5" customHeight="1">
      <c r="A465" s="90">
        <v>46127.0</v>
      </c>
      <c r="B465" s="87">
        <v>1.0</v>
      </c>
      <c r="C465" s="88" t="s">
        <v>539</v>
      </c>
      <c r="D465" s="59" t="s">
        <v>540</v>
      </c>
      <c r="E465" s="50" t="s">
        <v>215</v>
      </c>
    </row>
    <row r="466" ht="22.5" customHeight="1">
      <c r="A466" s="90">
        <v>46127.0</v>
      </c>
      <c r="B466" s="87">
        <v>12.0</v>
      </c>
      <c r="C466" s="88" t="s">
        <v>174</v>
      </c>
      <c r="D466" s="59" t="s">
        <v>541</v>
      </c>
      <c r="E466" s="50" t="s">
        <v>215</v>
      </c>
    </row>
    <row r="467" ht="22.5" customHeight="1">
      <c r="A467" s="90">
        <v>46128.0</v>
      </c>
      <c r="B467" s="87">
        <v>12.0</v>
      </c>
      <c r="C467" s="88" t="s">
        <v>182</v>
      </c>
      <c r="D467" s="59" t="s">
        <v>542</v>
      </c>
      <c r="E467" s="50" t="s">
        <v>215</v>
      </c>
    </row>
    <row r="468" ht="22.5" customHeight="1">
      <c r="A468" s="90">
        <v>46128.0</v>
      </c>
      <c r="B468" s="87">
        <v>12.0</v>
      </c>
      <c r="C468" s="88" t="s">
        <v>223</v>
      </c>
      <c r="D468" s="59"/>
      <c r="E468" s="50" t="s">
        <v>215</v>
      </c>
    </row>
    <row r="469" ht="22.5" customHeight="1">
      <c r="A469" s="90">
        <v>46128.0</v>
      </c>
      <c r="B469" s="87">
        <v>12.0</v>
      </c>
      <c r="C469" s="88" t="s">
        <v>543</v>
      </c>
      <c r="D469" s="59"/>
      <c r="E469" s="50" t="s">
        <v>215</v>
      </c>
    </row>
    <row r="470" ht="22.5" customHeight="1">
      <c r="A470" s="90">
        <v>46128.0</v>
      </c>
      <c r="B470" s="87">
        <v>1.0</v>
      </c>
      <c r="C470" s="88" t="s">
        <v>203</v>
      </c>
      <c r="D470" s="59" t="s">
        <v>544</v>
      </c>
      <c r="E470" s="50" t="s">
        <v>215</v>
      </c>
    </row>
    <row r="471" ht="22.5" customHeight="1">
      <c r="A471" s="90">
        <v>46128.0</v>
      </c>
      <c r="B471" s="87">
        <v>5.0</v>
      </c>
      <c r="C471" s="88" t="s">
        <v>545</v>
      </c>
      <c r="D471" s="59" t="s">
        <v>546</v>
      </c>
      <c r="E471" s="50" t="s">
        <v>215</v>
      </c>
    </row>
    <row r="472" ht="22.5" customHeight="1">
      <c r="A472" s="90">
        <v>46128.0</v>
      </c>
      <c r="B472" s="87">
        <v>5.0</v>
      </c>
      <c r="C472" s="88" t="s">
        <v>208</v>
      </c>
      <c r="D472" s="59" t="s">
        <v>547</v>
      </c>
      <c r="E472" s="50" t="s">
        <v>215</v>
      </c>
    </row>
    <row r="473" ht="22.5" customHeight="1">
      <c r="A473" s="90">
        <v>46128.0</v>
      </c>
      <c r="B473" s="87">
        <v>5.0</v>
      </c>
      <c r="C473" s="88" t="s">
        <v>207</v>
      </c>
      <c r="D473" s="59" t="s">
        <v>548</v>
      </c>
      <c r="E473" s="50" t="s">
        <v>215</v>
      </c>
    </row>
    <row r="474" ht="22.5" customHeight="1">
      <c r="A474" s="90">
        <v>46129.0</v>
      </c>
      <c r="B474" s="87">
        <v>10.0</v>
      </c>
      <c r="C474" s="88" t="s">
        <v>178</v>
      </c>
      <c r="D474" s="59" t="s">
        <v>549</v>
      </c>
      <c r="E474" s="50" t="s">
        <v>215</v>
      </c>
    </row>
    <row r="475" ht="22.5" customHeight="1">
      <c r="A475" s="90">
        <v>46129.0</v>
      </c>
      <c r="B475" s="87">
        <v>8.0</v>
      </c>
      <c r="C475" s="88" t="s">
        <v>176</v>
      </c>
      <c r="D475" s="59" t="s">
        <v>550</v>
      </c>
      <c r="E475" s="50" t="s">
        <v>215</v>
      </c>
    </row>
    <row r="476" ht="22.5" customHeight="1">
      <c r="A476" s="90">
        <v>46129.0</v>
      </c>
      <c r="B476" s="87">
        <v>3.0</v>
      </c>
      <c r="C476" s="88" t="s">
        <v>186</v>
      </c>
      <c r="D476" s="59"/>
      <c r="E476" s="50" t="s">
        <v>215</v>
      </c>
    </row>
    <row r="477" ht="22.5" customHeight="1">
      <c r="A477" s="90">
        <v>46129.0</v>
      </c>
      <c r="B477" s="87">
        <v>1.0</v>
      </c>
      <c r="C477" s="88" t="s">
        <v>539</v>
      </c>
      <c r="D477" s="59"/>
      <c r="E477" s="50" t="s">
        <v>215</v>
      </c>
    </row>
    <row r="478" ht="22.5" customHeight="1">
      <c r="A478" s="90">
        <v>46129.0</v>
      </c>
      <c r="B478" s="87">
        <v>5.0</v>
      </c>
      <c r="C478" s="88" t="s">
        <v>209</v>
      </c>
      <c r="D478" s="59"/>
      <c r="E478" s="50" t="s">
        <v>215</v>
      </c>
    </row>
    <row r="479">
      <c r="A479" s="71"/>
      <c r="B479" s="72"/>
      <c r="C479" s="72"/>
      <c r="D479" s="91"/>
      <c r="E479" s="72"/>
    </row>
    <row r="480">
      <c r="A480" s="71"/>
      <c r="B480" s="72"/>
      <c r="C480" s="72"/>
      <c r="D480" s="91"/>
      <c r="E480" s="72"/>
    </row>
    <row r="481">
      <c r="A481" s="71"/>
      <c r="B481" s="72"/>
      <c r="C481" s="72"/>
      <c r="D481" s="91"/>
      <c r="E481" s="72"/>
    </row>
    <row r="482">
      <c r="A482" s="71"/>
      <c r="B482" s="72"/>
      <c r="C482" s="72"/>
      <c r="D482" s="91"/>
      <c r="E482" s="72"/>
    </row>
    <row r="483">
      <c r="A483" s="71"/>
      <c r="B483" s="72"/>
      <c r="C483" s="72"/>
      <c r="D483" s="91"/>
      <c r="E483" s="72"/>
    </row>
    <row r="484">
      <c r="A484" s="71"/>
      <c r="B484" s="72"/>
      <c r="C484" s="72"/>
      <c r="D484" s="91"/>
      <c r="E484" s="72"/>
    </row>
    <row r="485">
      <c r="A485" s="71"/>
      <c r="B485" s="72"/>
      <c r="C485" s="72"/>
      <c r="D485" s="91"/>
      <c r="E485" s="72"/>
    </row>
    <row r="486">
      <c r="A486" s="71"/>
      <c r="B486" s="72"/>
      <c r="C486" s="72"/>
      <c r="D486" s="91"/>
      <c r="E486" s="72"/>
    </row>
    <row r="487">
      <c r="A487" s="71"/>
      <c r="B487" s="72"/>
      <c r="C487" s="72"/>
      <c r="D487" s="91"/>
      <c r="E487" s="72"/>
    </row>
    <row r="488">
      <c r="A488" s="71"/>
      <c r="B488" s="72"/>
      <c r="C488" s="72"/>
      <c r="D488" s="91"/>
      <c r="E488" s="72"/>
    </row>
    <row r="489">
      <c r="A489" s="71"/>
      <c r="B489" s="72"/>
      <c r="C489" s="72"/>
      <c r="D489" s="91"/>
      <c r="E489" s="72"/>
    </row>
    <row r="490">
      <c r="A490" s="71"/>
      <c r="B490" s="72"/>
      <c r="C490" s="72"/>
      <c r="D490" s="91"/>
      <c r="E490" s="72"/>
    </row>
    <row r="491">
      <c r="A491" s="71"/>
      <c r="B491" s="72"/>
      <c r="C491" s="72"/>
      <c r="D491" s="91"/>
      <c r="E491" s="72"/>
    </row>
    <row r="492">
      <c r="A492" s="71"/>
      <c r="B492" s="72"/>
      <c r="C492" s="72"/>
      <c r="D492" s="91"/>
      <c r="E492" s="72"/>
    </row>
    <row r="493">
      <c r="A493" s="71"/>
      <c r="B493" s="72"/>
      <c r="C493" s="72"/>
      <c r="D493" s="91"/>
      <c r="E493" s="72"/>
    </row>
    <row r="494">
      <c r="A494" s="71"/>
      <c r="B494" s="72"/>
      <c r="C494" s="72"/>
      <c r="D494" s="91"/>
      <c r="E494" s="72"/>
    </row>
    <row r="495">
      <c r="A495" s="71"/>
      <c r="B495" s="72"/>
      <c r="C495" s="72"/>
      <c r="D495" s="91"/>
      <c r="E495" s="72"/>
    </row>
    <row r="496">
      <c r="A496" s="71"/>
      <c r="B496" s="72"/>
      <c r="C496" s="72"/>
      <c r="D496" s="91"/>
      <c r="E496" s="72"/>
    </row>
    <row r="497">
      <c r="A497" s="71"/>
      <c r="B497" s="72"/>
      <c r="C497" s="72"/>
      <c r="D497" s="91"/>
      <c r="E497" s="72"/>
    </row>
    <row r="498">
      <c r="A498" s="71"/>
      <c r="B498" s="72"/>
      <c r="C498" s="72"/>
      <c r="D498" s="91"/>
      <c r="E498" s="72"/>
    </row>
    <row r="499">
      <c r="A499" s="71"/>
      <c r="B499" s="72"/>
      <c r="C499" s="72"/>
      <c r="D499" s="91"/>
      <c r="E499" s="72"/>
    </row>
    <row r="500">
      <c r="A500" s="71"/>
      <c r="B500" s="72"/>
      <c r="C500" s="72"/>
      <c r="D500" s="91"/>
      <c r="E500" s="72"/>
    </row>
    <row r="501">
      <c r="A501" s="71"/>
      <c r="B501" s="72"/>
      <c r="C501" s="72"/>
      <c r="D501" s="91"/>
      <c r="E501" s="72"/>
    </row>
    <row r="502">
      <c r="A502" s="71"/>
      <c r="B502" s="72"/>
      <c r="C502" s="72"/>
      <c r="D502" s="91"/>
      <c r="E502" s="72"/>
    </row>
    <row r="503">
      <c r="A503" s="71"/>
      <c r="B503" s="72"/>
      <c r="C503" s="72"/>
      <c r="D503" s="91"/>
      <c r="E503" s="72"/>
    </row>
    <row r="504">
      <c r="A504" s="71"/>
      <c r="B504" s="72"/>
      <c r="C504" s="72"/>
      <c r="D504" s="91"/>
      <c r="E504" s="72"/>
    </row>
    <row r="505">
      <c r="A505" s="71"/>
      <c r="B505" s="72"/>
      <c r="C505" s="72"/>
      <c r="D505" s="91"/>
      <c r="E505" s="72"/>
    </row>
    <row r="506">
      <c r="A506" s="71"/>
      <c r="B506" s="72"/>
      <c r="C506" s="72"/>
      <c r="D506" s="91"/>
      <c r="E506" s="72"/>
    </row>
    <row r="507">
      <c r="A507" s="71"/>
      <c r="B507" s="72"/>
      <c r="C507" s="72"/>
      <c r="D507" s="91"/>
      <c r="E507" s="72"/>
    </row>
    <row r="508">
      <c r="A508" s="71"/>
      <c r="B508" s="72"/>
      <c r="C508" s="72"/>
      <c r="D508" s="91"/>
      <c r="E508" s="72"/>
    </row>
    <row r="509">
      <c r="A509" s="71"/>
      <c r="B509" s="72"/>
      <c r="C509" s="72"/>
      <c r="D509" s="91"/>
      <c r="E509" s="72"/>
    </row>
    <row r="510">
      <c r="A510" s="71"/>
      <c r="B510" s="72"/>
      <c r="C510" s="72"/>
      <c r="D510" s="91"/>
      <c r="E510" s="72"/>
    </row>
    <row r="511">
      <c r="A511" s="71"/>
      <c r="B511" s="72"/>
      <c r="C511" s="72"/>
      <c r="D511" s="91"/>
      <c r="E511" s="72"/>
    </row>
    <row r="512">
      <c r="A512" s="71"/>
      <c r="B512" s="72"/>
      <c r="C512" s="72"/>
      <c r="D512" s="91"/>
      <c r="E512" s="72"/>
    </row>
    <row r="513">
      <c r="A513" s="71"/>
      <c r="B513" s="72"/>
      <c r="C513" s="72"/>
      <c r="D513" s="91"/>
      <c r="E513" s="72"/>
    </row>
    <row r="514">
      <c r="A514" s="71"/>
      <c r="B514" s="72"/>
      <c r="C514" s="72"/>
      <c r="D514" s="91"/>
      <c r="E514" s="72"/>
    </row>
    <row r="515">
      <c r="A515" s="71"/>
      <c r="B515" s="72"/>
      <c r="C515" s="72"/>
      <c r="D515" s="91"/>
      <c r="E515" s="72"/>
    </row>
    <row r="516">
      <c r="A516" s="71"/>
      <c r="B516" s="72"/>
      <c r="C516" s="72"/>
      <c r="D516" s="91"/>
      <c r="E516" s="72"/>
    </row>
    <row r="517">
      <c r="A517" s="71"/>
      <c r="B517" s="72"/>
      <c r="C517" s="72"/>
      <c r="D517" s="91"/>
      <c r="E517" s="72"/>
    </row>
    <row r="518">
      <c r="A518" s="71"/>
      <c r="B518" s="72"/>
      <c r="C518" s="72"/>
      <c r="D518" s="91"/>
      <c r="E518" s="72"/>
    </row>
    <row r="519">
      <c r="A519" s="71"/>
      <c r="B519" s="72"/>
      <c r="C519" s="72"/>
      <c r="D519" s="91"/>
      <c r="E519" s="72"/>
    </row>
    <row r="520">
      <c r="A520" s="71"/>
      <c r="B520" s="72"/>
      <c r="C520" s="72"/>
      <c r="D520" s="91"/>
      <c r="E520" s="72"/>
    </row>
    <row r="521">
      <c r="A521" s="71"/>
      <c r="B521" s="72"/>
      <c r="C521" s="72"/>
      <c r="D521" s="91"/>
      <c r="E521" s="72"/>
    </row>
    <row r="522">
      <c r="A522" s="71"/>
      <c r="B522" s="72"/>
      <c r="C522" s="72"/>
      <c r="D522" s="91"/>
      <c r="E522" s="72"/>
    </row>
    <row r="523">
      <c r="A523" s="71"/>
      <c r="B523" s="72"/>
      <c r="C523" s="72"/>
      <c r="D523" s="91"/>
      <c r="E523" s="72"/>
    </row>
    <row r="524">
      <c r="A524" s="71"/>
      <c r="B524" s="72"/>
      <c r="C524" s="72"/>
      <c r="D524" s="91"/>
      <c r="E524" s="72"/>
    </row>
    <row r="525">
      <c r="A525" s="71"/>
      <c r="B525" s="72"/>
      <c r="C525" s="72"/>
      <c r="D525" s="91"/>
      <c r="E525" s="72"/>
    </row>
    <row r="526">
      <c r="A526" s="71"/>
      <c r="B526" s="72"/>
      <c r="C526" s="72"/>
      <c r="D526" s="91"/>
      <c r="E526" s="72"/>
    </row>
    <row r="527">
      <c r="A527" s="71"/>
      <c r="B527" s="72"/>
      <c r="C527" s="72"/>
      <c r="D527" s="91"/>
      <c r="E527" s="72"/>
    </row>
    <row r="528">
      <c r="A528" s="71"/>
      <c r="B528" s="72"/>
      <c r="C528" s="72"/>
      <c r="D528" s="91"/>
      <c r="E528" s="72"/>
    </row>
    <row r="529">
      <c r="A529" s="71"/>
      <c r="B529" s="72"/>
      <c r="C529" s="72"/>
      <c r="D529" s="91"/>
      <c r="E529" s="72"/>
    </row>
    <row r="530">
      <c r="A530" s="71"/>
      <c r="B530" s="72"/>
      <c r="C530" s="72"/>
      <c r="D530" s="91"/>
      <c r="E530" s="72"/>
    </row>
    <row r="531">
      <c r="A531" s="71"/>
      <c r="B531" s="72"/>
      <c r="C531" s="72"/>
      <c r="D531" s="91"/>
      <c r="E531" s="72"/>
    </row>
    <row r="532">
      <c r="A532" s="71"/>
      <c r="B532" s="72"/>
      <c r="C532" s="72"/>
      <c r="D532" s="91"/>
      <c r="E532" s="72"/>
    </row>
    <row r="533">
      <c r="A533" s="71"/>
      <c r="B533" s="72"/>
      <c r="C533" s="72"/>
      <c r="D533" s="91"/>
      <c r="E533" s="72"/>
    </row>
    <row r="534">
      <c r="A534" s="71"/>
      <c r="B534" s="72"/>
      <c r="C534" s="72"/>
      <c r="D534" s="91"/>
      <c r="E534" s="72"/>
    </row>
    <row r="535">
      <c r="A535" s="71"/>
      <c r="B535" s="72"/>
      <c r="C535" s="72"/>
      <c r="D535" s="91"/>
      <c r="E535" s="72"/>
    </row>
    <row r="536">
      <c r="A536" s="71"/>
      <c r="B536" s="72"/>
      <c r="C536" s="72"/>
      <c r="D536" s="91"/>
      <c r="E536" s="72"/>
    </row>
    <row r="537">
      <c r="A537" s="71"/>
      <c r="B537" s="72"/>
      <c r="C537" s="72"/>
      <c r="D537" s="91"/>
      <c r="E537" s="72"/>
    </row>
    <row r="538">
      <c r="A538" s="71"/>
      <c r="B538" s="72"/>
      <c r="C538" s="72"/>
      <c r="D538" s="91"/>
      <c r="E538" s="72"/>
    </row>
    <row r="539">
      <c r="A539" s="71"/>
      <c r="B539" s="72"/>
      <c r="C539" s="72"/>
      <c r="D539" s="91"/>
      <c r="E539" s="72"/>
    </row>
    <row r="540">
      <c r="A540" s="71"/>
      <c r="B540" s="72"/>
      <c r="C540" s="72"/>
      <c r="D540" s="91"/>
      <c r="E540" s="72"/>
    </row>
    <row r="541">
      <c r="A541" s="71"/>
      <c r="B541" s="72"/>
      <c r="C541" s="72"/>
      <c r="D541" s="91"/>
      <c r="E541" s="72"/>
    </row>
    <row r="542">
      <c r="A542" s="71"/>
      <c r="B542" s="72"/>
      <c r="C542" s="72"/>
      <c r="D542" s="91"/>
      <c r="E542" s="72"/>
    </row>
    <row r="543">
      <c r="A543" s="71"/>
      <c r="B543" s="72"/>
      <c r="C543" s="72"/>
      <c r="D543" s="91"/>
      <c r="E543" s="72"/>
    </row>
    <row r="544">
      <c r="A544" s="71"/>
      <c r="B544" s="72"/>
      <c r="C544" s="72"/>
      <c r="D544" s="91"/>
      <c r="E544" s="72"/>
    </row>
    <row r="545">
      <c r="A545" s="71"/>
      <c r="B545" s="72"/>
      <c r="C545" s="72"/>
      <c r="D545" s="91"/>
      <c r="E545" s="72"/>
    </row>
    <row r="546">
      <c r="A546" s="71"/>
      <c r="B546" s="72"/>
      <c r="C546" s="72"/>
      <c r="D546" s="91"/>
      <c r="E546" s="72"/>
    </row>
    <row r="547">
      <c r="A547" s="71"/>
      <c r="B547" s="72"/>
      <c r="C547" s="72"/>
      <c r="D547" s="91"/>
      <c r="E547" s="72"/>
    </row>
    <row r="548">
      <c r="A548" s="71"/>
      <c r="B548" s="72"/>
      <c r="C548" s="72"/>
      <c r="D548" s="91"/>
      <c r="E548" s="72"/>
    </row>
    <row r="549">
      <c r="A549" s="71"/>
      <c r="B549" s="72"/>
      <c r="C549" s="72"/>
      <c r="D549" s="91"/>
      <c r="E549" s="72"/>
    </row>
    <row r="550">
      <c r="A550" s="71"/>
      <c r="B550" s="72"/>
      <c r="C550" s="72"/>
      <c r="D550" s="91"/>
      <c r="E550" s="72"/>
    </row>
    <row r="551">
      <c r="A551" s="71"/>
      <c r="B551" s="72"/>
      <c r="C551" s="72"/>
      <c r="D551" s="91"/>
      <c r="E551" s="72"/>
    </row>
    <row r="552">
      <c r="A552" s="71"/>
      <c r="B552" s="72"/>
      <c r="C552" s="72"/>
      <c r="D552" s="91"/>
      <c r="E552" s="72"/>
    </row>
    <row r="553">
      <c r="A553" s="71"/>
      <c r="B553" s="72"/>
      <c r="C553" s="72"/>
      <c r="D553" s="91"/>
      <c r="E553" s="72"/>
    </row>
    <row r="554">
      <c r="A554" s="71"/>
      <c r="B554" s="72"/>
      <c r="C554" s="72"/>
      <c r="D554" s="91"/>
      <c r="E554" s="72"/>
    </row>
    <row r="555">
      <c r="A555" s="71"/>
      <c r="B555" s="72"/>
      <c r="C555" s="72"/>
      <c r="D555" s="91"/>
      <c r="E555" s="72"/>
    </row>
    <row r="556">
      <c r="A556" s="71"/>
      <c r="B556" s="72"/>
      <c r="C556" s="72"/>
      <c r="D556" s="91"/>
      <c r="E556" s="72"/>
    </row>
    <row r="557">
      <c r="A557" s="71"/>
      <c r="B557" s="72"/>
      <c r="C557" s="72"/>
      <c r="D557" s="91"/>
      <c r="E557" s="72"/>
    </row>
    <row r="558">
      <c r="A558" s="71"/>
      <c r="B558" s="72"/>
      <c r="C558" s="72"/>
      <c r="D558" s="91"/>
      <c r="E558" s="72"/>
    </row>
    <row r="559">
      <c r="A559" s="71"/>
      <c r="B559" s="72"/>
      <c r="C559" s="72"/>
      <c r="D559" s="91"/>
      <c r="E559" s="72"/>
    </row>
    <row r="560">
      <c r="A560" s="71"/>
      <c r="B560" s="72"/>
      <c r="C560" s="72"/>
      <c r="D560" s="91"/>
      <c r="E560" s="72"/>
    </row>
    <row r="561">
      <c r="A561" s="71"/>
      <c r="B561" s="72"/>
      <c r="C561" s="72"/>
      <c r="D561" s="91"/>
      <c r="E561" s="72"/>
    </row>
    <row r="562">
      <c r="A562" s="71"/>
      <c r="B562" s="72"/>
      <c r="C562" s="72"/>
      <c r="D562" s="91"/>
      <c r="E562" s="72"/>
    </row>
    <row r="563">
      <c r="A563" s="71"/>
      <c r="B563" s="72"/>
      <c r="C563" s="72"/>
      <c r="D563" s="91"/>
      <c r="E563" s="72"/>
    </row>
    <row r="564">
      <c r="A564" s="71"/>
      <c r="B564" s="72"/>
      <c r="C564" s="72"/>
      <c r="D564" s="91"/>
      <c r="E564" s="72"/>
    </row>
    <row r="565">
      <c r="A565" s="71"/>
      <c r="B565" s="72"/>
      <c r="C565" s="72"/>
      <c r="D565" s="91"/>
      <c r="E565" s="72"/>
    </row>
    <row r="566">
      <c r="A566" s="71"/>
      <c r="B566" s="72"/>
      <c r="C566" s="72"/>
      <c r="D566" s="91"/>
      <c r="E566" s="72"/>
    </row>
    <row r="567">
      <c r="A567" s="71"/>
      <c r="B567" s="72"/>
      <c r="C567" s="72"/>
      <c r="D567" s="91"/>
      <c r="E567" s="72"/>
    </row>
    <row r="568">
      <c r="A568" s="71"/>
      <c r="B568" s="72"/>
      <c r="C568" s="72"/>
      <c r="D568" s="91"/>
      <c r="E568" s="72"/>
    </row>
    <row r="569">
      <c r="A569" s="71"/>
      <c r="B569" s="72"/>
      <c r="C569" s="72"/>
      <c r="D569" s="91"/>
      <c r="E569" s="72"/>
    </row>
    <row r="570">
      <c r="A570" s="71"/>
      <c r="B570" s="72"/>
      <c r="C570" s="72"/>
      <c r="D570" s="91"/>
      <c r="E570" s="72"/>
    </row>
    <row r="571">
      <c r="A571" s="71"/>
      <c r="B571" s="72"/>
      <c r="C571" s="72"/>
      <c r="D571" s="91"/>
      <c r="E571" s="72"/>
    </row>
    <row r="572">
      <c r="A572" s="71"/>
      <c r="B572" s="72"/>
      <c r="C572" s="72"/>
      <c r="D572" s="91"/>
      <c r="E572" s="72"/>
    </row>
    <row r="573">
      <c r="A573" s="71"/>
      <c r="B573" s="72"/>
      <c r="C573" s="72"/>
      <c r="D573" s="91"/>
      <c r="E573" s="72"/>
    </row>
    <row r="574">
      <c r="A574" s="71"/>
      <c r="B574" s="72"/>
      <c r="C574" s="72"/>
      <c r="D574" s="91"/>
      <c r="E574" s="72"/>
    </row>
    <row r="575">
      <c r="A575" s="71"/>
      <c r="B575" s="72"/>
      <c r="C575" s="72"/>
      <c r="D575" s="91"/>
      <c r="E575" s="72"/>
    </row>
    <row r="576">
      <c r="A576" s="71"/>
      <c r="B576" s="72"/>
      <c r="C576" s="72"/>
      <c r="D576" s="91"/>
      <c r="E576" s="72"/>
    </row>
    <row r="577">
      <c r="A577" s="71"/>
      <c r="B577" s="72"/>
      <c r="C577" s="72"/>
      <c r="D577" s="91"/>
      <c r="E577" s="72"/>
    </row>
    <row r="578">
      <c r="A578" s="71"/>
      <c r="B578" s="72"/>
      <c r="C578" s="72"/>
      <c r="D578" s="91"/>
      <c r="E578" s="72"/>
    </row>
    <row r="579">
      <c r="A579" s="71"/>
      <c r="B579" s="72"/>
      <c r="C579" s="72"/>
      <c r="D579" s="91"/>
      <c r="E579" s="72"/>
    </row>
    <row r="580">
      <c r="A580" s="71"/>
      <c r="B580" s="72"/>
      <c r="C580" s="72"/>
      <c r="D580" s="91"/>
      <c r="E580" s="72"/>
    </row>
    <row r="581">
      <c r="A581" s="71"/>
      <c r="B581" s="72"/>
      <c r="C581" s="72"/>
      <c r="D581" s="91"/>
      <c r="E581" s="72"/>
    </row>
    <row r="582">
      <c r="A582" s="71"/>
      <c r="B582" s="72"/>
      <c r="C582" s="72"/>
      <c r="D582" s="91"/>
      <c r="E582" s="72"/>
    </row>
    <row r="583">
      <c r="A583" s="71"/>
      <c r="B583" s="72"/>
      <c r="C583" s="72"/>
      <c r="D583" s="91"/>
      <c r="E583" s="72"/>
    </row>
    <row r="584">
      <c r="A584" s="71"/>
      <c r="B584" s="72"/>
      <c r="C584" s="72"/>
      <c r="D584" s="91"/>
      <c r="E584" s="72"/>
    </row>
    <row r="585">
      <c r="A585" s="71"/>
      <c r="B585" s="72"/>
      <c r="C585" s="72"/>
      <c r="D585" s="91"/>
      <c r="E585" s="72"/>
    </row>
    <row r="586">
      <c r="A586" s="71"/>
      <c r="B586" s="72"/>
      <c r="C586" s="72"/>
      <c r="D586" s="91"/>
      <c r="E586" s="72"/>
    </row>
    <row r="587">
      <c r="A587" s="71"/>
      <c r="B587" s="72"/>
      <c r="C587" s="72"/>
      <c r="D587" s="91"/>
      <c r="E587" s="72"/>
    </row>
    <row r="588">
      <c r="A588" s="71"/>
      <c r="B588" s="72"/>
      <c r="C588" s="72"/>
      <c r="D588" s="91"/>
      <c r="E588" s="72"/>
    </row>
    <row r="589">
      <c r="A589" s="71"/>
      <c r="B589" s="72"/>
      <c r="C589" s="72"/>
      <c r="D589" s="91"/>
      <c r="E589" s="72"/>
    </row>
    <row r="590">
      <c r="A590" s="71"/>
      <c r="B590" s="72"/>
      <c r="C590" s="72"/>
      <c r="D590" s="91"/>
      <c r="E590" s="72"/>
    </row>
    <row r="591">
      <c r="A591" s="71"/>
      <c r="B591" s="72"/>
      <c r="C591" s="72"/>
      <c r="D591" s="91"/>
      <c r="E591" s="72"/>
    </row>
    <row r="592">
      <c r="A592" s="71"/>
      <c r="B592" s="72"/>
      <c r="C592" s="72"/>
      <c r="D592" s="91"/>
      <c r="E592" s="72"/>
    </row>
    <row r="593">
      <c r="A593" s="71"/>
      <c r="B593" s="72"/>
      <c r="C593" s="72"/>
      <c r="D593" s="91"/>
      <c r="E593" s="72"/>
    </row>
    <row r="594">
      <c r="A594" s="71"/>
      <c r="B594" s="72"/>
      <c r="C594" s="72"/>
      <c r="D594" s="91"/>
      <c r="E594" s="72"/>
    </row>
    <row r="595">
      <c r="A595" s="71"/>
      <c r="B595" s="72"/>
      <c r="C595" s="72"/>
      <c r="D595" s="91"/>
      <c r="E595" s="72"/>
    </row>
    <row r="596">
      <c r="A596" s="71"/>
      <c r="B596" s="72"/>
      <c r="C596" s="72"/>
      <c r="D596" s="91"/>
      <c r="E596" s="72"/>
    </row>
    <row r="597">
      <c r="A597" s="71"/>
      <c r="B597" s="72"/>
      <c r="C597" s="72"/>
      <c r="D597" s="91"/>
      <c r="E597" s="72"/>
    </row>
    <row r="598">
      <c r="A598" s="71"/>
      <c r="B598" s="72"/>
      <c r="C598" s="72"/>
      <c r="D598" s="91"/>
      <c r="E598" s="72"/>
    </row>
    <row r="599">
      <c r="A599" s="71"/>
      <c r="B599" s="72"/>
      <c r="C599" s="72"/>
      <c r="D599" s="91"/>
      <c r="E599" s="72"/>
    </row>
    <row r="600">
      <c r="A600" s="71"/>
      <c r="B600" s="72"/>
      <c r="C600" s="72"/>
      <c r="D600" s="91"/>
      <c r="E600" s="72"/>
    </row>
    <row r="601">
      <c r="A601" s="71"/>
      <c r="B601" s="72"/>
      <c r="C601" s="72"/>
      <c r="D601" s="91"/>
      <c r="E601" s="72"/>
    </row>
    <row r="602">
      <c r="A602" s="71"/>
      <c r="B602" s="72"/>
      <c r="C602" s="72"/>
      <c r="D602" s="91"/>
      <c r="E602" s="72"/>
    </row>
    <row r="603">
      <c r="A603" s="71"/>
      <c r="B603" s="72"/>
      <c r="C603" s="72"/>
      <c r="D603" s="91"/>
      <c r="E603" s="72"/>
    </row>
    <row r="604">
      <c r="A604" s="71"/>
      <c r="B604" s="72"/>
      <c r="C604" s="72"/>
      <c r="D604" s="91"/>
      <c r="E604" s="72"/>
    </row>
    <row r="605">
      <c r="A605" s="71"/>
      <c r="B605" s="72"/>
      <c r="C605" s="72"/>
      <c r="D605" s="91"/>
      <c r="E605" s="72"/>
    </row>
    <row r="606">
      <c r="A606" s="71"/>
      <c r="B606" s="72"/>
      <c r="C606" s="72"/>
      <c r="D606" s="91"/>
      <c r="E606" s="72"/>
    </row>
    <row r="607">
      <c r="A607" s="71"/>
      <c r="B607" s="72"/>
      <c r="C607" s="72"/>
      <c r="D607" s="91"/>
      <c r="E607" s="72"/>
    </row>
    <row r="608">
      <c r="A608" s="71"/>
      <c r="B608" s="72"/>
      <c r="C608" s="72"/>
      <c r="D608" s="91"/>
      <c r="E608" s="72"/>
    </row>
    <row r="609">
      <c r="A609" s="71"/>
      <c r="B609" s="72"/>
      <c r="C609" s="72"/>
      <c r="D609" s="91"/>
      <c r="E609" s="72"/>
    </row>
    <row r="610">
      <c r="A610" s="71"/>
      <c r="B610" s="72"/>
      <c r="C610" s="72"/>
      <c r="D610" s="91"/>
      <c r="E610" s="72"/>
    </row>
    <row r="611">
      <c r="A611" s="71"/>
      <c r="B611" s="72"/>
      <c r="C611" s="72"/>
      <c r="D611" s="91"/>
      <c r="E611" s="72"/>
    </row>
    <row r="612">
      <c r="A612" s="71"/>
      <c r="B612" s="72"/>
      <c r="C612" s="72"/>
      <c r="D612" s="91"/>
      <c r="E612" s="72"/>
    </row>
    <row r="613">
      <c r="A613" s="71"/>
      <c r="B613" s="72"/>
      <c r="C613" s="72"/>
      <c r="D613" s="91"/>
      <c r="E613" s="72"/>
    </row>
    <row r="614">
      <c r="A614" s="71"/>
      <c r="B614" s="72"/>
      <c r="C614" s="72"/>
      <c r="D614" s="91"/>
      <c r="E614" s="72"/>
    </row>
    <row r="615">
      <c r="A615" s="71"/>
      <c r="B615" s="72"/>
      <c r="C615" s="72"/>
      <c r="D615" s="91"/>
      <c r="E615" s="72"/>
    </row>
    <row r="616">
      <c r="A616" s="71"/>
      <c r="B616" s="72"/>
      <c r="C616" s="72"/>
      <c r="D616" s="91"/>
      <c r="E616" s="72"/>
    </row>
    <row r="617">
      <c r="A617" s="71"/>
      <c r="B617" s="72"/>
      <c r="C617" s="72"/>
      <c r="D617" s="91"/>
      <c r="E617" s="72"/>
    </row>
    <row r="618">
      <c r="A618" s="71"/>
      <c r="B618" s="72"/>
      <c r="C618" s="72"/>
      <c r="D618" s="91"/>
      <c r="E618" s="72"/>
    </row>
    <row r="619">
      <c r="A619" s="71"/>
      <c r="B619" s="72"/>
      <c r="C619" s="72"/>
      <c r="D619" s="91"/>
      <c r="E619" s="72"/>
    </row>
    <row r="620">
      <c r="A620" s="71"/>
      <c r="B620" s="72"/>
      <c r="C620" s="72"/>
      <c r="D620" s="91"/>
      <c r="E620" s="72"/>
    </row>
    <row r="621">
      <c r="A621" s="71"/>
      <c r="B621" s="72"/>
      <c r="C621" s="72"/>
      <c r="D621" s="91"/>
      <c r="E621" s="72"/>
    </row>
    <row r="622">
      <c r="A622" s="71"/>
      <c r="B622" s="72"/>
      <c r="C622" s="72"/>
      <c r="D622" s="91"/>
      <c r="E622" s="72"/>
    </row>
    <row r="623">
      <c r="A623" s="71"/>
      <c r="B623" s="72"/>
      <c r="C623" s="72"/>
      <c r="D623" s="91"/>
      <c r="E623" s="72"/>
    </row>
    <row r="624">
      <c r="A624" s="71"/>
      <c r="B624" s="72"/>
      <c r="C624" s="72"/>
      <c r="D624" s="91"/>
      <c r="E624" s="72"/>
    </row>
    <row r="625">
      <c r="A625" s="71"/>
      <c r="B625" s="72"/>
      <c r="C625" s="72"/>
      <c r="D625" s="91"/>
      <c r="E625" s="72"/>
    </row>
    <row r="626">
      <c r="A626" s="71"/>
      <c r="B626" s="72"/>
      <c r="C626" s="72"/>
      <c r="D626" s="91"/>
      <c r="E626" s="72"/>
    </row>
    <row r="627">
      <c r="A627" s="71"/>
      <c r="B627" s="72"/>
      <c r="C627" s="72"/>
      <c r="D627" s="91"/>
      <c r="E627" s="72"/>
    </row>
    <row r="628">
      <c r="A628" s="71"/>
      <c r="B628" s="72"/>
      <c r="C628" s="72"/>
      <c r="D628" s="91"/>
      <c r="E628" s="72"/>
    </row>
    <row r="629">
      <c r="A629" s="71"/>
      <c r="B629" s="72"/>
      <c r="C629" s="72"/>
      <c r="D629" s="91"/>
      <c r="E629" s="72"/>
    </row>
    <row r="630">
      <c r="A630" s="71"/>
      <c r="B630" s="72"/>
      <c r="C630" s="72"/>
      <c r="D630" s="91"/>
      <c r="E630" s="72"/>
    </row>
    <row r="631">
      <c r="A631" s="71"/>
      <c r="B631" s="72"/>
      <c r="C631" s="72"/>
      <c r="D631" s="91"/>
      <c r="E631" s="72"/>
    </row>
    <row r="632">
      <c r="A632" s="71"/>
      <c r="B632" s="72"/>
      <c r="C632" s="72"/>
      <c r="D632" s="91"/>
      <c r="E632" s="72"/>
    </row>
    <row r="633">
      <c r="A633" s="71"/>
      <c r="B633" s="72"/>
      <c r="C633" s="72"/>
      <c r="D633" s="91"/>
      <c r="E633" s="72"/>
    </row>
    <row r="634">
      <c r="A634" s="71"/>
      <c r="B634" s="72"/>
      <c r="C634" s="72"/>
      <c r="D634" s="91"/>
      <c r="E634" s="72"/>
    </row>
    <row r="635">
      <c r="A635" s="71"/>
      <c r="B635" s="72"/>
      <c r="C635" s="72"/>
      <c r="D635" s="91"/>
      <c r="E635" s="72"/>
    </row>
    <row r="636">
      <c r="A636" s="71"/>
      <c r="B636" s="72"/>
      <c r="C636" s="72"/>
      <c r="D636" s="91"/>
      <c r="E636" s="72"/>
    </row>
    <row r="637">
      <c r="A637" s="71"/>
      <c r="B637" s="72"/>
      <c r="C637" s="72"/>
      <c r="D637" s="91"/>
      <c r="E637" s="72"/>
    </row>
    <row r="638">
      <c r="A638" s="71"/>
      <c r="B638" s="72"/>
      <c r="C638" s="72"/>
      <c r="D638" s="91"/>
      <c r="E638" s="72"/>
    </row>
    <row r="639">
      <c r="A639" s="71"/>
      <c r="B639" s="72"/>
      <c r="C639" s="72"/>
      <c r="D639" s="91"/>
      <c r="E639" s="72"/>
    </row>
    <row r="640">
      <c r="A640" s="71"/>
      <c r="B640" s="72"/>
      <c r="C640" s="72"/>
      <c r="D640" s="91"/>
      <c r="E640" s="72"/>
    </row>
    <row r="641">
      <c r="A641" s="71"/>
      <c r="B641" s="72"/>
      <c r="C641" s="72"/>
      <c r="D641" s="91"/>
      <c r="E641" s="72"/>
    </row>
    <row r="642">
      <c r="A642" s="71"/>
      <c r="B642" s="72"/>
      <c r="C642" s="72"/>
      <c r="D642" s="91"/>
      <c r="E642" s="72"/>
    </row>
    <row r="643">
      <c r="A643" s="71"/>
      <c r="B643" s="72"/>
      <c r="C643" s="72"/>
      <c r="D643" s="91"/>
      <c r="E643" s="72"/>
    </row>
    <row r="644">
      <c r="A644" s="71"/>
      <c r="B644" s="72"/>
      <c r="C644" s="72"/>
      <c r="D644" s="91"/>
      <c r="E644" s="72"/>
    </row>
    <row r="645">
      <c r="A645" s="71"/>
      <c r="B645" s="72"/>
      <c r="C645" s="72"/>
      <c r="D645" s="91"/>
      <c r="E645" s="72"/>
    </row>
    <row r="646">
      <c r="A646" s="71"/>
      <c r="B646" s="72"/>
      <c r="C646" s="72"/>
      <c r="D646" s="91"/>
      <c r="E646" s="72"/>
    </row>
    <row r="647">
      <c r="A647" s="71"/>
      <c r="B647" s="72"/>
      <c r="C647" s="72"/>
      <c r="D647" s="91"/>
      <c r="E647" s="72"/>
    </row>
    <row r="648">
      <c r="A648" s="71"/>
      <c r="B648" s="72"/>
      <c r="C648" s="72"/>
      <c r="D648" s="91"/>
      <c r="E648" s="72"/>
    </row>
    <row r="649">
      <c r="A649" s="71"/>
      <c r="B649" s="72"/>
      <c r="C649" s="72"/>
      <c r="D649" s="91"/>
      <c r="E649" s="72"/>
    </row>
    <row r="650">
      <c r="A650" s="71"/>
      <c r="B650" s="72"/>
      <c r="C650" s="72"/>
      <c r="D650" s="91"/>
      <c r="E650" s="72"/>
    </row>
    <row r="651">
      <c r="A651" s="71"/>
      <c r="B651" s="72"/>
      <c r="C651" s="72"/>
      <c r="D651" s="91"/>
      <c r="E651" s="72"/>
    </row>
    <row r="652">
      <c r="A652" s="71"/>
      <c r="B652" s="72"/>
      <c r="C652" s="72"/>
      <c r="D652" s="91"/>
      <c r="E652" s="72"/>
    </row>
    <row r="653">
      <c r="A653" s="71"/>
      <c r="B653" s="72"/>
      <c r="C653" s="72"/>
      <c r="D653" s="91"/>
      <c r="E653" s="72"/>
    </row>
    <row r="654">
      <c r="A654" s="71"/>
      <c r="B654" s="72"/>
      <c r="C654" s="72"/>
      <c r="D654" s="91"/>
      <c r="E654" s="72"/>
    </row>
    <row r="655">
      <c r="A655" s="71"/>
      <c r="B655" s="72"/>
      <c r="C655" s="72"/>
      <c r="D655" s="91"/>
      <c r="E655" s="72"/>
    </row>
    <row r="656">
      <c r="A656" s="71"/>
      <c r="B656" s="72"/>
      <c r="C656" s="72"/>
      <c r="D656" s="91"/>
      <c r="E656" s="72"/>
    </row>
    <row r="657">
      <c r="A657" s="71"/>
      <c r="B657" s="72"/>
      <c r="C657" s="72"/>
      <c r="D657" s="91"/>
      <c r="E657" s="72"/>
    </row>
    <row r="658">
      <c r="A658" s="71"/>
      <c r="B658" s="72"/>
      <c r="C658" s="72"/>
      <c r="D658" s="91"/>
      <c r="E658" s="72"/>
    </row>
    <row r="659">
      <c r="A659" s="71"/>
      <c r="B659" s="72"/>
      <c r="C659" s="72"/>
      <c r="D659" s="91"/>
      <c r="E659" s="72"/>
    </row>
    <row r="660">
      <c r="A660" s="71"/>
      <c r="B660" s="72"/>
      <c r="C660" s="72"/>
      <c r="D660" s="91"/>
      <c r="E660" s="72"/>
    </row>
    <row r="661">
      <c r="A661" s="71"/>
      <c r="B661" s="72"/>
      <c r="C661" s="72"/>
      <c r="D661" s="91"/>
      <c r="E661" s="72"/>
    </row>
    <row r="662">
      <c r="A662" s="71"/>
      <c r="B662" s="72"/>
      <c r="C662" s="72"/>
      <c r="D662" s="91"/>
      <c r="E662" s="72"/>
    </row>
    <row r="663">
      <c r="A663" s="71"/>
      <c r="B663" s="72"/>
      <c r="C663" s="72"/>
      <c r="D663" s="91"/>
      <c r="E663" s="72"/>
    </row>
    <row r="664">
      <c r="A664" s="71"/>
      <c r="B664" s="72"/>
      <c r="C664" s="72"/>
      <c r="D664" s="91"/>
      <c r="E664" s="72"/>
    </row>
    <row r="665">
      <c r="A665" s="71"/>
      <c r="B665" s="72"/>
      <c r="C665" s="72"/>
      <c r="D665" s="91"/>
      <c r="E665" s="72"/>
    </row>
    <row r="666">
      <c r="A666" s="71"/>
      <c r="B666" s="72"/>
      <c r="C666" s="72"/>
      <c r="D666" s="91"/>
      <c r="E666" s="72"/>
    </row>
    <row r="667">
      <c r="A667" s="71"/>
      <c r="B667" s="72"/>
      <c r="C667" s="72"/>
      <c r="D667" s="91"/>
      <c r="E667" s="72"/>
    </row>
    <row r="668">
      <c r="A668" s="71"/>
      <c r="B668" s="72"/>
      <c r="C668" s="72"/>
      <c r="D668" s="91"/>
      <c r="E668" s="72"/>
    </row>
    <row r="669">
      <c r="A669" s="71"/>
      <c r="B669" s="72"/>
      <c r="C669" s="72"/>
      <c r="D669" s="91"/>
      <c r="E669" s="72"/>
    </row>
    <row r="670">
      <c r="A670" s="71"/>
      <c r="B670" s="72"/>
      <c r="C670" s="72"/>
      <c r="D670" s="91"/>
      <c r="E670" s="72"/>
    </row>
    <row r="671">
      <c r="A671" s="71"/>
      <c r="B671" s="72"/>
      <c r="C671" s="72"/>
      <c r="D671" s="91"/>
      <c r="E671" s="72"/>
    </row>
    <row r="672">
      <c r="A672" s="71"/>
      <c r="B672" s="72"/>
      <c r="C672" s="72"/>
      <c r="D672" s="91"/>
      <c r="E672" s="72"/>
    </row>
    <row r="673">
      <c r="A673" s="71"/>
      <c r="B673" s="72"/>
      <c r="C673" s="72"/>
      <c r="D673" s="91"/>
      <c r="E673" s="72"/>
    </row>
    <row r="674">
      <c r="A674" s="71"/>
      <c r="B674" s="72"/>
      <c r="C674" s="72"/>
      <c r="D674" s="91"/>
      <c r="E674" s="72"/>
    </row>
    <row r="675">
      <c r="A675" s="71"/>
      <c r="B675" s="72"/>
      <c r="C675" s="72"/>
      <c r="D675" s="91"/>
      <c r="E675" s="72"/>
    </row>
    <row r="676">
      <c r="A676" s="71"/>
      <c r="B676" s="72"/>
      <c r="C676" s="72"/>
      <c r="D676" s="91"/>
      <c r="E676" s="72"/>
    </row>
    <row r="677">
      <c r="A677" s="71"/>
      <c r="B677" s="72"/>
      <c r="C677" s="72"/>
      <c r="D677" s="91"/>
      <c r="E677" s="72"/>
    </row>
    <row r="678">
      <c r="A678" s="71"/>
      <c r="B678" s="72"/>
      <c r="C678" s="72"/>
      <c r="D678" s="91"/>
      <c r="E678" s="72"/>
    </row>
    <row r="679">
      <c r="A679" s="71"/>
      <c r="B679" s="72"/>
      <c r="C679" s="72"/>
      <c r="D679" s="91"/>
      <c r="E679" s="72"/>
    </row>
    <row r="680">
      <c r="A680" s="71"/>
      <c r="B680" s="72"/>
      <c r="C680" s="72"/>
      <c r="D680" s="91"/>
      <c r="E680" s="72"/>
    </row>
    <row r="681">
      <c r="A681" s="71"/>
      <c r="B681" s="72"/>
      <c r="C681" s="72"/>
      <c r="D681" s="91"/>
      <c r="E681" s="72"/>
    </row>
    <row r="682">
      <c r="A682" s="71"/>
      <c r="B682" s="72"/>
      <c r="C682" s="72"/>
      <c r="D682" s="91"/>
      <c r="E682" s="72"/>
    </row>
    <row r="683">
      <c r="A683" s="71"/>
      <c r="B683" s="72"/>
      <c r="C683" s="72"/>
      <c r="D683" s="91"/>
      <c r="E683" s="72"/>
    </row>
    <row r="684">
      <c r="A684" s="71"/>
      <c r="B684" s="72"/>
      <c r="C684" s="72"/>
      <c r="D684" s="91"/>
      <c r="E684" s="72"/>
    </row>
    <row r="685">
      <c r="A685" s="71"/>
      <c r="B685" s="72"/>
      <c r="C685" s="72"/>
      <c r="D685" s="91"/>
      <c r="E685" s="72"/>
    </row>
    <row r="686">
      <c r="A686" s="71"/>
      <c r="B686" s="72"/>
      <c r="C686" s="72"/>
      <c r="D686" s="91"/>
      <c r="E686" s="72"/>
    </row>
    <row r="687">
      <c r="A687" s="71"/>
      <c r="B687" s="72"/>
      <c r="C687" s="72"/>
      <c r="D687" s="91"/>
      <c r="E687" s="72"/>
    </row>
    <row r="688">
      <c r="A688" s="71"/>
      <c r="B688" s="72"/>
      <c r="C688" s="72"/>
      <c r="D688" s="91"/>
      <c r="E688" s="72"/>
    </row>
    <row r="689">
      <c r="A689" s="71"/>
      <c r="B689" s="72"/>
      <c r="C689" s="72"/>
      <c r="D689" s="91"/>
      <c r="E689" s="72"/>
    </row>
    <row r="690">
      <c r="A690" s="71"/>
      <c r="B690" s="72"/>
      <c r="C690" s="72"/>
      <c r="D690" s="91"/>
      <c r="E690" s="72"/>
    </row>
    <row r="691">
      <c r="A691" s="71"/>
      <c r="B691" s="72"/>
      <c r="C691" s="72"/>
      <c r="D691" s="91"/>
      <c r="E691" s="72"/>
    </row>
    <row r="692">
      <c r="A692" s="71"/>
      <c r="B692" s="72"/>
      <c r="C692" s="72"/>
      <c r="D692" s="91"/>
      <c r="E692" s="72"/>
    </row>
    <row r="693">
      <c r="A693" s="71"/>
      <c r="B693" s="72"/>
      <c r="C693" s="72"/>
      <c r="D693" s="91"/>
      <c r="E693" s="72"/>
    </row>
    <row r="694">
      <c r="A694" s="71"/>
      <c r="B694" s="72"/>
      <c r="C694" s="72"/>
      <c r="D694" s="91"/>
      <c r="E694" s="72"/>
    </row>
    <row r="695">
      <c r="A695" s="71"/>
      <c r="B695" s="72"/>
      <c r="C695" s="72"/>
      <c r="D695" s="91"/>
      <c r="E695" s="72"/>
    </row>
    <row r="696">
      <c r="A696" s="71"/>
      <c r="B696" s="72"/>
      <c r="C696" s="72"/>
      <c r="D696" s="91"/>
      <c r="E696" s="72"/>
    </row>
    <row r="697">
      <c r="A697" s="71"/>
      <c r="B697" s="72"/>
      <c r="C697" s="72"/>
      <c r="D697" s="91"/>
      <c r="E697" s="72"/>
    </row>
    <row r="698">
      <c r="A698" s="71"/>
      <c r="B698" s="72"/>
      <c r="C698" s="72"/>
      <c r="D698" s="91"/>
      <c r="E698" s="72"/>
    </row>
    <row r="699">
      <c r="A699" s="71"/>
      <c r="B699" s="72"/>
      <c r="C699" s="72"/>
      <c r="D699" s="91"/>
      <c r="E699" s="72"/>
    </row>
    <row r="700">
      <c r="A700" s="71"/>
      <c r="B700" s="72"/>
      <c r="C700" s="72"/>
      <c r="D700" s="91"/>
      <c r="E700" s="72"/>
    </row>
    <row r="701">
      <c r="A701" s="71"/>
      <c r="B701" s="72"/>
      <c r="C701" s="72"/>
      <c r="D701" s="91"/>
      <c r="E701" s="72"/>
    </row>
    <row r="702">
      <c r="A702" s="71"/>
      <c r="B702" s="72"/>
      <c r="C702" s="72"/>
      <c r="D702" s="91"/>
      <c r="E702" s="72"/>
    </row>
    <row r="703">
      <c r="A703" s="71"/>
      <c r="B703" s="72"/>
      <c r="C703" s="72"/>
      <c r="D703" s="91"/>
      <c r="E703" s="72"/>
    </row>
    <row r="704">
      <c r="A704" s="71"/>
      <c r="B704" s="72"/>
      <c r="C704" s="72"/>
      <c r="D704" s="91"/>
      <c r="E704" s="72"/>
    </row>
    <row r="705">
      <c r="A705" s="71"/>
      <c r="B705" s="72"/>
      <c r="C705" s="72"/>
      <c r="D705" s="91"/>
      <c r="E705" s="72"/>
    </row>
    <row r="706">
      <c r="A706" s="71"/>
      <c r="B706" s="72"/>
      <c r="C706" s="72"/>
      <c r="D706" s="91"/>
      <c r="E706" s="72"/>
    </row>
    <row r="707">
      <c r="A707" s="71"/>
      <c r="B707" s="72"/>
      <c r="C707" s="72"/>
      <c r="D707" s="91"/>
      <c r="E707" s="72"/>
    </row>
    <row r="708">
      <c r="A708" s="71"/>
      <c r="B708" s="72"/>
      <c r="C708" s="72"/>
      <c r="D708" s="91"/>
      <c r="E708" s="72"/>
    </row>
    <row r="709">
      <c r="A709" s="71"/>
      <c r="B709" s="72"/>
      <c r="C709" s="72"/>
      <c r="D709" s="91"/>
      <c r="E709" s="72"/>
    </row>
    <row r="710">
      <c r="A710" s="71"/>
      <c r="B710" s="72"/>
      <c r="C710" s="72"/>
      <c r="D710" s="91"/>
      <c r="E710" s="72"/>
    </row>
    <row r="711">
      <c r="A711" s="71"/>
      <c r="B711" s="72"/>
      <c r="C711" s="72"/>
      <c r="D711" s="91"/>
      <c r="E711" s="72"/>
    </row>
    <row r="712">
      <c r="A712" s="71"/>
      <c r="B712" s="72"/>
      <c r="C712" s="72"/>
      <c r="D712" s="91"/>
      <c r="E712" s="72"/>
    </row>
    <row r="713">
      <c r="A713" s="71"/>
      <c r="B713" s="72"/>
      <c r="C713" s="72"/>
      <c r="D713" s="91"/>
      <c r="E713" s="72"/>
    </row>
    <row r="714">
      <c r="A714" s="71"/>
      <c r="B714" s="72"/>
      <c r="C714" s="72"/>
      <c r="D714" s="91"/>
      <c r="E714" s="72"/>
    </row>
    <row r="715">
      <c r="A715" s="71"/>
      <c r="B715" s="72"/>
      <c r="C715" s="72"/>
      <c r="D715" s="91"/>
      <c r="E715" s="72"/>
    </row>
    <row r="716">
      <c r="A716" s="71"/>
      <c r="B716" s="72"/>
      <c r="C716" s="72"/>
      <c r="D716" s="91"/>
      <c r="E716" s="72"/>
    </row>
    <row r="717">
      <c r="A717" s="71"/>
      <c r="B717" s="72"/>
      <c r="C717" s="72"/>
      <c r="D717" s="91"/>
      <c r="E717" s="72"/>
    </row>
    <row r="718">
      <c r="A718" s="71"/>
      <c r="B718" s="72"/>
      <c r="C718" s="72"/>
      <c r="D718" s="91"/>
      <c r="E718" s="72"/>
    </row>
    <row r="719">
      <c r="A719" s="71"/>
      <c r="B719" s="72"/>
      <c r="C719" s="72"/>
      <c r="D719" s="91"/>
      <c r="E719" s="72"/>
    </row>
    <row r="720">
      <c r="A720" s="71"/>
      <c r="B720" s="72"/>
      <c r="C720" s="72"/>
      <c r="D720" s="91"/>
      <c r="E720" s="72"/>
    </row>
    <row r="721">
      <c r="A721" s="71"/>
      <c r="B721" s="72"/>
      <c r="C721" s="72"/>
      <c r="D721" s="91"/>
      <c r="E721" s="72"/>
    </row>
    <row r="722">
      <c r="A722" s="71"/>
      <c r="B722" s="72"/>
      <c r="C722" s="72"/>
      <c r="D722" s="91"/>
      <c r="E722" s="72"/>
    </row>
    <row r="723">
      <c r="A723" s="71"/>
      <c r="B723" s="72"/>
      <c r="C723" s="72"/>
      <c r="D723" s="91"/>
      <c r="E723" s="72"/>
    </row>
    <row r="724">
      <c r="A724" s="71"/>
      <c r="B724" s="72"/>
      <c r="C724" s="72"/>
      <c r="D724" s="91"/>
      <c r="E724" s="72"/>
    </row>
    <row r="725">
      <c r="A725" s="71"/>
      <c r="B725" s="72"/>
      <c r="C725" s="72"/>
      <c r="D725" s="91"/>
      <c r="E725" s="72"/>
    </row>
    <row r="726">
      <c r="A726" s="71"/>
      <c r="B726" s="72"/>
      <c r="C726" s="72"/>
      <c r="D726" s="91"/>
      <c r="E726" s="72"/>
    </row>
    <row r="727">
      <c r="A727" s="71"/>
      <c r="B727" s="72"/>
      <c r="C727" s="72"/>
      <c r="D727" s="91"/>
      <c r="E727" s="72"/>
    </row>
    <row r="728">
      <c r="A728" s="71"/>
      <c r="B728" s="72"/>
      <c r="C728" s="72"/>
      <c r="D728" s="91"/>
      <c r="E728" s="72"/>
    </row>
    <row r="729">
      <c r="A729" s="71"/>
      <c r="B729" s="72"/>
      <c r="C729" s="72"/>
      <c r="D729" s="91"/>
      <c r="E729" s="72"/>
    </row>
    <row r="730">
      <c r="A730" s="71"/>
      <c r="B730" s="72"/>
      <c r="C730" s="72"/>
      <c r="D730" s="91"/>
      <c r="E730" s="72"/>
    </row>
    <row r="731">
      <c r="A731" s="71"/>
      <c r="B731" s="72"/>
      <c r="C731" s="72"/>
      <c r="D731" s="91"/>
      <c r="E731" s="72"/>
    </row>
    <row r="732">
      <c r="A732" s="71"/>
      <c r="B732" s="72"/>
      <c r="C732" s="72"/>
      <c r="D732" s="91"/>
      <c r="E732" s="72"/>
    </row>
    <row r="733">
      <c r="A733" s="71"/>
      <c r="B733" s="72"/>
      <c r="C733" s="72"/>
      <c r="D733" s="91"/>
      <c r="E733" s="72"/>
    </row>
    <row r="734">
      <c r="A734" s="71"/>
      <c r="B734" s="72"/>
      <c r="C734" s="72"/>
      <c r="D734" s="91"/>
      <c r="E734" s="72"/>
    </row>
    <row r="735">
      <c r="A735" s="71"/>
      <c r="B735" s="72"/>
      <c r="C735" s="72"/>
      <c r="D735" s="91"/>
      <c r="E735" s="72"/>
    </row>
    <row r="736">
      <c r="A736" s="71"/>
      <c r="B736" s="72"/>
      <c r="C736" s="72"/>
      <c r="D736" s="91"/>
      <c r="E736" s="72"/>
    </row>
    <row r="737">
      <c r="A737" s="71"/>
      <c r="B737" s="72"/>
      <c r="C737" s="72"/>
      <c r="D737" s="91"/>
      <c r="E737" s="72"/>
    </row>
    <row r="738">
      <c r="A738" s="71"/>
      <c r="B738" s="72"/>
      <c r="C738" s="72"/>
      <c r="D738" s="91"/>
      <c r="E738" s="72"/>
    </row>
    <row r="739">
      <c r="A739" s="71"/>
      <c r="B739" s="72"/>
      <c r="C739" s="72"/>
      <c r="D739" s="91"/>
      <c r="E739" s="72"/>
    </row>
    <row r="740">
      <c r="A740" s="71"/>
      <c r="B740" s="72"/>
      <c r="C740" s="72"/>
      <c r="D740" s="91"/>
      <c r="E740" s="72"/>
    </row>
    <row r="741">
      <c r="A741" s="71"/>
      <c r="B741" s="72"/>
      <c r="C741" s="72"/>
      <c r="D741" s="91"/>
      <c r="E741" s="72"/>
    </row>
    <row r="742">
      <c r="A742" s="71"/>
      <c r="B742" s="72"/>
      <c r="C742" s="72"/>
      <c r="D742" s="91"/>
      <c r="E742" s="72"/>
    </row>
    <row r="743">
      <c r="A743" s="71"/>
      <c r="B743" s="72"/>
      <c r="C743" s="72"/>
      <c r="D743" s="91"/>
      <c r="E743" s="72"/>
    </row>
    <row r="744">
      <c r="A744" s="71"/>
      <c r="B744" s="72"/>
      <c r="C744" s="72"/>
      <c r="D744" s="91"/>
      <c r="E744" s="72"/>
    </row>
    <row r="745">
      <c r="A745" s="71"/>
      <c r="B745" s="72"/>
      <c r="C745" s="72"/>
      <c r="D745" s="91"/>
      <c r="E745" s="72"/>
    </row>
    <row r="746">
      <c r="A746" s="71"/>
      <c r="B746" s="72"/>
      <c r="C746" s="72"/>
      <c r="D746" s="91"/>
      <c r="E746" s="72"/>
    </row>
    <row r="747">
      <c r="A747" s="71"/>
      <c r="B747" s="72"/>
      <c r="C747" s="72"/>
      <c r="D747" s="91"/>
      <c r="E747" s="72"/>
    </row>
    <row r="748">
      <c r="A748" s="71"/>
      <c r="B748" s="72"/>
      <c r="C748" s="72"/>
      <c r="D748" s="91"/>
      <c r="E748" s="72"/>
    </row>
    <row r="749">
      <c r="A749" s="71"/>
      <c r="B749" s="72"/>
      <c r="C749" s="72"/>
      <c r="D749" s="91"/>
      <c r="E749" s="72"/>
    </row>
    <row r="750">
      <c r="A750" s="71"/>
      <c r="B750" s="72"/>
      <c r="C750" s="72"/>
      <c r="D750" s="91"/>
      <c r="E750" s="72"/>
    </row>
    <row r="751">
      <c r="A751" s="71"/>
      <c r="B751" s="72"/>
      <c r="C751" s="72"/>
      <c r="D751" s="91"/>
      <c r="E751" s="72"/>
    </row>
    <row r="752">
      <c r="A752" s="71"/>
      <c r="B752" s="72"/>
      <c r="C752" s="72"/>
      <c r="D752" s="91"/>
      <c r="E752" s="72"/>
    </row>
    <row r="753">
      <c r="A753" s="71"/>
      <c r="B753" s="72"/>
      <c r="C753" s="72"/>
      <c r="D753" s="91"/>
      <c r="E753" s="72"/>
    </row>
    <row r="754">
      <c r="A754" s="71"/>
      <c r="B754" s="72"/>
      <c r="C754" s="72"/>
      <c r="D754" s="91"/>
      <c r="E754" s="72"/>
    </row>
    <row r="755">
      <c r="A755" s="71"/>
      <c r="B755" s="72"/>
      <c r="C755" s="72"/>
      <c r="D755" s="91"/>
      <c r="E755" s="72"/>
    </row>
    <row r="756">
      <c r="A756" s="71"/>
      <c r="B756" s="72"/>
      <c r="C756" s="72"/>
      <c r="D756" s="91"/>
      <c r="E756" s="72"/>
    </row>
    <row r="757">
      <c r="A757" s="71"/>
      <c r="B757" s="72"/>
      <c r="C757" s="72"/>
      <c r="D757" s="91"/>
      <c r="E757" s="72"/>
    </row>
    <row r="758">
      <c r="A758" s="71"/>
      <c r="B758" s="72"/>
      <c r="C758" s="72"/>
      <c r="D758" s="91"/>
      <c r="E758" s="72"/>
    </row>
    <row r="759">
      <c r="A759" s="71"/>
      <c r="B759" s="72"/>
      <c r="C759" s="72"/>
      <c r="D759" s="91"/>
      <c r="E759" s="72"/>
    </row>
    <row r="760">
      <c r="A760" s="71"/>
      <c r="B760" s="72"/>
      <c r="C760" s="72"/>
      <c r="D760" s="91"/>
      <c r="E760" s="72"/>
    </row>
    <row r="761">
      <c r="A761" s="71"/>
      <c r="B761" s="72"/>
      <c r="C761" s="72"/>
      <c r="D761" s="91"/>
      <c r="E761" s="72"/>
    </row>
    <row r="762">
      <c r="A762" s="71"/>
      <c r="B762" s="72"/>
      <c r="C762" s="72"/>
      <c r="D762" s="91"/>
      <c r="E762" s="72"/>
    </row>
    <row r="763">
      <c r="A763" s="71"/>
      <c r="B763" s="72"/>
      <c r="C763" s="72"/>
      <c r="D763" s="91"/>
      <c r="E763" s="72"/>
    </row>
    <row r="764">
      <c r="A764" s="71"/>
      <c r="B764" s="72"/>
      <c r="C764" s="72"/>
      <c r="D764" s="91"/>
      <c r="E764" s="72"/>
    </row>
    <row r="765">
      <c r="A765" s="71"/>
      <c r="B765" s="72"/>
      <c r="C765" s="72"/>
      <c r="D765" s="91"/>
      <c r="E765" s="72"/>
    </row>
    <row r="766">
      <c r="A766" s="71"/>
      <c r="B766" s="72"/>
      <c r="C766" s="72"/>
      <c r="D766" s="91"/>
      <c r="E766" s="72"/>
    </row>
    <row r="767">
      <c r="A767" s="71"/>
      <c r="B767" s="72"/>
      <c r="C767" s="72"/>
      <c r="D767" s="91"/>
      <c r="E767" s="72"/>
    </row>
    <row r="768">
      <c r="A768" s="71"/>
      <c r="B768" s="72"/>
      <c r="C768" s="72"/>
      <c r="D768" s="91"/>
      <c r="E768" s="72"/>
    </row>
    <row r="769">
      <c r="A769" s="71"/>
      <c r="B769" s="72"/>
      <c r="C769" s="72"/>
      <c r="D769" s="91"/>
      <c r="E769" s="72"/>
    </row>
    <row r="770">
      <c r="A770" s="71"/>
      <c r="B770" s="72"/>
      <c r="C770" s="72"/>
      <c r="D770" s="91"/>
      <c r="E770" s="72"/>
    </row>
    <row r="771">
      <c r="A771" s="71"/>
      <c r="B771" s="72"/>
      <c r="C771" s="72"/>
      <c r="D771" s="91"/>
      <c r="E771" s="72"/>
    </row>
    <row r="772">
      <c r="A772" s="71"/>
      <c r="B772" s="72"/>
      <c r="C772" s="72"/>
      <c r="D772" s="91"/>
      <c r="E772" s="72"/>
    </row>
    <row r="773">
      <c r="A773" s="71"/>
      <c r="B773" s="72"/>
      <c r="C773" s="72"/>
      <c r="D773" s="91"/>
      <c r="E773" s="72"/>
    </row>
    <row r="774">
      <c r="A774" s="71"/>
      <c r="B774" s="72"/>
      <c r="C774" s="72"/>
      <c r="D774" s="91"/>
      <c r="E774" s="72"/>
    </row>
    <row r="775">
      <c r="A775" s="71"/>
      <c r="B775" s="72"/>
      <c r="C775" s="72"/>
      <c r="D775" s="91"/>
      <c r="E775" s="72"/>
    </row>
    <row r="776">
      <c r="A776" s="71"/>
      <c r="B776" s="72"/>
      <c r="C776" s="72"/>
      <c r="D776" s="91"/>
      <c r="E776" s="72"/>
    </row>
    <row r="777">
      <c r="A777" s="71"/>
      <c r="B777" s="72"/>
      <c r="C777" s="72"/>
      <c r="D777" s="91"/>
      <c r="E777" s="72"/>
    </row>
    <row r="778">
      <c r="A778" s="71"/>
      <c r="B778" s="72"/>
      <c r="C778" s="72"/>
      <c r="D778" s="91"/>
      <c r="E778" s="72"/>
    </row>
    <row r="779">
      <c r="A779" s="71"/>
      <c r="B779" s="72"/>
      <c r="C779" s="72"/>
      <c r="D779" s="91"/>
      <c r="E779" s="72"/>
    </row>
    <row r="780">
      <c r="A780" s="71"/>
      <c r="B780" s="72"/>
      <c r="C780" s="72"/>
      <c r="D780" s="91"/>
      <c r="E780" s="72"/>
    </row>
    <row r="781">
      <c r="A781" s="71"/>
      <c r="B781" s="72"/>
      <c r="C781" s="72"/>
      <c r="D781" s="91"/>
      <c r="E781" s="72"/>
    </row>
    <row r="782">
      <c r="A782" s="71"/>
      <c r="B782" s="72"/>
      <c r="C782" s="72"/>
      <c r="D782" s="91"/>
      <c r="E782" s="72"/>
    </row>
    <row r="783">
      <c r="A783" s="71"/>
      <c r="B783" s="72"/>
      <c r="C783" s="72"/>
      <c r="D783" s="91"/>
      <c r="E783" s="72"/>
    </row>
    <row r="784">
      <c r="A784" s="71"/>
      <c r="B784" s="72"/>
      <c r="C784" s="72"/>
      <c r="D784" s="91"/>
      <c r="E784" s="72"/>
    </row>
    <row r="785">
      <c r="A785" s="71"/>
      <c r="B785" s="72"/>
      <c r="C785" s="72"/>
      <c r="D785" s="91"/>
      <c r="E785" s="72"/>
    </row>
    <row r="786">
      <c r="A786" s="71"/>
      <c r="B786" s="72"/>
      <c r="C786" s="72"/>
      <c r="D786" s="91"/>
      <c r="E786" s="72"/>
    </row>
    <row r="787">
      <c r="A787" s="71"/>
      <c r="B787" s="72"/>
      <c r="C787" s="72"/>
      <c r="D787" s="91"/>
      <c r="E787" s="72"/>
    </row>
    <row r="788">
      <c r="A788" s="71"/>
      <c r="B788" s="72"/>
      <c r="C788" s="72"/>
      <c r="D788" s="91"/>
      <c r="E788" s="72"/>
    </row>
    <row r="789">
      <c r="A789" s="71"/>
      <c r="B789" s="72"/>
      <c r="C789" s="72"/>
      <c r="D789" s="91"/>
      <c r="E789" s="72"/>
    </row>
    <row r="790">
      <c r="A790" s="71"/>
      <c r="B790" s="72"/>
      <c r="C790" s="72"/>
      <c r="D790" s="91"/>
      <c r="E790" s="72"/>
    </row>
    <row r="791">
      <c r="A791" s="71"/>
      <c r="B791" s="72"/>
      <c r="C791" s="72"/>
      <c r="D791" s="91"/>
      <c r="E791" s="72"/>
    </row>
    <row r="792">
      <c r="A792" s="71"/>
      <c r="B792" s="72"/>
      <c r="C792" s="72"/>
      <c r="D792" s="91"/>
      <c r="E792" s="72"/>
    </row>
    <row r="793">
      <c r="A793" s="71"/>
      <c r="B793" s="72"/>
      <c r="C793" s="72"/>
      <c r="D793" s="91"/>
      <c r="E793" s="72"/>
    </row>
    <row r="794">
      <c r="A794" s="71"/>
      <c r="B794" s="72"/>
      <c r="C794" s="72"/>
      <c r="D794" s="91"/>
      <c r="E794" s="72"/>
    </row>
    <row r="795">
      <c r="A795" s="71"/>
      <c r="B795" s="72"/>
      <c r="C795" s="72"/>
      <c r="D795" s="91"/>
      <c r="E795" s="72"/>
    </row>
    <row r="796">
      <c r="A796" s="71"/>
      <c r="B796" s="72"/>
      <c r="C796" s="72"/>
      <c r="D796" s="91"/>
      <c r="E796" s="72"/>
    </row>
    <row r="797">
      <c r="A797" s="71"/>
      <c r="B797" s="72"/>
      <c r="C797" s="72"/>
      <c r="D797" s="91"/>
      <c r="E797" s="72"/>
    </row>
    <row r="798">
      <c r="A798" s="71"/>
      <c r="B798" s="72"/>
      <c r="C798" s="72"/>
      <c r="D798" s="91"/>
      <c r="E798" s="72"/>
    </row>
    <row r="799">
      <c r="A799" s="71"/>
      <c r="B799" s="72"/>
      <c r="C799" s="72"/>
      <c r="D799" s="91"/>
      <c r="E799" s="72"/>
    </row>
    <row r="800">
      <c r="A800" s="71"/>
      <c r="B800" s="72"/>
      <c r="C800" s="72"/>
      <c r="D800" s="91"/>
      <c r="E800" s="72"/>
    </row>
    <row r="801">
      <c r="A801" s="71"/>
      <c r="B801" s="72"/>
      <c r="C801" s="72"/>
      <c r="D801" s="91"/>
      <c r="E801" s="72"/>
    </row>
    <row r="802">
      <c r="A802" s="71"/>
      <c r="B802" s="72"/>
      <c r="C802" s="72"/>
      <c r="D802" s="91"/>
      <c r="E802" s="72"/>
    </row>
    <row r="803">
      <c r="A803" s="71"/>
      <c r="B803" s="72"/>
      <c r="C803" s="72"/>
      <c r="D803" s="91"/>
      <c r="E803" s="72"/>
    </row>
    <row r="804">
      <c r="A804" s="71"/>
      <c r="B804" s="72"/>
      <c r="C804" s="72"/>
      <c r="D804" s="91"/>
      <c r="E804" s="72"/>
    </row>
    <row r="805">
      <c r="A805" s="71"/>
      <c r="B805" s="72"/>
      <c r="C805" s="72"/>
      <c r="D805" s="91"/>
      <c r="E805" s="72"/>
    </row>
    <row r="806">
      <c r="A806" s="71"/>
      <c r="B806" s="72"/>
      <c r="C806" s="72"/>
      <c r="D806" s="91"/>
      <c r="E806" s="72"/>
    </row>
    <row r="807">
      <c r="A807" s="71"/>
      <c r="B807" s="72"/>
      <c r="C807" s="72"/>
      <c r="D807" s="91"/>
      <c r="E807" s="72"/>
    </row>
    <row r="808">
      <c r="A808" s="71"/>
      <c r="B808" s="72"/>
      <c r="C808" s="72"/>
      <c r="D808" s="91"/>
      <c r="E808" s="72"/>
    </row>
    <row r="809">
      <c r="A809" s="71"/>
      <c r="B809" s="72"/>
      <c r="C809" s="72"/>
      <c r="D809" s="91"/>
      <c r="E809" s="72"/>
    </row>
    <row r="810">
      <c r="A810" s="71"/>
      <c r="B810" s="72"/>
      <c r="C810" s="72"/>
      <c r="D810" s="91"/>
      <c r="E810" s="72"/>
    </row>
    <row r="811">
      <c r="A811" s="71"/>
      <c r="B811" s="72"/>
      <c r="C811" s="72"/>
      <c r="D811" s="91"/>
      <c r="E811" s="72"/>
    </row>
    <row r="812">
      <c r="A812" s="71"/>
      <c r="B812" s="72"/>
      <c r="C812" s="72"/>
      <c r="D812" s="91"/>
      <c r="E812" s="72"/>
    </row>
    <row r="813">
      <c r="A813" s="71"/>
      <c r="B813" s="72"/>
      <c r="C813" s="72"/>
      <c r="D813" s="91"/>
      <c r="E813" s="72"/>
    </row>
    <row r="814">
      <c r="A814" s="71"/>
      <c r="B814" s="72"/>
      <c r="C814" s="72"/>
      <c r="D814" s="91"/>
      <c r="E814" s="72"/>
    </row>
    <row r="815">
      <c r="A815" s="71"/>
      <c r="B815" s="72"/>
      <c r="C815" s="72"/>
      <c r="D815" s="91"/>
      <c r="E815" s="72"/>
    </row>
    <row r="816">
      <c r="A816" s="71"/>
      <c r="B816" s="72"/>
      <c r="C816" s="72"/>
      <c r="D816" s="91"/>
      <c r="E816" s="72"/>
    </row>
    <row r="817">
      <c r="A817" s="71"/>
      <c r="B817" s="72"/>
      <c r="C817" s="72"/>
      <c r="D817" s="91"/>
      <c r="E817" s="72"/>
    </row>
    <row r="818">
      <c r="A818" s="71"/>
      <c r="B818" s="72"/>
      <c r="C818" s="72"/>
      <c r="D818" s="91"/>
      <c r="E818" s="72"/>
    </row>
    <row r="819">
      <c r="A819" s="71"/>
      <c r="B819" s="72"/>
      <c r="C819" s="72"/>
      <c r="D819" s="91"/>
      <c r="E819" s="72"/>
    </row>
    <row r="820">
      <c r="A820" s="71"/>
      <c r="B820" s="72"/>
      <c r="C820" s="72"/>
      <c r="D820" s="91"/>
      <c r="E820" s="72"/>
    </row>
    <row r="821">
      <c r="A821" s="71"/>
      <c r="B821" s="72"/>
      <c r="C821" s="72"/>
      <c r="D821" s="91"/>
      <c r="E821" s="72"/>
    </row>
    <row r="822">
      <c r="A822" s="71"/>
      <c r="B822" s="72"/>
      <c r="C822" s="72"/>
      <c r="D822" s="91"/>
      <c r="E822" s="72"/>
    </row>
    <row r="823">
      <c r="A823" s="71"/>
      <c r="B823" s="72"/>
      <c r="C823" s="72"/>
      <c r="D823" s="91"/>
      <c r="E823" s="72"/>
    </row>
    <row r="824">
      <c r="A824" s="71"/>
      <c r="B824" s="72"/>
      <c r="C824" s="72"/>
      <c r="D824" s="91"/>
      <c r="E824" s="72"/>
    </row>
    <row r="825">
      <c r="A825" s="71"/>
      <c r="B825" s="72"/>
      <c r="C825" s="72"/>
      <c r="D825" s="91"/>
      <c r="E825" s="72"/>
    </row>
    <row r="826">
      <c r="A826" s="71"/>
      <c r="B826" s="72"/>
      <c r="C826" s="72"/>
      <c r="D826" s="91"/>
      <c r="E826" s="72"/>
    </row>
    <row r="827">
      <c r="A827" s="71"/>
      <c r="B827" s="72"/>
      <c r="C827" s="72"/>
      <c r="D827" s="91"/>
      <c r="E827" s="72"/>
    </row>
    <row r="828">
      <c r="A828" s="71"/>
      <c r="B828" s="72"/>
      <c r="C828" s="72"/>
      <c r="D828" s="91"/>
      <c r="E828" s="72"/>
    </row>
    <row r="829">
      <c r="A829" s="71"/>
      <c r="B829" s="72"/>
      <c r="C829" s="72"/>
      <c r="D829" s="91"/>
      <c r="E829" s="72"/>
    </row>
    <row r="830">
      <c r="A830" s="71"/>
      <c r="B830" s="72"/>
      <c r="C830" s="72"/>
      <c r="D830" s="91"/>
      <c r="E830" s="72"/>
    </row>
    <row r="831">
      <c r="A831" s="71"/>
      <c r="B831" s="72"/>
      <c r="C831" s="72"/>
      <c r="D831" s="91"/>
      <c r="E831" s="72"/>
    </row>
    <row r="832">
      <c r="A832" s="71"/>
      <c r="B832" s="72"/>
      <c r="C832" s="72"/>
      <c r="D832" s="91"/>
      <c r="E832" s="72"/>
    </row>
    <row r="833">
      <c r="A833" s="71"/>
      <c r="B833" s="72"/>
      <c r="C833" s="72"/>
      <c r="D833" s="91"/>
      <c r="E833" s="72"/>
    </row>
    <row r="834">
      <c r="A834" s="71"/>
      <c r="B834" s="72"/>
      <c r="C834" s="72"/>
      <c r="D834" s="91"/>
      <c r="E834" s="72"/>
    </row>
    <row r="835">
      <c r="A835" s="71"/>
      <c r="B835" s="72"/>
      <c r="C835" s="72"/>
      <c r="D835" s="91"/>
      <c r="E835" s="72"/>
    </row>
    <row r="836">
      <c r="A836" s="71"/>
      <c r="B836" s="72"/>
      <c r="C836" s="72"/>
      <c r="D836" s="91"/>
      <c r="E836" s="72"/>
    </row>
    <row r="837">
      <c r="A837" s="71"/>
      <c r="B837" s="72"/>
      <c r="C837" s="72"/>
      <c r="D837" s="91"/>
      <c r="E837" s="72"/>
    </row>
    <row r="838">
      <c r="A838" s="71"/>
      <c r="B838" s="72"/>
      <c r="C838" s="72"/>
      <c r="D838" s="91"/>
      <c r="E838" s="72"/>
    </row>
    <row r="839">
      <c r="A839" s="71"/>
      <c r="B839" s="72"/>
      <c r="C839" s="72"/>
      <c r="D839" s="91"/>
      <c r="E839" s="72"/>
    </row>
    <row r="840">
      <c r="A840" s="71"/>
      <c r="B840" s="72"/>
      <c r="C840" s="72"/>
      <c r="D840" s="91"/>
      <c r="E840" s="72"/>
    </row>
    <row r="841">
      <c r="A841" s="71"/>
      <c r="B841" s="72"/>
      <c r="C841" s="72"/>
      <c r="D841" s="91"/>
      <c r="E841" s="72"/>
    </row>
    <row r="842">
      <c r="A842" s="71"/>
      <c r="B842" s="72"/>
      <c r="C842" s="72"/>
      <c r="D842" s="91"/>
      <c r="E842" s="72"/>
    </row>
    <row r="843">
      <c r="A843" s="71"/>
      <c r="B843" s="72"/>
      <c r="C843" s="72"/>
      <c r="D843" s="91"/>
      <c r="E843" s="72"/>
    </row>
    <row r="844">
      <c r="A844" s="71"/>
      <c r="B844" s="72"/>
      <c r="C844" s="72"/>
      <c r="D844" s="91"/>
      <c r="E844" s="72"/>
    </row>
    <row r="845">
      <c r="A845" s="71"/>
      <c r="B845" s="72"/>
      <c r="C845" s="72"/>
      <c r="D845" s="91"/>
      <c r="E845" s="72"/>
    </row>
    <row r="846">
      <c r="A846" s="71"/>
      <c r="B846" s="72"/>
      <c r="C846" s="72"/>
      <c r="D846" s="91"/>
      <c r="E846" s="72"/>
    </row>
    <row r="847">
      <c r="A847" s="71"/>
      <c r="B847" s="72"/>
      <c r="C847" s="72"/>
      <c r="D847" s="91"/>
      <c r="E847" s="72"/>
    </row>
    <row r="848">
      <c r="A848" s="71"/>
      <c r="B848" s="72"/>
      <c r="C848" s="72"/>
      <c r="D848" s="91"/>
      <c r="E848" s="72"/>
    </row>
    <row r="849">
      <c r="A849" s="71"/>
      <c r="B849" s="72"/>
      <c r="C849" s="72"/>
      <c r="D849" s="91"/>
      <c r="E849" s="72"/>
    </row>
    <row r="850">
      <c r="A850" s="71"/>
      <c r="B850" s="72"/>
      <c r="C850" s="72"/>
      <c r="D850" s="91"/>
      <c r="E850" s="72"/>
    </row>
    <row r="851">
      <c r="A851" s="71"/>
      <c r="B851" s="72"/>
      <c r="C851" s="72"/>
      <c r="D851" s="91"/>
      <c r="E851" s="72"/>
    </row>
    <row r="852">
      <c r="A852" s="71"/>
      <c r="B852" s="72"/>
      <c r="C852" s="72"/>
      <c r="D852" s="91"/>
      <c r="E852" s="72"/>
    </row>
    <row r="853">
      <c r="A853" s="71"/>
      <c r="B853" s="72"/>
      <c r="C853" s="72"/>
      <c r="D853" s="91"/>
      <c r="E853" s="72"/>
    </row>
    <row r="854">
      <c r="A854" s="71"/>
      <c r="B854" s="72"/>
      <c r="C854" s="72"/>
      <c r="D854" s="91"/>
      <c r="E854" s="72"/>
    </row>
    <row r="855">
      <c r="A855" s="71"/>
      <c r="B855" s="72"/>
      <c r="C855" s="72"/>
      <c r="D855" s="91"/>
      <c r="E855" s="72"/>
    </row>
    <row r="856">
      <c r="A856" s="71"/>
      <c r="B856" s="72"/>
      <c r="C856" s="72"/>
      <c r="D856" s="91"/>
      <c r="E856" s="72"/>
    </row>
    <row r="857">
      <c r="A857" s="71"/>
      <c r="B857" s="72"/>
      <c r="C857" s="72"/>
      <c r="D857" s="91"/>
      <c r="E857" s="72"/>
    </row>
    <row r="858">
      <c r="A858" s="71"/>
      <c r="B858" s="72"/>
      <c r="C858" s="72"/>
      <c r="D858" s="91"/>
      <c r="E858" s="72"/>
    </row>
    <row r="859">
      <c r="A859" s="71"/>
      <c r="B859" s="72"/>
      <c r="C859" s="72"/>
      <c r="D859" s="91"/>
      <c r="E859" s="72"/>
    </row>
    <row r="860">
      <c r="A860" s="71"/>
      <c r="B860" s="72"/>
      <c r="C860" s="72"/>
      <c r="D860" s="91"/>
      <c r="E860" s="72"/>
    </row>
    <row r="861">
      <c r="A861" s="71"/>
      <c r="B861" s="72"/>
      <c r="C861" s="72"/>
      <c r="D861" s="91"/>
      <c r="E861" s="72"/>
    </row>
    <row r="862">
      <c r="A862" s="71"/>
      <c r="B862" s="72"/>
      <c r="C862" s="72"/>
      <c r="D862" s="91"/>
      <c r="E862" s="72"/>
    </row>
    <row r="863">
      <c r="A863" s="71"/>
      <c r="B863" s="72"/>
      <c r="C863" s="72"/>
      <c r="D863" s="91"/>
      <c r="E863" s="72"/>
    </row>
    <row r="864">
      <c r="A864" s="71"/>
      <c r="B864" s="72"/>
      <c r="C864" s="72"/>
      <c r="D864" s="91"/>
      <c r="E864" s="72"/>
    </row>
    <row r="865">
      <c r="A865" s="71"/>
      <c r="B865" s="72"/>
      <c r="C865" s="72"/>
      <c r="D865" s="91"/>
      <c r="E865" s="72"/>
    </row>
    <row r="866">
      <c r="A866" s="71"/>
      <c r="B866" s="72"/>
      <c r="C866" s="72"/>
      <c r="D866" s="91"/>
      <c r="E866" s="72"/>
    </row>
    <row r="867">
      <c r="A867" s="71"/>
      <c r="B867" s="72"/>
      <c r="C867" s="72"/>
      <c r="D867" s="91"/>
      <c r="E867" s="72"/>
    </row>
    <row r="868">
      <c r="A868" s="71"/>
      <c r="B868" s="72"/>
      <c r="C868" s="72"/>
      <c r="D868" s="91"/>
      <c r="E868" s="72"/>
    </row>
    <row r="869">
      <c r="A869" s="71"/>
      <c r="B869" s="72"/>
      <c r="C869" s="72"/>
      <c r="D869" s="91"/>
      <c r="E869" s="72"/>
    </row>
    <row r="870">
      <c r="A870" s="71"/>
      <c r="B870" s="72"/>
      <c r="C870" s="72"/>
      <c r="D870" s="91"/>
      <c r="E870" s="72"/>
    </row>
    <row r="871">
      <c r="A871" s="71"/>
      <c r="B871" s="72"/>
      <c r="C871" s="72"/>
      <c r="D871" s="91"/>
      <c r="E871" s="72"/>
    </row>
    <row r="872">
      <c r="A872" s="71"/>
      <c r="B872" s="72"/>
      <c r="C872" s="72"/>
      <c r="D872" s="91"/>
      <c r="E872" s="72"/>
    </row>
    <row r="873">
      <c r="A873" s="71"/>
      <c r="B873" s="72"/>
      <c r="C873" s="72"/>
      <c r="D873" s="91"/>
      <c r="E873" s="72"/>
    </row>
    <row r="874">
      <c r="A874" s="71"/>
      <c r="B874" s="72"/>
      <c r="C874" s="72"/>
      <c r="D874" s="91"/>
      <c r="E874" s="72"/>
    </row>
    <row r="875">
      <c r="A875" s="71"/>
      <c r="B875" s="72"/>
      <c r="C875" s="72"/>
      <c r="D875" s="91"/>
      <c r="E875" s="72"/>
    </row>
    <row r="876">
      <c r="A876" s="71"/>
      <c r="B876" s="72"/>
      <c r="C876" s="72"/>
      <c r="D876" s="91"/>
      <c r="E876" s="72"/>
    </row>
    <row r="877">
      <c r="A877" s="71"/>
      <c r="B877" s="72"/>
      <c r="C877" s="72"/>
      <c r="D877" s="91"/>
      <c r="E877" s="72"/>
    </row>
    <row r="878">
      <c r="A878" s="71"/>
      <c r="B878" s="72"/>
      <c r="C878" s="72"/>
      <c r="D878" s="91"/>
      <c r="E878" s="72"/>
    </row>
    <row r="879">
      <c r="A879" s="71"/>
      <c r="B879" s="72"/>
      <c r="C879" s="72"/>
      <c r="D879" s="91"/>
      <c r="E879" s="72"/>
    </row>
    <row r="880">
      <c r="A880" s="71"/>
      <c r="B880" s="72"/>
      <c r="C880" s="72"/>
      <c r="D880" s="91"/>
      <c r="E880" s="72"/>
    </row>
    <row r="881">
      <c r="A881" s="71"/>
      <c r="B881" s="72"/>
      <c r="C881" s="72"/>
      <c r="D881" s="91"/>
      <c r="E881" s="72"/>
    </row>
    <row r="882">
      <c r="A882" s="71"/>
      <c r="B882" s="72"/>
      <c r="C882" s="72"/>
      <c r="D882" s="91"/>
      <c r="E882" s="72"/>
    </row>
    <row r="883">
      <c r="A883" s="71"/>
      <c r="B883" s="72"/>
      <c r="C883" s="72"/>
      <c r="D883" s="91"/>
      <c r="E883" s="72"/>
    </row>
    <row r="884">
      <c r="A884" s="71"/>
      <c r="B884" s="72"/>
      <c r="C884" s="72"/>
      <c r="D884" s="91"/>
      <c r="E884" s="72"/>
    </row>
    <row r="885">
      <c r="A885" s="71"/>
      <c r="B885" s="72"/>
      <c r="C885" s="72"/>
      <c r="D885" s="91"/>
      <c r="E885" s="72"/>
    </row>
    <row r="886">
      <c r="A886" s="71"/>
      <c r="B886" s="72"/>
      <c r="C886" s="72"/>
      <c r="D886" s="91"/>
      <c r="E886" s="72"/>
    </row>
    <row r="887">
      <c r="A887" s="71"/>
      <c r="B887" s="72"/>
      <c r="C887" s="72"/>
      <c r="D887" s="91"/>
      <c r="E887" s="72"/>
    </row>
    <row r="888">
      <c r="A888" s="71"/>
      <c r="B888" s="72"/>
      <c r="C888" s="72"/>
      <c r="D888" s="91"/>
      <c r="E888" s="72"/>
    </row>
    <row r="889">
      <c r="A889" s="71"/>
      <c r="B889" s="72"/>
      <c r="C889" s="72"/>
      <c r="D889" s="91"/>
      <c r="E889" s="72"/>
    </row>
    <row r="890">
      <c r="A890" s="71"/>
      <c r="B890" s="72"/>
      <c r="C890" s="72"/>
      <c r="D890" s="91"/>
      <c r="E890" s="72"/>
    </row>
    <row r="891">
      <c r="A891" s="71"/>
      <c r="B891" s="72"/>
      <c r="C891" s="72"/>
      <c r="D891" s="91"/>
      <c r="E891" s="72"/>
    </row>
    <row r="892">
      <c r="A892" s="71"/>
      <c r="B892" s="72"/>
      <c r="C892" s="72"/>
      <c r="D892" s="91"/>
      <c r="E892" s="72"/>
    </row>
    <row r="893">
      <c r="A893" s="71"/>
      <c r="B893" s="72"/>
      <c r="C893" s="72"/>
      <c r="D893" s="91"/>
      <c r="E893" s="72"/>
    </row>
    <row r="894">
      <c r="A894" s="71"/>
      <c r="B894" s="72"/>
      <c r="C894" s="72"/>
      <c r="D894" s="91"/>
      <c r="E894" s="72"/>
    </row>
    <row r="895">
      <c r="A895" s="71"/>
      <c r="B895" s="72"/>
      <c r="C895" s="72"/>
      <c r="D895" s="91"/>
      <c r="E895" s="72"/>
    </row>
    <row r="896">
      <c r="A896" s="71"/>
      <c r="B896" s="72"/>
      <c r="C896" s="72"/>
      <c r="D896" s="91"/>
      <c r="E896" s="72"/>
    </row>
    <row r="897">
      <c r="A897" s="71"/>
      <c r="B897" s="72"/>
      <c r="C897" s="72"/>
      <c r="D897" s="91"/>
      <c r="E897" s="72"/>
    </row>
    <row r="898">
      <c r="A898" s="71"/>
      <c r="B898" s="72"/>
      <c r="C898" s="72"/>
      <c r="D898" s="91"/>
      <c r="E898" s="72"/>
    </row>
    <row r="899">
      <c r="A899" s="71"/>
      <c r="B899" s="72"/>
      <c r="C899" s="72"/>
      <c r="D899" s="91"/>
      <c r="E899" s="72"/>
    </row>
    <row r="900">
      <c r="A900" s="71"/>
      <c r="B900" s="72"/>
      <c r="C900" s="72"/>
      <c r="D900" s="91"/>
      <c r="E900" s="72"/>
    </row>
    <row r="901">
      <c r="A901" s="71"/>
      <c r="B901" s="72"/>
      <c r="C901" s="72"/>
      <c r="D901" s="91"/>
      <c r="E901" s="72"/>
    </row>
    <row r="902">
      <c r="A902" s="71"/>
      <c r="B902" s="72"/>
      <c r="C902" s="72"/>
      <c r="D902" s="91"/>
      <c r="E902" s="72"/>
    </row>
    <row r="903">
      <c r="A903" s="71"/>
      <c r="B903" s="72"/>
      <c r="C903" s="72"/>
      <c r="D903" s="91"/>
      <c r="E903" s="72"/>
    </row>
    <row r="904">
      <c r="A904" s="71"/>
      <c r="B904" s="72"/>
      <c r="C904" s="72"/>
      <c r="D904" s="91"/>
      <c r="E904" s="72"/>
    </row>
    <row r="905">
      <c r="A905" s="71"/>
      <c r="B905" s="72"/>
      <c r="C905" s="72"/>
      <c r="D905" s="91"/>
      <c r="E905" s="72"/>
    </row>
    <row r="906">
      <c r="A906" s="71"/>
      <c r="B906" s="72"/>
      <c r="C906" s="72"/>
      <c r="D906" s="91"/>
      <c r="E906" s="72"/>
    </row>
    <row r="907">
      <c r="A907" s="71"/>
      <c r="B907" s="72"/>
      <c r="C907" s="72"/>
      <c r="D907" s="91"/>
      <c r="E907" s="72"/>
    </row>
    <row r="908">
      <c r="A908" s="71"/>
      <c r="B908" s="72"/>
      <c r="C908" s="72"/>
      <c r="D908" s="91"/>
      <c r="E908" s="72"/>
    </row>
    <row r="909">
      <c r="A909" s="71"/>
      <c r="B909" s="72"/>
      <c r="C909" s="72"/>
      <c r="D909" s="91"/>
      <c r="E909" s="72"/>
    </row>
    <row r="910">
      <c r="A910" s="71"/>
      <c r="B910" s="72"/>
      <c r="C910" s="72"/>
      <c r="D910" s="91"/>
      <c r="E910" s="72"/>
    </row>
    <row r="911">
      <c r="A911" s="71"/>
      <c r="B911" s="72"/>
      <c r="C911" s="72"/>
      <c r="D911" s="91"/>
      <c r="E911" s="72"/>
    </row>
    <row r="912">
      <c r="A912" s="71"/>
      <c r="B912" s="72"/>
      <c r="C912" s="72"/>
      <c r="D912" s="91"/>
      <c r="E912" s="72"/>
    </row>
    <row r="913">
      <c r="A913" s="71"/>
      <c r="B913" s="72"/>
      <c r="C913" s="72"/>
      <c r="D913" s="91"/>
      <c r="E913" s="72"/>
    </row>
    <row r="914">
      <c r="A914" s="71"/>
      <c r="B914" s="72"/>
      <c r="C914" s="72"/>
      <c r="D914" s="91"/>
      <c r="E914" s="72"/>
    </row>
    <row r="915">
      <c r="A915" s="71"/>
      <c r="B915" s="72"/>
      <c r="C915" s="72"/>
      <c r="D915" s="91"/>
      <c r="E915" s="72"/>
    </row>
    <row r="916">
      <c r="A916" s="71"/>
      <c r="B916" s="72"/>
      <c r="C916" s="72"/>
      <c r="D916" s="91"/>
      <c r="E916" s="72"/>
    </row>
    <row r="917">
      <c r="A917" s="71"/>
      <c r="B917" s="72"/>
      <c r="C917" s="72"/>
      <c r="D917" s="91"/>
      <c r="E917" s="72"/>
    </row>
    <row r="918">
      <c r="A918" s="71"/>
      <c r="B918" s="72"/>
      <c r="C918" s="72"/>
      <c r="D918" s="91"/>
      <c r="E918" s="72"/>
    </row>
    <row r="919">
      <c r="A919" s="71"/>
      <c r="B919" s="72"/>
      <c r="C919" s="72"/>
      <c r="D919" s="91"/>
      <c r="E919" s="72"/>
    </row>
    <row r="920">
      <c r="A920" s="71"/>
      <c r="B920" s="72"/>
      <c r="C920" s="72"/>
      <c r="D920" s="91"/>
      <c r="E920" s="72"/>
    </row>
    <row r="921">
      <c r="A921" s="71"/>
      <c r="B921" s="72"/>
      <c r="C921" s="72"/>
      <c r="D921" s="91"/>
      <c r="E921" s="72"/>
    </row>
    <row r="922">
      <c r="A922" s="71"/>
      <c r="B922" s="72"/>
      <c r="C922" s="72"/>
      <c r="D922" s="91"/>
      <c r="E922" s="72"/>
    </row>
    <row r="923">
      <c r="A923" s="71"/>
      <c r="B923" s="72"/>
      <c r="C923" s="72"/>
      <c r="D923" s="91"/>
      <c r="E923" s="72"/>
    </row>
    <row r="924">
      <c r="A924" s="71"/>
      <c r="B924" s="72"/>
      <c r="C924" s="72"/>
      <c r="D924" s="91"/>
      <c r="E924" s="72"/>
    </row>
    <row r="925">
      <c r="A925" s="71"/>
      <c r="B925" s="72"/>
      <c r="C925" s="72"/>
      <c r="D925" s="91"/>
      <c r="E925" s="72"/>
    </row>
    <row r="926">
      <c r="A926" s="71"/>
      <c r="B926" s="72"/>
      <c r="C926" s="72"/>
      <c r="D926" s="91"/>
      <c r="E926" s="72"/>
    </row>
    <row r="927">
      <c r="A927" s="71"/>
      <c r="B927" s="72"/>
      <c r="C927" s="72"/>
      <c r="D927" s="91"/>
      <c r="E927" s="72"/>
    </row>
    <row r="928">
      <c r="A928" s="71"/>
      <c r="B928" s="72"/>
      <c r="C928" s="72"/>
      <c r="D928" s="91"/>
      <c r="E928" s="72"/>
    </row>
    <row r="929">
      <c r="A929" s="71"/>
      <c r="B929" s="72"/>
      <c r="C929" s="72"/>
      <c r="D929" s="91"/>
      <c r="E929" s="72"/>
    </row>
    <row r="930">
      <c r="A930" s="71"/>
      <c r="B930" s="72"/>
      <c r="C930" s="72"/>
      <c r="D930" s="91"/>
      <c r="E930" s="72"/>
    </row>
    <row r="931">
      <c r="A931" s="71"/>
      <c r="B931" s="72"/>
      <c r="C931" s="72"/>
      <c r="D931" s="91"/>
      <c r="E931" s="72"/>
    </row>
    <row r="932">
      <c r="A932" s="71"/>
      <c r="B932" s="72"/>
      <c r="C932" s="72"/>
      <c r="D932" s="91"/>
      <c r="E932" s="72"/>
    </row>
    <row r="933">
      <c r="A933" s="71"/>
      <c r="B933" s="72"/>
      <c r="C933" s="72"/>
      <c r="D933" s="91"/>
      <c r="E933" s="72"/>
    </row>
    <row r="934">
      <c r="A934" s="71"/>
      <c r="B934" s="72"/>
      <c r="C934" s="72"/>
      <c r="D934" s="91"/>
      <c r="E934" s="72"/>
    </row>
    <row r="935">
      <c r="A935" s="71"/>
      <c r="B935" s="72"/>
      <c r="C935" s="72"/>
      <c r="D935" s="91"/>
      <c r="E935" s="72"/>
    </row>
    <row r="936">
      <c r="A936" s="71"/>
      <c r="B936" s="72"/>
      <c r="C936" s="72"/>
      <c r="D936" s="91"/>
      <c r="E936" s="72"/>
    </row>
    <row r="937">
      <c r="A937" s="71"/>
      <c r="B937" s="72"/>
      <c r="C937" s="72"/>
      <c r="D937" s="91"/>
      <c r="E937" s="72"/>
    </row>
    <row r="938">
      <c r="A938" s="71"/>
      <c r="B938" s="72"/>
      <c r="C938" s="72"/>
      <c r="D938" s="91"/>
      <c r="E938" s="72"/>
    </row>
    <row r="939">
      <c r="A939" s="71"/>
      <c r="B939" s="72"/>
      <c r="C939" s="72"/>
      <c r="D939" s="91"/>
      <c r="E939" s="72"/>
    </row>
    <row r="940">
      <c r="A940" s="71"/>
      <c r="B940" s="72"/>
      <c r="C940" s="72"/>
      <c r="D940" s="91"/>
      <c r="E940" s="72"/>
    </row>
    <row r="941">
      <c r="A941" s="71"/>
      <c r="B941" s="72"/>
      <c r="C941" s="72"/>
      <c r="D941" s="91"/>
      <c r="E941" s="72"/>
    </row>
    <row r="942">
      <c r="A942" s="71"/>
      <c r="B942" s="72"/>
      <c r="C942" s="72"/>
      <c r="D942" s="91"/>
      <c r="E942" s="72"/>
    </row>
    <row r="943">
      <c r="A943" s="71"/>
      <c r="B943" s="72"/>
      <c r="C943" s="72"/>
      <c r="D943" s="91"/>
      <c r="E943" s="72"/>
    </row>
    <row r="944">
      <c r="A944" s="71"/>
      <c r="B944" s="72"/>
      <c r="C944" s="72"/>
      <c r="D944" s="91"/>
      <c r="E944" s="72"/>
    </row>
    <row r="945">
      <c r="A945" s="71"/>
      <c r="B945" s="72"/>
      <c r="C945" s="72"/>
      <c r="D945" s="91"/>
      <c r="E945" s="72"/>
    </row>
    <row r="946">
      <c r="A946" s="71"/>
      <c r="B946" s="72"/>
      <c r="C946" s="72"/>
      <c r="D946" s="91"/>
      <c r="E946" s="72"/>
    </row>
    <row r="947">
      <c r="A947" s="71"/>
      <c r="B947" s="72"/>
      <c r="C947" s="72"/>
      <c r="D947" s="91"/>
      <c r="E947" s="72"/>
    </row>
    <row r="948">
      <c r="A948" s="71"/>
      <c r="B948" s="72"/>
      <c r="C948" s="72"/>
      <c r="D948" s="91"/>
      <c r="E948" s="72"/>
    </row>
    <row r="949">
      <c r="A949" s="71"/>
      <c r="B949" s="72"/>
      <c r="C949" s="72"/>
      <c r="D949" s="91"/>
      <c r="E949" s="72"/>
    </row>
    <row r="950">
      <c r="A950" s="71"/>
      <c r="B950" s="72"/>
      <c r="C950" s="72"/>
      <c r="D950" s="91"/>
      <c r="E950" s="72"/>
    </row>
    <row r="951">
      <c r="A951" s="71"/>
      <c r="B951" s="72"/>
      <c r="C951" s="72"/>
      <c r="D951" s="91"/>
      <c r="E951" s="72"/>
    </row>
    <row r="952">
      <c r="A952" s="71"/>
      <c r="B952" s="72"/>
      <c r="C952" s="72"/>
      <c r="D952" s="91"/>
      <c r="E952" s="72"/>
    </row>
    <row r="953">
      <c r="A953" s="71"/>
      <c r="B953" s="72"/>
      <c r="C953" s="72"/>
      <c r="D953" s="91"/>
      <c r="E953" s="72"/>
    </row>
    <row r="954">
      <c r="A954" s="71"/>
      <c r="B954" s="72"/>
      <c r="C954" s="72"/>
      <c r="D954" s="91"/>
      <c r="E954" s="72"/>
    </row>
    <row r="955">
      <c r="A955" s="71"/>
      <c r="B955" s="72"/>
      <c r="C955" s="72"/>
      <c r="D955" s="91"/>
      <c r="E955" s="72"/>
    </row>
    <row r="956">
      <c r="A956" s="71"/>
      <c r="B956" s="72"/>
      <c r="C956" s="72"/>
      <c r="D956" s="91"/>
      <c r="E956" s="72"/>
    </row>
    <row r="957">
      <c r="A957" s="71"/>
      <c r="B957" s="72"/>
      <c r="C957" s="72"/>
      <c r="D957" s="91"/>
      <c r="E957" s="72"/>
    </row>
    <row r="958">
      <c r="A958" s="71"/>
      <c r="B958" s="72"/>
      <c r="C958" s="72"/>
      <c r="D958" s="91"/>
      <c r="E958" s="72"/>
    </row>
    <row r="959">
      <c r="A959" s="71"/>
      <c r="B959" s="72"/>
      <c r="C959" s="72"/>
      <c r="D959" s="91"/>
      <c r="E959" s="72"/>
    </row>
    <row r="960">
      <c r="A960" s="71"/>
      <c r="B960" s="72"/>
      <c r="C960" s="72"/>
      <c r="D960" s="91"/>
      <c r="E960" s="72"/>
    </row>
    <row r="961">
      <c r="A961" s="71"/>
      <c r="B961" s="72"/>
      <c r="C961" s="72"/>
      <c r="D961" s="91"/>
      <c r="E961" s="72"/>
    </row>
    <row r="962">
      <c r="A962" s="71"/>
      <c r="B962" s="72"/>
      <c r="C962" s="72"/>
      <c r="D962" s="91"/>
      <c r="E962" s="72"/>
    </row>
    <row r="963">
      <c r="A963" s="71"/>
      <c r="B963" s="72"/>
      <c r="C963" s="72"/>
      <c r="D963" s="91"/>
      <c r="E963" s="72"/>
    </row>
    <row r="964">
      <c r="A964" s="71"/>
      <c r="B964" s="72"/>
      <c r="C964" s="72"/>
      <c r="D964" s="91"/>
      <c r="E964" s="72"/>
    </row>
    <row r="965">
      <c r="A965" s="71"/>
      <c r="B965" s="72"/>
      <c r="C965" s="72"/>
      <c r="D965" s="91"/>
      <c r="E965" s="72"/>
    </row>
    <row r="966">
      <c r="A966" s="71"/>
      <c r="B966" s="72"/>
      <c r="C966" s="72"/>
      <c r="D966" s="91"/>
      <c r="E966" s="72"/>
    </row>
    <row r="967">
      <c r="A967" s="71"/>
      <c r="B967" s="72"/>
      <c r="C967" s="72"/>
      <c r="D967" s="91"/>
      <c r="E967" s="72"/>
    </row>
    <row r="968">
      <c r="A968" s="71"/>
      <c r="B968" s="72"/>
      <c r="C968" s="72"/>
      <c r="D968" s="91"/>
      <c r="E968" s="72"/>
    </row>
    <row r="969">
      <c r="A969" s="71"/>
      <c r="B969" s="72"/>
      <c r="C969" s="72"/>
      <c r="D969" s="91"/>
      <c r="E969" s="72"/>
    </row>
    <row r="970">
      <c r="A970" s="71"/>
      <c r="B970" s="72"/>
      <c r="C970" s="72"/>
      <c r="D970" s="91"/>
      <c r="E970" s="72"/>
    </row>
    <row r="971">
      <c r="A971" s="71"/>
      <c r="B971" s="72"/>
      <c r="C971" s="72"/>
      <c r="D971" s="91"/>
      <c r="E971" s="72"/>
    </row>
    <row r="972">
      <c r="A972" s="71"/>
      <c r="B972" s="72"/>
      <c r="C972" s="72"/>
      <c r="D972" s="91"/>
      <c r="E972" s="72"/>
    </row>
    <row r="973">
      <c r="A973" s="71"/>
      <c r="B973" s="72"/>
      <c r="C973" s="72"/>
      <c r="D973" s="91"/>
      <c r="E973" s="72"/>
    </row>
    <row r="974">
      <c r="A974" s="71"/>
      <c r="B974" s="72"/>
      <c r="C974" s="72"/>
      <c r="D974" s="91"/>
      <c r="E974" s="72"/>
    </row>
    <row r="975">
      <c r="A975" s="71"/>
      <c r="B975" s="72"/>
      <c r="C975" s="72"/>
      <c r="D975" s="91"/>
      <c r="E975" s="72"/>
    </row>
    <row r="976">
      <c r="A976" s="71"/>
      <c r="B976" s="72"/>
      <c r="C976" s="72"/>
      <c r="D976" s="91"/>
      <c r="E976" s="72"/>
    </row>
    <row r="977">
      <c r="A977" s="71"/>
      <c r="B977" s="72"/>
      <c r="C977" s="72"/>
      <c r="D977" s="91"/>
      <c r="E977" s="72"/>
    </row>
    <row r="978">
      <c r="A978" s="71"/>
      <c r="B978" s="72"/>
      <c r="C978" s="72"/>
      <c r="D978" s="91"/>
      <c r="E978" s="72"/>
    </row>
    <row r="979">
      <c r="A979" s="71"/>
      <c r="B979" s="72"/>
      <c r="C979" s="72"/>
      <c r="D979" s="91"/>
      <c r="E979" s="72"/>
    </row>
    <row r="980">
      <c r="A980" s="71"/>
      <c r="B980" s="72"/>
      <c r="C980" s="72"/>
      <c r="D980" s="91"/>
      <c r="E980" s="72"/>
    </row>
    <row r="981">
      <c r="A981" s="71"/>
      <c r="B981" s="72"/>
      <c r="C981" s="72"/>
      <c r="D981" s="91"/>
      <c r="E981" s="72"/>
    </row>
    <row r="982">
      <c r="A982" s="71"/>
      <c r="B982" s="72"/>
      <c r="C982" s="72"/>
      <c r="D982" s="91"/>
      <c r="E982" s="72"/>
    </row>
    <row r="983">
      <c r="A983" s="71"/>
      <c r="B983" s="72"/>
      <c r="C983" s="72"/>
      <c r="D983" s="91"/>
      <c r="E983" s="72"/>
    </row>
    <row r="984">
      <c r="A984" s="71"/>
      <c r="B984" s="72"/>
      <c r="C984" s="72"/>
      <c r="D984" s="91"/>
      <c r="E984" s="72"/>
    </row>
    <row r="985">
      <c r="A985" s="71"/>
      <c r="B985" s="72"/>
      <c r="C985" s="72"/>
      <c r="D985" s="91"/>
      <c r="E985" s="72"/>
    </row>
    <row r="986">
      <c r="A986" s="71"/>
      <c r="B986" s="72"/>
      <c r="C986" s="72"/>
      <c r="D986" s="91"/>
      <c r="E986" s="72"/>
    </row>
    <row r="987">
      <c r="A987" s="71"/>
      <c r="B987" s="72"/>
      <c r="C987" s="72"/>
      <c r="D987" s="91"/>
      <c r="E987" s="72"/>
    </row>
    <row r="988">
      <c r="A988" s="71"/>
      <c r="B988" s="72"/>
      <c r="C988" s="72"/>
      <c r="D988" s="91"/>
      <c r="E988" s="72"/>
    </row>
    <row r="989">
      <c r="A989" s="71"/>
      <c r="B989" s="72"/>
      <c r="C989" s="72"/>
      <c r="D989" s="91"/>
      <c r="E989" s="72"/>
    </row>
    <row r="990">
      <c r="A990" s="71"/>
      <c r="B990" s="72"/>
      <c r="C990" s="72"/>
      <c r="D990" s="91"/>
      <c r="E990" s="72"/>
    </row>
    <row r="991">
      <c r="A991" s="71"/>
      <c r="B991" s="72"/>
      <c r="C991" s="72"/>
      <c r="D991" s="91"/>
      <c r="E991" s="72"/>
    </row>
    <row r="992">
      <c r="A992" s="71"/>
      <c r="B992" s="72"/>
      <c r="C992" s="72"/>
      <c r="D992" s="91"/>
      <c r="E992" s="72"/>
    </row>
    <row r="993">
      <c r="A993" s="71"/>
      <c r="B993" s="72"/>
      <c r="C993" s="72"/>
      <c r="D993" s="91"/>
      <c r="E993" s="72"/>
    </row>
    <row r="994">
      <c r="A994" s="71"/>
      <c r="B994" s="72"/>
      <c r="C994" s="72"/>
      <c r="D994" s="91"/>
      <c r="E994" s="72"/>
    </row>
    <row r="995">
      <c r="A995" s="71"/>
      <c r="B995" s="72"/>
      <c r="C995" s="72"/>
      <c r="D995" s="91"/>
      <c r="E995" s="72"/>
    </row>
    <row r="996">
      <c r="A996" s="71"/>
      <c r="B996" s="72"/>
      <c r="C996" s="72"/>
      <c r="D996" s="91"/>
      <c r="E996" s="72"/>
    </row>
    <row r="997">
      <c r="A997" s="71"/>
      <c r="B997" s="72"/>
      <c r="C997" s="72"/>
      <c r="D997" s="91"/>
      <c r="E997" s="72"/>
    </row>
    <row r="998">
      <c r="A998" s="71"/>
      <c r="B998" s="72"/>
      <c r="C998" s="72"/>
      <c r="D998" s="91"/>
      <c r="E998" s="72"/>
    </row>
    <row r="999">
      <c r="A999" s="71"/>
      <c r="B999" s="72"/>
      <c r="C999" s="72"/>
      <c r="D999" s="91"/>
      <c r="E999" s="72"/>
    </row>
    <row r="1000">
      <c r="A1000" s="71"/>
      <c r="B1000" s="72"/>
      <c r="C1000" s="72"/>
      <c r="D1000" s="91"/>
      <c r="E1000" s="72"/>
    </row>
    <row r="1001">
      <c r="A1001" s="71"/>
      <c r="B1001" s="72"/>
      <c r="C1001" s="72"/>
      <c r="D1001" s="91"/>
      <c r="E1001" s="72"/>
    </row>
    <row r="1002">
      <c r="A1002" s="71"/>
      <c r="B1002" s="72"/>
      <c r="C1002" s="72"/>
      <c r="D1002" s="91"/>
      <c r="E1002" s="72"/>
    </row>
    <row r="1003">
      <c r="A1003" s="71"/>
      <c r="B1003" s="72"/>
      <c r="C1003" s="72"/>
      <c r="D1003" s="91"/>
      <c r="E1003" s="72"/>
    </row>
    <row r="1004">
      <c r="A1004" s="71"/>
      <c r="B1004" s="72"/>
      <c r="C1004" s="72"/>
      <c r="D1004" s="91"/>
      <c r="E1004" s="72"/>
    </row>
    <row r="1005">
      <c r="A1005" s="71"/>
      <c r="B1005" s="72"/>
      <c r="C1005" s="72"/>
      <c r="D1005" s="91"/>
      <c r="E1005" s="72"/>
    </row>
    <row r="1006">
      <c r="A1006" s="71"/>
      <c r="B1006" s="72"/>
      <c r="C1006" s="72"/>
      <c r="D1006" s="91"/>
      <c r="E1006" s="72"/>
    </row>
    <row r="1007">
      <c r="A1007" s="71"/>
      <c r="B1007" s="72"/>
      <c r="C1007" s="72"/>
      <c r="D1007" s="91"/>
      <c r="E1007" s="72"/>
    </row>
    <row r="1008">
      <c r="A1008" s="71"/>
      <c r="B1008" s="72"/>
      <c r="C1008" s="72"/>
      <c r="D1008" s="91"/>
      <c r="E1008" s="72"/>
    </row>
    <row r="1009">
      <c r="A1009" s="71"/>
      <c r="B1009" s="72"/>
      <c r="C1009" s="72"/>
      <c r="D1009" s="91"/>
      <c r="E1009" s="72"/>
    </row>
    <row r="1010">
      <c r="A1010" s="71"/>
      <c r="B1010" s="72"/>
      <c r="C1010" s="72"/>
      <c r="D1010" s="91"/>
      <c r="E1010" s="72"/>
    </row>
    <row r="1011">
      <c r="A1011" s="71"/>
      <c r="B1011" s="72"/>
      <c r="C1011" s="72"/>
      <c r="D1011" s="91"/>
      <c r="E1011" s="72"/>
    </row>
    <row r="1012">
      <c r="A1012" s="71"/>
      <c r="B1012" s="72"/>
      <c r="C1012" s="72"/>
      <c r="D1012" s="91"/>
      <c r="E1012" s="72"/>
    </row>
    <row r="1013">
      <c r="A1013" s="71"/>
      <c r="B1013" s="72"/>
      <c r="C1013" s="72"/>
      <c r="D1013" s="91"/>
      <c r="E1013" s="72"/>
    </row>
    <row r="1014">
      <c r="A1014" s="71"/>
      <c r="B1014" s="72"/>
      <c r="C1014" s="72"/>
      <c r="D1014" s="91"/>
      <c r="E1014" s="72"/>
    </row>
    <row r="1015">
      <c r="A1015" s="71"/>
      <c r="B1015" s="72"/>
      <c r="C1015" s="72"/>
      <c r="D1015" s="91"/>
      <c r="E1015" s="72"/>
    </row>
    <row r="1016">
      <c r="A1016" s="71"/>
      <c r="B1016" s="72"/>
      <c r="C1016" s="72"/>
      <c r="D1016" s="91"/>
      <c r="E1016" s="72"/>
    </row>
    <row r="1017">
      <c r="A1017" s="71"/>
      <c r="B1017" s="72"/>
      <c r="C1017" s="72"/>
      <c r="D1017" s="91"/>
      <c r="E1017" s="72"/>
    </row>
    <row r="1018">
      <c r="A1018" s="71"/>
      <c r="B1018" s="72"/>
      <c r="C1018" s="72"/>
      <c r="D1018" s="91"/>
      <c r="E1018" s="72"/>
    </row>
    <row r="1019">
      <c r="A1019" s="71"/>
      <c r="B1019" s="72"/>
      <c r="C1019" s="72"/>
      <c r="D1019" s="91"/>
      <c r="E1019" s="72"/>
    </row>
    <row r="1020">
      <c r="A1020" s="71"/>
      <c r="B1020" s="72"/>
      <c r="C1020" s="72"/>
      <c r="D1020" s="91"/>
      <c r="E1020" s="72"/>
    </row>
    <row r="1021">
      <c r="A1021" s="71"/>
      <c r="B1021" s="72"/>
      <c r="C1021" s="72"/>
      <c r="D1021" s="91"/>
      <c r="E1021" s="72"/>
    </row>
    <row r="1022">
      <c r="A1022" s="71"/>
      <c r="B1022" s="72"/>
      <c r="C1022" s="72"/>
      <c r="D1022" s="91"/>
      <c r="E1022" s="72"/>
    </row>
    <row r="1023">
      <c r="A1023" s="71"/>
      <c r="B1023" s="72"/>
      <c r="C1023" s="72"/>
      <c r="D1023" s="91"/>
      <c r="E1023" s="72"/>
    </row>
    <row r="1024">
      <c r="A1024" s="71"/>
      <c r="B1024" s="72"/>
      <c r="C1024" s="72"/>
      <c r="D1024" s="91"/>
      <c r="E1024" s="72"/>
    </row>
    <row r="1025">
      <c r="A1025" s="71"/>
      <c r="B1025" s="72"/>
      <c r="C1025" s="72"/>
      <c r="D1025" s="91"/>
      <c r="E1025" s="72"/>
    </row>
    <row r="1026">
      <c r="A1026" s="71"/>
      <c r="B1026" s="72"/>
      <c r="C1026" s="72"/>
      <c r="D1026" s="91"/>
      <c r="E1026" s="72"/>
    </row>
    <row r="1027">
      <c r="A1027" s="71"/>
      <c r="B1027" s="72"/>
      <c r="C1027" s="72"/>
      <c r="D1027" s="91"/>
      <c r="E1027" s="72"/>
    </row>
    <row r="1028">
      <c r="A1028" s="71"/>
      <c r="B1028" s="72"/>
      <c r="C1028" s="72"/>
      <c r="D1028" s="91"/>
      <c r="E1028" s="72"/>
    </row>
    <row r="1029">
      <c r="A1029" s="71"/>
      <c r="B1029" s="72"/>
      <c r="C1029" s="72"/>
      <c r="D1029" s="91"/>
      <c r="E1029" s="72"/>
    </row>
    <row r="1030">
      <c r="A1030" s="71"/>
      <c r="B1030" s="72"/>
      <c r="C1030" s="72"/>
      <c r="D1030" s="91"/>
      <c r="E1030" s="72"/>
    </row>
    <row r="1031">
      <c r="A1031" s="71"/>
      <c r="B1031" s="72"/>
      <c r="C1031" s="72"/>
      <c r="D1031" s="91"/>
      <c r="E1031" s="72"/>
    </row>
    <row r="1032">
      <c r="A1032" s="71"/>
      <c r="B1032" s="72"/>
      <c r="C1032" s="72"/>
      <c r="D1032" s="91"/>
      <c r="E1032" s="72"/>
    </row>
    <row r="1033">
      <c r="A1033" s="71"/>
      <c r="B1033" s="72"/>
      <c r="C1033" s="72"/>
      <c r="D1033" s="91"/>
      <c r="E1033" s="72"/>
    </row>
    <row r="1034">
      <c r="A1034" s="71"/>
      <c r="B1034" s="72"/>
      <c r="C1034" s="72"/>
      <c r="D1034" s="91"/>
      <c r="E1034" s="72"/>
    </row>
    <row r="1035">
      <c r="A1035" s="71"/>
      <c r="B1035" s="72"/>
      <c r="C1035" s="72"/>
      <c r="D1035" s="91"/>
      <c r="E1035" s="72"/>
    </row>
    <row r="1036">
      <c r="A1036" s="71"/>
      <c r="B1036" s="72"/>
      <c r="C1036" s="72"/>
      <c r="D1036" s="91"/>
      <c r="E1036" s="72"/>
    </row>
    <row r="1037">
      <c r="A1037" s="71"/>
      <c r="B1037" s="72"/>
      <c r="C1037" s="72"/>
      <c r="D1037" s="91"/>
      <c r="E1037" s="72"/>
    </row>
    <row r="1038">
      <c r="A1038" s="71"/>
      <c r="B1038" s="72"/>
      <c r="C1038" s="72"/>
      <c r="D1038" s="91"/>
      <c r="E1038" s="72"/>
    </row>
    <row r="1039">
      <c r="A1039" s="71"/>
      <c r="B1039" s="72"/>
      <c r="C1039" s="72"/>
      <c r="D1039" s="91"/>
      <c r="E1039" s="72"/>
    </row>
    <row r="1040">
      <c r="A1040" s="71"/>
      <c r="B1040" s="72"/>
      <c r="C1040" s="72"/>
      <c r="D1040" s="91"/>
      <c r="E1040" s="72"/>
    </row>
    <row r="1041">
      <c r="A1041" s="71"/>
      <c r="B1041" s="72"/>
      <c r="C1041" s="72"/>
      <c r="D1041" s="91"/>
      <c r="E1041" s="72"/>
    </row>
    <row r="1042">
      <c r="A1042" s="71"/>
      <c r="B1042" s="72"/>
      <c r="C1042" s="72"/>
      <c r="D1042" s="91"/>
      <c r="E1042" s="72"/>
    </row>
    <row r="1043">
      <c r="A1043" s="71"/>
      <c r="B1043" s="72"/>
      <c r="C1043" s="72"/>
      <c r="D1043" s="91"/>
      <c r="E1043" s="72"/>
    </row>
    <row r="1044">
      <c r="A1044" s="71"/>
      <c r="B1044" s="72"/>
      <c r="C1044" s="72"/>
      <c r="D1044" s="91"/>
      <c r="E1044" s="72"/>
    </row>
    <row r="1045">
      <c r="A1045" s="71"/>
      <c r="B1045" s="72"/>
      <c r="C1045" s="72"/>
      <c r="D1045" s="91"/>
      <c r="E1045" s="72"/>
    </row>
    <row r="1046">
      <c r="A1046" s="71"/>
      <c r="B1046" s="72"/>
      <c r="C1046" s="72"/>
      <c r="D1046" s="91"/>
      <c r="E1046" s="72"/>
    </row>
    <row r="1047">
      <c r="A1047" s="71"/>
      <c r="B1047" s="72"/>
      <c r="C1047" s="72"/>
      <c r="D1047" s="91"/>
      <c r="E1047" s="72"/>
    </row>
    <row r="1048">
      <c r="A1048" s="71"/>
      <c r="B1048" s="72"/>
      <c r="C1048" s="72"/>
      <c r="D1048" s="91"/>
      <c r="E1048" s="72"/>
    </row>
    <row r="1049">
      <c r="A1049" s="71"/>
      <c r="B1049" s="72"/>
      <c r="C1049" s="72"/>
      <c r="D1049" s="91"/>
      <c r="E1049" s="72"/>
    </row>
    <row r="1050">
      <c r="A1050" s="71"/>
      <c r="B1050" s="72"/>
      <c r="C1050" s="72"/>
      <c r="D1050" s="91"/>
      <c r="E1050" s="72"/>
    </row>
    <row r="1051">
      <c r="A1051" s="71"/>
      <c r="B1051" s="72"/>
      <c r="C1051" s="72"/>
      <c r="D1051" s="91"/>
      <c r="E1051" s="72"/>
    </row>
    <row r="1052">
      <c r="A1052" s="71"/>
      <c r="B1052" s="72"/>
      <c r="C1052" s="72"/>
      <c r="D1052" s="91"/>
      <c r="E1052" s="72"/>
    </row>
    <row r="1053">
      <c r="A1053" s="71"/>
      <c r="B1053" s="72"/>
      <c r="C1053" s="72"/>
      <c r="D1053" s="91"/>
      <c r="E1053" s="72"/>
    </row>
    <row r="1054">
      <c r="A1054" s="71"/>
      <c r="B1054" s="72"/>
      <c r="C1054" s="72"/>
      <c r="D1054" s="91"/>
      <c r="E1054" s="72"/>
    </row>
    <row r="1055">
      <c r="A1055" s="71"/>
      <c r="B1055" s="72"/>
      <c r="C1055" s="72"/>
      <c r="D1055" s="91"/>
      <c r="E1055" s="72"/>
    </row>
    <row r="1056">
      <c r="A1056" s="71"/>
      <c r="B1056" s="72"/>
      <c r="C1056" s="72"/>
      <c r="D1056" s="91"/>
      <c r="E1056" s="72"/>
    </row>
    <row r="1057">
      <c r="A1057" s="71"/>
      <c r="B1057" s="72"/>
      <c r="C1057" s="72"/>
      <c r="D1057" s="91"/>
      <c r="E1057" s="72"/>
    </row>
    <row r="1058">
      <c r="A1058" s="71"/>
      <c r="B1058" s="72"/>
      <c r="C1058" s="72"/>
      <c r="D1058" s="91"/>
      <c r="E1058" s="72"/>
    </row>
    <row r="1059">
      <c r="A1059" s="71"/>
      <c r="B1059" s="72"/>
      <c r="C1059" s="72"/>
      <c r="D1059" s="91"/>
      <c r="E1059" s="72"/>
    </row>
    <row r="1060">
      <c r="A1060" s="71"/>
      <c r="B1060" s="72"/>
      <c r="C1060" s="72"/>
      <c r="D1060" s="91"/>
      <c r="E1060" s="72"/>
    </row>
    <row r="1061">
      <c r="A1061" s="71"/>
      <c r="B1061" s="72"/>
      <c r="C1061" s="72"/>
      <c r="D1061" s="91"/>
      <c r="E1061" s="72"/>
    </row>
    <row r="1062">
      <c r="A1062" s="71"/>
      <c r="B1062" s="72"/>
      <c r="C1062" s="72"/>
      <c r="D1062" s="91"/>
      <c r="E1062" s="72"/>
    </row>
    <row r="1063">
      <c r="A1063" s="71"/>
      <c r="B1063" s="72"/>
      <c r="C1063" s="72"/>
      <c r="D1063" s="91"/>
      <c r="E1063" s="72"/>
    </row>
    <row r="1064">
      <c r="A1064" s="71"/>
      <c r="B1064" s="72"/>
      <c r="C1064" s="72"/>
      <c r="D1064" s="91"/>
      <c r="E1064" s="72"/>
    </row>
    <row r="1065">
      <c r="A1065" s="71"/>
      <c r="B1065" s="72"/>
      <c r="C1065" s="72"/>
      <c r="D1065" s="91"/>
      <c r="E1065" s="72"/>
    </row>
    <row r="1066">
      <c r="A1066" s="71"/>
      <c r="B1066" s="72"/>
      <c r="C1066" s="72"/>
      <c r="D1066" s="91"/>
      <c r="E1066" s="72"/>
    </row>
    <row r="1067">
      <c r="A1067" s="71"/>
      <c r="B1067" s="72"/>
      <c r="C1067" s="72"/>
      <c r="D1067" s="91"/>
      <c r="E1067" s="72"/>
    </row>
    <row r="1068">
      <c r="A1068" s="71"/>
      <c r="B1068" s="72"/>
      <c r="C1068" s="72"/>
      <c r="D1068" s="91"/>
      <c r="E1068" s="72"/>
    </row>
    <row r="1069">
      <c r="A1069" s="71"/>
      <c r="B1069" s="72"/>
      <c r="C1069" s="72"/>
      <c r="D1069" s="91"/>
      <c r="E1069" s="72"/>
    </row>
    <row r="1070">
      <c r="A1070" s="71"/>
      <c r="B1070" s="72"/>
      <c r="C1070" s="72"/>
      <c r="D1070" s="91"/>
      <c r="E1070" s="72"/>
    </row>
    <row r="1071">
      <c r="A1071" s="71"/>
      <c r="B1071" s="72"/>
      <c r="C1071" s="72"/>
      <c r="D1071" s="91"/>
      <c r="E1071" s="72"/>
    </row>
    <row r="1072">
      <c r="A1072" s="71"/>
      <c r="B1072" s="72"/>
      <c r="C1072" s="72"/>
      <c r="D1072" s="91"/>
      <c r="E1072" s="72"/>
    </row>
    <row r="1073">
      <c r="A1073" s="71"/>
      <c r="B1073" s="72"/>
      <c r="C1073" s="72"/>
      <c r="D1073" s="91"/>
      <c r="E1073" s="72"/>
    </row>
    <row r="1074">
      <c r="A1074" s="71"/>
      <c r="B1074" s="72"/>
      <c r="C1074" s="72"/>
      <c r="D1074" s="91"/>
      <c r="E1074" s="72"/>
    </row>
    <row r="1075">
      <c r="A1075" s="71"/>
      <c r="B1075" s="72"/>
      <c r="C1075" s="72"/>
      <c r="D1075" s="91"/>
      <c r="E1075" s="72"/>
    </row>
    <row r="1076">
      <c r="A1076" s="71"/>
      <c r="B1076" s="72"/>
      <c r="C1076" s="72"/>
      <c r="D1076" s="91"/>
      <c r="E1076" s="72"/>
    </row>
    <row r="1077">
      <c r="A1077" s="71"/>
      <c r="B1077" s="72"/>
      <c r="C1077" s="72"/>
      <c r="D1077" s="91"/>
      <c r="E1077" s="72"/>
    </row>
    <row r="1078">
      <c r="A1078" s="71"/>
      <c r="B1078" s="72"/>
      <c r="C1078" s="72"/>
      <c r="D1078" s="91"/>
      <c r="E1078" s="72"/>
    </row>
    <row r="1079">
      <c r="A1079" s="71"/>
      <c r="B1079" s="72"/>
      <c r="C1079" s="72"/>
      <c r="D1079" s="91"/>
      <c r="E1079" s="72"/>
    </row>
    <row r="1080">
      <c r="A1080" s="71"/>
      <c r="B1080" s="72"/>
      <c r="C1080" s="72"/>
      <c r="D1080" s="91"/>
      <c r="E1080" s="72"/>
    </row>
    <row r="1081">
      <c r="A1081" s="71"/>
      <c r="B1081" s="72"/>
      <c r="C1081" s="72"/>
      <c r="D1081" s="91"/>
      <c r="E1081" s="72"/>
    </row>
    <row r="1082">
      <c r="A1082" s="71"/>
      <c r="B1082" s="72"/>
      <c r="C1082" s="72"/>
      <c r="D1082" s="91"/>
      <c r="E1082" s="72"/>
    </row>
    <row r="1083">
      <c r="A1083" s="71"/>
      <c r="B1083" s="72"/>
      <c r="C1083" s="72"/>
      <c r="D1083" s="91"/>
      <c r="E1083" s="72"/>
    </row>
    <row r="1084">
      <c r="A1084" s="71"/>
      <c r="B1084" s="72"/>
      <c r="C1084" s="72"/>
      <c r="D1084" s="91"/>
      <c r="E1084" s="72"/>
    </row>
    <row r="1085">
      <c r="A1085" s="71"/>
      <c r="B1085" s="72"/>
      <c r="C1085" s="72"/>
      <c r="D1085" s="91"/>
      <c r="E1085" s="72"/>
    </row>
    <row r="1086">
      <c r="A1086" s="71"/>
      <c r="B1086" s="72"/>
      <c r="C1086" s="72"/>
      <c r="D1086" s="91"/>
      <c r="E1086" s="72"/>
    </row>
    <row r="1087">
      <c r="A1087" s="71"/>
      <c r="B1087" s="72"/>
      <c r="C1087" s="72"/>
      <c r="D1087" s="91"/>
      <c r="E1087" s="72"/>
    </row>
    <row r="1088">
      <c r="A1088" s="71"/>
      <c r="B1088" s="72"/>
      <c r="C1088" s="72"/>
      <c r="D1088" s="91"/>
      <c r="E1088" s="72"/>
    </row>
    <row r="1089">
      <c r="A1089" s="71"/>
      <c r="B1089" s="72"/>
      <c r="C1089" s="72"/>
      <c r="D1089" s="91"/>
      <c r="E1089" s="72"/>
    </row>
    <row r="1090">
      <c r="A1090" s="71"/>
      <c r="B1090" s="72"/>
      <c r="C1090" s="72"/>
      <c r="D1090" s="91"/>
      <c r="E1090" s="72"/>
    </row>
    <row r="1091">
      <c r="A1091" s="71"/>
      <c r="B1091" s="72"/>
      <c r="C1091" s="72"/>
      <c r="D1091" s="91"/>
      <c r="E1091" s="72"/>
    </row>
    <row r="1092">
      <c r="A1092" s="71"/>
      <c r="B1092" s="72"/>
      <c r="C1092" s="72"/>
      <c r="D1092" s="91"/>
      <c r="E1092" s="72"/>
    </row>
    <row r="1093">
      <c r="A1093" s="71"/>
      <c r="B1093" s="72"/>
      <c r="C1093" s="72"/>
      <c r="D1093" s="91"/>
      <c r="E1093" s="72"/>
    </row>
    <row r="1094">
      <c r="A1094" s="71"/>
      <c r="B1094" s="72"/>
      <c r="C1094" s="72"/>
      <c r="D1094" s="91"/>
      <c r="E1094" s="72"/>
    </row>
    <row r="1095">
      <c r="A1095" s="71"/>
      <c r="B1095" s="72"/>
      <c r="C1095" s="72"/>
      <c r="D1095" s="91"/>
      <c r="E1095" s="72"/>
    </row>
    <row r="1096">
      <c r="A1096" s="71"/>
      <c r="B1096" s="72"/>
      <c r="C1096" s="72"/>
      <c r="D1096" s="91"/>
      <c r="E1096" s="72"/>
    </row>
    <row r="1097">
      <c r="A1097" s="71"/>
      <c r="B1097" s="72"/>
      <c r="C1097" s="72"/>
      <c r="D1097" s="91"/>
      <c r="E1097" s="72"/>
    </row>
    <row r="1098">
      <c r="A1098" s="71"/>
      <c r="B1098" s="72"/>
      <c r="C1098" s="72"/>
      <c r="D1098" s="91"/>
      <c r="E1098" s="72"/>
    </row>
    <row r="1099">
      <c r="A1099" s="71"/>
      <c r="B1099" s="72"/>
      <c r="C1099" s="72"/>
      <c r="D1099" s="91"/>
      <c r="E1099" s="72"/>
    </row>
    <row r="1100">
      <c r="A1100" s="71"/>
      <c r="B1100" s="72"/>
      <c r="C1100" s="72"/>
      <c r="D1100" s="91"/>
      <c r="E1100" s="72"/>
    </row>
    <row r="1101">
      <c r="A1101" s="71"/>
      <c r="B1101" s="72"/>
      <c r="C1101" s="72"/>
      <c r="D1101" s="91"/>
      <c r="E1101" s="72"/>
    </row>
    <row r="1102">
      <c r="A1102" s="71"/>
      <c r="B1102" s="72"/>
      <c r="C1102" s="72"/>
      <c r="D1102" s="91"/>
      <c r="E1102" s="72"/>
    </row>
    <row r="1103">
      <c r="A1103" s="71"/>
      <c r="B1103" s="72"/>
      <c r="C1103" s="72"/>
      <c r="D1103" s="91"/>
      <c r="E1103" s="72"/>
    </row>
    <row r="1104">
      <c r="A1104" s="71"/>
      <c r="B1104" s="72"/>
      <c r="C1104" s="72"/>
      <c r="D1104" s="91"/>
      <c r="E1104" s="72"/>
    </row>
    <row r="1105" ht="1.5" customHeight="1">
      <c r="A1105" s="71"/>
      <c r="B1105" s="72"/>
      <c r="C1105" s="72"/>
      <c r="D1105" s="91"/>
      <c r="E1105" s="72"/>
    </row>
    <row r="1106" ht="1.5" customHeight="1">
      <c r="A1106" s="71"/>
      <c r="B1106" s="72"/>
      <c r="C1106" s="72"/>
      <c r="D1106" s="91"/>
      <c r="E1106" s="72"/>
    </row>
    <row r="1107" ht="1.5" customHeight="1">
      <c r="A1107" s="71"/>
      <c r="B1107" s="72"/>
      <c r="C1107" s="72"/>
      <c r="D1107" s="91"/>
      <c r="E1107" s="72"/>
    </row>
    <row r="1108" ht="1.5" customHeight="1">
      <c r="A1108" s="71"/>
      <c r="B1108" s="72"/>
      <c r="C1108" s="72"/>
      <c r="D1108" s="91"/>
      <c r="E1108" s="72"/>
    </row>
    <row r="1109" ht="1.5" customHeight="1">
      <c r="A1109" s="71"/>
      <c r="B1109" s="72"/>
      <c r="C1109" s="72"/>
      <c r="D1109" s="91"/>
      <c r="E1109" s="72"/>
    </row>
    <row r="1110" ht="1.5" customHeight="1">
      <c r="A1110" s="71"/>
      <c r="B1110" s="72"/>
      <c r="C1110" s="72"/>
      <c r="D1110" s="91"/>
      <c r="E1110" s="72"/>
    </row>
    <row r="1111" ht="1.5" customHeight="1">
      <c r="A1111" s="71"/>
      <c r="B1111" s="72"/>
      <c r="C1111" s="72"/>
      <c r="D1111" s="91"/>
      <c r="E1111" s="72"/>
    </row>
    <row r="1112" ht="1.5" customHeight="1">
      <c r="A1112" s="71"/>
      <c r="B1112" s="72"/>
      <c r="C1112" s="72"/>
      <c r="D1112" s="91"/>
      <c r="E1112" s="72"/>
    </row>
    <row r="1113" ht="1.5" customHeight="1">
      <c r="A1113" s="71"/>
      <c r="B1113" s="72"/>
      <c r="C1113" s="72"/>
      <c r="D1113" s="91"/>
      <c r="E1113" s="72"/>
    </row>
    <row r="1114" ht="1.5" customHeight="1">
      <c r="A1114" s="71"/>
      <c r="B1114" s="72"/>
      <c r="C1114" s="72"/>
      <c r="D1114" s="91"/>
      <c r="E1114" s="72"/>
    </row>
  </sheetData>
  <conditionalFormatting sqref="C1">
    <cfRule type="colorScale" priority="1">
      <colorScale>
        <cfvo type="min"/>
        <cfvo type="max"/>
        <color rgb="FFFFFFFF"/>
        <color rgb="FF57BB8A"/>
      </colorScale>
    </cfRule>
  </conditionalFormatting>
  <dataValidations>
    <dataValidation type="list" allowBlank="1" sqref="E2:E478">
      <formula1>#REF!</formula1>
    </dataValidation>
    <dataValidation type="list" allowBlank="1" sqref="C164:C166 C197:C201 C206:C478">
      <formula1>CATALOGO!$A$2:$A$158</formula1>
    </dataValidation>
    <dataValidation type="custom" allowBlank="1" showDropDown="1" sqref="A2:A478">
      <formula1>OR(NOT(ISERROR(DATEVALUE(A2))), AND(ISNUMBER(A2), LEFT(CELL("format", A2))="D"))</formula1>
    </dataValidation>
    <dataValidation type="list" allowBlank="1" showErrorMessage="1" sqref="C2:C163 C167:C196 C202:C205">
      <formula1>CATALOGO!$A$2:$A$80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63"/>
    <col customWidth="1" min="2" max="2" width="16.0"/>
    <col customWidth="1" min="3" max="3" width="28.25"/>
    <col customWidth="1" min="4" max="4" width="25.25"/>
    <col customWidth="1" min="5" max="5" width="17.88"/>
  </cols>
  <sheetData>
    <row r="1" ht="22.5" customHeight="1">
      <c r="A1" s="46" t="s">
        <v>170</v>
      </c>
      <c r="B1" s="47" t="s">
        <v>171</v>
      </c>
      <c r="C1" s="48" t="s">
        <v>4</v>
      </c>
      <c r="D1" s="47" t="s">
        <v>172</v>
      </c>
      <c r="E1" s="92" t="s">
        <v>214</v>
      </c>
    </row>
    <row r="2" ht="22.5" customHeight="1">
      <c r="A2" s="93">
        <v>46010.0</v>
      </c>
      <c r="B2" s="10">
        <v>4.0</v>
      </c>
      <c r="C2" s="11" t="s">
        <v>177</v>
      </c>
      <c r="D2" s="94"/>
      <c r="E2" s="95" t="s">
        <v>215</v>
      </c>
    </row>
    <row r="3" ht="22.5" customHeight="1">
      <c r="A3" s="93">
        <v>46010.0</v>
      </c>
      <c r="B3" s="16">
        <v>5.0</v>
      </c>
      <c r="C3" s="12" t="s">
        <v>178</v>
      </c>
      <c r="D3" s="53" t="s">
        <v>551</v>
      </c>
      <c r="E3" s="95" t="s">
        <v>215</v>
      </c>
    </row>
    <row r="4" ht="22.5" customHeight="1">
      <c r="A4" s="49">
        <v>46011.0</v>
      </c>
      <c r="B4" s="16">
        <v>4.0</v>
      </c>
      <c r="C4" s="12" t="s">
        <v>178</v>
      </c>
      <c r="D4" s="53" t="s">
        <v>552</v>
      </c>
      <c r="E4" s="95" t="s">
        <v>215</v>
      </c>
    </row>
    <row r="5" ht="22.5" customHeight="1">
      <c r="A5" s="49">
        <v>46015.0</v>
      </c>
      <c r="B5" s="16">
        <v>5.0</v>
      </c>
      <c r="C5" s="12" t="s">
        <v>178</v>
      </c>
      <c r="D5" s="53" t="s">
        <v>552</v>
      </c>
      <c r="E5" s="95" t="s">
        <v>215</v>
      </c>
    </row>
    <row r="6" ht="22.5" customHeight="1">
      <c r="A6" s="49">
        <v>46015.0</v>
      </c>
      <c r="B6" s="16">
        <v>3.0</v>
      </c>
      <c r="C6" s="12" t="s">
        <v>553</v>
      </c>
      <c r="D6" s="53"/>
      <c r="E6" s="95" t="s">
        <v>215</v>
      </c>
    </row>
    <row r="7" ht="22.5" customHeight="1">
      <c r="A7" s="49">
        <v>46014.0</v>
      </c>
      <c r="B7" s="16">
        <v>6.0</v>
      </c>
      <c r="C7" s="12" t="s">
        <v>176</v>
      </c>
      <c r="D7" s="53"/>
      <c r="E7" s="95" t="s">
        <v>215</v>
      </c>
    </row>
    <row r="8" ht="22.5" customHeight="1">
      <c r="A8" s="49">
        <v>46014.0</v>
      </c>
      <c r="B8" s="16">
        <v>4.0</v>
      </c>
      <c r="C8" s="12" t="s">
        <v>554</v>
      </c>
      <c r="D8" s="53"/>
      <c r="E8" s="95" t="s">
        <v>215</v>
      </c>
    </row>
    <row r="9" ht="22.5" customHeight="1">
      <c r="A9" s="49">
        <v>46016.0</v>
      </c>
      <c r="B9" s="16">
        <v>4.0</v>
      </c>
      <c r="C9" s="12" t="s">
        <v>178</v>
      </c>
      <c r="D9" s="53" t="s">
        <v>552</v>
      </c>
      <c r="E9" s="95" t="s">
        <v>215</v>
      </c>
    </row>
    <row r="10" ht="22.5" customHeight="1">
      <c r="A10" s="49">
        <v>46016.0</v>
      </c>
      <c r="B10" s="16">
        <v>2.0</v>
      </c>
      <c r="C10" s="12" t="s">
        <v>177</v>
      </c>
      <c r="D10" s="53"/>
      <c r="E10" s="95" t="s">
        <v>215</v>
      </c>
    </row>
    <row r="11" ht="22.5" customHeight="1">
      <c r="A11" s="49">
        <v>46016.0</v>
      </c>
      <c r="B11" s="16">
        <v>2.0</v>
      </c>
      <c r="C11" s="12" t="s">
        <v>555</v>
      </c>
      <c r="D11" s="53"/>
      <c r="E11" s="95" t="s">
        <v>215</v>
      </c>
    </row>
    <row r="12" ht="22.5" customHeight="1">
      <c r="A12" s="49">
        <v>46016.0</v>
      </c>
      <c r="B12" s="16">
        <v>2.0</v>
      </c>
      <c r="C12" s="12" t="s">
        <v>176</v>
      </c>
      <c r="D12" s="53"/>
      <c r="E12" s="95" t="s">
        <v>215</v>
      </c>
    </row>
    <row r="13" ht="22.5" customHeight="1">
      <c r="A13" s="49">
        <v>46016.0</v>
      </c>
      <c r="B13" s="16">
        <v>4.0</v>
      </c>
      <c r="C13" s="12" t="s">
        <v>554</v>
      </c>
      <c r="D13" s="53"/>
      <c r="E13" s="95" t="s">
        <v>215</v>
      </c>
    </row>
    <row r="14" ht="22.5" customHeight="1">
      <c r="A14" s="49">
        <v>46018.0</v>
      </c>
      <c r="B14" s="16">
        <v>4.0</v>
      </c>
      <c r="C14" s="96" t="s">
        <v>176</v>
      </c>
      <c r="D14" s="53"/>
      <c r="E14" s="95" t="s">
        <v>215</v>
      </c>
    </row>
    <row r="15" ht="22.5" customHeight="1">
      <c r="A15" s="49">
        <v>46018.0</v>
      </c>
      <c r="B15" s="16">
        <v>4.0</v>
      </c>
      <c r="C15" s="96" t="s">
        <v>554</v>
      </c>
      <c r="D15" s="53"/>
      <c r="E15" s="95" t="s">
        <v>215</v>
      </c>
    </row>
    <row r="16" ht="22.5" customHeight="1">
      <c r="A16" s="49">
        <v>46018.0</v>
      </c>
      <c r="B16" s="16">
        <v>4.0</v>
      </c>
      <c r="C16" s="96" t="s">
        <v>177</v>
      </c>
      <c r="D16" s="53"/>
      <c r="E16" s="95" t="s">
        <v>215</v>
      </c>
    </row>
    <row r="17" ht="22.5" customHeight="1">
      <c r="A17" s="49">
        <v>46018.0</v>
      </c>
      <c r="B17" s="16">
        <v>4.0</v>
      </c>
      <c r="C17" s="96" t="s">
        <v>555</v>
      </c>
      <c r="D17" s="53"/>
      <c r="E17" s="95" t="s">
        <v>215</v>
      </c>
    </row>
    <row r="18" ht="22.5" customHeight="1">
      <c r="A18" s="49">
        <v>46018.0</v>
      </c>
      <c r="B18" s="16">
        <v>4.0</v>
      </c>
      <c r="C18" s="96" t="s">
        <v>178</v>
      </c>
      <c r="D18" s="53" t="s">
        <v>556</v>
      </c>
      <c r="E18" s="95" t="s">
        <v>215</v>
      </c>
    </row>
    <row r="19" ht="22.5" customHeight="1">
      <c r="A19" s="49">
        <v>46020.0</v>
      </c>
      <c r="B19" s="16">
        <v>5.0</v>
      </c>
      <c r="C19" s="12" t="s">
        <v>176</v>
      </c>
      <c r="D19" s="53"/>
      <c r="E19" s="95" t="s">
        <v>215</v>
      </c>
    </row>
    <row r="20" ht="22.5" customHeight="1">
      <c r="A20" s="49">
        <v>46020.0</v>
      </c>
      <c r="B20" s="16">
        <v>10.0</v>
      </c>
      <c r="C20" s="12" t="s">
        <v>178</v>
      </c>
      <c r="D20" s="53" t="s">
        <v>552</v>
      </c>
      <c r="E20" s="95" t="s">
        <v>215</v>
      </c>
    </row>
    <row r="21" ht="22.5" customHeight="1">
      <c r="A21" s="49">
        <v>46021.0</v>
      </c>
      <c r="B21" s="16">
        <v>6.0</v>
      </c>
      <c r="C21" s="12" t="s">
        <v>178</v>
      </c>
      <c r="D21" s="53" t="s">
        <v>557</v>
      </c>
      <c r="E21" s="95" t="s">
        <v>215</v>
      </c>
    </row>
    <row r="22" ht="22.5" customHeight="1">
      <c r="A22" s="49">
        <v>46021.0</v>
      </c>
      <c r="B22" s="16">
        <v>7.0</v>
      </c>
      <c r="C22" s="12" t="s">
        <v>177</v>
      </c>
      <c r="D22" s="53"/>
      <c r="E22" s="95" t="s">
        <v>215</v>
      </c>
    </row>
    <row r="23" ht="22.5" customHeight="1">
      <c r="A23" s="49">
        <v>46024.0</v>
      </c>
      <c r="B23" s="16">
        <v>6.0</v>
      </c>
      <c r="C23" s="12" t="s">
        <v>176</v>
      </c>
      <c r="D23" s="53"/>
      <c r="E23" s="95" t="s">
        <v>215</v>
      </c>
    </row>
    <row r="24" ht="22.5" customHeight="1">
      <c r="A24" s="49">
        <v>46024.0</v>
      </c>
      <c r="B24" s="16">
        <v>6.0</v>
      </c>
      <c r="C24" s="12" t="s">
        <v>177</v>
      </c>
      <c r="D24" s="53"/>
      <c r="E24" s="95" t="s">
        <v>215</v>
      </c>
    </row>
    <row r="25" ht="22.5" customHeight="1">
      <c r="A25" s="49">
        <v>46024.0</v>
      </c>
      <c r="B25" s="16">
        <v>3.0</v>
      </c>
      <c r="C25" s="12" t="s">
        <v>178</v>
      </c>
      <c r="D25" s="53" t="s">
        <v>552</v>
      </c>
      <c r="E25" s="95" t="s">
        <v>215</v>
      </c>
    </row>
    <row r="26" ht="22.5" customHeight="1">
      <c r="A26" s="49">
        <v>46025.0</v>
      </c>
      <c r="B26" s="16">
        <v>10.0</v>
      </c>
      <c r="C26" s="12" t="s">
        <v>178</v>
      </c>
      <c r="D26" s="53" t="s">
        <v>552</v>
      </c>
      <c r="E26" s="95" t="s">
        <v>215</v>
      </c>
    </row>
    <row r="27" ht="22.5" customHeight="1">
      <c r="A27" s="49">
        <v>46025.0</v>
      </c>
      <c r="B27" s="16">
        <v>5.0</v>
      </c>
      <c r="C27" s="12" t="s">
        <v>176</v>
      </c>
      <c r="D27" s="53"/>
      <c r="E27" s="95" t="s">
        <v>215</v>
      </c>
    </row>
    <row r="28" ht="22.5" customHeight="1">
      <c r="A28" s="49">
        <v>46029.0</v>
      </c>
      <c r="B28" s="16">
        <v>6.0</v>
      </c>
      <c r="C28" s="12" t="s">
        <v>178</v>
      </c>
      <c r="D28" s="53" t="s">
        <v>558</v>
      </c>
      <c r="E28" s="95" t="s">
        <v>215</v>
      </c>
    </row>
    <row r="29" ht="22.5" customHeight="1">
      <c r="A29" s="49">
        <v>46029.0</v>
      </c>
      <c r="B29" s="16">
        <v>4.0</v>
      </c>
      <c r="C29" s="12" t="s">
        <v>177</v>
      </c>
      <c r="D29" s="53"/>
      <c r="E29" s="95" t="s">
        <v>215</v>
      </c>
    </row>
    <row r="30" ht="22.5" customHeight="1">
      <c r="A30" s="49">
        <v>46029.0</v>
      </c>
      <c r="B30" s="16">
        <v>3.0</v>
      </c>
      <c r="C30" s="12" t="s">
        <v>555</v>
      </c>
      <c r="D30" s="53"/>
      <c r="E30" s="95" t="s">
        <v>215</v>
      </c>
    </row>
    <row r="31" ht="22.5" customHeight="1">
      <c r="A31" s="49">
        <v>46029.0</v>
      </c>
      <c r="B31" s="16">
        <v>2.0</v>
      </c>
      <c r="C31" s="12" t="s">
        <v>176</v>
      </c>
      <c r="D31" s="53"/>
      <c r="E31" s="95" t="s">
        <v>215</v>
      </c>
    </row>
    <row r="32" ht="22.5" customHeight="1">
      <c r="A32" s="49">
        <v>46029.0</v>
      </c>
      <c r="B32" s="16">
        <v>3.0</v>
      </c>
      <c r="C32" s="12" t="s">
        <v>554</v>
      </c>
      <c r="D32" s="53"/>
      <c r="E32" s="95" t="s">
        <v>215</v>
      </c>
    </row>
    <row r="33" ht="22.5" customHeight="1">
      <c r="A33" s="49">
        <v>46031.0</v>
      </c>
      <c r="B33" s="16">
        <v>4.0</v>
      </c>
      <c r="C33" s="12" t="s">
        <v>555</v>
      </c>
      <c r="D33" s="53"/>
      <c r="E33" s="95" t="s">
        <v>215</v>
      </c>
    </row>
    <row r="34" ht="22.5" customHeight="1">
      <c r="A34" s="49">
        <v>46031.0</v>
      </c>
      <c r="B34" s="16">
        <v>2.0</v>
      </c>
      <c r="C34" s="12" t="s">
        <v>177</v>
      </c>
      <c r="D34" s="53"/>
      <c r="E34" s="95" t="s">
        <v>215</v>
      </c>
    </row>
    <row r="35" ht="22.5" customHeight="1">
      <c r="A35" s="49">
        <v>46031.0</v>
      </c>
      <c r="B35" s="16">
        <v>6.0</v>
      </c>
      <c r="C35" s="12" t="s">
        <v>178</v>
      </c>
      <c r="D35" s="53" t="s">
        <v>552</v>
      </c>
      <c r="E35" s="95" t="s">
        <v>215</v>
      </c>
    </row>
    <row r="36" ht="22.5" customHeight="1">
      <c r="A36" s="49">
        <v>46037.0</v>
      </c>
      <c r="B36" s="16">
        <v>4.0</v>
      </c>
      <c r="C36" s="12" t="s">
        <v>178</v>
      </c>
      <c r="D36" s="53" t="s">
        <v>552</v>
      </c>
      <c r="E36" s="95" t="s">
        <v>215</v>
      </c>
    </row>
    <row r="37" ht="22.5" customHeight="1">
      <c r="A37" s="49">
        <v>46037.0</v>
      </c>
      <c r="B37" s="16">
        <v>4.0</v>
      </c>
      <c r="C37" s="12" t="s">
        <v>177</v>
      </c>
      <c r="D37" s="53"/>
      <c r="E37" s="95" t="s">
        <v>215</v>
      </c>
    </row>
    <row r="38" ht="22.5" customHeight="1">
      <c r="A38" s="49">
        <v>46037.0</v>
      </c>
      <c r="B38" s="16">
        <v>6.0</v>
      </c>
      <c r="C38" s="12" t="s">
        <v>176</v>
      </c>
      <c r="D38" s="53"/>
      <c r="E38" s="95" t="s">
        <v>215</v>
      </c>
    </row>
    <row r="39" ht="22.5" customHeight="1">
      <c r="A39" s="49">
        <v>46039.0</v>
      </c>
      <c r="B39" s="16">
        <v>4.0</v>
      </c>
      <c r="C39" s="12" t="s">
        <v>176</v>
      </c>
      <c r="D39" s="53"/>
      <c r="E39" s="95" t="s">
        <v>215</v>
      </c>
    </row>
    <row r="40" ht="22.5" customHeight="1">
      <c r="A40" s="49">
        <v>46039.0</v>
      </c>
      <c r="B40" s="16">
        <v>8.0</v>
      </c>
      <c r="C40" s="12" t="s">
        <v>178</v>
      </c>
      <c r="D40" s="53" t="s">
        <v>552</v>
      </c>
      <c r="E40" s="95" t="s">
        <v>215</v>
      </c>
    </row>
    <row r="41" ht="22.5" customHeight="1">
      <c r="A41" s="49">
        <v>46044.0</v>
      </c>
      <c r="B41" s="16">
        <v>10.0</v>
      </c>
      <c r="C41" s="12" t="s">
        <v>178</v>
      </c>
      <c r="D41" s="53" t="s">
        <v>552</v>
      </c>
      <c r="E41" s="95" t="s">
        <v>215</v>
      </c>
    </row>
    <row r="42" ht="22.5" customHeight="1">
      <c r="A42" s="49">
        <v>46044.0</v>
      </c>
      <c r="B42" s="16">
        <v>6.0</v>
      </c>
      <c r="C42" s="12" t="s">
        <v>177</v>
      </c>
      <c r="D42" s="53"/>
      <c r="E42" s="95" t="s">
        <v>215</v>
      </c>
    </row>
    <row r="43" ht="22.5" customHeight="1">
      <c r="A43" s="49">
        <v>46044.0</v>
      </c>
      <c r="B43" s="16">
        <v>6.0</v>
      </c>
      <c r="C43" s="12" t="s">
        <v>176</v>
      </c>
      <c r="D43" s="53"/>
      <c r="E43" s="95" t="s">
        <v>215</v>
      </c>
    </row>
    <row r="44" ht="22.5" customHeight="1">
      <c r="A44" s="49">
        <v>46044.0</v>
      </c>
      <c r="B44" s="16">
        <v>1.0</v>
      </c>
      <c r="C44" s="41"/>
      <c r="D44" s="53" t="s">
        <v>559</v>
      </c>
      <c r="E44" s="95" t="s">
        <v>215</v>
      </c>
    </row>
    <row r="45" ht="22.5" customHeight="1">
      <c r="A45" s="49">
        <v>46044.0</v>
      </c>
      <c r="B45" s="16">
        <v>1.0</v>
      </c>
      <c r="C45" s="41"/>
      <c r="D45" s="53" t="s">
        <v>560</v>
      </c>
      <c r="E45" s="95" t="s">
        <v>215</v>
      </c>
    </row>
    <row r="46" ht="22.5" customHeight="1">
      <c r="A46" s="49">
        <v>46050.0</v>
      </c>
      <c r="B46" s="16">
        <v>5.0</v>
      </c>
      <c r="C46" s="12" t="s">
        <v>178</v>
      </c>
      <c r="D46" s="53" t="s">
        <v>552</v>
      </c>
      <c r="E46" s="95" t="s">
        <v>215</v>
      </c>
    </row>
    <row r="47" ht="22.5" customHeight="1">
      <c r="A47" s="49">
        <v>46050.0</v>
      </c>
      <c r="B47" s="16">
        <v>5.0</v>
      </c>
      <c r="C47" s="12" t="s">
        <v>177</v>
      </c>
      <c r="D47" s="53"/>
      <c r="E47" s="95" t="s">
        <v>215</v>
      </c>
    </row>
    <row r="48" ht="22.5" customHeight="1">
      <c r="A48" s="49">
        <v>46050.0</v>
      </c>
      <c r="B48" s="16">
        <v>5.0</v>
      </c>
      <c r="C48" s="12" t="s">
        <v>176</v>
      </c>
      <c r="D48" s="53"/>
      <c r="E48" s="95" t="s">
        <v>215</v>
      </c>
    </row>
    <row r="49" ht="22.5" customHeight="1">
      <c r="A49" s="49">
        <v>46052.0</v>
      </c>
      <c r="B49" s="16">
        <v>5.0</v>
      </c>
      <c r="C49" s="12" t="s">
        <v>178</v>
      </c>
      <c r="D49" s="53" t="s">
        <v>552</v>
      </c>
      <c r="E49" s="95" t="s">
        <v>215</v>
      </c>
    </row>
    <row r="50" ht="22.5" customHeight="1">
      <c r="A50" s="49">
        <v>46052.0</v>
      </c>
      <c r="B50" s="16">
        <v>4.0</v>
      </c>
      <c r="C50" s="12" t="s">
        <v>177</v>
      </c>
      <c r="D50" s="53"/>
      <c r="E50" s="95" t="s">
        <v>215</v>
      </c>
    </row>
    <row r="51" ht="22.5" customHeight="1">
      <c r="A51" s="49">
        <v>46057.0</v>
      </c>
      <c r="B51" s="16">
        <v>4.0</v>
      </c>
      <c r="C51" s="12" t="s">
        <v>176</v>
      </c>
      <c r="D51" s="53"/>
      <c r="E51" s="95" t="s">
        <v>215</v>
      </c>
    </row>
    <row r="52" ht="22.5" customHeight="1">
      <c r="A52" s="49">
        <v>46058.0</v>
      </c>
      <c r="B52" s="16">
        <v>7.0</v>
      </c>
      <c r="C52" s="12" t="s">
        <v>176</v>
      </c>
      <c r="D52" s="53"/>
      <c r="E52" s="95" t="s">
        <v>215</v>
      </c>
    </row>
    <row r="53" ht="22.5" customHeight="1">
      <c r="A53" s="49">
        <v>46058.0</v>
      </c>
      <c r="B53" s="16">
        <v>7.0</v>
      </c>
      <c r="C53" s="12" t="s">
        <v>178</v>
      </c>
      <c r="D53" s="53" t="s">
        <v>552</v>
      </c>
      <c r="E53" s="95" t="s">
        <v>215</v>
      </c>
    </row>
    <row r="54" ht="22.5" customHeight="1">
      <c r="A54" s="49">
        <v>46062.0</v>
      </c>
      <c r="B54" s="16">
        <v>6.0</v>
      </c>
      <c r="C54" s="12" t="s">
        <v>176</v>
      </c>
      <c r="D54" s="53"/>
      <c r="E54" s="95" t="s">
        <v>215</v>
      </c>
    </row>
    <row r="55" ht="22.5" customHeight="1">
      <c r="A55" s="49">
        <v>46062.0</v>
      </c>
      <c r="B55" s="16">
        <v>9.0</v>
      </c>
      <c r="C55" s="12" t="s">
        <v>178</v>
      </c>
      <c r="D55" s="53" t="s">
        <v>552</v>
      </c>
      <c r="E55" s="95" t="s">
        <v>215</v>
      </c>
    </row>
    <row r="56" ht="22.5" customHeight="1">
      <c r="A56" s="49">
        <v>46065.0</v>
      </c>
      <c r="B56" s="16">
        <v>6.0</v>
      </c>
      <c r="C56" s="12" t="s">
        <v>176</v>
      </c>
      <c r="D56" s="53"/>
      <c r="E56" s="95" t="s">
        <v>215</v>
      </c>
    </row>
    <row r="57" ht="22.5" customHeight="1">
      <c r="A57" s="49">
        <v>46065.0</v>
      </c>
      <c r="B57" s="16">
        <v>4.0</v>
      </c>
      <c r="C57" s="12" t="s">
        <v>178</v>
      </c>
      <c r="D57" s="53" t="s">
        <v>552</v>
      </c>
      <c r="E57" s="95" t="s">
        <v>215</v>
      </c>
    </row>
    <row r="58" ht="22.5" customHeight="1">
      <c r="A58" s="49">
        <v>46069.0</v>
      </c>
      <c r="B58" s="16">
        <v>8.0</v>
      </c>
      <c r="C58" s="12" t="s">
        <v>176</v>
      </c>
      <c r="D58" s="53"/>
      <c r="E58" s="95" t="s">
        <v>215</v>
      </c>
    </row>
    <row r="59" ht="22.5" customHeight="1">
      <c r="A59" s="49">
        <v>46069.0</v>
      </c>
      <c r="B59" s="16">
        <v>4.0</v>
      </c>
      <c r="C59" s="12" t="s">
        <v>177</v>
      </c>
      <c r="D59" s="53"/>
      <c r="E59" s="95" t="s">
        <v>215</v>
      </c>
    </row>
    <row r="60" ht="22.5" customHeight="1">
      <c r="A60" s="49">
        <v>46069.0</v>
      </c>
      <c r="B60" s="16">
        <v>9.0</v>
      </c>
      <c r="C60" s="12" t="s">
        <v>178</v>
      </c>
      <c r="D60" s="53" t="s">
        <v>552</v>
      </c>
      <c r="E60" s="95" t="s">
        <v>215</v>
      </c>
    </row>
    <row r="61" ht="22.5" customHeight="1">
      <c r="A61" s="49">
        <v>46072.0</v>
      </c>
      <c r="B61" s="16">
        <v>3.0</v>
      </c>
      <c r="C61" s="12" t="s">
        <v>177</v>
      </c>
      <c r="D61" s="53"/>
      <c r="E61" s="95" t="s">
        <v>215</v>
      </c>
    </row>
    <row r="62" ht="22.5" customHeight="1">
      <c r="A62" s="49">
        <v>46076.0</v>
      </c>
      <c r="B62" s="16">
        <v>8.0</v>
      </c>
      <c r="C62" s="12" t="s">
        <v>178</v>
      </c>
      <c r="D62" s="53" t="s">
        <v>552</v>
      </c>
      <c r="E62" s="95" t="s">
        <v>215</v>
      </c>
    </row>
    <row r="63" ht="22.5" customHeight="1">
      <c r="A63" s="49">
        <v>46076.0</v>
      </c>
      <c r="B63" s="16">
        <v>4.0</v>
      </c>
      <c r="C63" s="12" t="s">
        <v>177</v>
      </c>
      <c r="D63" s="53"/>
      <c r="E63" s="95" t="s">
        <v>215</v>
      </c>
    </row>
    <row r="64" ht="22.5" customHeight="1">
      <c r="A64" s="49">
        <v>46076.0</v>
      </c>
      <c r="B64" s="16">
        <v>6.0</v>
      </c>
      <c r="C64" s="12" t="s">
        <v>176</v>
      </c>
      <c r="D64" s="53"/>
      <c r="E64" s="95" t="s">
        <v>215</v>
      </c>
    </row>
    <row r="65" ht="22.5" customHeight="1">
      <c r="A65" s="49">
        <v>46081.0</v>
      </c>
      <c r="B65" s="55">
        <v>7.0</v>
      </c>
      <c r="C65" s="97" t="s">
        <v>176</v>
      </c>
      <c r="D65" s="98"/>
      <c r="E65" s="95" t="s">
        <v>215</v>
      </c>
    </row>
    <row r="66" ht="22.5" customHeight="1">
      <c r="A66" s="49">
        <v>46081.0</v>
      </c>
      <c r="B66" s="55">
        <v>4.0</v>
      </c>
      <c r="C66" s="97" t="s">
        <v>177</v>
      </c>
      <c r="D66" s="98"/>
      <c r="E66" s="95" t="s">
        <v>215</v>
      </c>
    </row>
    <row r="67" ht="22.5" customHeight="1">
      <c r="A67" s="49">
        <v>46081.0</v>
      </c>
      <c r="B67" s="55">
        <v>8.0</v>
      </c>
      <c r="C67" s="97" t="s">
        <v>178</v>
      </c>
      <c r="D67" s="98" t="s">
        <v>552</v>
      </c>
      <c r="E67" s="95" t="s">
        <v>215</v>
      </c>
    </row>
    <row r="68" ht="22.5" customHeight="1">
      <c r="A68" s="49">
        <v>46084.0</v>
      </c>
      <c r="B68" s="16">
        <v>4.0</v>
      </c>
      <c r="C68" s="12" t="s">
        <v>176</v>
      </c>
      <c r="D68" s="53"/>
      <c r="E68" s="95" t="s">
        <v>215</v>
      </c>
    </row>
    <row r="69" ht="22.5" customHeight="1">
      <c r="A69" s="49">
        <v>46084.0</v>
      </c>
      <c r="B69" s="16">
        <v>3.0</v>
      </c>
      <c r="C69" s="12" t="s">
        <v>177</v>
      </c>
      <c r="D69" s="53"/>
      <c r="E69" s="95" t="s">
        <v>215</v>
      </c>
    </row>
    <row r="70" ht="22.5" customHeight="1">
      <c r="A70" s="49">
        <v>46084.0</v>
      </c>
      <c r="B70" s="16">
        <v>1.0</v>
      </c>
      <c r="C70" s="41"/>
      <c r="D70" s="98" t="s">
        <v>561</v>
      </c>
      <c r="E70" s="95" t="s">
        <v>215</v>
      </c>
    </row>
    <row r="71" ht="22.5" customHeight="1">
      <c r="A71" s="49">
        <v>46084.0</v>
      </c>
      <c r="B71" s="16">
        <v>1.0</v>
      </c>
      <c r="C71" s="41"/>
      <c r="D71" s="98" t="s">
        <v>562</v>
      </c>
      <c r="E71" s="95" t="s">
        <v>215</v>
      </c>
    </row>
    <row r="72" ht="22.5" customHeight="1">
      <c r="A72" s="49">
        <v>46086.0</v>
      </c>
      <c r="B72" s="16">
        <v>9.0</v>
      </c>
      <c r="C72" s="12" t="s">
        <v>178</v>
      </c>
      <c r="D72" s="53" t="s">
        <v>552</v>
      </c>
      <c r="E72" s="95" t="s">
        <v>215</v>
      </c>
    </row>
    <row r="73" ht="22.5" customHeight="1">
      <c r="A73" s="49">
        <v>46086.0</v>
      </c>
      <c r="B73" s="16">
        <v>50.0</v>
      </c>
      <c r="C73" s="41"/>
      <c r="D73" s="53" t="s">
        <v>563</v>
      </c>
      <c r="E73" s="95" t="s">
        <v>215</v>
      </c>
    </row>
    <row r="74" ht="22.5" customHeight="1">
      <c r="A74" s="49">
        <v>46086.0</v>
      </c>
      <c r="B74" s="16">
        <v>50.0</v>
      </c>
      <c r="C74" s="41"/>
      <c r="D74" s="53" t="s">
        <v>564</v>
      </c>
      <c r="E74" s="95" t="s">
        <v>215</v>
      </c>
    </row>
    <row r="75" ht="22.5" customHeight="1">
      <c r="A75" s="49">
        <v>46091.0</v>
      </c>
      <c r="B75" s="55">
        <v>9.0</v>
      </c>
      <c r="C75" s="97" t="s">
        <v>178</v>
      </c>
      <c r="D75" s="53"/>
      <c r="E75" s="95" t="s">
        <v>215</v>
      </c>
    </row>
    <row r="76" ht="22.5" customHeight="1">
      <c r="A76" s="49">
        <v>46091.0</v>
      </c>
      <c r="B76" s="55">
        <v>4.0</v>
      </c>
      <c r="C76" s="97" t="s">
        <v>177</v>
      </c>
      <c r="D76" s="53"/>
      <c r="E76" s="95" t="s">
        <v>215</v>
      </c>
    </row>
    <row r="77" ht="22.5" customHeight="1">
      <c r="A77" s="49">
        <v>46091.0</v>
      </c>
      <c r="B77" s="55">
        <v>9.0</v>
      </c>
      <c r="C77" s="97" t="s">
        <v>176</v>
      </c>
      <c r="D77" s="53"/>
      <c r="E77" s="95" t="s">
        <v>215</v>
      </c>
    </row>
    <row r="78" ht="22.5" customHeight="1">
      <c r="A78" s="49">
        <v>46095.0</v>
      </c>
      <c r="B78" s="16">
        <v>5.0</v>
      </c>
      <c r="C78" s="12" t="s">
        <v>178</v>
      </c>
      <c r="D78" s="53"/>
      <c r="E78" s="95" t="s">
        <v>215</v>
      </c>
    </row>
    <row r="79" ht="22.5" customHeight="1">
      <c r="A79" s="49">
        <v>46095.0</v>
      </c>
      <c r="B79" s="16">
        <v>2.0</v>
      </c>
      <c r="C79" s="12" t="s">
        <v>177</v>
      </c>
      <c r="D79" s="53"/>
      <c r="E79" s="95" t="s">
        <v>215</v>
      </c>
    </row>
    <row r="80" ht="22.5" customHeight="1">
      <c r="A80" s="90">
        <v>46097.0</v>
      </c>
      <c r="B80" s="55">
        <v>3.0</v>
      </c>
      <c r="C80" s="97" t="s">
        <v>178</v>
      </c>
      <c r="D80" s="53" t="s">
        <v>565</v>
      </c>
      <c r="E80" s="95" t="s">
        <v>215</v>
      </c>
    </row>
    <row r="81" ht="22.5" customHeight="1">
      <c r="A81" s="90">
        <v>46097.0</v>
      </c>
      <c r="B81" s="55">
        <v>3.0</v>
      </c>
      <c r="C81" s="97" t="s">
        <v>177</v>
      </c>
      <c r="D81" s="53" t="s">
        <v>565</v>
      </c>
      <c r="E81" s="95" t="s">
        <v>215</v>
      </c>
    </row>
    <row r="82" ht="22.5" customHeight="1">
      <c r="A82" s="90">
        <v>46097.0</v>
      </c>
      <c r="B82" s="55">
        <v>5.0</v>
      </c>
      <c r="C82" s="97" t="s">
        <v>176</v>
      </c>
      <c r="D82" s="53" t="s">
        <v>565</v>
      </c>
      <c r="E82" s="95" t="s">
        <v>215</v>
      </c>
    </row>
    <row r="83" ht="22.5" customHeight="1">
      <c r="A83" s="90">
        <v>46100.0</v>
      </c>
      <c r="B83" s="16">
        <v>8.0</v>
      </c>
      <c r="C83" s="12" t="s">
        <v>178</v>
      </c>
      <c r="D83" s="53" t="s">
        <v>566</v>
      </c>
      <c r="E83" s="95" t="s">
        <v>215</v>
      </c>
    </row>
    <row r="84" ht="22.5" customHeight="1">
      <c r="A84" s="90">
        <v>46105.0</v>
      </c>
      <c r="B84" s="55">
        <v>5.0</v>
      </c>
      <c r="C84" s="97" t="s">
        <v>178</v>
      </c>
      <c r="D84" s="53" t="s">
        <v>567</v>
      </c>
      <c r="E84" s="95" t="s">
        <v>215</v>
      </c>
    </row>
    <row r="85" ht="22.5" customHeight="1">
      <c r="A85" s="90">
        <v>46105.0</v>
      </c>
      <c r="B85" s="55">
        <v>4.0</v>
      </c>
      <c r="C85" s="97" t="s">
        <v>177</v>
      </c>
      <c r="D85" s="53" t="s">
        <v>567</v>
      </c>
      <c r="E85" s="95" t="s">
        <v>215</v>
      </c>
    </row>
    <row r="86" ht="22.5" customHeight="1">
      <c r="A86" s="90">
        <v>46105.0</v>
      </c>
      <c r="B86" s="55">
        <v>6.0</v>
      </c>
      <c r="C86" s="97" t="s">
        <v>176</v>
      </c>
      <c r="D86" s="53" t="s">
        <v>567</v>
      </c>
      <c r="E86" s="95" t="s">
        <v>215</v>
      </c>
    </row>
    <row r="87" ht="22.5" customHeight="1">
      <c r="A87" s="90">
        <v>46109.0</v>
      </c>
      <c r="B87" s="55">
        <v>8.0</v>
      </c>
      <c r="C87" s="97" t="s">
        <v>178</v>
      </c>
      <c r="D87" s="53" t="s">
        <v>568</v>
      </c>
      <c r="E87" s="95" t="s">
        <v>215</v>
      </c>
    </row>
    <row r="88" ht="22.5" customHeight="1">
      <c r="A88" s="90">
        <v>46109.0</v>
      </c>
      <c r="B88" s="55">
        <v>4.0</v>
      </c>
      <c r="C88" s="97" t="s">
        <v>177</v>
      </c>
      <c r="D88" s="53" t="s">
        <v>568</v>
      </c>
      <c r="E88" s="95" t="s">
        <v>215</v>
      </c>
    </row>
    <row r="89" ht="22.5" customHeight="1">
      <c r="A89" s="90">
        <v>46109.0</v>
      </c>
      <c r="B89" s="55">
        <v>5.0</v>
      </c>
      <c r="C89" s="97" t="s">
        <v>176</v>
      </c>
      <c r="D89" s="53" t="s">
        <v>568</v>
      </c>
      <c r="E89" s="95" t="s">
        <v>215</v>
      </c>
    </row>
    <row r="90" ht="22.5" customHeight="1">
      <c r="A90" s="90">
        <v>46112.0</v>
      </c>
      <c r="B90" s="55">
        <v>4.0</v>
      </c>
      <c r="C90" s="97" t="s">
        <v>178</v>
      </c>
      <c r="D90" s="53" t="s">
        <v>569</v>
      </c>
      <c r="E90" s="95" t="s">
        <v>215</v>
      </c>
    </row>
    <row r="91" ht="22.5" customHeight="1">
      <c r="A91" s="90">
        <v>46112.0</v>
      </c>
      <c r="B91" s="55">
        <v>4.0</v>
      </c>
      <c r="C91" s="97" t="s">
        <v>177</v>
      </c>
      <c r="D91" s="53" t="s">
        <v>569</v>
      </c>
      <c r="E91" s="95" t="s">
        <v>215</v>
      </c>
    </row>
    <row r="92" ht="22.5" customHeight="1">
      <c r="A92" s="90">
        <v>46112.0</v>
      </c>
      <c r="B92" s="55">
        <v>8.0</v>
      </c>
      <c r="C92" s="97" t="s">
        <v>176</v>
      </c>
      <c r="D92" s="53" t="s">
        <v>569</v>
      </c>
      <c r="E92" s="95" t="s">
        <v>215</v>
      </c>
    </row>
    <row r="93" ht="22.5" customHeight="1">
      <c r="A93" s="49">
        <v>46116.0</v>
      </c>
      <c r="B93" s="55">
        <v>8.0</v>
      </c>
      <c r="C93" s="97" t="s">
        <v>178</v>
      </c>
      <c r="D93" s="53" t="s">
        <v>570</v>
      </c>
      <c r="E93" s="95" t="s">
        <v>215</v>
      </c>
    </row>
    <row r="94" ht="22.5" customHeight="1">
      <c r="A94" s="49">
        <v>46116.0</v>
      </c>
      <c r="B94" s="55">
        <v>3.0</v>
      </c>
      <c r="C94" s="97" t="s">
        <v>177</v>
      </c>
      <c r="D94" s="53" t="s">
        <v>570</v>
      </c>
      <c r="E94" s="95" t="s">
        <v>215</v>
      </c>
    </row>
    <row r="95" ht="22.5" customHeight="1">
      <c r="A95" s="49">
        <v>46116.0</v>
      </c>
      <c r="B95" s="55">
        <v>4.0</v>
      </c>
      <c r="C95" s="97" t="s">
        <v>176</v>
      </c>
      <c r="D95" s="53" t="s">
        <v>570</v>
      </c>
      <c r="E95" s="95" t="s">
        <v>215</v>
      </c>
    </row>
    <row r="96" ht="22.5" customHeight="1">
      <c r="A96" s="90">
        <v>46119.0</v>
      </c>
      <c r="B96" s="55">
        <v>5.0</v>
      </c>
      <c r="C96" s="97" t="s">
        <v>178</v>
      </c>
      <c r="D96" s="53" t="s">
        <v>571</v>
      </c>
      <c r="E96" s="95" t="s">
        <v>215</v>
      </c>
    </row>
    <row r="97" ht="22.5" customHeight="1">
      <c r="A97" s="90">
        <v>46119.0</v>
      </c>
      <c r="B97" s="55">
        <v>5.0</v>
      </c>
      <c r="C97" s="97" t="s">
        <v>177</v>
      </c>
      <c r="D97" s="53" t="s">
        <v>571</v>
      </c>
      <c r="E97" s="95" t="s">
        <v>215</v>
      </c>
      <c r="V97" s="99" t="s">
        <v>572</v>
      </c>
    </row>
    <row r="98" ht="22.5" customHeight="1">
      <c r="A98" s="90">
        <v>46119.0</v>
      </c>
      <c r="B98" s="55">
        <v>6.0</v>
      </c>
      <c r="C98" s="97" t="s">
        <v>176</v>
      </c>
      <c r="D98" s="53" t="s">
        <v>571</v>
      </c>
      <c r="E98" s="95" t="s">
        <v>215</v>
      </c>
    </row>
    <row r="99" ht="22.5" customHeight="1">
      <c r="A99" s="90">
        <v>46122.0</v>
      </c>
      <c r="B99" s="55">
        <v>5.0</v>
      </c>
      <c r="C99" s="97" t="s">
        <v>178</v>
      </c>
      <c r="D99" s="53" t="s">
        <v>573</v>
      </c>
      <c r="E99" s="95" t="s">
        <v>215</v>
      </c>
    </row>
    <row r="100" ht="22.5" customHeight="1">
      <c r="A100" s="90">
        <v>46122.0</v>
      </c>
      <c r="B100" s="55">
        <v>4.0</v>
      </c>
      <c r="C100" s="97" t="s">
        <v>177</v>
      </c>
      <c r="D100" s="53" t="s">
        <v>573</v>
      </c>
      <c r="E100" s="95" t="s">
        <v>215</v>
      </c>
    </row>
    <row r="101" ht="22.5" customHeight="1">
      <c r="A101" s="90">
        <v>46122.0</v>
      </c>
      <c r="B101" s="55">
        <v>4.0</v>
      </c>
      <c r="C101" s="97" t="s">
        <v>176</v>
      </c>
      <c r="D101" s="53" t="s">
        <v>573</v>
      </c>
      <c r="E101" s="95" t="s">
        <v>215</v>
      </c>
    </row>
    <row r="102" ht="22.5" customHeight="1">
      <c r="A102" s="90">
        <v>46128.0</v>
      </c>
      <c r="B102" s="55">
        <v>5.0</v>
      </c>
      <c r="C102" s="97" t="s">
        <v>178</v>
      </c>
      <c r="D102" s="53" t="s">
        <v>574</v>
      </c>
      <c r="E102" s="95" t="s">
        <v>215</v>
      </c>
    </row>
    <row r="103" ht="22.5" customHeight="1">
      <c r="A103" s="90">
        <v>46128.0</v>
      </c>
      <c r="B103" s="55">
        <v>4.0</v>
      </c>
      <c r="C103" s="97" t="s">
        <v>177</v>
      </c>
      <c r="D103" s="53" t="s">
        <v>574</v>
      </c>
      <c r="E103" s="95" t="s">
        <v>215</v>
      </c>
    </row>
    <row r="104" ht="22.5" customHeight="1">
      <c r="A104" s="90">
        <v>46128.0</v>
      </c>
      <c r="B104" s="55">
        <v>6.0</v>
      </c>
      <c r="C104" s="97" t="s">
        <v>176</v>
      </c>
      <c r="D104" s="53" t="s">
        <v>574</v>
      </c>
      <c r="E104" s="95" t="s">
        <v>215</v>
      </c>
    </row>
    <row r="105" ht="22.5" customHeight="1">
      <c r="A105" s="90">
        <v>46128.0</v>
      </c>
      <c r="B105" s="16">
        <v>5.0</v>
      </c>
      <c r="C105" s="12" t="s">
        <v>208</v>
      </c>
      <c r="D105" s="53"/>
      <c r="E105" s="100"/>
    </row>
    <row r="106" ht="22.5" customHeight="1">
      <c r="A106" s="90">
        <v>46128.0</v>
      </c>
      <c r="B106" s="16">
        <v>5.0</v>
      </c>
      <c r="C106" s="12" t="s">
        <v>206</v>
      </c>
      <c r="D106" s="53"/>
      <c r="E106" s="100"/>
    </row>
    <row r="107" ht="22.5" customHeight="1">
      <c r="A107" s="90">
        <v>46128.0</v>
      </c>
      <c r="B107" s="16">
        <v>5.0</v>
      </c>
      <c r="C107" s="12" t="s">
        <v>207</v>
      </c>
      <c r="D107" s="53"/>
      <c r="E107" s="100"/>
    </row>
    <row r="108" ht="22.5" customHeight="1">
      <c r="A108" s="90">
        <v>46128.0</v>
      </c>
      <c r="B108" s="16">
        <v>2.0</v>
      </c>
      <c r="C108" s="12" t="s">
        <v>209</v>
      </c>
      <c r="D108" s="53"/>
      <c r="E108" s="100"/>
    </row>
    <row r="109" ht="22.5" customHeight="1">
      <c r="A109" s="49"/>
      <c r="B109" s="16"/>
      <c r="C109" s="41"/>
      <c r="D109" s="53"/>
      <c r="E109" s="100"/>
    </row>
    <row r="110" ht="22.5" customHeight="1">
      <c r="A110" s="49"/>
      <c r="B110" s="16"/>
      <c r="C110" s="41"/>
      <c r="D110" s="53"/>
      <c r="E110" s="100"/>
    </row>
    <row r="111" ht="22.5" customHeight="1">
      <c r="A111" s="49"/>
      <c r="B111" s="16"/>
      <c r="C111" s="41"/>
      <c r="D111" s="53"/>
      <c r="E111" s="100"/>
    </row>
    <row r="112" ht="22.5" customHeight="1">
      <c r="A112" s="49"/>
      <c r="B112" s="16"/>
      <c r="C112" s="41"/>
      <c r="D112" s="53"/>
      <c r="E112" s="100"/>
    </row>
    <row r="113" ht="22.5" customHeight="1">
      <c r="A113" s="49"/>
      <c r="B113" s="16"/>
      <c r="C113" s="41"/>
      <c r="D113" s="53"/>
      <c r="E113" s="100"/>
    </row>
    <row r="114" ht="22.5" customHeight="1">
      <c r="A114" s="49"/>
      <c r="B114" s="16"/>
      <c r="C114" s="41"/>
      <c r="D114" s="53"/>
      <c r="E114" s="100"/>
    </row>
    <row r="115" ht="22.5" customHeight="1">
      <c r="A115" s="49"/>
      <c r="B115" s="16"/>
      <c r="C115" s="41"/>
      <c r="D115" s="53"/>
      <c r="E115" s="100"/>
    </row>
    <row r="116" ht="22.5" customHeight="1">
      <c r="A116" s="49"/>
      <c r="B116" s="16"/>
      <c r="C116" s="41"/>
      <c r="D116" s="53"/>
      <c r="E116" s="100"/>
    </row>
    <row r="117" ht="22.5" customHeight="1">
      <c r="A117" s="49"/>
      <c r="B117" s="16"/>
      <c r="C117" s="41"/>
      <c r="D117" s="53"/>
      <c r="E117" s="100"/>
    </row>
    <row r="118" ht="22.5" customHeight="1">
      <c r="A118" s="49"/>
      <c r="B118" s="16"/>
      <c r="C118" s="41"/>
      <c r="D118" s="53"/>
      <c r="E118" s="100"/>
    </row>
    <row r="119" ht="22.5" customHeight="1">
      <c r="A119" s="49"/>
      <c r="B119" s="16"/>
      <c r="C119" s="41"/>
      <c r="D119" s="53"/>
      <c r="E119" s="100"/>
    </row>
    <row r="120" ht="22.5" customHeight="1">
      <c r="A120" s="49"/>
      <c r="B120" s="16"/>
      <c r="C120" s="41"/>
      <c r="D120" s="53"/>
      <c r="E120" s="100"/>
    </row>
    <row r="121" ht="22.5" customHeight="1">
      <c r="A121" s="49"/>
      <c r="B121" s="16"/>
      <c r="C121" s="41"/>
      <c r="D121" s="53"/>
      <c r="E121" s="100"/>
    </row>
    <row r="122" ht="22.5" customHeight="1">
      <c r="A122" s="49"/>
      <c r="B122" s="16"/>
      <c r="C122" s="41"/>
      <c r="D122" s="53"/>
      <c r="E122" s="100"/>
    </row>
    <row r="123" ht="22.5" customHeight="1">
      <c r="A123" s="49"/>
      <c r="B123" s="16"/>
      <c r="C123" s="41"/>
      <c r="D123" s="53"/>
      <c r="E123" s="100"/>
    </row>
    <row r="124" ht="22.5" customHeight="1">
      <c r="A124" s="49"/>
      <c r="B124" s="16"/>
      <c r="C124" s="41"/>
      <c r="D124" s="53"/>
      <c r="E124" s="100"/>
    </row>
    <row r="125" ht="22.5" customHeight="1">
      <c r="A125" s="49"/>
      <c r="B125" s="16"/>
      <c r="C125" s="41"/>
      <c r="D125" s="53"/>
      <c r="E125" s="100"/>
    </row>
    <row r="126" ht="22.5" customHeight="1">
      <c r="A126" s="49"/>
      <c r="B126" s="16"/>
      <c r="C126" s="41"/>
      <c r="D126" s="53"/>
      <c r="E126" s="100"/>
    </row>
    <row r="127" ht="22.5" customHeight="1">
      <c r="A127" s="49"/>
      <c r="B127" s="16"/>
      <c r="C127" s="41"/>
      <c r="D127" s="53"/>
      <c r="E127" s="100"/>
    </row>
    <row r="128" ht="22.5" customHeight="1">
      <c r="A128" s="49"/>
      <c r="B128" s="16"/>
      <c r="C128" s="41"/>
      <c r="D128" s="53"/>
      <c r="E128" s="100"/>
    </row>
    <row r="129" ht="22.5" customHeight="1">
      <c r="A129" s="49"/>
      <c r="B129" s="16"/>
      <c r="C129" s="41"/>
      <c r="D129" s="53"/>
      <c r="E129" s="100"/>
    </row>
    <row r="130" ht="22.5" customHeight="1">
      <c r="A130" s="49"/>
      <c r="B130" s="16"/>
      <c r="C130" s="41"/>
      <c r="D130" s="53"/>
      <c r="E130" s="100"/>
    </row>
    <row r="131" ht="22.5" customHeight="1">
      <c r="A131" s="49"/>
      <c r="B131" s="16"/>
      <c r="C131" s="41"/>
      <c r="D131" s="53"/>
      <c r="E131" s="100"/>
    </row>
    <row r="132" ht="22.5" customHeight="1">
      <c r="A132" s="49"/>
      <c r="B132" s="16"/>
      <c r="C132" s="41"/>
      <c r="D132" s="53"/>
      <c r="E132" s="100"/>
    </row>
    <row r="133" ht="22.5" customHeight="1">
      <c r="A133" s="49"/>
      <c r="B133" s="16"/>
      <c r="C133" s="41"/>
      <c r="D133" s="53"/>
      <c r="E133" s="100"/>
    </row>
    <row r="134" ht="22.5" customHeight="1">
      <c r="A134" s="49"/>
      <c r="B134" s="16"/>
      <c r="C134" s="41"/>
      <c r="D134" s="53"/>
      <c r="E134" s="100"/>
    </row>
    <row r="135" ht="22.5" customHeight="1">
      <c r="A135" s="49"/>
      <c r="B135" s="16"/>
      <c r="C135" s="41"/>
      <c r="D135" s="53"/>
      <c r="E135" s="100"/>
    </row>
    <row r="136" ht="22.5" customHeight="1">
      <c r="A136" s="49"/>
      <c r="B136" s="16"/>
      <c r="C136" s="41"/>
      <c r="D136" s="53"/>
      <c r="E136" s="100"/>
    </row>
    <row r="137" ht="22.5" customHeight="1">
      <c r="A137" s="49"/>
      <c r="B137" s="16"/>
      <c r="C137" s="41"/>
      <c r="D137" s="53"/>
      <c r="E137" s="100"/>
    </row>
    <row r="138" ht="22.5" customHeight="1">
      <c r="A138" s="49"/>
      <c r="B138" s="16"/>
      <c r="C138" s="41"/>
      <c r="D138" s="53"/>
      <c r="E138" s="100"/>
    </row>
    <row r="139" ht="22.5" customHeight="1">
      <c r="A139" s="49"/>
      <c r="B139" s="16"/>
      <c r="C139" s="41"/>
      <c r="D139" s="53"/>
      <c r="E139" s="100"/>
    </row>
    <row r="140" ht="22.5" customHeight="1">
      <c r="A140" s="49"/>
      <c r="B140" s="16"/>
      <c r="C140" s="41"/>
      <c r="D140" s="53"/>
      <c r="E140" s="100"/>
    </row>
    <row r="141" ht="22.5" customHeight="1">
      <c r="A141" s="49"/>
      <c r="B141" s="16"/>
      <c r="C141" s="41"/>
      <c r="D141" s="53"/>
      <c r="E141" s="100"/>
    </row>
    <row r="142" ht="22.5" customHeight="1">
      <c r="A142" s="49"/>
      <c r="B142" s="16"/>
      <c r="C142" s="41"/>
      <c r="D142" s="53"/>
      <c r="E142" s="100"/>
    </row>
    <row r="143" ht="22.5" customHeight="1">
      <c r="A143" s="49"/>
      <c r="B143" s="16"/>
      <c r="C143" s="41"/>
      <c r="D143" s="53"/>
      <c r="E143" s="100"/>
    </row>
    <row r="144" ht="22.5" customHeight="1">
      <c r="A144" s="49"/>
      <c r="B144" s="16"/>
      <c r="C144" s="41"/>
      <c r="D144" s="53"/>
      <c r="E144" s="100"/>
    </row>
    <row r="145" ht="22.5" customHeight="1">
      <c r="A145" s="49"/>
      <c r="B145" s="16"/>
      <c r="C145" s="41"/>
      <c r="D145" s="53"/>
      <c r="E145" s="100"/>
    </row>
    <row r="146" ht="22.5" customHeight="1">
      <c r="A146" s="49"/>
      <c r="B146" s="16"/>
      <c r="C146" s="41"/>
      <c r="D146" s="53"/>
      <c r="E146" s="100"/>
    </row>
    <row r="147" ht="22.5" customHeight="1">
      <c r="A147" s="49"/>
      <c r="B147" s="16"/>
      <c r="C147" s="41"/>
      <c r="D147" s="53"/>
      <c r="E147" s="100"/>
    </row>
    <row r="148" ht="22.5" customHeight="1">
      <c r="A148" s="49"/>
      <c r="B148" s="16"/>
      <c r="C148" s="41"/>
      <c r="D148" s="53"/>
      <c r="E148" s="100"/>
    </row>
    <row r="149" ht="22.5" customHeight="1">
      <c r="A149" s="49"/>
      <c r="B149" s="16"/>
      <c r="C149" s="41"/>
      <c r="D149" s="53"/>
      <c r="E149" s="100"/>
    </row>
    <row r="150" ht="22.5" customHeight="1">
      <c r="A150" s="49"/>
      <c r="B150" s="16"/>
      <c r="C150" s="41"/>
      <c r="D150" s="53"/>
      <c r="E150" s="100"/>
    </row>
    <row r="151" ht="22.5" customHeight="1">
      <c r="A151" s="49"/>
      <c r="B151" s="16"/>
      <c r="C151" s="41"/>
      <c r="D151" s="53"/>
      <c r="E151" s="100"/>
    </row>
    <row r="152" ht="22.5" customHeight="1">
      <c r="A152" s="49"/>
      <c r="B152" s="16"/>
      <c r="C152" s="41"/>
      <c r="D152" s="53"/>
      <c r="E152" s="100"/>
    </row>
    <row r="153" ht="22.5" customHeight="1">
      <c r="A153" s="49"/>
      <c r="B153" s="16"/>
      <c r="C153" s="41"/>
      <c r="D153" s="53"/>
      <c r="E153" s="100"/>
    </row>
    <row r="154" ht="22.5" customHeight="1">
      <c r="A154" s="49"/>
      <c r="B154" s="16"/>
      <c r="C154" s="41"/>
      <c r="D154" s="53"/>
      <c r="E154" s="100"/>
    </row>
    <row r="155" ht="22.5" customHeight="1">
      <c r="A155" s="49"/>
      <c r="B155" s="16"/>
      <c r="C155" s="41"/>
      <c r="D155" s="53"/>
      <c r="E155" s="100"/>
    </row>
    <row r="156" ht="22.5" customHeight="1">
      <c r="A156" s="49"/>
      <c r="B156" s="16"/>
      <c r="C156" s="41"/>
      <c r="D156" s="53"/>
      <c r="E156" s="100"/>
    </row>
    <row r="157" ht="22.5" customHeight="1">
      <c r="A157" s="49"/>
      <c r="B157" s="16"/>
      <c r="C157" s="41"/>
      <c r="D157" s="53"/>
      <c r="E157" s="100"/>
    </row>
    <row r="158" ht="22.5" customHeight="1">
      <c r="A158" s="49"/>
      <c r="B158" s="16"/>
      <c r="C158" s="41"/>
      <c r="D158" s="53"/>
      <c r="E158" s="100"/>
    </row>
    <row r="159" ht="22.5" customHeight="1">
      <c r="A159" s="49"/>
      <c r="B159" s="16"/>
      <c r="C159" s="41"/>
      <c r="D159" s="53"/>
      <c r="E159" s="100"/>
    </row>
    <row r="160" ht="22.5" customHeight="1">
      <c r="A160" s="49"/>
      <c r="B160" s="16"/>
      <c r="C160" s="41"/>
      <c r="D160" s="53"/>
      <c r="E160" s="100"/>
    </row>
    <row r="161" ht="22.5" customHeight="1">
      <c r="A161" s="49"/>
      <c r="B161" s="16"/>
      <c r="C161" s="41"/>
      <c r="D161" s="53"/>
      <c r="E161" s="100"/>
    </row>
    <row r="162" ht="22.5" customHeight="1">
      <c r="A162" s="49"/>
      <c r="B162" s="16"/>
      <c r="C162" s="41"/>
      <c r="D162" s="53"/>
      <c r="E162" s="100"/>
    </row>
    <row r="163" ht="22.5" customHeight="1">
      <c r="A163" s="49"/>
      <c r="B163" s="16"/>
      <c r="C163" s="41"/>
      <c r="D163" s="53"/>
      <c r="E163" s="100"/>
    </row>
    <row r="164" ht="22.5" customHeight="1">
      <c r="A164" s="49"/>
      <c r="B164" s="16"/>
      <c r="C164" s="41"/>
      <c r="D164" s="53"/>
      <c r="E164" s="100"/>
    </row>
    <row r="165" ht="22.5" customHeight="1">
      <c r="A165" s="49"/>
      <c r="B165" s="16"/>
      <c r="C165" s="41"/>
      <c r="D165" s="53"/>
      <c r="E165" s="100"/>
    </row>
    <row r="166" ht="22.5" customHeight="1">
      <c r="A166" s="49"/>
      <c r="B166" s="16"/>
      <c r="C166" s="41"/>
      <c r="D166" s="53"/>
      <c r="E166" s="100"/>
    </row>
    <row r="167" ht="22.5" customHeight="1">
      <c r="A167" s="49"/>
      <c r="B167" s="16"/>
      <c r="C167" s="41"/>
      <c r="D167" s="53"/>
      <c r="E167" s="100"/>
    </row>
    <row r="168" ht="22.5" customHeight="1">
      <c r="A168" s="49"/>
      <c r="B168" s="16"/>
      <c r="C168" s="41"/>
      <c r="D168" s="53"/>
      <c r="E168" s="100"/>
    </row>
    <row r="169" ht="22.5" customHeight="1">
      <c r="A169" s="49"/>
      <c r="B169" s="16"/>
      <c r="C169" s="41"/>
      <c r="D169" s="53"/>
      <c r="E169" s="100"/>
    </row>
    <row r="170" ht="22.5" customHeight="1">
      <c r="A170" s="49"/>
      <c r="B170" s="16"/>
      <c r="C170" s="41"/>
      <c r="D170" s="53"/>
      <c r="E170" s="100"/>
    </row>
    <row r="171" ht="22.5" customHeight="1">
      <c r="A171" s="49"/>
      <c r="B171" s="16"/>
      <c r="C171" s="41"/>
      <c r="D171" s="53"/>
      <c r="E171" s="100"/>
    </row>
    <row r="172" ht="22.5" customHeight="1">
      <c r="A172" s="49"/>
      <c r="B172" s="16"/>
      <c r="C172" s="41"/>
      <c r="D172" s="53"/>
      <c r="E172" s="100"/>
    </row>
    <row r="173" ht="22.5" customHeight="1">
      <c r="A173" s="49"/>
      <c r="B173" s="16"/>
      <c r="C173" s="41"/>
      <c r="D173" s="53"/>
      <c r="E173" s="100"/>
    </row>
    <row r="174" ht="22.5" customHeight="1">
      <c r="A174" s="49"/>
      <c r="B174" s="16"/>
      <c r="C174" s="41"/>
      <c r="D174" s="53"/>
      <c r="E174" s="100"/>
    </row>
    <row r="175" ht="22.5" customHeight="1">
      <c r="A175" s="49"/>
      <c r="B175" s="16"/>
      <c r="C175" s="41"/>
      <c r="D175" s="53"/>
      <c r="E175" s="100"/>
    </row>
    <row r="176" ht="22.5" customHeight="1">
      <c r="A176" s="49"/>
      <c r="B176" s="16"/>
      <c r="C176" s="41"/>
      <c r="D176" s="53"/>
      <c r="E176" s="100"/>
    </row>
    <row r="177" ht="22.5" customHeight="1">
      <c r="A177" s="49"/>
      <c r="B177" s="16"/>
      <c r="C177" s="41"/>
      <c r="D177" s="53"/>
      <c r="E177" s="100"/>
    </row>
    <row r="178" ht="22.5" customHeight="1">
      <c r="A178" s="49"/>
      <c r="B178" s="16"/>
      <c r="C178" s="41"/>
      <c r="D178" s="53"/>
      <c r="E178" s="100"/>
    </row>
    <row r="179" ht="22.5" customHeight="1">
      <c r="A179" s="49"/>
      <c r="B179" s="16"/>
      <c r="C179" s="41"/>
      <c r="D179" s="53"/>
      <c r="E179" s="100"/>
    </row>
    <row r="180" ht="22.5" customHeight="1">
      <c r="A180" s="49"/>
      <c r="B180" s="16"/>
      <c r="C180" s="41"/>
      <c r="D180" s="53"/>
      <c r="E180" s="100"/>
    </row>
    <row r="181" ht="22.5" customHeight="1">
      <c r="A181" s="49"/>
      <c r="B181" s="16"/>
      <c r="C181" s="41"/>
      <c r="D181" s="53"/>
      <c r="E181" s="100"/>
    </row>
    <row r="182" ht="22.5" customHeight="1">
      <c r="A182" s="49"/>
      <c r="B182" s="16"/>
      <c r="C182" s="41"/>
      <c r="D182" s="53"/>
      <c r="E182" s="100"/>
    </row>
    <row r="183" ht="22.5" customHeight="1">
      <c r="A183" s="49"/>
      <c r="B183" s="16"/>
      <c r="C183" s="41"/>
      <c r="D183" s="53"/>
      <c r="E183" s="100"/>
    </row>
    <row r="184" ht="22.5" customHeight="1">
      <c r="A184" s="49"/>
      <c r="B184" s="16"/>
      <c r="C184" s="41"/>
      <c r="D184" s="53"/>
      <c r="E184" s="100"/>
    </row>
    <row r="185" ht="22.5" customHeight="1">
      <c r="A185" s="49"/>
      <c r="B185" s="16"/>
      <c r="C185" s="41"/>
      <c r="D185" s="53"/>
      <c r="E185" s="100"/>
    </row>
    <row r="186" ht="22.5" customHeight="1">
      <c r="A186" s="49"/>
      <c r="B186" s="16"/>
      <c r="C186" s="41"/>
      <c r="D186" s="53"/>
      <c r="E186" s="100"/>
    </row>
    <row r="187" ht="22.5" customHeight="1">
      <c r="A187" s="49"/>
      <c r="B187" s="16"/>
      <c r="C187" s="41"/>
      <c r="D187" s="53"/>
      <c r="E187" s="100"/>
    </row>
    <row r="188" ht="22.5" customHeight="1">
      <c r="A188" s="49"/>
      <c r="B188" s="16"/>
      <c r="C188" s="41"/>
      <c r="D188" s="53"/>
      <c r="E188" s="100"/>
    </row>
    <row r="189" ht="22.5" customHeight="1">
      <c r="A189" s="49"/>
      <c r="B189" s="16"/>
      <c r="C189" s="41"/>
      <c r="D189" s="53"/>
      <c r="E189" s="100"/>
    </row>
    <row r="190" ht="22.5" customHeight="1">
      <c r="A190" s="49"/>
      <c r="B190" s="16"/>
      <c r="C190" s="41"/>
      <c r="D190" s="53"/>
      <c r="E190" s="100"/>
    </row>
    <row r="191" ht="22.5" customHeight="1">
      <c r="A191" s="49"/>
      <c r="B191" s="16"/>
      <c r="C191" s="41"/>
      <c r="D191" s="53"/>
      <c r="E191" s="100"/>
    </row>
    <row r="192" ht="22.5" customHeight="1">
      <c r="A192" s="49"/>
      <c r="B192" s="16"/>
      <c r="C192" s="41"/>
      <c r="D192" s="53"/>
      <c r="E192" s="100"/>
    </row>
    <row r="193" ht="22.5" customHeight="1">
      <c r="A193" s="49"/>
      <c r="B193" s="16"/>
      <c r="C193" s="41"/>
      <c r="D193" s="53"/>
      <c r="E193" s="100"/>
    </row>
    <row r="194" ht="22.5" customHeight="1">
      <c r="A194" s="49"/>
      <c r="B194" s="16"/>
      <c r="C194" s="41"/>
      <c r="D194" s="53"/>
      <c r="E194" s="100"/>
    </row>
    <row r="195" ht="22.5" customHeight="1">
      <c r="A195" s="49"/>
      <c r="B195" s="16"/>
      <c r="C195" s="41"/>
      <c r="D195" s="53"/>
      <c r="E195" s="100"/>
    </row>
    <row r="196" ht="22.5" customHeight="1">
      <c r="A196" s="49"/>
      <c r="B196" s="16"/>
      <c r="C196" s="41"/>
      <c r="D196" s="53"/>
      <c r="E196" s="100"/>
    </row>
    <row r="197" ht="22.5" customHeight="1">
      <c r="A197" s="49"/>
      <c r="B197" s="16"/>
      <c r="C197" s="41"/>
      <c r="D197" s="53"/>
      <c r="E197" s="100"/>
    </row>
    <row r="198" ht="22.5" customHeight="1">
      <c r="A198" s="49"/>
      <c r="B198" s="16"/>
      <c r="C198" s="41"/>
      <c r="D198" s="53"/>
      <c r="E198" s="100"/>
    </row>
    <row r="199" ht="22.5" customHeight="1">
      <c r="A199" s="49"/>
      <c r="B199" s="16"/>
      <c r="C199" s="41"/>
      <c r="D199" s="53"/>
      <c r="E199" s="100"/>
    </row>
    <row r="200" ht="22.5" customHeight="1">
      <c r="A200" s="49"/>
      <c r="B200" s="16"/>
      <c r="C200" s="41"/>
      <c r="D200" s="53"/>
      <c r="E200" s="100"/>
    </row>
    <row r="201" ht="22.5" customHeight="1">
      <c r="A201" s="49"/>
      <c r="B201" s="16"/>
      <c r="C201" s="41"/>
      <c r="D201" s="53"/>
      <c r="E201" s="100"/>
    </row>
    <row r="202" ht="22.5" customHeight="1">
      <c r="A202" s="49"/>
      <c r="B202" s="16"/>
      <c r="C202" s="41"/>
      <c r="D202" s="53"/>
      <c r="E202" s="100"/>
    </row>
    <row r="203" ht="22.5" customHeight="1">
      <c r="A203" s="49"/>
      <c r="B203" s="16"/>
      <c r="C203" s="41"/>
      <c r="D203" s="53"/>
      <c r="E203" s="100"/>
    </row>
    <row r="204" ht="22.5" customHeight="1">
      <c r="A204" s="49"/>
      <c r="B204" s="16"/>
      <c r="C204" s="41"/>
      <c r="D204" s="53"/>
      <c r="E204" s="100"/>
    </row>
    <row r="205" ht="22.5" customHeight="1">
      <c r="A205" s="49"/>
      <c r="B205" s="16"/>
      <c r="C205" s="41"/>
      <c r="D205" s="53"/>
      <c r="E205" s="100"/>
    </row>
    <row r="206" ht="22.5" customHeight="1">
      <c r="A206" s="49"/>
      <c r="B206" s="16"/>
      <c r="C206" s="41"/>
      <c r="D206" s="53"/>
      <c r="E206" s="100"/>
    </row>
    <row r="207" ht="22.5" customHeight="1">
      <c r="A207" s="49"/>
      <c r="B207" s="16"/>
      <c r="C207" s="41"/>
      <c r="D207" s="53"/>
      <c r="E207" s="100"/>
    </row>
    <row r="208" ht="22.5" customHeight="1">
      <c r="A208" s="49"/>
      <c r="B208" s="16"/>
      <c r="C208" s="41"/>
      <c r="D208" s="53"/>
      <c r="E208" s="100"/>
    </row>
    <row r="209" ht="22.5" customHeight="1">
      <c r="A209" s="49"/>
      <c r="B209" s="16"/>
      <c r="C209" s="41"/>
      <c r="D209" s="53"/>
      <c r="E209" s="100"/>
    </row>
    <row r="210" ht="22.5" customHeight="1">
      <c r="A210" s="49"/>
      <c r="B210" s="16"/>
      <c r="C210" s="41"/>
      <c r="D210" s="53"/>
      <c r="E210" s="100"/>
    </row>
    <row r="211" ht="22.5" customHeight="1">
      <c r="A211" s="49"/>
      <c r="B211" s="16"/>
      <c r="C211" s="41"/>
      <c r="D211" s="53"/>
      <c r="E211" s="100"/>
    </row>
    <row r="212" ht="22.5" customHeight="1">
      <c r="A212" s="49"/>
      <c r="B212" s="16"/>
      <c r="C212" s="41"/>
      <c r="D212" s="53"/>
      <c r="E212" s="100"/>
    </row>
    <row r="213" ht="22.5" customHeight="1">
      <c r="A213" s="49"/>
      <c r="B213" s="16"/>
      <c r="C213" s="41"/>
      <c r="D213" s="53"/>
      <c r="E213" s="100"/>
    </row>
    <row r="214" ht="22.5" customHeight="1">
      <c r="A214" s="49"/>
      <c r="B214" s="16"/>
      <c r="C214" s="41"/>
      <c r="D214" s="53"/>
      <c r="E214" s="100"/>
    </row>
    <row r="215" ht="22.5" customHeight="1">
      <c r="A215" s="49"/>
      <c r="B215" s="16"/>
      <c r="C215" s="41"/>
      <c r="D215" s="53"/>
      <c r="E215" s="100"/>
    </row>
    <row r="216" ht="22.5" customHeight="1">
      <c r="A216" s="49"/>
      <c r="B216" s="16"/>
      <c r="C216" s="41"/>
      <c r="D216" s="53"/>
      <c r="E216" s="100"/>
    </row>
    <row r="217" ht="22.5" customHeight="1">
      <c r="A217" s="49"/>
      <c r="B217" s="16"/>
      <c r="C217" s="41"/>
      <c r="D217" s="53"/>
      <c r="E217" s="100"/>
    </row>
    <row r="218" ht="22.5" customHeight="1">
      <c r="A218" s="49"/>
      <c r="B218" s="16"/>
      <c r="C218" s="41"/>
      <c r="D218" s="53"/>
      <c r="E218" s="100"/>
    </row>
    <row r="219" ht="22.5" customHeight="1">
      <c r="A219" s="49"/>
      <c r="B219" s="16"/>
      <c r="C219" s="41"/>
      <c r="D219" s="53"/>
      <c r="E219" s="100"/>
    </row>
    <row r="220" ht="22.5" customHeight="1">
      <c r="A220" s="49"/>
      <c r="B220" s="16"/>
      <c r="C220" s="41"/>
      <c r="D220" s="53"/>
      <c r="E220" s="100"/>
    </row>
    <row r="221" ht="22.5" customHeight="1">
      <c r="A221" s="49"/>
      <c r="B221" s="16"/>
      <c r="C221" s="41"/>
      <c r="D221" s="53"/>
      <c r="E221" s="100"/>
    </row>
    <row r="222" ht="22.5" customHeight="1">
      <c r="A222" s="49"/>
      <c r="B222" s="16"/>
      <c r="C222" s="41"/>
      <c r="D222" s="53"/>
      <c r="E222" s="100"/>
    </row>
    <row r="223" ht="22.5" customHeight="1">
      <c r="A223" s="49"/>
      <c r="B223" s="16"/>
      <c r="C223" s="41"/>
      <c r="D223" s="53"/>
      <c r="E223" s="100"/>
    </row>
    <row r="224" ht="22.5" customHeight="1">
      <c r="A224" s="49"/>
      <c r="B224" s="16"/>
      <c r="C224" s="41"/>
      <c r="D224" s="53"/>
      <c r="E224" s="100"/>
    </row>
    <row r="225" ht="22.5" customHeight="1">
      <c r="A225" s="49"/>
      <c r="B225" s="16"/>
      <c r="C225" s="41"/>
      <c r="D225" s="53"/>
      <c r="E225" s="100"/>
    </row>
    <row r="226" ht="22.5" customHeight="1">
      <c r="A226" s="49"/>
      <c r="B226" s="16"/>
      <c r="C226" s="41"/>
      <c r="D226" s="53"/>
      <c r="E226" s="100"/>
    </row>
    <row r="227" ht="22.5" customHeight="1">
      <c r="A227" s="49"/>
      <c r="B227" s="16"/>
      <c r="C227" s="41"/>
      <c r="D227" s="53"/>
      <c r="E227" s="100"/>
    </row>
    <row r="228" ht="22.5" customHeight="1">
      <c r="A228" s="49"/>
      <c r="B228" s="16"/>
      <c r="C228" s="41"/>
      <c r="D228" s="53"/>
      <c r="E228" s="100"/>
    </row>
    <row r="229" ht="22.5" customHeight="1">
      <c r="A229" s="49"/>
      <c r="B229" s="16"/>
      <c r="C229" s="41"/>
      <c r="D229" s="53"/>
      <c r="E229" s="100"/>
    </row>
    <row r="230" ht="22.5" customHeight="1">
      <c r="A230" s="49"/>
      <c r="B230" s="16"/>
      <c r="C230" s="41"/>
      <c r="D230" s="53"/>
      <c r="E230" s="100"/>
    </row>
    <row r="231" ht="22.5" customHeight="1">
      <c r="A231" s="49"/>
      <c r="B231" s="16"/>
      <c r="C231" s="41"/>
      <c r="D231" s="53"/>
      <c r="E231" s="100"/>
    </row>
    <row r="232" ht="22.5" customHeight="1">
      <c r="A232" s="49"/>
      <c r="B232" s="16"/>
      <c r="C232" s="41"/>
      <c r="D232" s="53"/>
      <c r="E232" s="100"/>
    </row>
    <row r="233" ht="22.5" customHeight="1">
      <c r="A233" s="49"/>
      <c r="B233" s="16"/>
      <c r="C233" s="41"/>
      <c r="D233" s="53"/>
      <c r="E233" s="100"/>
    </row>
    <row r="234" ht="22.5" customHeight="1">
      <c r="A234" s="49"/>
      <c r="B234" s="16"/>
      <c r="C234" s="41"/>
      <c r="D234" s="53"/>
      <c r="E234" s="100"/>
    </row>
    <row r="235" ht="22.5" customHeight="1">
      <c r="A235" s="49"/>
      <c r="B235" s="16"/>
      <c r="C235" s="41"/>
      <c r="D235" s="53"/>
      <c r="E235" s="100"/>
    </row>
    <row r="236" ht="22.5" customHeight="1">
      <c r="A236" s="49"/>
      <c r="B236" s="16"/>
      <c r="C236" s="41"/>
      <c r="D236" s="53"/>
      <c r="E236" s="100"/>
    </row>
    <row r="237" ht="22.5" customHeight="1">
      <c r="A237" s="49"/>
      <c r="B237" s="16"/>
      <c r="C237" s="41"/>
      <c r="D237" s="53"/>
      <c r="E237" s="100"/>
    </row>
    <row r="238" ht="22.5" customHeight="1">
      <c r="A238" s="49"/>
      <c r="B238" s="16"/>
      <c r="C238" s="41"/>
      <c r="D238" s="53"/>
      <c r="E238" s="100"/>
    </row>
    <row r="239" ht="22.5" customHeight="1">
      <c r="A239" s="49"/>
      <c r="B239" s="16"/>
      <c r="C239" s="41"/>
      <c r="D239" s="53"/>
      <c r="E239" s="100"/>
    </row>
    <row r="240" ht="22.5" customHeight="1">
      <c r="A240" s="49"/>
      <c r="B240" s="16"/>
      <c r="C240" s="41"/>
      <c r="D240" s="53"/>
      <c r="E240" s="100"/>
    </row>
    <row r="241" ht="22.5" customHeight="1">
      <c r="A241" s="49"/>
      <c r="B241" s="16"/>
      <c r="C241" s="41"/>
      <c r="D241" s="53"/>
      <c r="E241" s="100"/>
    </row>
    <row r="242" ht="22.5" customHeight="1">
      <c r="A242" s="49"/>
      <c r="B242" s="16"/>
      <c r="C242" s="41"/>
      <c r="D242" s="53"/>
      <c r="E242" s="100"/>
    </row>
    <row r="243" ht="22.5" customHeight="1">
      <c r="A243" s="49"/>
      <c r="B243" s="16"/>
      <c r="C243" s="41"/>
      <c r="D243" s="53"/>
      <c r="E243" s="100"/>
    </row>
    <row r="244" ht="22.5" customHeight="1">
      <c r="A244" s="49"/>
      <c r="B244" s="16"/>
      <c r="C244" s="41"/>
      <c r="D244" s="53"/>
      <c r="E244" s="100"/>
    </row>
    <row r="245" ht="22.5" customHeight="1">
      <c r="A245" s="49"/>
      <c r="B245" s="16"/>
      <c r="C245" s="41"/>
      <c r="D245" s="53"/>
      <c r="E245" s="100"/>
    </row>
    <row r="246" ht="22.5" customHeight="1">
      <c r="A246" s="49"/>
      <c r="B246" s="16"/>
      <c r="C246" s="41"/>
      <c r="D246" s="53"/>
      <c r="E246" s="100"/>
    </row>
    <row r="247" ht="22.5" customHeight="1">
      <c r="A247" s="49"/>
      <c r="B247" s="16"/>
      <c r="C247" s="41"/>
      <c r="D247" s="53"/>
      <c r="E247" s="100"/>
    </row>
    <row r="248" ht="22.5" customHeight="1">
      <c r="A248" s="49"/>
      <c r="B248" s="16"/>
      <c r="C248" s="41"/>
      <c r="D248" s="53"/>
      <c r="E248" s="100"/>
    </row>
    <row r="249" ht="22.5" customHeight="1">
      <c r="A249" s="49"/>
      <c r="B249" s="16"/>
      <c r="C249" s="41"/>
      <c r="D249" s="53"/>
      <c r="E249" s="100"/>
    </row>
    <row r="250" ht="22.5" customHeight="1">
      <c r="A250" s="49"/>
      <c r="B250" s="16"/>
      <c r="C250" s="41"/>
      <c r="D250" s="53"/>
      <c r="E250" s="100"/>
    </row>
    <row r="251" ht="22.5" customHeight="1">
      <c r="A251" s="49"/>
      <c r="B251" s="16"/>
      <c r="C251" s="41"/>
      <c r="D251" s="53"/>
      <c r="E251" s="100"/>
    </row>
    <row r="252" ht="22.5" customHeight="1">
      <c r="A252" s="49"/>
      <c r="B252" s="16"/>
      <c r="C252" s="41"/>
      <c r="D252" s="53"/>
      <c r="E252" s="100"/>
    </row>
    <row r="253" ht="22.5" customHeight="1">
      <c r="A253" s="49"/>
      <c r="B253" s="16"/>
      <c r="C253" s="41"/>
      <c r="D253" s="53"/>
      <c r="E253" s="100"/>
    </row>
    <row r="254" ht="22.5" customHeight="1">
      <c r="A254" s="49"/>
      <c r="B254" s="16"/>
      <c r="C254" s="41"/>
      <c r="D254" s="53"/>
      <c r="E254" s="100"/>
    </row>
    <row r="255" ht="22.5" customHeight="1">
      <c r="A255" s="49"/>
      <c r="B255" s="16"/>
      <c r="C255" s="41"/>
      <c r="D255" s="53"/>
      <c r="E255" s="100"/>
    </row>
    <row r="256" ht="22.5" customHeight="1">
      <c r="A256" s="49"/>
      <c r="B256" s="16"/>
      <c r="C256" s="41"/>
      <c r="D256" s="53"/>
      <c r="E256" s="100"/>
    </row>
    <row r="257" ht="22.5" customHeight="1">
      <c r="A257" s="49"/>
      <c r="B257" s="16"/>
      <c r="C257" s="41"/>
      <c r="D257" s="53"/>
      <c r="E257" s="100"/>
    </row>
    <row r="258" ht="22.5" customHeight="1">
      <c r="A258" s="49"/>
      <c r="B258" s="16"/>
      <c r="C258" s="41"/>
      <c r="D258" s="53"/>
      <c r="E258" s="100"/>
    </row>
    <row r="259" ht="22.5" customHeight="1">
      <c r="A259" s="49"/>
      <c r="B259" s="16"/>
      <c r="C259" s="41"/>
      <c r="D259" s="53"/>
      <c r="E259" s="100"/>
    </row>
    <row r="260" ht="22.5" customHeight="1">
      <c r="A260" s="49"/>
      <c r="B260" s="16"/>
      <c r="C260" s="41"/>
      <c r="D260" s="53"/>
      <c r="E260" s="100"/>
    </row>
    <row r="261" ht="22.5" customHeight="1">
      <c r="A261" s="49"/>
      <c r="B261" s="16"/>
      <c r="C261" s="41"/>
      <c r="D261" s="53"/>
      <c r="E261" s="100"/>
    </row>
    <row r="262" ht="22.5" customHeight="1">
      <c r="A262" s="49"/>
      <c r="B262" s="16"/>
      <c r="C262" s="41"/>
      <c r="D262" s="53"/>
      <c r="E262" s="100"/>
    </row>
    <row r="263" ht="22.5" customHeight="1">
      <c r="A263" s="49"/>
      <c r="B263" s="16"/>
      <c r="C263" s="41"/>
      <c r="D263" s="53"/>
      <c r="E263" s="100"/>
    </row>
    <row r="264" ht="22.5" customHeight="1">
      <c r="A264" s="49"/>
      <c r="B264" s="16"/>
      <c r="C264" s="41"/>
      <c r="D264" s="53"/>
      <c r="E264" s="100"/>
    </row>
    <row r="265" ht="22.5" customHeight="1">
      <c r="A265" s="49"/>
      <c r="B265" s="16"/>
      <c r="C265" s="41"/>
      <c r="D265" s="53"/>
      <c r="E265" s="100"/>
    </row>
    <row r="266" ht="22.5" customHeight="1">
      <c r="A266" s="49"/>
      <c r="B266" s="16"/>
      <c r="C266" s="41"/>
      <c r="D266" s="53"/>
      <c r="E266" s="100"/>
    </row>
    <row r="267" ht="22.5" customHeight="1">
      <c r="A267" s="49"/>
      <c r="B267" s="16"/>
      <c r="C267" s="41"/>
      <c r="D267" s="53"/>
      <c r="E267" s="100"/>
    </row>
    <row r="268" ht="22.5" customHeight="1">
      <c r="A268" s="49"/>
      <c r="B268" s="16"/>
      <c r="C268" s="41"/>
      <c r="D268" s="53"/>
      <c r="E268" s="100"/>
    </row>
    <row r="269" ht="22.5" customHeight="1">
      <c r="A269" s="49"/>
      <c r="B269" s="16"/>
      <c r="C269" s="41"/>
      <c r="D269" s="53"/>
      <c r="E269" s="100"/>
    </row>
    <row r="270">
      <c r="A270" s="71"/>
      <c r="B270" s="72"/>
      <c r="C270" s="72"/>
      <c r="D270" s="91"/>
      <c r="E270" s="72"/>
    </row>
    <row r="271">
      <c r="A271" s="71"/>
      <c r="B271" s="72"/>
      <c r="C271" s="72"/>
      <c r="D271" s="91"/>
      <c r="E271" s="72"/>
    </row>
    <row r="272">
      <c r="A272" s="71"/>
      <c r="B272" s="72"/>
      <c r="C272" s="72"/>
      <c r="D272" s="91"/>
      <c r="E272" s="72"/>
    </row>
    <row r="273">
      <c r="A273" s="71"/>
      <c r="B273" s="72"/>
      <c r="C273" s="72"/>
      <c r="D273" s="91"/>
      <c r="E273" s="72"/>
    </row>
    <row r="274">
      <c r="A274" s="71"/>
      <c r="B274" s="72"/>
      <c r="C274" s="72"/>
      <c r="D274" s="91"/>
      <c r="E274" s="72"/>
    </row>
    <row r="275">
      <c r="A275" s="71"/>
      <c r="B275" s="72"/>
      <c r="C275" s="72"/>
      <c r="D275" s="91"/>
      <c r="E275" s="72"/>
    </row>
    <row r="276">
      <c r="A276" s="71"/>
      <c r="B276" s="72"/>
      <c r="C276" s="72"/>
      <c r="D276" s="91"/>
      <c r="E276" s="72"/>
    </row>
    <row r="277">
      <c r="A277" s="71"/>
      <c r="B277" s="72"/>
      <c r="C277" s="72"/>
      <c r="D277" s="91"/>
      <c r="E277" s="72"/>
    </row>
    <row r="278">
      <c r="A278" s="71"/>
      <c r="B278" s="72"/>
      <c r="C278" s="72"/>
      <c r="D278" s="91"/>
      <c r="E278" s="72"/>
    </row>
    <row r="279">
      <c r="A279" s="71"/>
      <c r="B279" s="72"/>
      <c r="C279" s="72"/>
      <c r="D279" s="91"/>
      <c r="E279" s="72"/>
    </row>
    <row r="280">
      <c r="A280" s="71"/>
      <c r="B280" s="72"/>
      <c r="C280" s="72"/>
      <c r="D280" s="91"/>
      <c r="E280" s="72"/>
    </row>
    <row r="281">
      <c r="A281" s="71"/>
      <c r="B281" s="72"/>
      <c r="C281" s="72"/>
      <c r="D281" s="91"/>
      <c r="E281" s="72"/>
    </row>
    <row r="282">
      <c r="A282" s="71"/>
      <c r="B282" s="72"/>
      <c r="C282" s="72"/>
      <c r="D282" s="91"/>
      <c r="E282" s="72"/>
    </row>
    <row r="283">
      <c r="A283" s="71"/>
      <c r="B283" s="72"/>
      <c r="C283" s="72"/>
      <c r="D283" s="91"/>
      <c r="E283" s="72"/>
    </row>
    <row r="284">
      <c r="A284" s="71"/>
      <c r="B284" s="72"/>
      <c r="C284" s="72"/>
      <c r="D284" s="91"/>
      <c r="E284" s="72"/>
    </row>
    <row r="285">
      <c r="A285" s="71"/>
      <c r="B285" s="72"/>
      <c r="C285" s="72"/>
      <c r="D285" s="91"/>
      <c r="E285" s="72"/>
    </row>
    <row r="286">
      <c r="A286" s="71"/>
      <c r="B286" s="72"/>
      <c r="C286" s="72"/>
      <c r="D286" s="91"/>
      <c r="E286" s="72"/>
    </row>
    <row r="287">
      <c r="A287" s="71"/>
      <c r="B287" s="72"/>
      <c r="C287" s="72"/>
      <c r="D287" s="91"/>
      <c r="E287" s="72"/>
    </row>
    <row r="288">
      <c r="A288" s="71"/>
      <c r="B288" s="72"/>
      <c r="C288" s="72"/>
      <c r="D288" s="91"/>
      <c r="E288" s="72"/>
    </row>
    <row r="289">
      <c r="A289" s="71"/>
      <c r="B289" s="72"/>
      <c r="C289" s="72"/>
      <c r="D289" s="91"/>
      <c r="E289" s="72"/>
    </row>
    <row r="290">
      <c r="A290" s="71"/>
      <c r="B290" s="72"/>
      <c r="C290" s="72"/>
      <c r="D290" s="91"/>
      <c r="E290" s="72"/>
    </row>
    <row r="291">
      <c r="A291" s="71"/>
      <c r="B291" s="72"/>
      <c r="C291" s="72"/>
      <c r="D291" s="91"/>
      <c r="E291" s="72"/>
    </row>
    <row r="292">
      <c r="A292" s="71"/>
      <c r="B292" s="72"/>
      <c r="C292" s="72"/>
      <c r="D292" s="91"/>
      <c r="E292" s="72"/>
    </row>
    <row r="293">
      <c r="A293" s="71"/>
      <c r="B293" s="72"/>
      <c r="C293" s="72"/>
      <c r="D293" s="91"/>
      <c r="E293" s="72"/>
    </row>
    <row r="294">
      <c r="A294" s="71"/>
      <c r="B294" s="72"/>
      <c r="C294" s="72"/>
      <c r="D294" s="91"/>
      <c r="E294" s="72"/>
    </row>
    <row r="295">
      <c r="A295" s="71"/>
      <c r="B295" s="72"/>
      <c r="C295" s="72"/>
      <c r="D295" s="91"/>
      <c r="E295" s="72"/>
    </row>
    <row r="296">
      <c r="A296" s="71"/>
      <c r="B296" s="72"/>
      <c r="C296" s="72"/>
      <c r="D296" s="91"/>
      <c r="E296" s="72"/>
    </row>
    <row r="297">
      <c r="A297" s="71"/>
      <c r="B297" s="72"/>
      <c r="C297" s="72"/>
      <c r="D297" s="91"/>
      <c r="E297" s="72"/>
    </row>
    <row r="298">
      <c r="A298" s="71"/>
      <c r="B298" s="72"/>
      <c r="C298" s="72"/>
      <c r="D298" s="91"/>
      <c r="E298" s="72"/>
    </row>
    <row r="299">
      <c r="A299" s="71"/>
      <c r="B299" s="72"/>
      <c r="C299" s="72"/>
      <c r="D299" s="91"/>
      <c r="E299" s="72"/>
    </row>
    <row r="300">
      <c r="A300" s="71"/>
      <c r="B300" s="72"/>
      <c r="C300" s="72"/>
      <c r="D300" s="91"/>
      <c r="E300" s="72"/>
    </row>
    <row r="301">
      <c r="A301" s="71"/>
      <c r="B301" s="72"/>
      <c r="C301" s="72"/>
      <c r="D301" s="91"/>
      <c r="E301" s="72"/>
    </row>
    <row r="302">
      <c r="A302" s="71"/>
      <c r="B302" s="72"/>
      <c r="C302" s="72"/>
      <c r="D302" s="91"/>
      <c r="E302" s="72"/>
    </row>
    <row r="303">
      <c r="A303" s="71"/>
      <c r="B303" s="72"/>
      <c r="C303" s="72"/>
      <c r="D303" s="91"/>
      <c r="E303" s="72"/>
    </row>
    <row r="304">
      <c r="A304" s="71"/>
      <c r="B304" s="72"/>
      <c r="C304" s="72"/>
      <c r="D304" s="91"/>
      <c r="E304" s="72"/>
    </row>
    <row r="305">
      <c r="A305" s="71"/>
      <c r="B305" s="72"/>
      <c r="C305" s="72"/>
      <c r="D305" s="91"/>
      <c r="E305" s="72"/>
    </row>
    <row r="306">
      <c r="A306" s="71"/>
      <c r="B306" s="72"/>
      <c r="C306" s="72"/>
      <c r="D306" s="91"/>
      <c r="E306" s="72"/>
    </row>
    <row r="307">
      <c r="A307" s="71"/>
      <c r="B307" s="72"/>
      <c r="C307" s="72"/>
      <c r="D307" s="91"/>
      <c r="E307" s="72"/>
    </row>
    <row r="308">
      <c r="A308" s="71"/>
      <c r="B308" s="72"/>
      <c r="C308" s="72"/>
      <c r="D308" s="91"/>
      <c r="E308" s="72"/>
    </row>
    <row r="309">
      <c r="A309" s="71"/>
      <c r="B309" s="72"/>
      <c r="C309" s="72"/>
      <c r="D309" s="91"/>
      <c r="E309" s="72"/>
    </row>
    <row r="310">
      <c r="A310" s="71"/>
      <c r="B310" s="72"/>
      <c r="C310" s="72"/>
      <c r="D310" s="91"/>
      <c r="E310" s="72"/>
    </row>
    <row r="311">
      <c r="A311" s="71"/>
      <c r="B311" s="72"/>
      <c r="C311" s="72"/>
      <c r="D311" s="91"/>
      <c r="E311" s="72"/>
    </row>
    <row r="312">
      <c r="A312" s="71"/>
      <c r="B312" s="72"/>
      <c r="C312" s="72"/>
      <c r="D312" s="91"/>
      <c r="E312" s="72"/>
    </row>
    <row r="313">
      <c r="A313" s="71"/>
      <c r="B313" s="72"/>
      <c r="C313" s="72"/>
      <c r="D313" s="91"/>
      <c r="E313" s="72"/>
    </row>
    <row r="314">
      <c r="A314" s="71"/>
      <c r="B314" s="72"/>
      <c r="C314" s="72"/>
      <c r="D314" s="91"/>
      <c r="E314" s="72"/>
    </row>
    <row r="315">
      <c r="A315" s="71"/>
      <c r="B315" s="72"/>
      <c r="C315" s="72"/>
      <c r="D315" s="91"/>
      <c r="E315" s="72"/>
    </row>
    <row r="316">
      <c r="A316" s="71"/>
      <c r="B316" s="72"/>
      <c r="C316" s="72"/>
      <c r="D316" s="91"/>
      <c r="E316" s="72"/>
    </row>
    <row r="317">
      <c r="A317" s="71"/>
      <c r="B317" s="72"/>
      <c r="C317" s="72"/>
      <c r="D317" s="91"/>
      <c r="E317" s="72"/>
    </row>
    <row r="318">
      <c r="A318" s="71"/>
      <c r="B318" s="72"/>
      <c r="C318" s="72"/>
      <c r="D318" s="91"/>
      <c r="E318" s="72"/>
    </row>
    <row r="319">
      <c r="A319" s="71"/>
      <c r="B319" s="72"/>
      <c r="C319" s="72"/>
      <c r="D319" s="91"/>
      <c r="E319" s="72"/>
    </row>
    <row r="320">
      <c r="A320" s="71"/>
      <c r="B320" s="72"/>
      <c r="C320" s="72"/>
      <c r="D320" s="91"/>
      <c r="E320" s="72"/>
    </row>
    <row r="321">
      <c r="A321" s="71"/>
      <c r="B321" s="72"/>
      <c r="C321" s="72"/>
      <c r="D321" s="91"/>
      <c r="E321" s="72"/>
    </row>
    <row r="322">
      <c r="A322" s="71"/>
      <c r="B322" s="72"/>
      <c r="C322" s="72"/>
      <c r="D322" s="91"/>
      <c r="E322" s="72"/>
    </row>
    <row r="323">
      <c r="A323" s="71"/>
      <c r="B323" s="72"/>
      <c r="C323" s="72"/>
      <c r="D323" s="91"/>
      <c r="E323" s="72"/>
    </row>
    <row r="324">
      <c r="A324" s="71"/>
      <c r="B324" s="72"/>
      <c r="C324" s="72"/>
      <c r="D324" s="91"/>
      <c r="E324" s="72"/>
    </row>
    <row r="325">
      <c r="A325" s="71"/>
      <c r="B325" s="72"/>
      <c r="C325" s="72"/>
      <c r="D325" s="91"/>
      <c r="E325" s="72"/>
    </row>
    <row r="326">
      <c r="A326" s="71"/>
      <c r="B326" s="72"/>
      <c r="C326" s="72"/>
      <c r="D326" s="91"/>
      <c r="E326" s="72"/>
    </row>
    <row r="327">
      <c r="A327" s="71"/>
      <c r="B327" s="72"/>
      <c r="C327" s="72"/>
      <c r="D327" s="91"/>
      <c r="E327" s="72"/>
    </row>
    <row r="328">
      <c r="A328" s="71"/>
      <c r="B328" s="72"/>
      <c r="C328" s="72"/>
      <c r="D328" s="91"/>
      <c r="E328" s="72"/>
    </row>
    <row r="329">
      <c r="A329" s="71"/>
      <c r="B329" s="72"/>
      <c r="C329" s="72"/>
      <c r="D329" s="91"/>
      <c r="E329" s="72"/>
    </row>
    <row r="330">
      <c r="A330" s="71"/>
      <c r="B330" s="72"/>
      <c r="C330" s="72"/>
      <c r="D330" s="91"/>
      <c r="E330" s="72"/>
    </row>
    <row r="331">
      <c r="A331" s="71"/>
      <c r="B331" s="72"/>
      <c r="C331" s="72"/>
      <c r="D331" s="91"/>
      <c r="E331" s="72"/>
    </row>
    <row r="332">
      <c r="A332" s="71"/>
      <c r="B332" s="72"/>
      <c r="C332" s="72"/>
      <c r="D332" s="91"/>
      <c r="E332" s="72"/>
    </row>
    <row r="333">
      <c r="A333" s="71"/>
      <c r="B333" s="72"/>
      <c r="C333" s="72"/>
      <c r="D333" s="91"/>
      <c r="E333" s="72"/>
    </row>
    <row r="334">
      <c r="A334" s="71"/>
      <c r="B334" s="72"/>
      <c r="C334" s="72"/>
      <c r="D334" s="91"/>
      <c r="E334" s="72"/>
    </row>
    <row r="335">
      <c r="A335" s="71"/>
      <c r="B335" s="72"/>
      <c r="C335" s="72"/>
      <c r="D335" s="91"/>
      <c r="E335" s="72"/>
    </row>
    <row r="336">
      <c r="A336" s="71"/>
      <c r="B336" s="72"/>
      <c r="C336" s="72"/>
      <c r="D336" s="91"/>
      <c r="E336" s="72"/>
    </row>
    <row r="337">
      <c r="A337" s="71"/>
      <c r="B337" s="72"/>
      <c r="C337" s="72"/>
      <c r="D337" s="91"/>
      <c r="E337" s="72"/>
    </row>
    <row r="338">
      <c r="A338" s="71"/>
      <c r="B338" s="72"/>
      <c r="C338" s="72"/>
      <c r="D338" s="91"/>
      <c r="E338" s="72"/>
    </row>
    <row r="339">
      <c r="A339" s="71"/>
      <c r="B339" s="72"/>
      <c r="C339" s="72"/>
      <c r="D339" s="91"/>
      <c r="E339" s="72"/>
    </row>
    <row r="340">
      <c r="A340" s="71"/>
      <c r="B340" s="72"/>
      <c r="C340" s="72"/>
      <c r="D340" s="91"/>
      <c r="E340" s="72"/>
    </row>
    <row r="341">
      <c r="A341" s="71"/>
      <c r="B341" s="72"/>
      <c r="C341" s="72"/>
      <c r="D341" s="91"/>
      <c r="E341" s="72"/>
    </row>
    <row r="342">
      <c r="A342" s="71"/>
      <c r="B342" s="72"/>
      <c r="C342" s="72"/>
      <c r="D342" s="91"/>
      <c r="E342" s="72"/>
    </row>
    <row r="343">
      <c r="A343" s="71"/>
      <c r="B343" s="72"/>
      <c r="C343" s="72"/>
      <c r="D343" s="91"/>
      <c r="E343" s="72"/>
    </row>
    <row r="344">
      <c r="A344" s="71"/>
      <c r="B344" s="72"/>
      <c r="C344" s="72"/>
      <c r="D344" s="91"/>
      <c r="E344" s="72"/>
    </row>
    <row r="345">
      <c r="A345" s="71"/>
      <c r="B345" s="72"/>
      <c r="C345" s="72"/>
      <c r="D345" s="91"/>
      <c r="E345" s="72"/>
    </row>
    <row r="346">
      <c r="A346" s="71"/>
      <c r="B346" s="72"/>
      <c r="C346" s="72"/>
      <c r="D346" s="91"/>
      <c r="E346" s="72"/>
    </row>
    <row r="347">
      <c r="A347" s="71"/>
      <c r="B347" s="72"/>
      <c r="C347" s="72"/>
      <c r="D347" s="91"/>
      <c r="E347" s="72"/>
    </row>
    <row r="348">
      <c r="A348" s="71"/>
      <c r="B348" s="72"/>
      <c r="C348" s="72"/>
      <c r="D348" s="91"/>
      <c r="E348" s="72"/>
    </row>
    <row r="349">
      <c r="A349" s="71"/>
      <c r="B349" s="72"/>
      <c r="C349" s="72"/>
      <c r="D349" s="91"/>
      <c r="E349" s="72"/>
    </row>
    <row r="350">
      <c r="A350" s="71"/>
      <c r="B350" s="72"/>
      <c r="C350" s="72"/>
      <c r="D350" s="91"/>
      <c r="E350" s="72"/>
    </row>
    <row r="351">
      <c r="A351" s="71"/>
      <c r="B351" s="72"/>
      <c r="C351" s="72"/>
      <c r="D351" s="91"/>
      <c r="E351" s="72"/>
    </row>
    <row r="352">
      <c r="A352" s="71"/>
      <c r="B352" s="72"/>
      <c r="C352" s="72"/>
      <c r="D352" s="91"/>
      <c r="E352" s="72"/>
    </row>
    <row r="353">
      <c r="A353" s="71"/>
      <c r="B353" s="72"/>
      <c r="C353" s="72"/>
      <c r="D353" s="91"/>
      <c r="E353" s="72"/>
    </row>
    <row r="354">
      <c r="A354" s="71"/>
      <c r="B354" s="72"/>
      <c r="C354" s="72"/>
      <c r="D354" s="91"/>
      <c r="E354" s="72"/>
    </row>
    <row r="355">
      <c r="A355" s="71"/>
      <c r="B355" s="72"/>
      <c r="C355" s="72"/>
      <c r="D355" s="91"/>
      <c r="E355" s="72"/>
    </row>
    <row r="356">
      <c r="A356" s="71"/>
      <c r="B356" s="72"/>
      <c r="C356" s="72"/>
      <c r="D356" s="91"/>
      <c r="E356" s="72"/>
    </row>
    <row r="357">
      <c r="A357" s="71"/>
      <c r="B357" s="72"/>
      <c r="C357" s="72"/>
      <c r="D357" s="91"/>
      <c r="E357" s="72"/>
    </row>
    <row r="358">
      <c r="A358" s="71"/>
      <c r="B358" s="72"/>
      <c r="C358" s="72"/>
      <c r="D358" s="91"/>
      <c r="E358" s="72"/>
    </row>
    <row r="359">
      <c r="A359" s="71"/>
      <c r="B359" s="72"/>
      <c r="C359" s="72"/>
      <c r="D359" s="91"/>
      <c r="E359" s="72"/>
    </row>
    <row r="360">
      <c r="A360" s="71"/>
      <c r="B360" s="72"/>
      <c r="C360" s="72"/>
      <c r="D360" s="91"/>
      <c r="E360" s="72"/>
    </row>
    <row r="361">
      <c r="A361" s="71"/>
      <c r="B361" s="72"/>
      <c r="C361" s="72"/>
      <c r="D361" s="91"/>
      <c r="E361" s="72"/>
    </row>
    <row r="362">
      <c r="A362" s="71"/>
      <c r="B362" s="72"/>
      <c r="C362" s="72"/>
      <c r="D362" s="91"/>
      <c r="E362" s="72"/>
    </row>
    <row r="363">
      <c r="A363" s="71"/>
      <c r="B363" s="72"/>
      <c r="C363" s="72"/>
      <c r="D363" s="91"/>
      <c r="E363" s="72"/>
    </row>
    <row r="364">
      <c r="A364" s="71"/>
      <c r="B364" s="72"/>
      <c r="C364" s="72"/>
      <c r="D364" s="91"/>
      <c r="E364" s="72"/>
    </row>
    <row r="365">
      <c r="A365" s="71"/>
      <c r="B365" s="72"/>
      <c r="C365" s="72"/>
      <c r="D365" s="91"/>
      <c r="E365" s="72"/>
    </row>
    <row r="366">
      <c r="A366" s="71"/>
      <c r="B366" s="72"/>
      <c r="C366" s="72"/>
      <c r="D366" s="91"/>
      <c r="E366" s="72"/>
    </row>
    <row r="367">
      <c r="A367" s="71"/>
      <c r="B367" s="72"/>
      <c r="C367" s="72"/>
      <c r="D367" s="91"/>
      <c r="E367" s="72"/>
    </row>
    <row r="368">
      <c r="A368" s="71"/>
      <c r="B368" s="72"/>
      <c r="C368" s="72"/>
      <c r="D368" s="91"/>
      <c r="E368" s="72"/>
    </row>
    <row r="369">
      <c r="A369" s="71"/>
      <c r="B369" s="72"/>
      <c r="C369" s="72"/>
      <c r="D369" s="91"/>
      <c r="E369" s="72"/>
    </row>
    <row r="370">
      <c r="A370" s="71"/>
      <c r="B370" s="72"/>
      <c r="C370" s="72"/>
      <c r="D370" s="91"/>
      <c r="E370" s="72"/>
    </row>
    <row r="371">
      <c r="A371" s="71"/>
      <c r="B371" s="72"/>
      <c r="C371" s="72"/>
      <c r="D371" s="91"/>
      <c r="E371" s="72"/>
    </row>
    <row r="372">
      <c r="A372" s="71"/>
      <c r="B372" s="72"/>
      <c r="C372" s="72"/>
      <c r="D372" s="91"/>
      <c r="E372" s="72"/>
    </row>
    <row r="373">
      <c r="A373" s="71"/>
      <c r="B373" s="72"/>
      <c r="C373" s="72"/>
      <c r="D373" s="91"/>
      <c r="E373" s="72"/>
    </row>
    <row r="374">
      <c r="A374" s="71"/>
      <c r="B374" s="72"/>
      <c r="C374" s="72"/>
      <c r="D374" s="91"/>
      <c r="E374" s="72"/>
    </row>
    <row r="375">
      <c r="A375" s="71"/>
      <c r="B375" s="72"/>
      <c r="C375" s="72"/>
      <c r="D375" s="91"/>
      <c r="E375" s="72"/>
    </row>
    <row r="376">
      <c r="A376" s="71"/>
      <c r="B376" s="72"/>
      <c r="C376" s="72"/>
      <c r="D376" s="91"/>
      <c r="E376" s="72"/>
    </row>
    <row r="377">
      <c r="A377" s="71"/>
      <c r="B377" s="72"/>
      <c r="C377" s="72"/>
      <c r="D377" s="91"/>
      <c r="E377" s="72"/>
    </row>
    <row r="378">
      <c r="A378" s="71"/>
      <c r="B378" s="72"/>
      <c r="C378" s="72"/>
      <c r="D378" s="91"/>
      <c r="E378" s="72"/>
    </row>
    <row r="379">
      <c r="A379" s="71"/>
      <c r="B379" s="72"/>
      <c r="C379" s="72"/>
      <c r="D379" s="91"/>
      <c r="E379" s="72"/>
    </row>
    <row r="380">
      <c r="A380" s="71"/>
      <c r="B380" s="72"/>
      <c r="C380" s="72"/>
      <c r="D380" s="91"/>
      <c r="E380" s="72"/>
    </row>
    <row r="381">
      <c r="A381" s="71"/>
      <c r="B381" s="72"/>
      <c r="C381" s="72"/>
      <c r="D381" s="91"/>
      <c r="E381" s="72"/>
    </row>
    <row r="382">
      <c r="A382" s="71"/>
      <c r="B382" s="72"/>
      <c r="C382" s="72"/>
      <c r="D382" s="91"/>
      <c r="E382" s="72"/>
    </row>
    <row r="383">
      <c r="A383" s="71"/>
      <c r="B383" s="72"/>
      <c r="C383" s="72"/>
      <c r="D383" s="91"/>
      <c r="E383" s="72"/>
    </row>
    <row r="384">
      <c r="A384" s="71"/>
      <c r="B384" s="72"/>
      <c r="C384" s="72"/>
      <c r="D384" s="91"/>
      <c r="E384" s="72"/>
    </row>
    <row r="385">
      <c r="A385" s="71"/>
      <c r="B385" s="72"/>
      <c r="C385" s="72"/>
      <c r="D385" s="91"/>
      <c r="E385" s="72"/>
    </row>
    <row r="386">
      <c r="A386" s="71"/>
      <c r="B386" s="72"/>
      <c r="C386" s="72"/>
      <c r="D386" s="91"/>
      <c r="E386" s="72"/>
    </row>
    <row r="387">
      <c r="A387" s="71"/>
      <c r="B387" s="72"/>
      <c r="C387" s="72"/>
      <c r="D387" s="91"/>
      <c r="E387" s="72"/>
    </row>
    <row r="388">
      <c r="A388" s="71"/>
      <c r="B388" s="72"/>
      <c r="C388" s="72"/>
      <c r="D388" s="91"/>
      <c r="E388" s="72"/>
    </row>
    <row r="389">
      <c r="A389" s="71"/>
      <c r="B389" s="72"/>
      <c r="C389" s="72"/>
      <c r="D389" s="91"/>
      <c r="E389" s="72"/>
    </row>
    <row r="390">
      <c r="A390" s="71"/>
      <c r="B390" s="72"/>
      <c r="C390" s="72"/>
      <c r="D390" s="91"/>
      <c r="E390" s="72"/>
    </row>
    <row r="391">
      <c r="A391" s="71"/>
      <c r="B391" s="72"/>
      <c r="C391" s="72"/>
      <c r="D391" s="91"/>
      <c r="E391" s="72"/>
    </row>
    <row r="392">
      <c r="A392" s="71"/>
      <c r="B392" s="72"/>
      <c r="C392" s="72"/>
      <c r="D392" s="91"/>
      <c r="E392" s="72"/>
    </row>
    <row r="393">
      <c r="A393" s="71"/>
      <c r="B393" s="72"/>
      <c r="C393" s="72"/>
      <c r="D393" s="91"/>
      <c r="E393" s="72"/>
    </row>
    <row r="394">
      <c r="A394" s="71"/>
      <c r="B394" s="72"/>
      <c r="C394" s="72"/>
      <c r="D394" s="91"/>
      <c r="E394" s="72"/>
    </row>
    <row r="395">
      <c r="A395" s="71"/>
      <c r="B395" s="72"/>
      <c r="C395" s="72"/>
      <c r="D395" s="91"/>
      <c r="E395" s="72"/>
    </row>
    <row r="396">
      <c r="A396" s="71"/>
      <c r="B396" s="72"/>
      <c r="C396" s="72"/>
      <c r="D396" s="91"/>
      <c r="E396" s="72"/>
    </row>
    <row r="397">
      <c r="A397" s="71"/>
      <c r="B397" s="72"/>
      <c r="C397" s="72"/>
      <c r="D397" s="91"/>
      <c r="E397" s="72"/>
    </row>
    <row r="398">
      <c r="A398" s="71"/>
      <c r="B398" s="72"/>
      <c r="C398" s="72"/>
      <c r="D398" s="91"/>
      <c r="E398" s="72"/>
    </row>
    <row r="399">
      <c r="A399" s="71"/>
      <c r="B399" s="72"/>
      <c r="C399" s="72"/>
      <c r="D399" s="91"/>
      <c r="E399" s="72"/>
    </row>
    <row r="400">
      <c r="A400" s="71"/>
      <c r="B400" s="72"/>
      <c r="C400" s="72"/>
      <c r="D400" s="91"/>
      <c r="E400" s="72"/>
    </row>
    <row r="401">
      <c r="A401" s="71"/>
      <c r="B401" s="72"/>
      <c r="C401" s="72"/>
      <c r="D401" s="91"/>
      <c r="E401" s="72"/>
    </row>
    <row r="402">
      <c r="A402" s="71"/>
      <c r="B402" s="72"/>
      <c r="C402" s="72"/>
      <c r="D402" s="91"/>
      <c r="E402" s="72"/>
    </row>
    <row r="403">
      <c r="A403" s="71"/>
      <c r="B403" s="72"/>
      <c r="C403" s="72"/>
      <c r="D403" s="91"/>
      <c r="E403" s="72"/>
    </row>
    <row r="404">
      <c r="A404" s="71"/>
      <c r="B404" s="72"/>
      <c r="C404" s="72"/>
      <c r="D404" s="91"/>
      <c r="E404" s="72"/>
    </row>
    <row r="405">
      <c r="A405" s="71"/>
      <c r="B405" s="72"/>
      <c r="C405" s="72"/>
      <c r="D405" s="91"/>
      <c r="E405" s="72"/>
    </row>
    <row r="406">
      <c r="A406" s="71"/>
      <c r="B406" s="72"/>
      <c r="C406" s="72"/>
      <c r="D406" s="91"/>
      <c r="E406" s="72"/>
    </row>
    <row r="407">
      <c r="A407" s="71"/>
      <c r="B407" s="72"/>
      <c r="C407" s="72"/>
      <c r="D407" s="91"/>
      <c r="E407" s="72"/>
    </row>
    <row r="408">
      <c r="A408" s="71"/>
      <c r="B408" s="72"/>
      <c r="C408" s="72"/>
      <c r="D408" s="91"/>
      <c r="E408" s="72"/>
    </row>
    <row r="409">
      <c r="A409" s="71"/>
      <c r="B409" s="72"/>
      <c r="C409" s="72"/>
      <c r="D409" s="91"/>
      <c r="E409" s="72"/>
    </row>
    <row r="410">
      <c r="A410" s="71"/>
      <c r="B410" s="72"/>
      <c r="C410" s="72"/>
      <c r="D410" s="91"/>
      <c r="E410" s="72"/>
    </row>
    <row r="411">
      <c r="A411" s="71"/>
      <c r="B411" s="72"/>
      <c r="C411" s="72"/>
      <c r="D411" s="91"/>
      <c r="E411" s="72"/>
    </row>
    <row r="412">
      <c r="A412" s="71"/>
      <c r="B412" s="72"/>
      <c r="C412" s="72"/>
      <c r="D412" s="91"/>
      <c r="E412" s="72"/>
    </row>
    <row r="413">
      <c r="A413" s="71"/>
      <c r="B413" s="72"/>
      <c r="C413" s="72"/>
      <c r="D413" s="91"/>
      <c r="E413" s="72"/>
    </row>
    <row r="414">
      <c r="A414" s="71"/>
      <c r="B414" s="72"/>
      <c r="C414" s="72"/>
      <c r="D414" s="91"/>
      <c r="E414" s="72"/>
    </row>
    <row r="415">
      <c r="A415" s="71"/>
      <c r="B415" s="72"/>
      <c r="C415" s="72"/>
      <c r="D415" s="91"/>
      <c r="E415" s="72"/>
    </row>
    <row r="416">
      <c r="A416" s="71"/>
      <c r="B416" s="72"/>
      <c r="C416" s="72"/>
      <c r="D416" s="91"/>
      <c r="E416" s="72"/>
    </row>
    <row r="417">
      <c r="A417" s="71"/>
      <c r="B417" s="72"/>
      <c r="C417" s="72"/>
      <c r="D417" s="91"/>
      <c r="E417" s="72"/>
    </row>
    <row r="418">
      <c r="A418" s="71"/>
      <c r="B418" s="72"/>
      <c r="C418" s="72"/>
      <c r="D418" s="91"/>
      <c r="E418" s="72"/>
    </row>
    <row r="419">
      <c r="A419" s="71"/>
      <c r="B419" s="72"/>
      <c r="C419" s="72"/>
      <c r="D419" s="91"/>
      <c r="E419" s="72"/>
    </row>
    <row r="420">
      <c r="A420" s="71"/>
      <c r="B420" s="72"/>
      <c r="C420" s="72"/>
      <c r="D420" s="91"/>
      <c r="E420" s="72"/>
    </row>
    <row r="421">
      <c r="A421" s="71"/>
      <c r="B421" s="72"/>
      <c r="C421" s="72"/>
      <c r="D421" s="91"/>
      <c r="E421" s="72"/>
    </row>
    <row r="422">
      <c r="A422" s="71"/>
      <c r="B422" s="72"/>
      <c r="C422" s="72"/>
      <c r="D422" s="91"/>
      <c r="E422" s="72"/>
    </row>
    <row r="423">
      <c r="A423" s="71"/>
      <c r="B423" s="72"/>
      <c r="C423" s="72"/>
      <c r="D423" s="91"/>
      <c r="E423" s="72"/>
    </row>
    <row r="424">
      <c r="A424" s="71"/>
      <c r="B424" s="72"/>
      <c r="C424" s="72"/>
      <c r="D424" s="91"/>
      <c r="E424" s="72"/>
    </row>
    <row r="425">
      <c r="A425" s="71"/>
      <c r="B425" s="72"/>
      <c r="C425" s="72"/>
      <c r="D425" s="91"/>
      <c r="E425" s="72"/>
    </row>
    <row r="426">
      <c r="A426" s="71"/>
      <c r="B426" s="72"/>
      <c r="C426" s="72"/>
      <c r="D426" s="91"/>
      <c r="E426" s="72"/>
    </row>
    <row r="427">
      <c r="A427" s="71"/>
      <c r="B427" s="72"/>
      <c r="C427" s="72"/>
      <c r="D427" s="91"/>
      <c r="E427" s="72"/>
    </row>
    <row r="428">
      <c r="A428" s="71"/>
      <c r="B428" s="72"/>
      <c r="C428" s="72"/>
      <c r="D428" s="91"/>
      <c r="E428" s="72"/>
    </row>
    <row r="429">
      <c r="A429" s="71"/>
      <c r="B429" s="72"/>
      <c r="C429" s="72"/>
      <c r="D429" s="91"/>
      <c r="E429" s="72"/>
    </row>
    <row r="430">
      <c r="A430" s="71"/>
      <c r="B430" s="72"/>
      <c r="C430" s="72"/>
      <c r="D430" s="91"/>
      <c r="E430" s="72"/>
    </row>
    <row r="431">
      <c r="A431" s="71"/>
      <c r="B431" s="72"/>
      <c r="C431" s="72"/>
      <c r="D431" s="91"/>
      <c r="E431" s="72"/>
    </row>
    <row r="432">
      <c r="A432" s="71"/>
      <c r="B432" s="72"/>
      <c r="C432" s="72"/>
      <c r="D432" s="91"/>
      <c r="E432" s="72"/>
    </row>
    <row r="433">
      <c r="A433" s="71"/>
      <c r="B433" s="72"/>
      <c r="C433" s="72"/>
      <c r="D433" s="91"/>
      <c r="E433" s="72"/>
    </row>
    <row r="434">
      <c r="A434" s="71"/>
      <c r="B434" s="72"/>
      <c r="C434" s="72"/>
      <c r="D434" s="91"/>
      <c r="E434" s="72"/>
    </row>
    <row r="435">
      <c r="A435" s="71"/>
      <c r="B435" s="72"/>
      <c r="C435" s="72"/>
      <c r="D435" s="91"/>
      <c r="E435" s="72"/>
    </row>
    <row r="436">
      <c r="A436" s="71"/>
      <c r="B436" s="72"/>
      <c r="C436" s="72"/>
      <c r="D436" s="91"/>
      <c r="E436" s="72"/>
    </row>
    <row r="437">
      <c r="A437" s="71"/>
      <c r="B437" s="72"/>
      <c r="C437" s="72"/>
      <c r="D437" s="91"/>
      <c r="E437" s="72"/>
    </row>
    <row r="438">
      <c r="A438" s="71"/>
      <c r="B438" s="72"/>
      <c r="C438" s="72"/>
      <c r="D438" s="91"/>
      <c r="E438" s="72"/>
    </row>
    <row r="439">
      <c r="A439" s="71"/>
      <c r="B439" s="72"/>
      <c r="C439" s="72"/>
      <c r="D439" s="91"/>
      <c r="E439" s="72"/>
    </row>
    <row r="440">
      <c r="A440" s="71"/>
      <c r="B440" s="72"/>
      <c r="C440" s="72"/>
      <c r="D440" s="91"/>
      <c r="E440" s="72"/>
    </row>
    <row r="441">
      <c r="A441" s="71"/>
      <c r="B441" s="72"/>
      <c r="C441" s="72"/>
      <c r="D441" s="91"/>
      <c r="E441" s="72"/>
    </row>
    <row r="442">
      <c r="A442" s="71"/>
      <c r="B442" s="72"/>
      <c r="C442" s="72"/>
      <c r="D442" s="91"/>
      <c r="E442" s="72"/>
    </row>
    <row r="443">
      <c r="A443" s="71"/>
      <c r="B443" s="72"/>
      <c r="C443" s="72"/>
      <c r="D443" s="91"/>
      <c r="E443" s="72"/>
    </row>
    <row r="444">
      <c r="A444" s="71"/>
      <c r="B444" s="72"/>
      <c r="C444" s="72"/>
      <c r="D444" s="91"/>
      <c r="E444" s="72"/>
    </row>
    <row r="445">
      <c r="A445" s="71"/>
      <c r="B445" s="72"/>
      <c r="C445" s="72"/>
      <c r="D445" s="91"/>
      <c r="E445" s="72"/>
    </row>
    <row r="446">
      <c r="A446" s="71"/>
      <c r="B446" s="72"/>
      <c r="C446" s="72"/>
      <c r="D446" s="91"/>
      <c r="E446" s="72"/>
    </row>
    <row r="447">
      <c r="A447" s="71"/>
      <c r="B447" s="72"/>
      <c r="C447" s="72"/>
      <c r="D447" s="91"/>
      <c r="E447" s="72"/>
    </row>
    <row r="448">
      <c r="A448" s="71"/>
      <c r="B448" s="72"/>
      <c r="C448" s="72"/>
      <c r="D448" s="91"/>
      <c r="E448" s="72"/>
    </row>
    <row r="449">
      <c r="A449" s="71"/>
      <c r="B449" s="72"/>
      <c r="C449" s="72"/>
      <c r="D449" s="91"/>
      <c r="E449" s="72"/>
    </row>
    <row r="450">
      <c r="A450" s="71"/>
      <c r="B450" s="72"/>
      <c r="C450" s="72"/>
      <c r="D450" s="91"/>
      <c r="E450" s="72"/>
    </row>
    <row r="451">
      <c r="A451" s="71"/>
      <c r="B451" s="72"/>
      <c r="C451" s="72"/>
      <c r="D451" s="91"/>
      <c r="E451" s="72"/>
    </row>
    <row r="452">
      <c r="A452" s="71"/>
      <c r="B452" s="72"/>
      <c r="C452" s="72"/>
      <c r="D452" s="91"/>
      <c r="E452" s="72"/>
    </row>
    <row r="453">
      <c r="A453" s="71"/>
      <c r="B453" s="72"/>
      <c r="C453" s="72"/>
      <c r="D453" s="91"/>
      <c r="E453" s="72"/>
    </row>
    <row r="454">
      <c r="A454" s="71"/>
      <c r="B454" s="72"/>
      <c r="C454" s="72"/>
      <c r="D454" s="91"/>
      <c r="E454" s="72"/>
    </row>
    <row r="455">
      <c r="A455" s="71"/>
      <c r="B455" s="72"/>
      <c r="C455" s="72"/>
      <c r="D455" s="91"/>
      <c r="E455" s="72"/>
    </row>
    <row r="456">
      <c r="A456" s="71"/>
      <c r="B456" s="72"/>
      <c r="C456" s="72"/>
      <c r="D456" s="91"/>
      <c r="E456" s="72"/>
    </row>
    <row r="457">
      <c r="A457" s="71"/>
      <c r="B457" s="72"/>
      <c r="C457" s="72"/>
      <c r="D457" s="91"/>
      <c r="E457" s="72"/>
    </row>
    <row r="458">
      <c r="A458" s="71"/>
      <c r="B458" s="72"/>
      <c r="C458" s="72"/>
      <c r="D458" s="91"/>
      <c r="E458" s="72"/>
    </row>
    <row r="459">
      <c r="A459" s="71"/>
      <c r="B459" s="72"/>
      <c r="C459" s="72"/>
      <c r="D459" s="91"/>
      <c r="E459" s="72"/>
    </row>
    <row r="460">
      <c r="A460" s="71"/>
      <c r="B460" s="72"/>
      <c r="C460" s="72"/>
      <c r="D460" s="91"/>
      <c r="E460" s="72"/>
    </row>
    <row r="461">
      <c r="A461" s="71"/>
      <c r="B461" s="72"/>
      <c r="C461" s="72"/>
      <c r="D461" s="91"/>
      <c r="E461" s="72"/>
    </row>
    <row r="462">
      <c r="A462" s="71"/>
      <c r="B462" s="72"/>
      <c r="C462" s="72"/>
      <c r="D462" s="91"/>
      <c r="E462" s="72"/>
    </row>
    <row r="463">
      <c r="A463" s="71"/>
      <c r="B463" s="72"/>
      <c r="C463" s="72"/>
      <c r="D463" s="91"/>
      <c r="E463" s="72"/>
    </row>
    <row r="464">
      <c r="A464" s="71"/>
      <c r="B464" s="72"/>
      <c r="C464" s="72"/>
      <c r="D464" s="91"/>
      <c r="E464" s="72"/>
    </row>
    <row r="465">
      <c r="A465" s="71"/>
      <c r="B465" s="72"/>
      <c r="C465" s="72"/>
      <c r="D465" s="91"/>
      <c r="E465" s="72"/>
    </row>
    <row r="466">
      <c r="A466" s="71"/>
      <c r="B466" s="72"/>
      <c r="C466" s="72"/>
      <c r="D466" s="91"/>
      <c r="E466" s="72"/>
    </row>
    <row r="467">
      <c r="A467" s="71"/>
      <c r="B467" s="72"/>
      <c r="C467" s="72"/>
      <c r="D467" s="91"/>
      <c r="E467" s="72"/>
    </row>
    <row r="468">
      <c r="A468" s="71"/>
      <c r="B468" s="72"/>
      <c r="C468" s="72"/>
      <c r="D468" s="91"/>
      <c r="E468" s="72"/>
    </row>
    <row r="469">
      <c r="A469" s="71"/>
      <c r="B469" s="72"/>
      <c r="C469" s="72"/>
      <c r="D469" s="91"/>
      <c r="E469" s="72"/>
    </row>
    <row r="470">
      <c r="A470" s="71"/>
      <c r="B470" s="72"/>
      <c r="C470" s="72"/>
      <c r="D470" s="91"/>
      <c r="E470" s="72"/>
    </row>
    <row r="471">
      <c r="A471" s="71"/>
      <c r="B471" s="72"/>
      <c r="C471" s="72"/>
      <c r="D471" s="91"/>
      <c r="E471" s="72"/>
    </row>
    <row r="472">
      <c r="A472" s="71"/>
      <c r="B472" s="72"/>
      <c r="C472" s="72"/>
      <c r="D472" s="91"/>
      <c r="E472" s="72"/>
    </row>
    <row r="473">
      <c r="A473" s="71"/>
      <c r="B473" s="72"/>
      <c r="C473" s="72"/>
      <c r="D473" s="91"/>
      <c r="E473" s="72"/>
    </row>
    <row r="474">
      <c r="A474" s="71"/>
      <c r="B474" s="72"/>
      <c r="C474" s="72"/>
      <c r="D474" s="91"/>
      <c r="E474" s="72"/>
    </row>
    <row r="475">
      <c r="A475" s="71"/>
      <c r="B475" s="72"/>
      <c r="C475" s="72"/>
      <c r="D475" s="91"/>
      <c r="E475" s="72"/>
    </row>
    <row r="476">
      <c r="A476" s="71"/>
      <c r="B476" s="72"/>
      <c r="C476" s="72"/>
      <c r="D476" s="91"/>
      <c r="E476" s="72"/>
    </row>
    <row r="477">
      <c r="A477" s="71"/>
      <c r="B477" s="72"/>
      <c r="C477" s="72"/>
      <c r="D477" s="91"/>
      <c r="E477" s="72"/>
    </row>
    <row r="478">
      <c r="A478" s="71"/>
      <c r="B478" s="72"/>
      <c r="C478" s="72"/>
      <c r="D478" s="91"/>
      <c r="E478" s="72"/>
    </row>
    <row r="479">
      <c r="A479" s="71"/>
      <c r="B479" s="72"/>
      <c r="C479" s="72"/>
      <c r="D479" s="91"/>
      <c r="E479" s="72"/>
    </row>
    <row r="480">
      <c r="A480" s="71"/>
      <c r="B480" s="72"/>
      <c r="C480" s="72"/>
      <c r="D480" s="91"/>
      <c r="E480" s="72"/>
    </row>
    <row r="481">
      <c r="A481" s="71"/>
      <c r="B481" s="72"/>
      <c r="C481" s="72"/>
      <c r="D481" s="91"/>
      <c r="E481" s="72"/>
    </row>
    <row r="482">
      <c r="A482" s="71"/>
      <c r="B482" s="72"/>
      <c r="C482" s="72"/>
      <c r="D482" s="91"/>
      <c r="E482" s="72"/>
    </row>
    <row r="483">
      <c r="A483" s="71"/>
      <c r="B483" s="72"/>
      <c r="C483" s="72"/>
      <c r="D483" s="91"/>
      <c r="E483" s="72"/>
    </row>
    <row r="484">
      <c r="A484" s="71"/>
      <c r="B484" s="72"/>
      <c r="C484" s="72"/>
      <c r="D484" s="91"/>
      <c r="E484" s="72"/>
    </row>
    <row r="485">
      <c r="A485" s="71"/>
      <c r="B485" s="72"/>
      <c r="C485" s="72"/>
      <c r="D485" s="91"/>
      <c r="E485" s="72"/>
    </row>
    <row r="486">
      <c r="A486" s="71"/>
      <c r="B486" s="72"/>
      <c r="C486" s="72"/>
      <c r="D486" s="91"/>
      <c r="E486" s="72"/>
    </row>
    <row r="487">
      <c r="A487" s="71"/>
      <c r="B487" s="72"/>
      <c r="C487" s="72"/>
      <c r="D487" s="91"/>
      <c r="E487" s="72"/>
    </row>
    <row r="488">
      <c r="A488" s="71"/>
      <c r="B488" s="72"/>
      <c r="C488" s="72"/>
      <c r="D488" s="91"/>
      <c r="E488" s="72"/>
    </row>
    <row r="489">
      <c r="A489" s="71"/>
      <c r="B489" s="72"/>
      <c r="C489" s="72"/>
      <c r="D489" s="91"/>
      <c r="E489" s="72"/>
    </row>
    <row r="490">
      <c r="A490" s="71"/>
      <c r="B490" s="72"/>
      <c r="C490" s="72"/>
      <c r="D490" s="91"/>
      <c r="E490" s="72"/>
    </row>
    <row r="491">
      <c r="A491" s="71"/>
      <c r="B491" s="72"/>
      <c r="C491" s="72"/>
      <c r="D491" s="91"/>
      <c r="E491" s="72"/>
    </row>
    <row r="492">
      <c r="A492" s="71"/>
      <c r="B492" s="72"/>
      <c r="C492" s="72"/>
      <c r="D492" s="91"/>
      <c r="E492" s="72"/>
    </row>
    <row r="493">
      <c r="A493" s="71"/>
      <c r="B493" s="72"/>
      <c r="C493" s="72"/>
      <c r="D493" s="91"/>
      <c r="E493" s="72"/>
    </row>
    <row r="494">
      <c r="A494" s="71"/>
      <c r="B494" s="72"/>
      <c r="C494" s="72"/>
      <c r="D494" s="91"/>
      <c r="E494" s="72"/>
    </row>
    <row r="495">
      <c r="A495" s="71"/>
      <c r="B495" s="72"/>
      <c r="C495" s="72"/>
      <c r="D495" s="91"/>
      <c r="E495" s="72"/>
    </row>
    <row r="496">
      <c r="A496" s="71"/>
      <c r="B496" s="72"/>
      <c r="C496" s="72"/>
      <c r="D496" s="91"/>
      <c r="E496" s="72"/>
    </row>
    <row r="497">
      <c r="A497" s="71"/>
      <c r="B497" s="72"/>
      <c r="C497" s="72"/>
      <c r="D497" s="91"/>
      <c r="E497" s="72"/>
    </row>
    <row r="498">
      <c r="A498" s="71"/>
      <c r="B498" s="72"/>
      <c r="C498" s="72"/>
      <c r="D498" s="91"/>
      <c r="E498" s="72"/>
    </row>
    <row r="499">
      <c r="A499" s="71"/>
      <c r="B499" s="72"/>
      <c r="C499" s="72"/>
      <c r="D499" s="91"/>
      <c r="E499" s="72"/>
    </row>
    <row r="500">
      <c r="A500" s="71"/>
      <c r="B500" s="72"/>
      <c r="C500" s="72"/>
      <c r="D500" s="91"/>
      <c r="E500" s="72"/>
    </row>
    <row r="501">
      <c r="A501" s="71"/>
      <c r="B501" s="72"/>
      <c r="C501" s="72"/>
      <c r="D501" s="91"/>
      <c r="E501" s="72"/>
    </row>
    <row r="502">
      <c r="A502" s="71"/>
      <c r="B502" s="72"/>
      <c r="C502" s="72"/>
      <c r="D502" s="91"/>
      <c r="E502" s="72"/>
    </row>
    <row r="503">
      <c r="A503" s="71"/>
      <c r="B503" s="72"/>
      <c r="C503" s="72"/>
      <c r="D503" s="91"/>
      <c r="E503" s="72"/>
    </row>
    <row r="504">
      <c r="A504" s="71"/>
      <c r="B504" s="72"/>
      <c r="C504" s="72"/>
      <c r="D504" s="91"/>
      <c r="E504" s="72"/>
    </row>
    <row r="505">
      <c r="A505" s="71"/>
      <c r="B505" s="72"/>
      <c r="C505" s="72"/>
      <c r="D505" s="91"/>
      <c r="E505" s="72"/>
    </row>
    <row r="506">
      <c r="A506" s="71"/>
      <c r="B506" s="72"/>
      <c r="C506" s="72"/>
      <c r="D506" s="91"/>
      <c r="E506" s="72"/>
    </row>
    <row r="507">
      <c r="A507" s="71"/>
      <c r="B507" s="72"/>
      <c r="C507" s="72"/>
      <c r="D507" s="91"/>
      <c r="E507" s="72"/>
    </row>
    <row r="508">
      <c r="A508" s="71"/>
      <c r="B508" s="72"/>
      <c r="C508" s="72"/>
      <c r="D508" s="91"/>
      <c r="E508" s="72"/>
    </row>
    <row r="509">
      <c r="A509" s="71"/>
      <c r="B509" s="72"/>
      <c r="C509" s="72"/>
      <c r="D509" s="91"/>
      <c r="E509" s="72"/>
    </row>
    <row r="510">
      <c r="A510" s="71"/>
      <c r="B510" s="72"/>
      <c r="C510" s="72"/>
      <c r="D510" s="91"/>
      <c r="E510" s="72"/>
    </row>
    <row r="511">
      <c r="A511" s="71"/>
      <c r="B511" s="72"/>
      <c r="C511" s="72"/>
      <c r="D511" s="91"/>
      <c r="E511" s="72"/>
    </row>
    <row r="512">
      <c r="A512" s="71"/>
      <c r="B512" s="72"/>
      <c r="C512" s="72"/>
      <c r="D512" s="91"/>
      <c r="E512" s="72"/>
    </row>
    <row r="513">
      <c r="A513" s="71"/>
      <c r="B513" s="72"/>
      <c r="C513" s="72"/>
      <c r="D513" s="91"/>
      <c r="E513" s="72"/>
    </row>
    <row r="514">
      <c r="A514" s="71"/>
      <c r="B514" s="72"/>
      <c r="C514" s="72"/>
      <c r="D514" s="91"/>
      <c r="E514" s="72"/>
    </row>
    <row r="515">
      <c r="A515" s="71"/>
      <c r="B515" s="72"/>
      <c r="C515" s="72"/>
      <c r="D515" s="91"/>
      <c r="E515" s="72"/>
    </row>
    <row r="516">
      <c r="A516" s="71"/>
      <c r="B516" s="72"/>
      <c r="C516" s="72"/>
      <c r="D516" s="91"/>
      <c r="E516" s="72"/>
    </row>
    <row r="517">
      <c r="A517" s="71"/>
      <c r="B517" s="72"/>
      <c r="C517" s="72"/>
      <c r="D517" s="91"/>
      <c r="E517" s="72"/>
    </row>
    <row r="518">
      <c r="A518" s="71"/>
      <c r="B518" s="72"/>
      <c r="C518" s="72"/>
      <c r="D518" s="91"/>
      <c r="E518" s="72"/>
    </row>
    <row r="519">
      <c r="A519" s="71"/>
      <c r="B519" s="72"/>
      <c r="C519" s="72"/>
      <c r="D519" s="91"/>
      <c r="E519" s="72"/>
    </row>
    <row r="520">
      <c r="A520" s="71"/>
      <c r="B520" s="72"/>
      <c r="C520" s="72"/>
      <c r="D520" s="91"/>
      <c r="E520" s="72"/>
    </row>
    <row r="521">
      <c r="A521" s="71"/>
      <c r="B521" s="72"/>
      <c r="C521" s="72"/>
      <c r="D521" s="91"/>
      <c r="E521" s="72"/>
    </row>
    <row r="522">
      <c r="A522" s="71"/>
      <c r="B522" s="72"/>
      <c r="C522" s="72"/>
      <c r="D522" s="91"/>
      <c r="E522" s="72"/>
    </row>
    <row r="523">
      <c r="A523" s="71"/>
      <c r="B523" s="72"/>
      <c r="C523" s="72"/>
      <c r="D523" s="91"/>
      <c r="E523" s="72"/>
    </row>
    <row r="524">
      <c r="A524" s="71"/>
      <c r="B524" s="72"/>
      <c r="C524" s="72"/>
      <c r="D524" s="91"/>
      <c r="E524" s="72"/>
    </row>
    <row r="525">
      <c r="A525" s="71"/>
      <c r="B525" s="72"/>
      <c r="C525" s="72"/>
      <c r="D525" s="91"/>
      <c r="E525" s="72"/>
    </row>
    <row r="526">
      <c r="A526" s="71"/>
      <c r="B526" s="72"/>
      <c r="C526" s="72"/>
      <c r="D526" s="91"/>
      <c r="E526" s="72"/>
    </row>
    <row r="527">
      <c r="A527" s="71"/>
      <c r="B527" s="72"/>
      <c r="C527" s="72"/>
      <c r="D527" s="91"/>
      <c r="E527" s="72"/>
    </row>
    <row r="528">
      <c r="A528" s="71"/>
      <c r="B528" s="72"/>
      <c r="C528" s="72"/>
      <c r="D528" s="91"/>
      <c r="E528" s="72"/>
    </row>
    <row r="529">
      <c r="A529" s="71"/>
      <c r="B529" s="72"/>
      <c r="C529" s="72"/>
      <c r="D529" s="91"/>
      <c r="E529" s="72"/>
    </row>
    <row r="530">
      <c r="A530" s="71"/>
      <c r="B530" s="72"/>
      <c r="C530" s="72"/>
      <c r="D530" s="91"/>
      <c r="E530" s="72"/>
    </row>
    <row r="531">
      <c r="A531" s="71"/>
      <c r="B531" s="72"/>
      <c r="C531" s="72"/>
      <c r="D531" s="91"/>
      <c r="E531" s="72"/>
    </row>
    <row r="532">
      <c r="A532" s="71"/>
      <c r="B532" s="72"/>
      <c r="C532" s="72"/>
      <c r="D532" s="91"/>
      <c r="E532" s="72"/>
    </row>
    <row r="533">
      <c r="A533" s="71"/>
      <c r="B533" s="72"/>
      <c r="C533" s="72"/>
      <c r="D533" s="91"/>
      <c r="E533" s="72"/>
    </row>
    <row r="534">
      <c r="A534" s="71"/>
      <c r="B534" s="72"/>
      <c r="C534" s="72"/>
      <c r="D534" s="91"/>
      <c r="E534" s="72"/>
    </row>
    <row r="535">
      <c r="A535" s="71"/>
      <c r="B535" s="72"/>
      <c r="C535" s="72"/>
      <c r="D535" s="91"/>
      <c r="E535" s="72"/>
    </row>
    <row r="536">
      <c r="A536" s="71"/>
      <c r="B536" s="72"/>
      <c r="C536" s="72"/>
      <c r="D536" s="91"/>
      <c r="E536" s="72"/>
    </row>
    <row r="537">
      <c r="A537" s="71"/>
      <c r="B537" s="72"/>
      <c r="C537" s="72"/>
      <c r="D537" s="91"/>
      <c r="E537" s="72"/>
    </row>
    <row r="538">
      <c r="A538" s="71"/>
      <c r="B538" s="72"/>
      <c r="C538" s="72"/>
      <c r="D538" s="91"/>
      <c r="E538" s="72"/>
    </row>
    <row r="539">
      <c r="A539" s="71"/>
      <c r="B539" s="72"/>
      <c r="C539" s="72"/>
      <c r="D539" s="91"/>
      <c r="E539" s="72"/>
    </row>
    <row r="540">
      <c r="A540" s="71"/>
      <c r="B540" s="72"/>
      <c r="C540" s="72"/>
      <c r="D540" s="91"/>
      <c r="E540" s="72"/>
    </row>
    <row r="541">
      <c r="A541" s="71"/>
      <c r="B541" s="72"/>
      <c r="C541" s="72"/>
      <c r="D541" s="91"/>
      <c r="E541" s="72"/>
    </row>
    <row r="542">
      <c r="A542" s="71"/>
      <c r="B542" s="72"/>
      <c r="C542" s="72"/>
      <c r="D542" s="91"/>
      <c r="E542" s="72"/>
    </row>
    <row r="543">
      <c r="A543" s="71"/>
      <c r="B543" s="72"/>
      <c r="C543" s="72"/>
      <c r="D543" s="91"/>
      <c r="E543" s="72"/>
    </row>
    <row r="544">
      <c r="A544" s="71"/>
      <c r="B544" s="72"/>
      <c r="C544" s="72"/>
      <c r="D544" s="91"/>
      <c r="E544" s="72"/>
    </row>
    <row r="545">
      <c r="A545" s="71"/>
      <c r="B545" s="72"/>
      <c r="C545" s="72"/>
      <c r="D545" s="91"/>
      <c r="E545" s="72"/>
    </row>
    <row r="546">
      <c r="A546" s="71"/>
      <c r="B546" s="72"/>
      <c r="C546" s="72"/>
      <c r="D546" s="91"/>
      <c r="E546" s="72"/>
    </row>
    <row r="547">
      <c r="A547" s="71"/>
      <c r="B547" s="72"/>
      <c r="C547" s="72"/>
      <c r="D547" s="91"/>
      <c r="E547" s="72"/>
    </row>
    <row r="548">
      <c r="A548" s="71"/>
      <c r="B548" s="72"/>
      <c r="C548" s="72"/>
      <c r="D548" s="91"/>
      <c r="E548" s="72"/>
    </row>
    <row r="549">
      <c r="A549" s="71"/>
      <c r="B549" s="72"/>
      <c r="C549" s="72"/>
      <c r="D549" s="91"/>
      <c r="E549" s="72"/>
    </row>
    <row r="550">
      <c r="A550" s="71"/>
      <c r="B550" s="72"/>
      <c r="C550" s="72"/>
      <c r="D550" s="91"/>
      <c r="E550" s="72"/>
    </row>
    <row r="551">
      <c r="A551" s="71"/>
      <c r="B551" s="72"/>
      <c r="C551" s="72"/>
      <c r="D551" s="91"/>
      <c r="E551" s="72"/>
    </row>
    <row r="552">
      <c r="A552" s="71"/>
      <c r="B552" s="72"/>
      <c r="C552" s="72"/>
      <c r="D552" s="91"/>
      <c r="E552" s="72"/>
    </row>
    <row r="553">
      <c r="A553" s="71"/>
      <c r="B553" s="72"/>
      <c r="C553" s="72"/>
      <c r="D553" s="91"/>
      <c r="E553" s="72"/>
    </row>
    <row r="554">
      <c r="A554" s="71"/>
      <c r="B554" s="72"/>
      <c r="C554" s="72"/>
      <c r="D554" s="91"/>
      <c r="E554" s="72"/>
    </row>
    <row r="555">
      <c r="A555" s="71"/>
      <c r="B555" s="72"/>
      <c r="C555" s="72"/>
      <c r="D555" s="91"/>
      <c r="E555" s="72"/>
    </row>
    <row r="556">
      <c r="A556" s="71"/>
      <c r="B556" s="72"/>
      <c r="C556" s="72"/>
      <c r="D556" s="91"/>
      <c r="E556" s="72"/>
    </row>
    <row r="557">
      <c r="A557" s="71"/>
      <c r="B557" s="72"/>
      <c r="C557" s="72"/>
      <c r="D557" s="91"/>
      <c r="E557" s="72"/>
    </row>
    <row r="558">
      <c r="A558" s="71"/>
      <c r="B558" s="72"/>
      <c r="C558" s="72"/>
      <c r="D558" s="91"/>
      <c r="E558" s="72"/>
    </row>
    <row r="559">
      <c r="A559" s="71"/>
      <c r="B559" s="72"/>
      <c r="C559" s="72"/>
      <c r="D559" s="91"/>
      <c r="E559" s="72"/>
    </row>
    <row r="560">
      <c r="A560" s="71"/>
      <c r="B560" s="72"/>
      <c r="C560" s="72"/>
      <c r="D560" s="91"/>
      <c r="E560" s="72"/>
    </row>
    <row r="561">
      <c r="A561" s="71"/>
      <c r="B561" s="72"/>
      <c r="C561" s="72"/>
      <c r="D561" s="91"/>
      <c r="E561" s="72"/>
    </row>
    <row r="562">
      <c r="A562" s="71"/>
      <c r="B562" s="72"/>
      <c r="C562" s="72"/>
      <c r="D562" s="91"/>
      <c r="E562" s="72"/>
    </row>
    <row r="563">
      <c r="A563" s="71"/>
      <c r="B563" s="72"/>
      <c r="C563" s="72"/>
      <c r="D563" s="91"/>
      <c r="E563" s="72"/>
    </row>
    <row r="564">
      <c r="A564" s="71"/>
      <c r="B564" s="72"/>
      <c r="C564" s="72"/>
      <c r="D564" s="91"/>
      <c r="E564" s="72"/>
    </row>
    <row r="565">
      <c r="A565" s="71"/>
      <c r="B565" s="72"/>
      <c r="C565" s="72"/>
      <c r="D565" s="91"/>
      <c r="E565" s="72"/>
    </row>
    <row r="566">
      <c r="A566" s="71"/>
      <c r="B566" s="72"/>
      <c r="C566" s="72"/>
      <c r="D566" s="91"/>
      <c r="E566" s="72"/>
    </row>
    <row r="567">
      <c r="A567" s="71"/>
      <c r="B567" s="72"/>
      <c r="C567" s="72"/>
      <c r="D567" s="91"/>
      <c r="E567" s="72"/>
    </row>
    <row r="568">
      <c r="A568" s="71"/>
      <c r="B568" s="72"/>
      <c r="C568" s="72"/>
      <c r="D568" s="91"/>
      <c r="E568" s="72"/>
    </row>
    <row r="569">
      <c r="A569" s="71"/>
      <c r="B569" s="72"/>
      <c r="C569" s="72"/>
      <c r="D569" s="91"/>
      <c r="E569" s="72"/>
    </row>
    <row r="570">
      <c r="A570" s="71"/>
      <c r="B570" s="72"/>
      <c r="C570" s="72"/>
      <c r="D570" s="91"/>
      <c r="E570" s="72"/>
    </row>
    <row r="571">
      <c r="A571" s="71"/>
      <c r="B571" s="72"/>
      <c r="C571" s="72"/>
      <c r="D571" s="91"/>
      <c r="E571" s="72"/>
    </row>
    <row r="572">
      <c r="A572" s="71"/>
      <c r="B572" s="72"/>
      <c r="C572" s="72"/>
      <c r="D572" s="91"/>
      <c r="E572" s="72"/>
    </row>
    <row r="573">
      <c r="A573" s="71"/>
      <c r="B573" s="72"/>
      <c r="C573" s="72"/>
      <c r="D573" s="91"/>
      <c r="E573" s="72"/>
    </row>
    <row r="574">
      <c r="A574" s="71"/>
      <c r="B574" s="72"/>
      <c r="C574" s="72"/>
      <c r="D574" s="91"/>
      <c r="E574" s="72"/>
    </row>
    <row r="575">
      <c r="A575" s="71"/>
      <c r="B575" s="72"/>
      <c r="C575" s="72"/>
      <c r="D575" s="91"/>
      <c r="E575" s="72"/>
    </row>
    <row r="576">
      <c r="A576" s="71"/>
      <c r="B576" s="72"/>
      <c r="C576" s="72"/>
      <c r="D576" s="91"/>
      <c r="E576" s="72"/>
    </row>
    <row r="577">
      <c r="A577" s="71"/>
      <c r="B577" s="72"/>
      <c r="C577" s="72"/>
      <c r="D577" s="91"/>
      <c r="E577" s="72"/>
    </row>
    <row r="578">
      <c r="A578" s="71"/>
      <c r="B578" s="72"/>
      <c r="C578" s="72"/>
      <c r="D578" s="91"/>
      <c r="E578" s="72"/>
    </row>
    <row r="579">
      <c r="A579" s="71"/>
      <c r="B579" s="72"/>
      <c r="C579" s="72"/>
      <c r="D579" s="91"/>
      <c r="E579" s="72"/>
    </row>
    <row r="580">
      <c r="A580" s="71"/>
      <c r="B580" s="72"/>
      <c r="C580" s="72"/>
      <c r="D580" s="91"/>
      <c r="E580" s="72"/>
    </row>
    <row r="581">
      <c r="A581" s="71"/>
      <c r="B581" s="72"/>
      <c r="C581" s="72"/>
      <c r="D581" s="91"/>
      <c r="E581" s="72"/>
    </row>
    <row r="582">
      <c r="A582" s="71"/>
      <c r="B582" s="72"/>
      <c r="C582" s="72"/>
      <c r="D582" s="91"/>
      <c r="E582" s="72"/>
    </row>
    <row r="583">
      <c r="A583" s="71"/>
      <c r="B583" s="72"/>
      <c r="C583" s="72"/>
      <c r="D583" s="91"/>
      <c r="E583" s="72"/>
    </row>
    <row r="584">
      <c r="A584" s="71"/>
      <c r="B584" s="72"/>
      <c r="C584" s="72"/>
      <c r="D584" s="91"/>
      <c r="E584" s="72"/>
    </row>
    <row r="585">
      <c r="A585" s="71"/>
      <c r="B585" s="72"/>
      <c r="C585" s="72"/>
      <c r="D585" s="91"/>
      <c r="E585" s="72"/>
    </row>
    <row r="586">
      <c r="A586" s="71"/>
      <c r="B586" s="72"/>
      <c r="C586" s="72"/>
      <c r="D586" s="91"/>
      <c r="E586" s="72"/>
    </row>
    <row r="587">
      <c r="A587" s="71"/>
      <c r="B587" s="72"/>
      <c r="C587" s="72"/>
      <c r="D587" s="91"/>
      <c r="E587" s="72"/>
    </row>
    <row r="588">
      <c r="A588" s="71"/>
      <c r="B588" s="72"/>
      <c r="C588" s="72"/>
      <c r="D588" s="91"/>
      <c r="E588" s="72"/>
    </row>
    <row r="589">
      <c r="A589" s="71"/>
      <c r="B589" s="72"/>
      <c r="C589" s="72"/>
      <c r="D589" s="91"/>
      <c r="E589" s="72"/>
    </row>
    <row r="590">
      <c r="A590" s="71"/>
      <c r="B590" s="72"/>
      <c r="C590" s="72"/>
      <c r="D590" s="91"/>
      <c r="E590" s="72"/>
    </row>
    <row r="591">
      <c r="A591" s="71"/>
      <c r="B591" s="72"/>
      <c r="C591" s="72"/>
      <c r="D591" s="91"/>
      <c r="E591" s="72"/>
    </row>
    <row r="592">
      <c r="A592" s="71"/>
      <c r="B592" s="72"/>
      <c r="C592" s="72"/>
      <c r="D592" s="91"/>
      <c r="E592" s="72"/>
    </row>
    <row r="593">
      <c r="A593" s="71"/>
      <c r="B593" s="72"/>
      <c r="C593" s="72"/>
      <c r="D593" s="91"/>
      <c r="E593" s="72"/>
    </row>
    <row r="594">
      <c r="A594" s="71"/>
      <c r="B594" s="72"/>
      <c r="C594" s="72"/>
      <c r="D594" s="91"/>
      <c r="E594" s="72"/>
    </row>
    <row r="595">
      <c r="A595" s="71"/>
      <c r="B595" s="72"/>
      <c r="C595" s="72"/>
      <c r="D595" s="91"/>
      <c r="E595" s="72"/>
    </row>
    <row r="596">
      <c r="A596" s="71"/>
      <c r="B596" s="72"/>
      <c r="C596" s="72"/>
      <c r="D596" s="91"/>
      <c r="E596" s="72"/>
    </row>
    <row r="597">
      <c r="A597" s="71"/>
      <c r="B597" s="72"/>
      <c r="C597" s="72"/>
      <c r="D597" s="91"/>
      <c r="E597" s="72"/>
    </row>
    <row r="598">
      <c r="A598" s="71"/>
      <c r="B598" s="72"/>
      <c r="C598" s="72"/>
      <c r="D598" s="91"/>
      <c r="E598" s="72"/>
    </row>
    <row r="599">
      <c r="A599" s="71"/>
      <c r="B599" s="72"/>
      <c r="C599" s="72"/>
      <c r="D599" s="91"/>
      <c r="E599" s="72"/>
    </row>
    <row r="600">
      <c r="A600" s="71"/>
      <c r="B600" s="72"/>
      <c r="C600" s="72"/>
      <c r="D600" s="91"/>
      <c r="E600" s="72"/>
    </row>
    <row r="601">
      <c r="A601" s="71"/>
      <c r="B601" s="72"/>
      <c r="C601" s="72"/>
      <c r="D601" s="91"/>
      <c r="E601" s="72"/>
    </row>
    <row r="602">
      <c r="A602" s="71"/>
      <c r="B602" s="72"/>
      <c r="C602" s="72"/>
      <c r="D602" s="91"/>
      <c r="E602" s="72"/>
    </row>
    <row r="603">
      <c r="A603" s="71"/>
      <c r="B603" s="72"/>
      <c r="C603" s="72"/>
      <c r="D603" s="91"/>
      <c r="E603" s="72"/>
    </row>
    <row r="604">
      <c r="A604" s="71"/>
      <c r="B604" s="72"/>
      <c r="C604" s="72"/>
      <c r="D604" s="91"/>
      <c r="E604" s="72"/>
    </row>
    <row r="605">
      <c r="A605" s="71"/>
      <c r="B605" s="72"/>
      <c r="C605" s="72"/>
      <c r="D605" s="91"/>
      <c r="E605" s="72"/>
    </row>
    <row r="606">
      <c r="A606" s="71"/>
      <c r="B606" s="72"/>
      <c r="C606" s="72"/>
      <c r="D606" s="91"/>
      <c r="E606" s="72"/>
    </row>
    <row r="607">
      <c r="A607" s="71"/>
      <c r="B607" s="72"/>
      <c r="C607" s="72"/>
      <c r="D607" s="91"/>
      <c r="E607" s="72"/>
    </row>
    <row r="608">
      <c r="A608" s="71"/>
      <c r="B608" s="72"/>
      <c r="C608" s="72"/>
      <c r="D608" s="91"/>
      <c r="E608" s="72"/>
    </row>
    <row r="609">
      <c r="A609" s="71"/>
      <c r="B609" s="72"/>
      <c r="C609" s="72"/>
      <c r="D609" s="91"/>
      <c r="E609" s="72"/>
    </row>
    <row r="610">
      <c r="A610" s="71"/>
      <c r="B610" s="72"/>
      <c r="C610" s="72"/>
      <c r="D610" s="91"/>
      <c r="E610" s="72"/>
    </row>
    <row r="611">
      <c r="A611" s="71"/>
      <c r="B611" s="72"/>
      <c r="C611" s="72"/>
      <c r="D611" s="91"/>
      <c r="E611" s="72"/>
    </row>
    <row r="612">
      <c r="A612" s="71"/>
      <c r="B612" s="72"/>
      <c r="C612" s="72"/>
      <c r="D612" s="91"/>
      <c r="E612" s="72"/>
    </row>
    <row r="613">
      <c r="A613" s="71"/>
      <c r="B613" s="72"/>
      <c r="C613" s="72"/>
      <c r="D613" s="91"/>
      <c r="E613" s="72"/>
    </row>
    <row r="614">
      <c r="A614" s="71"/>
      <c r="B614" s="72"/>
      <c r="C614" s="72"/>
      <c r="D614" s="91"/>
      <c r="E614" s="72"/>
    </row>
    <row r="615">
      <c r="A615" s="71"/>
      <c r="B615" s="72"/>
      <c r="C615" s="72"/>
      <c r="D615" s="91"/>
      <c r="E615" s="72"/>
    </row>
    <row r="616">
      <c r="A616" s="71"/>
      <c r="B616" s="72"/>
      <c r="C616" s="72"/>
      <c r="D616" s="91"/>
      <c r="E616" s="72"/>
    </row>
    <row r="617">
      <c r="A617" s="71"/>
      <c r="B617" s="72"/>
      <c r="C617" s="72"/>
      <c r="D617" s="91"/>
      <c r="E617" s="72"/>
    </row>
    <row r="618">
      <c r="A618" s="71"/>
      <c r="B618" s="72"/>
      <c r="C618" s="72"/>
      <c r="D618" s="91"/>
      <c r="E618" s="72"/>
    </row>
    <row r="619">
      <c r="A619" s="71"/>
      <c r="B619" s="72"/>
      <c r="C619" s="72"/>
      <c r="D619" s="91"/>
      <c r="E619" s="72"/>
    </row>
    <row r="620">
      <c r="A620" s="71"/>
      <c r="B620" s="72"/>
      <c r="C620" s="72"/>
      <c r="D620" s="91"/>
      <c r="E620" s="72"/>
    </row>
    <row r="621">
      <c r="A621" s="71"/>
      <c r="B621" s="72"/>
      <c r="C621" s="72"/>
      <c r="D621" s="91"/>
      <c r="E621" s="72"/>
    </row>
    <row r="622">
      <c r="A622" s="71"/>
      <c r="B622" s="72"/>
      <c r="C622" s="72"/>
      <c r="D622" s="91"/>
      <c r="E622" s="72"/>
    </row>
    <row r="623">
      <c r="A623" s="71"/>
      <c r="B623" s="72"/>
      <c r="C623" s="72"/>
      <c r="D623" s="91"/>
      <c r="E623" s="72"/>
    </row>
    <row r="624">
      <c r="A624" s="71"/>
      <c r="B624" s="72"/>
      <c r="C624" s="72"/>
      <c r="D624" s="91"/>
      <c r="E624" s="72"/>
    </row>
    <row r="625">
      <c r="A625" s="71"/>
      <c r="B625" s="72"/>
      <c r="C625" s="72"/>
      <c r="D625" s="91"/>
      <c r="E625" s="72"/>
    </row>
    <row r="626">
      <c r="A626" s="71"/>
      <c r="B626" s="72"/>
      <c r="C626" s="72"/>
      <c r="D626" s="91"/>
      <c r="E626" s="72"/>
    </row>
    <row r="627">
      <c r="A627" s="71"/>
      <c r="B627" s="72"/>
      <c r="C627" s="72"/>
      <c r="D627" s="91"/>
      <c r="E627" s="72"/>
    </row>
    <row r="628">
      <c r="A628" s="71"/>
      <c r="B628" s="72"/>
      <c r="C628" s="72"/>
      <c r="D628" s="91"/>
      <c r="E628" s="72"/>
    </row>
    <row r="629">
      <c r="A629" s="71"/>
      <c r="B629" s="72"/>
      <c r="C629" s="72"/>
      <c r="D629" s="91"/>
      <c r="E629" s="72"/>
    </row>
    <row r="630">
      <c r="A630" s="71"/>
      <c r="B630" s="72"/>
      <c r="C630" s="72"/>
      <c r="D630" s="91"/>
      <c r="E630" s="72"/>
    </row>
    <row r="631">
      <c r="A631" s="71"/>
      <c r="B631" s="72"/>
      <c r="C631" s="72"/>
      <c r="D631" s="91"/>
      <c r="E631" s="72"/>
    </row>
    <row r="632">
      <c r="A632" s="71"/>
      <c r="B632" s="72"/>
      <c r="C632" s="72"/>
      <c r="D632" s="91"/>
      <c r="E632" s="72"/>
    </row>
    <row r="633">
      <c r="A633" s="71"/>
      <c r="B633" s="72"/>
      <c r="C633" s="72"/>
      <c r="D633" s="91"/>
      <c r="E633" s="72"/>
    </row>
    <row r="634">
      <c r="A634" s="71"/>
      <c r="B634" s="72"/>
      <c r="C634" s="72"/>
      <c r="D634" s="91"/>
      <c r="E634" s="72"/>
    </row>
    <row r="635">
      <c r="A635" s="71"/>
      <c r="B635" s="72"/>
      <c r="C635" s="72"/>
      <c r="D635" s="91"/>
      <c r="E635" s="72"/>
    </row>
    <row r="636">
      <c r="A636" s="71"/>
      <c r="B636" s="72"/>
      <c r="C636" s="72"/>
      <c r="D636" s="91"/>
      <c r="E636" s="72"/>
    </row>
    <row r="637">
      <c r="A637" s="71"/>
      <c r="B637" s="72"/>
      <c r="C637" s="72"/>
      <c r="D637" s="91"/>
      <c r="E637" s="72"/>
    </row>
    <row r="638">
      <c r="A638" s="71"/>
      <c r="B638" s="72"/>
      <c r="C638" s="72"/>
      <c r="D638" s="91"/>
      <c r="E638" s="72"/>
    </row>
    <row r="639">
      <c r="A639" s="71"/>
      <c r="B639" s="72"/>
      <c r="C639" s="72"/>
      <c r="D639" s="91"/>
      <c r="E639" s="72"/>
    </row>
    <row r="640">
      <c r="A640" s="71"/>
      <c r="B640" s="72"/>
      <c r="C640" s="72"/>
      <c r="D640" s="91"/>
      <c r="E640" s="72"/>
    </row>
    <row r="641">
      <c r="A641" s="71"/>
      <c r="B641" s="72"/>
      <c r="C641" s="72"/>
      <c r="D641" s="91"/>
      <c r="E641" s="72"/>
    </row>
    <row r="642">
      <c r="A642" s="71"/>
      <c r="B642" s="72"/>
      <c r="C642" s="72"/>
      <c r="D642" s="91"/>
      <c r="E642" s="72"/>
    </row>
    <row r="643">
      <c r="A643" s="71"/>
      <c r="B643" s="72"/>
      <c r="C643" s="72"/>
      <c r="D643" s="91"/>
      <c r="E643" s="72"/>
    </row>
    <row r="644">
      <c r="A644" s="71"/>
      <c r="B644" s="72"/>
      <c r="C644" s="72"/>
      <c r="D644" s="91"/>
      <c r="E644" s="72"/>
    </row>
    <row r="645">
      <c r="A645" s="71"/>
      <c r="B645" s="72"/>
      <c r="C645" s="72"/>
      <c r="D645" s="91"/>
      <c r="E645" s="72"/>
    </row>
    <row r="646">
      <c r="A646" s="71"/>
      <c r="B646" s="72"/>
      <c r="C646" s="72"/>
      <c r="D646" s="91"/>
      <c r="E646" s="72"/>
    </row>
    <row r="647">
      <c r="A647" s="71"/>
      <c r="B647" s="72"/>
      <c r="C647" s="72"/>
      <c r="D647" s="91"/>
      <c r="E647" s="72"/>
    </row>
    <row r="648">
      <c r="A648" s="71"/>
      <c r="B648" s="72"/>
      <c r="C648" s="72"/>
      <c r="D648" s="91"/>
      <c r="E648" s="72"/>
    </row>
    <row r="649">
      <c r="A649" s="71"/>
      <c r="B649" s="72"/>
      <c r="C649" s="72"/>
      <c r="D649" s="91"/>
      <c r="E649" s="72"/>
    </row>
    <row r="650">
      <c r="A650" s="71"/>
      <c r="B650" s="72"/>
      <c r="C650" s="72"/>
      <c r="D650" s="91"/>
      <c r="E650" s="72"/>
    </row>
    <row r="651">
      <c r="A651" s="71"/>
      <c r="B651" s="72"/>
      <c r="C651" s="72"/>
      <c r="D651" s="91"/>
      <c r="E651" s="72"/>
    </row>
    <row r="652">
      <c r="A652" s="71"/>
      <c r="B652" s="72"/>
      <c r="C652" s="72"/>
      <c r="D652" s="91"/>
      <c r="E652" s="72"/>
    </row>
    <row r="653">
      <c r="A653" s="71"/>
      <c r="B653" s="72"/>
      <c r="C653" s="72"/>
      <c r="D653" s="91"/>
      <c r="E653" s="72"/>
    </row>
    <row r="654">
      <c r="A654" s="71"/>
      <c r="B654" s="72"/>
      <c r="C654" s="72"/>
      <c r="D654" s="91"/>
      <c r="E654" s="72"/>
    </row>
    <row r="655">
      <c r="A655" s="71"/>
      <c r="B655" s="72"/>
      <c r="C655" s="72"/>
      <c r="D655" s="91"/>
      <c r="E655" s="72"/>
    </row>
    <row r="656">
      <c r="A656" s="71"/>
      <c r="B656" s="72"/>
      <c r="C656" s="72"/>
      <c r="D656" s="91"/>
      <c r="E656" s="72"/>
    </row>
    <row r="657">
      <c r="A657" s="71"/>
      <c r="B657" s="72"/>
      <c r="C657" s="72"/>
      <c r="D657" s="91"/>
      <c r="E657" s="72"/>
    </row>
    <row r="658">
      <c r="A658" s="71"/>
      <c r="B658" s="72"/>
      <c r="C658" s="72"/>
      <c r="D658" s="91"/>
      <c r="E658" s="72"/>
    </row>
    <row r="659">
      <c r="A659" s="71"/>
      <c r="B659" s="72"/>
      <c r="C659" s="72"/>
      <c r="D659" s="91"/>
      <c r="E659" s="72"/>
    </row>
    <row r="660">
      <c r="A660" s="71"/>
      <c r="B660" s="72"/>
      <c r="C660" s="72"/>
      <c r="D660" s="91"/>
      <c r="E660" s="72"/>
    </row>
    <row r="661">
      <c r="A661" s="71"/>
      <c r="B661" s="72"/>
      <c r="C661" s="72"/>
      <c r="D661" s="91"/>
      <c r="E661" s="72"/>
    </row>
    <row r="662">
      <c r="A662" s="71"/>
      <c r="B662" s="72"/>
      <c r="C662" s="72"/>
      <c r="D662" s="91"/>
      <c r="E662" s="72"/>
    </row>
    <row r="663">
      <c r="A663" s="71"/>
      <c r="B663" s="72"/>
      <c r="C663" s="72"/>
      <c r="D663" s="91"/>
      <c r="E663" s="72"/>
    </row>
    <row r="664">
      <c r="A664" s="71"/>
      <c r="B664" s="72"/>
      <c r="C664" s="72"/>
      <c r="D664" s="91"/>
      <c r="E664" s="72"/>
    </row>
    <row r="665">
      <c r="A665" s="71"/>
      <c r="B665" s="72"/>
      <c r="C665" s="72"/>
      <c r="D665" s="91"/>
      <c r="E665" s="72"/>
    </row>
    <row r="666">
      <c r="A666" s="71"/>
      <c r="B666" s="72"/>
      <c r="C666" s="72"/>
      <c r="D666" s="91"/>
      <c r="E666" s="72"/>
    </row>
    <row r="667">
      <c r="A667" s="71"/>
      <c r="B667" s="72"/>
      <c r="C667" s="72"/>
      <c r="D667" s="91"/>
      <c r="E667" s="72"/>
    </row>
    <row r="668">
      <c r="A668" s="71"/>
      <c r="B668" s="72"/>
      <c r="C668" s="72"/>
      <c r="D668" s="91"/>
      <c r="E668" s="72"/>
    </row>
    <row r="669">
      <c r="A669" s="71"/>
      <c r="B669" s="72"/>
      <c r="C669" s="72"/>
      <c r="D669" s="91"/>
      <c r="E669" s="72"/>
    </row>
    <row r="670">
      <c r="A670" s="71"/>
      <c r="B670" s="72"/>
      <c r="C670" s="72"/>
      <c r="D670" s="91"/>
      <c r="E670" s="72"/>
    </row>
    <row r="671">
      <c r="A671" s="71"/>
      <c r="B671" s="72"/>
      <c r="C671" s="72"/>
      <c r="D671" s="91"/>
      <c r="E671" s="72"/>
    </row>
    <row r="672">
      <c r="A672" s="71"/>
      <c r="B672" s="72"/>
      <c r="C672" s="72"/>
      <c r="D672" s="91"/>
      <c r="E672" s="72"/>
    </row>
    <row r="673">
      <c r="A673" s="71"/>
      <c r="B673" s="72"/>
      <c r="C673" s="72"/>
      <c r="D673" s="91"/>
      <c r="E673" s="72"/>
    </row>
    <row r="674">
      <c r="A674" s="71"/>
      <c r="B674" s="72"/>
      <c r="C674" s="72"/>
      <c r="D674" s="91"/>
      <c r="E674" s="72"/>
    </row>
    <row r="675">
      <c r="A675" s="71"/>
      <c r="B675" s="72"/>
      <c r="C675" s="72"/>
      <c r="D675" s="91"/>
      <c r="E675" s="72"/>
    </row>
    <row r="676">
      <c r="A676" s="71"/>
      <c r="B676" s="72"/>
      <c r="C676" s="72"/>
      <c r="D676" s="91"/>
      <c r="E676" s="72"/>
    </row>
    <row r="677">
      <c r="A677" s="71"/>
      <c r="B677" s="72"/>
      <c r="C677" s="72"/>
      <c r="D677" s="91"/>
      <c r="E677" s="72"/>
    </row>
    <row r="678">
      <c r="A678" s="71"/>
      <c r="B678" s="72"/>
      <c r="C678" s="72"/>
      <c r="D678" s="91"/>
      <c r="E678" s="72"/>
    </row>
    <row r="679">
      <c r="A679" s="71"/>
      <c r="B679" s="72"/>
      <c r="C679" s="72"/>
      <c r="D679" s="91"/>
      <c r="E679" s="72"/>
    </row>
    <row r="680">
      <c r="A680" s="71"/>
      <c r="B680" s="72"/>
      <c r="C680" s="72"/>
      <c r="D680" s="91"/>
      <c r="E680" s="72"/>
    </row>
    <row r="681">
      <c r="A681" s="71"/>
      <c r="B681" s="72"/>
      <c r="C681" s="72"/>
      <c r="D681" s="91"/>
      <c r="E681" s="72"/>
    </row>
    <row r="682">
      <c r="A682" s="71"/>
      <c r="B682" s="72"/>
      <c r="C682" s="72"/>
      <c r="D682" s="91"/>
      <c r="E682" s="72"/>
    </row>
    <row r="683">
      <c r="A683" s="71"/>
      <c r="B683" s="72"/>
      <c r="C683" s="72"/>
      <c r="D683" s="91"/>
      <c r="E683" s="72"/>
    </row>
    <row r="684">
      <c r="A684" s="71"/>
      <c r="B684" s="72"/>
      <c r="C684" s="72"/>
      <c r="D684" s="91"/>
      <c r="E684" s="72"/>
    </row>
    <row r="685">
      <c r="A685" s="71"/>
      <c r="B685" s="72"/>
      <c r="C685" s="72"/>
      <c r="D685" s="91"/>
      <c r="E685" s="72"/>
    </row>
    <row r="686">
      <c r="A686" s="71"/>
      <c r="B686" s="72"/>
      <c r="C686" s="72"/>
      <c r="D686" s="91"/>
      <c r="E686" s="72"/>
    </row>
    <row r="687">
      <c r="A687" s="71"/>
      <c r="B687" s="72"/>
      <c r="C687" s="72"/>
      <c r="D687" s="91"/>
      <c r="E687" s="72"/>
    </row>
    <row r="688">
      <c r="A688" s="71"/>
      <c r="B688" s="72"/>
      <c r="C688" s="72"/>
      <c r="D688" s="91"/>
      <c r="E688" s="72"/>
    </row>
    <row r="689">
      <c r="A689" s="71"/>
      <c r="B689" s="72"/>
      <c r="C689" s="72"/>
      <c r="D689" s="91"/>
      <c r="E689" s="72"/>
    </row>
    <row r="690">
      <c r="A690" s="71"/>
      <c r="B690" s="72"/>
      <c r="C690" s="72"/>
      <c r="D690" s="91"/>
      <c r="E690" s="72"/>
    </row>
    <row r="691">
      <c r="A691" s="71"/>
      <c r="B691" s="72"/>
      <c r="C691" s="72"/>
      <c r="D691" s="91"/>
      <c r="E691" s="72"/>
    </row>
    <row r="692">
      <c r="A692" s="71"/>
      <c r="B692" s="72"/>
      <c r="C692" s="72"/>
      <c r="D692" s="91"/>
      <c r="E692" s="72"/>
    </row>
    <row r="693">
      <c r="A693" s="71"/>
      <c r="B693" s="72"/>
      <c r="C693" s="72"/>
      <c r="D693" s="91"/>
      <c r="E693" s="72"/>
    </row>
    <row r="694">
      <c r="A694" s="71"/>
      <c r="B694" s="72"/>
      <c r="C694" s="72"/>
      <c r="D694" s="91"/>
      <c r="E694" s="72"/>
    </row>
    <row r="695">
      <c r="A695" s="71"/>
      <c r="B695" s="72"/>
      <c r="C695" s="72"/>
      <c r="D695" s="91"/>
      <c r="E695" s="72"/>
    </row>
    <row r="696">
      <c r="A696" s="71"/>
      <c r="B696" s="72"/>
      <c r="C696" s="72"/>
      <c r="D696" s="91"/>
      <c r="E696" s="72"/>
    </row>
    <row r="697">
      <c r="A697" s="71"/>
      <c r="B697" s="72"/>
      <c r="C697" s="72"/>
      <c r="D697" s="91"/>
      <c r="E697" s="72"/>
    </row>
    <row r="698">
      <c r="A698" s="71"/>
      <c r="B698" s="72"/>
      <c r="C698" s="72"/>
      <c r="D698" s="91"/>
      <c r="E698" s="72"/>
    </row>
    <row r="699">
      <c r="A699" s="71"/>
      <c r="B699" s="72"/>
      <c r="C699" s="72"/>
      <c r="D699" s="91"/>
      <c r="E699" s="72"/>
    </row>
    <row r="700">
      <c r="A700" s="71"/>
      <c r="B700" s="72"/>
      <c r="C700" s="72"/>
      <c r="D700" s="91"/>
      <c r="E700" s="72"/>
    </row>
    <row r="701">
      <c r="A701" s="71"/>
      <c r="B701" s="72"/>
      <c r="C701" s="72"/>
      <c r="D701" s="91"/>
      <c r="E701" s="72"/>
    </row>
    <row r="702">
      <c r="A702" s="71"/>
      <c r="B702" s="72"/>
      <c r="C702" s="72"/>
      <c r="D702" s="91"/>
      <c r="E702" s="72"/>
    </row>
    <row r="703">
      <c r="A703" s="71"/>
      <c r="B703" s="72"/>
      <c r="C703" s="72"/>
      <c r="D703" s="91"/>
      <c r="E703" s="72"/>
    </row>
    <row r="704">
      <c r="A704" s="71"/>
      <c r="B704" s="72"/>
      <c r="C704" s="72"/>
      <c r="D704" s="91"/>
      <c r="E704" s="72"/>
    </row>
    <row r="705">
      <c r="A705" s="71"/>
      <c r="B705" s="72"/>
      <c r="C705" s="72"/>
      <c r="D705" s="91"/>
      <c r="E705" s="72"/>
    </row>
    <row r="706">
      <c r="A706" s="71"/>
      <c r="B706" s="72"/>
      <c r="C706" s="72"/>
      <c r="D706" s="91"/>
      <c r="E706" s="72"/>
    </row>
    <row r="707">
      <c r="A707" s="71"/>
      <c r="B707" s="72"/>
      <c r="C707" s="72"/>
      <c r="D707" s="91"/>
      <c r="E707" s="72"/>
    </row>
    <row r="708">
      <c r="A708" s="71"/>
      <c r="B708" s="72"/>
      <c r="C708" s="72"/>
      <c r="D708" s="91"/>
      <c r="E708" s="72"/>
    </row>
    <row r="709">
      <c r="A709" s="71"/>
      <c r="B709" s="72"/>
      <c r="C709" s="72"/>
      <c r="D709" s="91"/>
      <c r="E709" s="72"/>
    </row>
    <row r="710">
      <c r="A710" s="71"/>
      <c r="B710" s="72"/>
      <c r="C710" s="72"/>
      <c r="D710" s="91"/>
      <c r="E710" s="72"/>
    </row>
    <row r="711">
      <c r="A711" s="71"/>
      <c r="B711" s="72"/>
      <c r="C711" s="72"/>
      <c r="D711" s="91"/>
      <c r="E711" s="72"/>
    </row>
    <row r="712">
      <c r="A712" s="71"/>
      <c r="B712" s="72"/>
      <c r="C712" s="72"/>
      <c r="D712" s="91"/>
      <c r="E712" s="72"/>
    </row>
    <row r="713">
      <c r="A713" s="71"/>
      <c r="B713" s="72"/>
      <c r="C713" s="72"/>
      <c r="D713" s="91"/>
      <c r="E713" s="72"/>
    </row>
    <row r="714">
      <c r="A714" s="71"/>
      <c r="B714" s="72"/>
      <c r="C714" s="72"/>
      <c r="D714" s="91"/>
      <c r="E714" s="72"/>
    </row>
    <row r="715">
      <c r="A715" s="71"/>
      <c r="B715" s="72"/>
      <c r="C715" s="72"/>
      <c r="D715" s="91"/>
      <c r="E715" s="72"/>
    </row>
    <row r="716">
      <c r="A716" s="71"/>
      <c r="B716" s="72"/>
      <c r="C716" s="72"/>
      <c r="D716" s="91"/>
      <c r="E716" s="72"/>
    </row>
    <row r="717">
      <c r="A717" s="71"/>
      <c r="B717" s="72"/>
      <c r="C717" s="72"/>
      <c r="D717" s="91"/>
      <c r="E717" s="72"/>
    </row>
    <row r="718">
      <c r="A718" s="71"/>
      <c r="B718" s="72"/>
      <c r="C718" s="72"/>
      <c r="D718" s="91"/>
      <c r="E718" s="72"/>
    </row>
    <row r="719">
      <c r="A719" s="71"/>
      <c r="B719" s="72"/>
      <c r="C719" s="72"/>
      <c r="D719" s="91"/>
      <c r="E719" s="72"/>
    </row>
    <row r="720">
      <c r="A720" s="71"/>
      <c r="B720" s="72"/>
      <c r="C720" s="72"/>
      <c r="D720" s="91"/>
      <c r="E720" s="72"/>
    </row>
    <row r="721">
      <c r="A721" s="71"/>
      <c r="B721" s="72"/>
      <c r="C721" s="72"/>
      <c r="D721" s="91"/>
      <c r="E721" s="72"/>
    </row>
    <row r="722">
      <c r="A722" s="71"/>
      <c r="B722" s="72"/>
      <c r="C722" s="72"/>
      <c r="D722" s="91"/>
      <c r="E722" s="72"/>
    </row>
    <row r="723">
      <c r="A723" s="71"/>
      <c r="B723" s="72"/>
      <c r="C723" s="72"/>
      <c r="D723" s="91"/>
      <c r="E723" s="72"/>
    </row>
    <row r="724">
      <c r="A724" s="71"/>
      <c r="B724" s="72"/>
      <c r="C724" s="72"/>
      <c r="D724" s="91"/>
      <c r="E724" s="72"/>
    </row>
    <row r="725">
      <c r="A725" s="71"/>
      <c r="B725" s="72"/>
      <c r="C725" s="72"/>
      <c r="D725" s="91"/>
      <c r="E725" s="72"/>
    </row>
    <row r="726">
      <c r="A726" s="71"/>
      <c r="B726" s="72"/>
      <c r="C726" s="72"/>
      <c r="D726" s="91"/>
      <c r="E726" s="72"/>
    </row>
    <row r="727">
      <c r="A727" s="71"/>
      <c r="B727" s="72"/>
      <c r="C727" s="72"/>
      <c r="D727" s="91"/>
      <c r="E727" s="72"/>
    </row>
    <row r="728">
      <c r="A728" s="71"/>
      <c r="B728" s="72"/>
      <c r="C728" s="72"/>
      <c r="D728" s="91"/>
      <c r="E728" s="72"/>
    </row>
    <row r="729">
      <c r="A729" s="71"/>
      <c r="B729" s="72"/>
      <c r="C729" s="72"/>
      <c r="D729" s="91"/>
      <c r="E729" s="72"/>
    </row>
    <row r="730">
      <c r="A730" s="71"/>
      <c r="B730" s="72"/>
      <c r="C730" s="72"/>
      <c r="D730" s="91"/>
      <c r="E730" s="72"/>
    </row>
    <row r="731">
      <c r="A731" s="71"/>
      <c r="B731" s="72"/>
      <c r="C731" s="72"/>
      <c r="D731" s="91"/>
      <c r="E731" s="72"/>
    </row>
    <row r="732">
      <c r="A732" s="71"/>
      <c r="B732" s="72"/>
      <c r="C732" s="72"/>
      <c r="D732" s="91"/>
      <c r="E732" s="72"/>
    </row>
    <row r="733">
      <c r="A733" s="71"/>
      <c r="B733" s="72"/>
      <c r="C733" s="72"/>
      <c r="D733" s="91"/>
      <c r="E733" s="72"/>
    </row>
    <row r="734">
      <c r="A734" s="71"/>
      <c r="B734" s="72"/>
      <c r="C734" s="72"/>
      <c r="D734" s="91"/>
      <c r="E734" s="72"/>
    </row>
    <row r="735">
      <c r="A735" s="71"/>
      <c r="B735" s="72"/>
      <c r="C735" s="72"/>
      <c r="D735" s="91"/>
      <c r="E735" s="72"/>
    </row>
    <row r="736">
      <c r="A736" s="71"/>
      <c r="B736" s="72"/>
      <c r="C736" s="72"/>
      <c r="D736" s="91"/>
      <c r="E736" s="72"/>
    </row>
    <row r="737">
      <c r="A737" s="71"/>
      <c r="B737" s="72"/>
      <c r="C737" s="72"/>
      <c r="D737" s="91"/>
      <c r="E737" s="72"/>
    </row>
    <row r="738">
      <c r="A738" s="71"/>
      <c r="B738" s="72"/>
      <c r="C738" s="72"/>
      <c r="D738" s="91"/>
      <c r="E738" s="72"/>
    </row>
    <row r="739">
      <c r="A739" s="71"/>
      <c r="B739" s="72"/>
      <c r="C739" s="72"/>
      <c r="D739" s="91"/>
      <c r="E739" s="72"/>
    </row>
    <row r="740">
      <c r="A740" s="71"/>
      <c r="B740" s="72"/>
      <c r="C740" s="72"/>
      <c r="D740" s="91"/>
      <c r="E740" s="72"/>
    </row>
    <row r="741">
      <c r="A741" s="71"/>
      <c r="B741" s="72"/>
      <c r="C741" s="72"/>
      <c r="D741" s="91"/>
      <c r="E741" s="72"/>
    </row>
    <row r="742">
      <c r="A742" s="71"/>
      <c r="B742" s="72"/>
      <c r="C742" s="72"/>
      <c r="D742" s="91"/>
      <c r="E742" s="72"/>
    </row>
    <row r="743">
      <c r="A743" s="71"/>
      <c r="B743" s="72"/>
      <c r="C743" s="72"/>
      <c r="D743" s="91"/>
      <c r="E743" s="72"/>
    </row>
    <row r="744">
      <c r="A744" s="71"/>
      <c r="B744" s="72"/>
      <c r="C744" s="72"/>
      <c r="D744" s="91"/>
      <c r="E744" s="72"/>
    </row>
    <row r="745">
      <c r="A745" s="71"/>
      <c r="B745" s="72"/>
      <c r="C745" s="72"/>
      <c r="D745" s="91"/>
      <c r="E745" s="72"/>
    </row>
    <row r="746">
      <c r="A746" s="71"/>
      <c r="B746" s="72"/>
      <c r="C746" s="72"/>
      <c r="D746" s="91"/>
      <c r="E746" s="72"/>
    </row>
    <row r="747">
      <c r="A747" s="71"/>
      <c r="B747" s="72"/>
      <c r="C747" s="72"/>
      <c r="D747" s="91"/>
      <c r="E747" s="72"/>
    </row>
    <row r="748">
      <c r="A748" s="71"/>
      <c r="B748" s="72"/>
      <c r="C748" s="72"/>
      <c r="D748" s="91"/>
      <c r="E748" s="72"/>
    </row>
    <row r="749">
      <c r="A749" s="71"/>
      <c r="B749" s="72"/>
      <c r="C749" s="72"/>
      <c r="D749" s="91"/>
      <c r="E749" s="72"/>
    </row>
    <row r="750">
      <c r="A750" s="71"/>
      <c r="B750" s="72"/>
      <c r="C750" s="72"/>
      <c r="D750" s="91"/>
      <c r="E750" s="72"/>
    </row>
    <row r="751">
      <c r="A751" s="71"/>
      <c r="B751" s="72"/>
      <c r="C751" s="72"/>
      <c r="D751" s="91"/>
      <c r="E751" s="72"/>
    </row>
    <row r="752">
      <c r="A752" s="71"/>
      <c r="B752" s="72"/>
      <c r="C752" s="72"/>
      <c r="D752" s="91"/>
      <c r="E752" s="72"/>
    </row>
    <row r="753">
      <c r="A753" s="71"/>
      <c r="B753" s="72"/>
      <c r="C753" s="72"/>
      <c r="D753" s="91"/>
      <c r="E753" s="72"/>
    </row>
    <row r="754">
      <c r="A754" s="71"/>
      <c r="B754" s="72"/>
      <c r="C754" s="72"/>
      <c r="D754" s="91"/>
      <c r="E754" s="72"/>
    </row>
    <row r="755">
      <c r="A755" s="71"/>
      <c r="B755" s="72"/>
      <c r="C755" s="72"/>
      <c r="D755" s="91"/>
      <c r="E755" s="72"/>
    </row>
    <row r="756">
      <c r="A756" s="71"/>
      <c r="B756" s="72"/>
      <c r="C756" s="72"/>
      <c r="D756" s="91"/>
      <c r="E756" s="72"/>
    </row>
    <row r="757">
      <c r="A757" s="71"/>
      <c r="B757" s="72"/>
      <c r="C757" s="72"/>
      <c r="D757" s="91"/>
      <c r="E757" s="72"/>
    </row>
    <row r="758">
      <c r="A758" s="71"/>
      <c r="B758" s="72"/>
      <c r="C758" s="72"/>
      <c r="D758" s="91"/>
      <c r="E758" s="72"/>
    </row>
    <row r="759">
      <c r="A759" s="71"/>
      <c r="B759" s="72"/>
      <c r="C759" s="72"/>
      <c r="D759" s="91"/>
      <c r="E759" s="72"/>
    </row>
    <row r="760">
      <c r="A760" s="71"/>
      <c r="B760" s="72"/>
      <c r="C760" s="72"/>
      <c r="D760" s="91"/>
      <c r="E760" s="72"/>
    </row>
    <row r="761">
      <c r="A761" s="71"/>
      <c r="B761" s="72"/>
      <c r="C761" s="72"/>
      <c r="D761" s="91"/>
      <c r="E761" s="72"/>
    </row>
    <row r="762">
      <c r="A762" s="71"/>
      <c r="B762" s="72"/>
      <c r="C762" s="72"/>
      <c r="D762" s="91"/>
      <c r="E762" s="72"/>
    </row>
    <row r="763">
      <c r="A763" s="71"/>
      <c r="B763" s="72"/>
      <c r="C763" s="72"/>
      <c r="D763" s="91"/>
      <c r="E763" s="72"/>
    </row>
    <row r="764">
      <c r="A764" s="71"/>
      <c r="B764" s="72"/>
      <c r="C764" s="72"/>
      <c r="D764" s="91"/>
      <c r="E764" s="72"/>
    </row>
    <row r="765">
      <c r="A765" s="71"/>
      <c r="B765" s="72"/>
      <c r="C765" s="72"/>
      <c r="D765" s="91"/>
      <c r="E765" s="72"/>
    </row>
    <row r="766">
      <c r="A766" s="71"/>
      <c r="B766" s="72"/>
      <c r="C766" s="72"/>
      <c r="D766" s="91"/>
      <c r="E766" s="72"/>
    </row>
    <row r="767">
      <c r="A767" s="71"/>
      <c r="B767" s="72"/>
      <c r="C767" s="72"/>
      <c r="D767" s="91"/>
      <c r="E767" s="72"/>
    </row>
    <row r="768">
      <c r="A768" s="71"/>
      <c r="B768" s="72"/>
      <c r="C768" s="72"/>
      <c r="D768" s="91"/>
      <c r="E768" s="72"/>
    </row>
    <row r="769">
      <c r="A769" s="71"/>
      <c r="B769" s="72"/>
      <c r="C769" s="72"/>
      <c r="D769" s="91"/>
      <c r="E769" s="72"/>
    </row>
    <row r="770">
      <c r="A770" s="71"/>
      <c r="B770" s="72"/>
      <c r="C770" s="72"/>
      <c r="D770" s="91"/>
      <c r="E770" s="72"/>
    </row>
    <row r="771">
      <c r="A771" s="71"/>
      <c r="B771" s="72"/>
      <c r="C771" s="72"/>
      <c r="D771" s="91"/>
      <c r="E771" s="72"/>
    </row>
    <row r="772">
      <c r="A772" s="71"/>
      <c r="B772" s="72"/>
      <c r="C772" s="72"/>
      <c r="D772" s="91"/>
      <c r="E772" s="72"/>
    </row>
    <row r="773">
      <c r="A773" s="71"/>
      <c r="B773" s="72"/>
      <c r="C773" s="72"/>
      <c r="D773" s="91"/>
      <c r="E773" s="72"/>
    </row>
    <row r="774">
      <c r="A774" s="71"/>
      <c r="B774" s="72"/>
      <c r="C774" s="72"/>
      <c r="D774" s="91"/>
      <c r="E774" s="72"/>
    </row>
    <row r="775">
      <c r="A775" s="71"/>
      <c r="B775" s="72"/>
      <c r="C775" s="72"/>
      <c r="D775" s="91"/>
      <c r="E775" s="72"/>
    </row>
    <row r="776">
      <c r="A776" s="71"/>
      <c r="B776" s="72"/>
      <c r="C776" s="72"/>
      <c r="D776" s="91"/>
      <c r="E776" s="72"/>
    </row>
    <row r="777">
      <c r="A777" s="71"/>
      <c r="B777" s="72"/>
      <c r="C777" s="72"/>
      <c r="D777" s="91"/>
      <c r="E777" s="72"/>
    </row>
    <row r="778">
      <c r="A778" s="71"/>
      <c r="B778" s="72"/>
      <c r="C778" s="72"/>
      <c r="D778" s="91"/>
      <c r="E778" s="72"/>
    </row>
    <row r="779">
      <c r="A779" s="71"/>
      <c r="B779" s="72"/>
      <c r="C779" s="72"/>
      <c r="D779" s="91"/>
      <c r="E779" s="72"/>
    </row>
    <row r="780">
      <c r="A780" s="71"/>
      <c r="B780" s="72"/>
      <c r="C780" s="72"/>
      <c r="D780" s="91"/>
      <c r="E780" s="72"/>
    </row>
    <row r="781">
      <c r="A781" s="71"/>
      <c r="B781" s="72"/>
      <c r="C781" s="72"/>
      <c r="D781" s="91"/>
      <c r="E781" s="72"/>
    </row>
    <row r="782">
      <c r="A782" s="71"/>
      <c r="B782" s="72"/>
      <c r="C782" s="72"/>
      <c r="D782" s="91"/>
      <c r="E782" s="72"/>
    </row>
    <row r="783">
      <c r="A783" s="71"/>
      <c r="B783" s="72"/>
      <c r="C783" s="72"/>
      <c r="D783" s="91"/>
      <c r="E783" s="72"/>
    </row>
    <row r="784">
      <c r="A784" s="71"/>
      <c r="B784" s="72"/>
      <c r="C784" s="72"/>
      <c r="D784" s="91"/>
      <c r="E784" s="72"/>
    </row>
    <row r="785">
      <c r="A785" s="71"/>
      <c r="B785" s="72"/>
      <c r="C785" s="72"/>
      <c r="D785" s="91"/>
      <c r="E785" s="72"/>
    </row>
    <row r="786">
      <c r="A786" s="71"/>
      <c r="B786" s="72"/>
      <c r="C786" s="72"/>
      <c r="D786" s="91"/>
      <c r="E786" s="72"/>
    </row>
    <row r="787">
      <c r="A787" s="71"/>
      <c r="B787" s="72"/>
      <c r="C787" s="72"/>
      <c r="D787" s="91"/>
      <c r="E787" s="72"/>
    </row>
    <row r="788">
      <c r="A788" s="71"/>
      <c r="B788" s="72"/>
      <c r="C788" s="72"/>
      <c r="D788" s="91"/>
      <c r="E788" s="72"/>
    </row>
    <row r="789">
      <c r="A789" s="71"/>
      <c r="B789" s="72"/>
      <c r="C789" s="72"/>
      <c r="D789" s="91"/>
      <c r="E789" s="72"/>
    </row>
    <row r="790">
      <c r="A790" s="71"/>
      <c r="B790" s="72"/>
      <c r="C790" s="72"/>
      <c r="D790" s="91"/>
      <c r="E790" s="72"/>
    </row>
    <row r="791">
      <c r="A791" s="71"/>
      <c r="B791" s="72"/>
      <c r="C791" s="72"/>
      <c r="D791" s="91"/>
      <c r="E791" s="72"/>
    </row>
    <row r="792">
      <c r="A792" s="71"/>
      <c r="B792" s="72"/>
      <c r="C792" s="72"/>
      <c r="D792" s="91"/>
      <c r="E792" s="72"/>
    </row>
    <row r="793">
      <c r="A793" s="71"/>
      <c r="B793" s="72"/>
      <c r="C793" s="72"/>
      <c r="D793" s="91"/>
      <c r="E793" s="72"/>
    </row>
    <row r="794">
      <c r="A794" s="71"/>
      <c r="B794" s="72"/>
      <c r="C794" s="72"/>
      <c r="D794" s="91"/>
      <c r="E794" s="72"/>
    </row>
    <row r="795">
      <c r="A795" s="71"/>
      <c r="B795" s="72"/>
      <c r="C795" s="72"/>
      <c r="D795" s="91"/>
      <c r="E795" s="72"/>
    </row>
    <row r="796">
      <c r="A796" s="71"/>
      <c r="B796" s="72"/>
      <c r="C796" s="72"/>
      <c r="D796" s="91"/>
      <c r="E796" s="72"/>
    </row>
    <row r="797">
      <c r="A797" s="71"/>
      <c r="B797" s="72"/>
      <c r="C797" s="72"/>
      <c r="D797" s="91"/>
      <c r="E797" s="72"/>
    </row>
    <row r="798">
      <c r="A798" s="71"/>
      <c r="B798" s="72"/>
      <c r="C798" s="72"/>
      <c r="D798" s="91"/>
      <c r="E798" s="72"/>
    </row>
    <row r="799">
      <c r="A799" s="71"/>
      <c r="B799" s="72"/>
      <c r="C799" s="72"/>
      <c r="D799" s="91"/>
      <c r="E799" s="72"/>
    </row>
    <row r="800">
      <c r="A800" s="71"/>
      <c r="B800" s="72"/>
      <c r="C800" s="72"/>
      <c r="D800" s="91"/>
      <c r="E800" s="72"/>
    </row>
    <row r="801">
      <c r="A801" s="71"/>
      <c r="B801" s="72"/>
      <c r="C801" s="72"/>
      <c r="D801" s="91"/>
      <c r="E801" s="72"/>
    </row>
    <row r="802">
      <c r="A802" s="71"/>
      <c r="B802" s="72"/>
      <c r="C802" s="72"/>
      <c r="D802" s="91"/>
      <c r="E802" s="72"/>
    </row>
    <row r="803">
      <c r="A803" s="71"/>
      <c r="B803" s="72"/>
      <c r="C803" s="72"/>
      <c r="D803" s="91"/>
      <c r="E803" s="72"/>
    </row>
    <row r="804">
      <c r="A804" s="71"/>
      <c r="B804" s="72"/>
      <c r="C804" s="72"/>
      <c r="D804" s="91"/>
      <c r="E804" s="72"/>
    </row>
    <row r="805">
      <c r="A805" s="71"/>
      <c r="B805" s="72"/>
      <c r="C805" s="72"/>
      <c r="D805" s="91"/>
      <c r="E805" s="72"/>
    </row>
    <row r="806">
      <c r="A806" s="71"/>
      <c r="B806" s="72"/>
      <c r="C806" s="72"/>
      <c r="D806" s="91"/>
      <c r="E806" s="72"/>
    </row>
    <row r="807">
      <c r="A807" s="71"/>
      <c r="B807" s="72"/>
      <c r="C807" s="72"/>
      <c r="D807" s="91"/>
      <c r="E807" s="72"/>
    </row>
    <row r="808">
      <c r="A808" s="71"/>
      <c r="B808" s="72"/>
      <c r="C808" s="72"/>
      <c r="D808" s="91"/>
      <c r="E808" s="72"/>
    </row>
    <row r="809">
      <c r="A809" s="71"/>
      <c r="B809" s="72"/>
      <c r="C809" s="72"/>
      <c r="D809" s="91"/>
      <c r="E809" s="72"/>
    </row>
    <row r="810">
      <c r="A810" s="71"/>
      <c r="B810" s="72"/>
      <c r="C810" s="72"/>
      <c r="D810" s="91"/>
      <c r="E810" s="72"/>
    </row>
    <row r="811">
      <c r="A811" s="71"/>
      <c r="B811" s="72"/>
      <c r="C811" s="72"/>
      <c r="D811" s="91"/>
      <c r="E811" s="72"/>
    </row>
    <row r="812">
      <c r="A812" s="71"/>
      <c r="B812" s="72"/>
      <c r="C812" s="72"/>
      <c r="D812" s="91"/>
      <c r="E812" s="72"/>
    </row>
    <row r="813">
      <c r="A813" s="71"/>
      <c r="B813" s="72"/>
      <c r="C813" s="72"/>
      <c r="D813" s="91"/>
      <c r="E813" s="72"/>
    </row>
    <row r="814">
      <c r="A814" s="71"/>
      <c r="B814" s="72"/>
      <c r="C814" s="72"/>
      <c r="D814" s="91"/>
      <c r="E814" s="72"/>
    </row>
    <row r="815">
      <c r="A815" s="71"/>
      <c r="B815" s="72"/>
      <c r="C815" s="72"/>
      <c r="D815" s="91"/>
      <c r="E815" s="72"/>
    </row>
    <row r="816">
      <c r="A816" s="71"/>
      <c r="B816" s="72"/>
      <c r="C816" s="72"/>
      <c r="D816" s="91"/>
      <c r="E816" s="72"/>
    </row>
    <row r="817">
      <c r="A817" s="71"/>
      <c r="B817" s="72"/>
      <c r="C817" s="72"/>
      <c r="D817" s="91"/>
      <c r="E817" s="72"/>
    </row>
    <row r="818">
      <c r="A818" s="71"/>
      <c r="B818" s="72"/>
      <c r="C818" s="72"/>
      <c r="D818" s="91"/>
      <c r="E818" s="72"/>
    </row>
    <row r="819">
      <c r="A819" s="71"/>
      <c r="B819" s="72"/>
      <c r="C819" s="72"/>
      <c r="D819" s="91"/>
      <c r="E819" s="72"/>
    </row>
    <row r="820">
      <c r="A820" s="71"/>
      <c r="B820" s="72"/>
      <c r="C820" s="72"/>
      <c r="D820" s="91"/>
      <c r="E820" s="72"/>
    </row>
    <row r="821">
      <c r="A821" s="71"/>
      <c r="B821" s="72"/>
      <c r="C821" s="72"/>
      <c r="D821" s="91"/>
      <c r="E821" s="72"/>
    </row>
    <row r="822">
      <c r="A822" s="71"/>
      <c r="B822" s="72"/>
      <c r="C822" s="72"/>
      <c r="D822" s="91"/>
      <c r="E822" s="72"/>
    </row>
    <row r="823">
      <c r="A823" s="71"/>
      <c r="B823" s="72"/>
      <c r="C823" s="72"/>
      <c r="D823" s="91"/>
      <c r="E823" s="72"/>
    </row>
    <row r="824">
      <c r="A824" s="71"/>
      <c r="B824" s="72"/>
      <c r="C824" s="72"/>
      <c r="D824" s="91"/>
      <c r="E824" s="72"/>
    </row>
    <row r="825">
      <c r="A825" s="71"/>
      <c r="B825" s="72"/>
      <c r="C825" s="72"/>
      <c r="D825" s="91"/>
      <c r="E825" s="72"/>
    </row>
    <row r="826">
      <c r="A826" s="71"/>
      <c r="B826" s="72"/>
      <c r="C826" s="72"/>
      <c r="D826" s="91"/>
      <c r="E826" s="72"/>
    </row>
    <row r="827">
      <c r="A827" s="71"/>
      <c r="B827" s="72"/>
      <c r="C827" s="72"/>
      <c r="D827" s="91"/>
      <c r="E827" s="72"/>
    </row>
    <row r="828">
      <c r="A828" s="71"/>
      <c r="B828" s="72"/>
      <c r="C828" s="72"/>
      <c r="D828" s="91"/>
      <c r="E828" s="72"/>
    </row>
    <row r="829">
      <c r="A829" s="71"/>
      <c r="B829" s="72"/>
      <c r="C829" s="72"/>
      <c r="D829" s="91"/>
      <c r="E829" s="72"/>
    </row>
    <row r="830">
      <c r="A830" s="71"/>
      <c r="B830" s="72"/>
      <c r="C830" s="72"/>
      <c r="D830" s="91"/>
      <c r="E830" s="72"/>
    </row>
    <row r="831">
      <c r="A831" s="71"/>
      <c r="B831" s="72"/>
      <c r="C831" s="72"/>
      <c r="D831" s="91"/>
      <c r="E831" s="72"/>
    </row>
    <row r="832">
      <c r="A832" s="71"/>
      <c r="B832" s="72"/>
      <c r="C832" s="72"/>
      <c r="D832" s="91"/>
      <c r="E832" s="72"/>
    </row>
    <row r="833">
      <c r="A833" s="71"/>
      <c r="B833" s="72"/>
      <c r="C833" s="72"/>
      <c r="D833" s="91"/>
      <c r="E833" s="72"/>
    </row>
    <row r="834">
      <c r="A834" s="71"/>
      <c r="B834" s="72"/>
      <c r="C834" s="72"/>
      <c r="D834" s="91"/>
      <c r="E834" s="72"/>
    </row>
    <row r="835">
      <c r="A835" s="71"/>
      <c r="B835" s="72"/>
      <c r="C835" s="72"/>
      <c r="D835" s="91"/>
      <c r="E835" s="72"/>
    </row>
    <row r="836">
      <c r="A836" s="71"/>
      <c r="B836" s="72"/>
      <c r="C836" s="72"/>
      <c r="D836" s="91"/>
      <c r="E836" s="72"/>
    </row>
    <row r="837">
      <c r="A837" s="71"/>
      <c r="B837" s="72"/>
      <c r="C837" s="72"/>
      <c r="D837" s="91"/>
      <c r="E837" s="72"/>
    </row>
    <row r="838">
      <c r="A838" s="71"/>
      <c r="B838" s="72"/>
      <c r="C838" s="72"/>
      <c r="D838" s="91"/>
      <c r="E838" s="72"/>
    </row>
    <row r="839">
      <c r="A839" s="71"/>
      <c r="B839" s="72"/>
      <c r="C839" s="72"/>
      <c r="D839" s="91"/>
      <c r="E839" s="72"/>
    </row>
    <row r="840">
      <c r="A840" s="71"/>
      <c r="B840" s="72"/>
      <c r="C840" s="72"/>
      <c r="D840" s="91"/>
      <c r="E840" s="72"/>
    </row>
    <row r="841">
      <c r="A841" s="71"/>
      <c r="B841" s="72"/>
      <c r="C841" s="72"/>
      <c r="D841" s="91"/>
      <c r="E841" s="72"/>
    </row>
    <row r="842">
      <c r="A842" s="71"/>
      <c r="B842" s="72"/>
      <c r="C842" s="72"/>
      <c r="D842" s="91"/>
      <c r="E842" s="72"/>
    </row>
    <row r="843">
      <c r="A843" s="71"/>
      <c r="B843" s="72"/>
      <c r="C843" s="72"/>
      <c r="D843" s="91"/>
      <c r="E843" s="72"/>
    </row>
    <row r="844">
      <c r="A844" s="71"/>
      <c r="B844" s="72"/>
      <c r="C844" s="72"/>
      <c r="D844" s="91"/>
      <c r="E844" s="72"/>
    </row>
    <row r="845">
      <c r="A845" s="71"/>
      <c r="B845" s="72"/>
      <c r="C845" s="72"/>
      <c r="D845" s="91"/>
      <c r="E845" s="72"/>
    </row>
    <row r="846">
      <c r="A846" s="71"/>
      <c r="B846" s="72"/>
      <c r="C846" s="72"/>
      <c r="D846" s="91"/>
      <c r="E846" s="72"/>
    </row>
    <row r="847">
      <c r="A847" s="71"/>
      <c r="B847" s="72"/>
      <c r="C847" s="72"/>
      <c r="D847" s="91"/>
      <c r="E847" s="72"/>
    </row>
    <row r="848">
      <c r="A848" s="71"/>
      <c r="B848" s="72"/>
      <c r="C848" s="72"/>
      <c r="D848" s="91"/>
      <c r="E848" s="72"/>
    </row>
    <row r="849">
      <c r="A849" s="71"/>
      <c r="B849" s="72"/>
      <c r="C849" s="72"/>
      <c r="D849" s="91"/>
      <c r="E849" s="72"/>
    </row>
    <row r="850">
      <c r="A850" s="71"/>
      <c r="B850" s="72"/>
      <c r="C850" s="72"/>
      <c r="D850" s="91"/>
      <c r="E850" s="72"/>
    </row>
    <row r="851">
      <c r="A851" s="71"/>
      <c r="B851" s="72"/>
      <c r="C851" s="72"/>
      <c r="D851" s="91"/>
      <c r="E851" s="72"/>
    </row>
    <row r="852">
      <c r="A852" s="71"/>
      <c r="B852" s="72"/>
      <c r="C852" s="72"/>
      <c r="D852" s="91"/>
      <c r="E852" s="72"/>
    </row>
    <row r="853">
      <c r="A853" s="71"/>
      <c r="B853" s="72"/>
      <c r="C853" s="72"/>
      <c r="D853" s="91"/>
      <c r="E853" s="72"/>
    </row>
    <row r="854">
      <c r="A854" s="71"/>
      <c r="B854" s="72"/>
      <c r="C854" s="72"/>
      <c r="D854" s="91"/>
      <c r="E854" s="72"/>
    </row>
    <row r="855">
      <c r="A855" s="71"/>
      <c r="B855" s="72"/>
      <c r="C855" s="72"/>
      <c r="D855" s="91"/>
      <c r="E855" s="72"/>
    </row>
    <row r="856">
      <c r="A856" s="71"/>
      <c r="B856" s="72"/>
      <c r="C856" s="72"/>
      <c r="D856" s="91"/>
      <c r="E856" s="72"/>
    </row>
    <row r="857">
      <c r="A857" s="71"/>
      <c r="B857" s="72"/>
      <c r="C857" s="72"/>
      <c r="D857" s="91"/>
      <c r="E857" s="72"/>
    </row>
    <row r="858">
      <c r="A858" s="71"/>
      <c r="B858" s="72"/>
      <c r="C858" s="72"/>
      <c r="D858" s="91"/>
      <c r="E858" s="72"/>
    </row>
    <row r="859">
      <c r="A859" s="71"/>
      <c r="B859" s="72"/>
      <c r="C859" s="72"/>
      <c r="D859" s="91"/>
      <c r="E859" s="72"/>
    </row>
    <row r="860">
      <c r="A860" s="71"/>
      <c r="B860" s="72"/>
      <c r="C860" s="72"/>
      <c r="D860" s="91"/>
      <c r="E860" s="72"/>
    </row>
    <row r="861">
      <c r="A861" s="71"/>
      <c r="B861" s="72"/>
      <c r="C861" s="72"/>
      <c r="D861" s="91"/>
      <c r="E861" s="72"/>
    </row>
    <row r="862">
      <c r="A862" s="71"/>
      <c r="B862" s="72"/>
      <c r="C862" s="72"/>
      <c r="D862" s="91"/>
      <c r="E862" s="72"/>
    </row>
    <row r="863">
      <c r="A863" s="71"/>
      <c r="B863" s="72"/>
      <c r="C863" s="72"/>
      <c r="D863" s="91"/>
      <c r="E863" s="72"/>
    </row>
    <row r="864">
      <c r="A864" s="71"/>
      <c r="B864" s="72"/>
      <c r="C864" s="72"/>
      <c r="D864" s="91"/>
      <c r="E864" s="72"/>
    </row>
    <row r="865">
      <c r="A865" s="71"/>
      <c r="B865" s="72"/>
      <c r="C865" s="72"/>
      <c r="D865" s="91"/>
      <c r="E865" s="72"/>
    </row>
    <row r="866">
      <c r="A866" s="71"/>
      <c r="B866" s="72"/>
      <c r="C866" s="72"/>
      <c r="D866" s="91"/>
      <c r="E866" s="72"/>
    </row>
    <row r="867">
      <c r="A867" s="71"/>
      <c r="B867" s="72"/>
      <c r="C867" s="72"/>
      <c r="D867" s="91"/>
      <c r="E867" s="72"/>
    </row>
    <row r="868">
      <c r="A868" s="71"/>
      <c r="B868" s="72"/>
      <c r="C868" s="72"/>
      <c r="D868" s="91"/>
      <c r="E868" s="72"/>
    </row>
    <row r="869">
      <c r="A869" s="71"/>
      <c r="B869" s="72"/>
      <c r="C869" s="72"/>
      <c r="D869" s="91"/>
      <c r="E869" s="72"/>
    </row>
    <row r="870">
      <c r="A870" s="71"/>
      <c r="B870" s="72"/>
      <c r="C870" s="72"/>
      <c r="D870" s="91"/>
      <c r="E870" s="72"/>
    </row>
    <row r="871">
      <c r="A871" s="71"/>
      <c r="B871" s="72"/>
      <c r="C871" s="72"/>
      <c r="D871" s="91"/>
      <c r="E871" s="72"/>
    </row>
    <row r="872">
      <c r="A872" s="71"/>
      <c r="B872" s="72"/>
      <c r="C872" s="72"/>
      <c r="D872" s="91"/>
      <c r="E872" s="72"/>
    </row>
    <row r="873">
      <c r="A873" s="71"/>
      <c r="B873" s="72"/>
      <c r="C873" s="72"/>
      <c r="D873" s="91"/>
      <c r="E873" s="72"/>
    </row>
    <row r="874">
      <c r="A874" s="71"/>
      <c r="B874" s="72"/>
      <c r="C874" s="72"/>
      <c r="D874" s="91"/>
      <c r="E874" s="72"/>
    </row>
    <row r="875">
      <c r="A875" s="71"/>
      <c r="B875" s="72"/>
      <c r="C875" s="72"/>
      <c r="D875" s="91"/>
      <c r="E875" s="72"/>
    </row>
    <row r="876">
      <c r="A876" s="71"/>
      <c r="B876" s="72"/>
      <c r="C876" s="72"/>
      <c r="D876" s="91"/>
      <c r="E876" s="72"/>
    </row>
    <row r="877">
      <c r="A877" s="71"/>
      <c r="B877" s="72"/>
      <c r="C877" s="72"/>
      <c r="D877" s="91"/>
      <c r="E877" s="72"/>
    </row>
    <row r="878">
      <c r="A878" s="71"/>
      <c r="B878" s="72"/>
      <c r="C878" s="72"/>
      <c r="D878" s="91"/>
      <c r="E878" s="72"/>
    </row>
    <row r="879">
      <c r="A879" s="71"/>
      <c r="B879" s="72"/>
      <c r="C879" s="72"/>
      <c r="D879" s="91"/>
      <c r="E879" s="72"/>
    </row>
    <row r="880">
      <c r="A880" s="71"/>
      <c r="B880" s="72"/>
      <c r="C880" s="72"/>
      <c r="D880" s="91"/>
      <c r="E880" s="72"/>
    </row>
    <row r="881">
      <c r="A881" s="71"/>
      <c r="B881" s="72"/>
      <c r="C881" s="72"/>
      <c r="D881" s="91"/>
      <c r="E881" s="72"/>
    </row>
    <row r="882">
      <c r="A882" s="71"/>
      <c r="B882" s="72"/>
      <c r="C882" s="72"/>
      <c r="D882" s="91"/>
      <c r="E882" s="72"/>
    </row>
    <row r="883">
      <c r="A883" s="71"/>
      <c r="B883" s="72"/>
      <c r="C883" s="72"/>
      <c r="D883" s="91"/>
      <c r="E883" s="72"/>
    </row>
    <row r="884">
      <c r="A884" s="71"/>
      <c r="B884" s="72"/>
      <c r="C884" s="72"/>
      <c r="D884" s="91"/>
      <c r="E884" s="72"/>
    </row>
    <row r="885">
      <c r="A885" s="71"/>
      <c r="B885" s="72"/>
      <c r="C885" s="72"/>
      <c r="D885" s="91"/>
      <c r="E885" s="72"/>
    </row>
    <row r="886">
      <c r="A886" s="71"/>
      <c r="B886" s="72"/>
      <c r="C886" s="72"/>
      <c r="D886" s="91"/>
      <c r="E886" s="72"/>
    </row>
    <row r="887">
      <c r="A887" s="71"/>
      <c r="B887" s="72"/>
      <c r="C887" s="72"/>
      <c r="D887" s="91"/>
      <c r="E887" s="72"/>
    </row>
    <row r="888">
      <c r="A888" s="71"/>
      <c r="B888" s="72"/>
      <c r="C888" s="72"/>
      <c r="D888" s="91"/>
      <c r="E888" s="72"/>
    </row>
    <row r="889">
      <c r="A889" s="71"/>
      <c r="B889" s="72"/>
      <c r="C889" s="72"/>
      <c r="D889" s="91"/>
      <c r="E889" s="72"/>
    </row>
    <row r="890">
      <c r="A890" s="71"/>
      <c r="B890" s="72"/>
      <c r="C890" s="72"/>
      <c r="D890" s="91"/>
      <c r="E890" s="72"/>
    </row>
    <row r="891">
      <c r="A891" s="71"/>
      <c r="B891" s="72"/>
      <c r="C891" s="72"/>
      <c r="D891" s="91"/>
      <c r="E891" s="72"/>
    </row>
    <row r="892">
      <c r="A892" s="71"/>
      <c r="B892" s="72"/>
      <c r="C892" s="72"/>
      <c r="D892" s="91"/>
      <c r="E892" s="72"/>
    </row>
    <row r="893">
      <c r="A893" s="71"/>
      <c r="B893" s="72"/>
      <c r="C893" s="72"/>
      <c r="D893" s="91"/>
      <c r="E893" s="72"/>
    </row>
    <row r="894">
      <c r="A894" s="71"/>
      <c r="B894" s="72"/>
      <c r="C894" s="72"/>
      <c r="D894" s="91"/>
      <c r="E894" s="72"/>
    </row>
    <row r="895">
      <c r="A895" s="71"/>
      <c r="B895" s="72"/>
      <c r="C895" s="72"/>
      <c r="D895" s="91"/>
      <c r="E895" s="72"/>
    </row>
    <row r="896">
      <c r="A896" s="71"/>
      <c r="B896" s="72"/>
      <c r="C896" s="72"/>
      <c r="D896" s="91"/>
      <c r="E896" s="72"/>
    </row>
    <row r="897">
      <c r="A897" s="71"/>
      <c r="B897" s="72"/>
      <c r="C897" s="72"/>
      <c r="D897" s="91"/>
      <c r="E897" s="72"/>
    </row>
    <row r="898">
      <c r="A898" s="71"/>
      <c r="B898" s="72"/>
      <c r="C898" s="72"/>
      <c r="D898" s="91"/>
      <c r="E898" s="72"/>
    </row>
    <row r="899">
      <c r="A899" s="71"/>
      <c r="B899" s="72"/>
      <c r="C899" s="72"/>
      <c r="D899" s="91"/>
      <c r="E899" s="72"/>
    </row>
    <row r="900">
      <c r="A900" s="71"/>
      <c r="B900" s="72"/>
      <c r="C900" s="72"/>
      <c r="D900" s="91"/>
      <c r="E900" s="72"/>
    </row>
    <row r="901">
      <c r="A901" s="71"/>
      <c r="B901" s="72"/>
      <c r="C901" s="72"/>
      <c r="D901" s="91"/>
      <c r="E901" s="72"/>
    </row>
    <row r="902">
      <c r="A902" s="71"/>
      <c r="B902" s="72"/>
      <c r="C902" s="72"/>
      <c r="D902" s="91"/>
      <c r="E902" s="72"/>
    </row>
    <row r="903">
      <c r="A903" s="71"/>
      <c r="B903" s="72"/>
      <c r="C903" s="72"/>
      <c r="D903" s="91"/>
      <c r="E903" s="72"/>
    </row>
    <row r="904">
      <c r="A904" s="71"/>
      <c r="B904" s="72"/>
      <c r="C904" s="72"/>
      <c r="D904" s="91"/>
      <c r="E904" s="72"/>
    </row>
    <row r="905">
      <c r="A905" s="71"/>
      <c r="B905" s="72"/>
      <c r="C905" s="72"/>
      <c r="D905" s="91"/>
      <c r="E905" s="72"/>
    </row>
    <row r="906">
      <c r="A906" s="71"/>
      <c r="B906" s="72"/>
      <c r="C906" s="72"/>
      <c r="D906" s="91"/>
      <c r="E906" s="72"/>
    </row>
    <row r="907">
      <c r="A907" s="71"/>
      <c r="B907" s="72"/>
      <c r="C907" s="72"/>
      <c r="D907" s="91"/>
      <c r="E907" s="72"/>
    </row>
    <row r="908">
      <c r="A908" s="71"/>
      <c r="B908" s="72"/>
      <c r="C908" s="72"/>
      <c r="D908" s="91"/>
      <c r="E908" s="72"/>
    </row>
    <row r="909">
      <c r="A909" s="71"/>
      <c r="B909" s="72"/>
      <c r="C909" s="72"/>
      <c r="D909" s="91"/>
      <c r="E909" s="72"/>
    </row>
    <row r="910">
      <c r="A910" s="71"/>
      <c r="B910" s="72"/>
      <c r="C910" s="72"/>
      <c r="D910" s="91"/>
      <c r="E910" s="72"/>
    </row>
    <row r="911">
      <c r="A911" s="71"/>
      <c r="B911" s="72"/>
      <c r="C911" s="72"/>
      <c r="D911" s="91"/>
      <c r="E911" s="72"/>
    </row>
    <row r="912">
      <c r="A912" s="71"/>
      <c r="B912" s="72"/>
      <c r="C912" s="72"/>
      <c r="D912" s="91"/>
      <c r="E912" s="72"/>
    </row>
    <row r="913">
      <c r="A913" s="71"/>
      <c r="B913" s="72"/>
      <c r="C913" s="72"/>
      <c r="D913" s="91"/>
      <c r="E913" s="72"/>
    </row>
    <row r="914">
      <c r="A914" s="71"/>
      <c r="B914" s="72"/>
      <c r="C914" s="72"/>
      <c r="D914" s="91"/>
      <c r="E914" s="72"/>
    </row>
    <row r="915">
      <c r="A915" s="71"/>
      <c r="B915" s="72"/>
      <c r="C915" s="72"/>
      <c r="D915" s="91"/>
      <c r="E915" s="72"/>
    </row>
    <row r="916">
      <c r="A916" s="71"/>
      <c r="B916" s="72"/>
      <c r="C916" s="72"/>
      <c r="D916" s="91"/>
      <c r="E916" s="72"/>
    </row>
    <row r="917">
      <c r="A917" s="71"/>
      <c r="B917" s="72"/>
      <c r="C917" s="72"/>
      <c r="D917" s="91"/>
      <c r="E917" s="72"/>
    </row>
    <row r="918">
      <c r="A918" s="71"/>
      <c r="B918" s="72"/>
      <c r="C918" s="72"/>
      <c r="D918" s="91"/>
      <c r="E918" s="72"/>
    </row>
    <row r="919">
      <c r="A919" s="71"/>
      <c r="B919" s="72"/>
      <c r="C919" s="72"/>
      <c r="D919" s="91"/>
      <c r="E919" s="72"/>
    </row>
    <row r="920">
      <c r="A920" s="71"/>
      <c r="B920" s="72"/>
      <c r="C920" s="72"/>
      <c r="D920" s="91"/>
      <c r="E920" s="72"/>
    </row>
    <row r="921">
      <c r="A921" s="71"/>
      <c r="B921" s="72"/>
      <c r="C921" s="72"/>
      <c r="D921" s="91"/>
      <c r="E921" s="72"/>
    </row>
    <row r="922">
      <c r="A922" s="71"/>
      <c r="B922" s="72"/>
      <c r="C922" s="72"/>
      <c r="D922" s="91"/>
      <c r="E922" s="72"/>
    </row>
    <row r="923">
      <c r="A923" s="71"/>
      <c r="B923" s="72"/>
      <c r="C923" s="72"/>
      <c r="D923" s="91"/>
      <c r="E923" s="72"/>
    </row>
    <row r="924">
      <c r="A924" s="71"/>
      <c r="B924" s="72"/>
      <c r="C924" s="72"/>
      <c r="D924" s="91"/>
      <c r="E924" s="72"/>
    </row>
    <row r="925">
      <c r="A925" s="71"/>
      <c r="B925" s="72"/>
      <c r="C925" s="72"/>
      <c r="D925" s="91"/>
      <c r="E925" s="72"/>
    </row>
    <row r="926">
      <c r="A926" s="71"/>
      <c r="B926" s="72"/>
      <c r="C926" s="72"/>
      <c r="D926" s="91"/>
      <c r="E926" s="72"/>
    </row>
    <row r="927">
      <c r="A927" s="71"/>
      <c r="B927" s="72"/>
      <c r="C927" s="72"/>
      <c r="D927" s="91"/>
      <c r="E927" s="72"/>
    </row>
    <row r="928">
      <c r="A928" s="71"/>
      <c r="B928" s="72"/>
      <c r="C928" s="72"/>
      <c r="D928" s="91"/>
      <c r="E928" s="72"/>
    </row>
    <row r="929">
      <c r="A929" s="71"/>
      <c r="B929" s="72"/>
      <c r="C929" s="72"/>
      <c r="D929" s="91"/>
      <c r="E929" s="72"/>
    </row>
    <row r="930">
      <c r="A930" s="71"/>
      <c r="B930" s="72"/>
      <c r="C930" s="72"/>
      <c r="D930" s="91"/>
      <c r="E930" s="72"/>
    </row>
    <row r="931">
      <c r="A931" s="71"/>
      <c r="B931" s="72"/>
      <c r="C931" s="72"/>
      <c r="D931" s="91"/>
      <c r="E931" s="72"/>
    </row>
    <row r="932">
      <c r="A932" s="71"/>
      <c r="B932" s="72"/>
      <c r="C932" s="72"/>
      <c r="D932" s="91"/>
      <c r="E932" s="72"/>
    </row>
    <row r="933">
      <c r="A933" s="71"/>
      <c r="B933" s="72"/>
      <c r="C933" s="72"/>
      <c r="D933" s="91"/>
      <c r="E933" s="72"/>
    </row>
    <row r="934">
      <c r="A934" s="71"/>
      <c r="B934" s="72"/>
      <c r="C934" s="72"/>
      <c r="D934" s="91"/>
      <c r="E934" s="72"/>
    </row>
    <row r="935">
      <c r="A935" s="71"/>
      <c r="B935" s="72"/>
      <c r="C935" s="72"/>
      <c r="D935" s="91"/>
      <c r="E935" s="72"/>
    </row>
    <row r="936">
      <c r="A936" s="71"/>
      <c r="B936" s="72"/>
      <c r="C936" s="72"/>
      <c r="D936" s="91"/>
      <c r="E936" s="72"/>
    </row>
    <row r="937">
      <c r="A937" s="71"/>
      <c r="B937" s="72"/>
      <c r="C937" s="72"/>
      <c r="D937" s="91"/>
      <c r="E937" s="72"/>
    </row>
    <row r="938">
      <c r="A938" s="71"/>
      <c r="B938" s="72"/>
      <c r="C938" s="72"/>
      <c r="D938" s="91"/>
      <c r="E938" s="72"/>
    </row>
    <row r="939">
      <c r="A939" s="71"/>
      <c r="B939" s="72"/>
      <c r="C939" s="72"/>
      <c r="D939" s="91"/>
      <c r="E939" s="72"/>
    </row>
    <row r="940">
      <c r="A940" s="71"/>
      <c r="B940" s="72"/>
      <c r="C940" s="72"/>
      <c r="D940" s="91"/>
      <c r="E940" s="72"/>
    </row>
    <row r="941">
      <c r="A941" s="71"/>
      <c r="B941" s="72"/>
      <c r="C941" s="72"/>
      <c r="D941" s="91"/>
      <c r="E941" s="72"/>
    </row>
    <row r="942">
      <c r="A942" s="71"/>
      <c r="B942" s="72"/>
      <c r="C942" s="72"/>
      <c r="D942" s="91"/>
      <c r="E942" s="72"/>
    </row>
    <row r="943">
      <c r="A943" s="71"/>
      <c r="B943" s="72"/>
      <c r="C943" s="72"/>
      <c r="D943" s="91"/>
      <c r="E943" s="72"/>
    </row>
    <row r="944">
      <c r="A944" s="71"/>
      <c r="B944" s="72"/>
      <c r="C944" s="72"/>
      <c r="D944" s="91"/>
      <c r="E944" s="72"/>
    </row>
    <row r="945">
      <c r="A945" s="71"/>
      <c r="B945" s="72"/>
      <c r="C945" s="72"/>
      <c r="D945" s="91"/>
      <c r="E945" s="72"/>
    </row>
    <row r="946">
      <c r="A946" s="71"/>
      <c r="B946" s="72"/>
      <c r="C946" s="72"/>
      <c r="D946" s="91"/>
      <c r="E946" s="72"/>
    </row>
    <row r="947">
      <c r="A947" s="71"/>
      <c r="B947" s="72"/>
      <c r="C947" s="72"/>
      <c r="D947" s="91"/>
      <c r="E947" s="72"/>
    </row>
    <row r="948">
      <c r="A948" s="71"/>
      <c r="B948" s="72"/>
      <c r="C948" s="72"/>
      <c r="D948" s="91"/>
      <c r="E948" s="72"/>
    </row>
    <row r="949">
      <c r="A949" s="71"/>
      <c r="B949" s="72"/>
      <c r="C949" s="72"/>
      <c r="D949" s="91"/>
      <c r="E949" s="72"/>
    </row>
    <row r="950">
      <c r="A950" s="71"/>
      <c r="B950" s="72"/>
      <c r="C950" s="72"/>
      <c r="D950" s="91"/>
      <c r="E950" s="72"/>
    </row>
    <row r="951">
      <c r="A951" s="71"/>
      <c r="B951" s="72"/>
      <c r="C951" s="72"/>
      <c r="D951" s="91"/>
      <c r="E951" s="72"/>
    </row>
    <row r="952">
      <c r="A952" s="71"/>
      <c r="B952" s="72"/>
      <c r="C952" s="72"/>
      <c r="D952" s="91"/>
      <c r="E952" s="72"/>
    </row>
    <row r="953">
      <c r="A953" s="71"/>
      <c r="B953" s="72"/>
      <c r="C953" s="72"/>
      <c r="D953" s="91"/>
      <c r="E953" s="72"/>
    </row>
    <row r="954">
      <c r="A954" s="71"/>
      <c r="B954" s="72"/>
      <c r="C954" s="72"/>
      <c r="D954" s="91"/>
      <c r="E954" s="72"/>
    </row>
    <row r="955">
      <c r="A955" s="71"/>
      <c r="B955" s="72"/>
      <c r="C955" s="72"/>
      <c r="D955" s="91"/>
      <c r="E955" s="72"/>
    </row>
    <row r="956">
      <c r="A956" s="71"/>
      <c r="B956" s="72"/>
      <c r="C956" s="72"/>
      <c r="D956" s="91"/>
      <c r="E956" s="72"/>
    </row>
    <row r="957">
      <c r="A957" s="71"/>
      <c r="B957" s="72"/>
      <c r="C957" s="72"/>
      <c r="D957" s="91"/>
      <c r="E957" s="72"/>
    </row>
    <row r="958">
      <c r="A958" s="71"/>
      <c r="B958" s="72"/>
      <c r="C958" s="72"/>
      <c r="D958" s="91"/>
      <c r="E958" s="72"/>
    </row>
    <row r="959">
      <c r="A959" s="71"/>
      <c r="B959" s="72"/>
      <c r="C959" s="72"/>
      <c r="D959" s="91"/>
      <c r="E959" s="72"/>
    </row>
    <row r="960">
      <c r="A960" s="71"/>
      <c r="B960" s="72"/>
      <c r="C960" s="72"/>
      <c r="D960" s="91"/>
      <c r="E960" s="72"/>
    </row>
    <row r="961">
      <c r="A961" s="71"/>
      <c r="B961" s="72"/>
      <c r="C961" s="72"/>
      <c r="D961" s="91"/>
      <c r="E961" s="72"/>
    </row>
    <row r="962">
      <c r="A962" s="71"/>
      <c r="B962" s="72"/>
      <c r="C962" s="72"/>
      <c r="D962" s="91"/>
      <c r="E962" s="72"/>
    </row>
    <row r="963">
      <c r="A963" s="71"/>
      <c r="B963" s="72"/>
      <c r="C963" s="72"/>
      <c r="D963" s="91"/>
      <c r="E963" s="72"/>
    </row>
    <row r="964">
      <c r="A964" s="71"/>
      <c r="B964" s="72"/>
      <c r="C964" s="72"/>
      <c r="D964" s="91"/>
      <c r="E964" s="72"/>
    </row>
    <row r="965">
      <c r="A965" s="71"/>
      <c r="B965" s="72"/>
      <c r="C965" s="72"/>
      <c r="D965" s="91"/>
      <c r="E965" s="72"/>
    </row>
    <row r="966">
      <c r="A966" s="71"/>
      <c r="B966" s="72"/>
      <c r="C966" s="72"/>
      <c r="D966" s="91"/>
      <c r="E966" s="72"/>
    </row>
    <row r="967">
      <c r="A967" s="71"/>
      <c r="B967" s="72"/>
      <c r="C967" s="72"/>
      <c r="D967" s="91"/>
      <c r="E967" s="72"/>
    </row>
    <row r="968">
      <c r="A968" s="71"/>
      <c r="B968" s="72"/>
      <c r="C968" s="72"/>
      <c r="D968" s="91"/>
      <c r="E968" s="72"/>
    </row>
    <row r="969">
      <c r="A969" s="71"/>
      <c r="B969" s="72"/>
      <c r="C969" s="72"/>
      <c r="D969" s="91"/>
      <c r="E969" s="72"/>
    </row>
    <row r="970">
      <c r="A970" s="71"/>
      <c r="B970" s="72"/>
      <c r="C970" s="72"/>
      <c r="D970" s="91"/>
      <c r="E970" s="72"/>
    </row>
    <row r="971">
      <c r="A971" s="71"/>
      <c r="B971" s="72"/>
      <c r="C971" s="72"/>
      <c r="D971" s="91"/>
      <c r="E971" s="72"/>
    </row>
    <row r="972">
      <c r="A972" s="71"/>
      <c r="B972" s="72"/>
      <c r="C972" s="72"/>
      <c r="D972" s="91"/>
      <c r="E972" s="72"/>
    </row>
    <row r="973">
      <c r="A973" s="71"/>
      <c r="B973" s="72"/>
      <c r="C973" s="72"/>
      <c r="D973" s="91"/>
      <c r="E973" s="72"/>
    </row>
    <row r="974">
      <c r="A974" s="71"/>
      <c r="B974" s="72"/>
      <c r="C974" s="72"/>
      <c r="D974" s="91"/>
      <c r="E974" s="72"/>
    </row>
    <row r="975">
      <c r="A975" s="71"/>
      <c r="B975" s="72"/>
      <c r="C975" s="72"/>
      <c r="D975" s="91"/>
      <c r="E975" s="72"/>
    </row>
    <row r="976">
      <c r="A976" s="71"/>
      <c r="B976" s="72"/>
      <c r="C976" s="72"/>
      <c r="D976" s="91"/>
      <c r="E976" s="72"/>
    </row>
    <row r="977">
      <c r="A977" s="71"/>
      <c r="B977" s="72"/>
      <c r="C977" s="72"/>
      <c r="D977" s="91"/>
      <c r="E977" s="72"/>
    </row>
    <row r="978">
      <c r="A978" s="71"/>
      <c r="B978" s="72"/>
      <c r="C978" s="72"/>
      <c r="D978" s="91"/>
      <c r="E978" s="72"/>
    </row>
    <row r="979">
      <c r="A979" s="71"/>
      <c r="B979" s="72"/>
      <c r="C979" s="72"/>
      <c r="D979" s="91"/>
      <c r="E979" s="72"/>
    </row>
    <row r="980">
      <c r="A980" s="71"/>
      <c r="B980" s="72"/>
      <c r="C980" s="72"/>
      <c r="D980" s="91"/>
      <c r="E980" s="72"/>
    </row>
    <row r="981">
      <c r="A981" s="71"/>
      <c r="B981" s="72"/>
      <c r="C981" s="72"/>
      <c r="D981" s="91"/>
      <c r="E981" s="72"/>
    </row>
    <row r="982">
      <c r="A982" s="71"/>
      <c r="B982" s="72"/>
      <c r="C982" s="72"/>
      <c r="D982" s="91"/>
      <c r="E982" s="72"/>
    </row>
    <row r="983">
      <c r="A983" s="71"/>
      <c r="B983" s="72"/>
      <c r="C983" s="72"/>
      <c r="D983" s="91"/>
      <c r="E983" s="72"/>
    </row>
    <row r="984">
      <c r="A984" s="71"/>
      <c r="B984" s="72"/>
      <c r="C984" s="72"/>
      <c r="D984" s="91"/>
      <c r="E984" s="72"/>
    </row>
    <row r="985">
      <c r="A985" s="71"/>
      <c r="B985" s="72"/>
      <c r="C985" s="72"/>
      <c r="D985" s="91"/>
      <c r="E985" s="72"/>
    </row>
    <row r="986">
      <c r="A986" s="71"/>
      <c r="B986" s="72"/>
      <c r="C986" s="72"/>
      <c r="D986" s="91"/>
      <c r="E986" s="72"/>
    </row>
    <row r="987">
      <c r="A987" s="71"/>
      <c r="B987" s="72"/>
      <c r="C987" s="72"/>
      <c r="D987" s="91"/>
      <c r="E987" s="72"/>
    </row>
    <row r="988">
      <c r="A988" s="71"/>
      <c r="B988" s="72"/>
      <c r="C988" s="72"/>
      <c r="D988" s="91"/>
      <c r="E988" s="72"/>
    </row>
    <row r="989">
      <c r="A989" s="71"/>
      <c r="B989" s="72"/>
      <c r="C989" s="72"/>
      <c r="D989" s="91"/>
      <c r="E989" s="72"/>
    </row>
    <row r="990">
      <c r="A990" s="71"/>
      <c r="B990" s="72"/>
      <c r="C990" s="72"/>
      <c r="D990" s="91"/>
      <c r="E990" s="72"/>
    </row>
    <row r="991">
      <c r="A991" s="71"/>
      <c r="B991" s="72"/>
      <c r="C991" s="72"/>
      <c r="D991" s="91"/>
      <c r="E991" s="72"/>
    </row>
    <row r="992">
      <c r="A992" s="71"/>
      <c r="B992" s="72"/>
      <c r="C992" s="72"/>
      <c r="D992" s="91"/>
      <c r="E992" s="72"/>
    </row>
    <row r="993">
      <c r="A993" s="71"/>
      <c r="B993" s="72"/>
      <c r="C993" s="72"/>
      <c r="D993" s="91"/>
      <c r="E993" s="72"/>
    </row>
    <row r="994">
      <c r="A994" s="71"/>
      <c r="B994" s="72"/>
      <c r="C994" s="72"/>
      <c r="D994" s="91"/>
      <c r="E994" s="72"/>
    </row>
    <row r="995">
      <c r="A995" s="71"/>
      <c r="B995" s="72"/>
      <c r="C995" s="72"/>
      <c r="D995" s="91"/>
      <c r="E995" s="72"/>
    </row>
    <row r="996">
      <c r="A996" s="71"/>
      <c r="B996" s="72"/>
      <c r="C996" s="72"/>
      <c r="D996" s="91"/>
      <c r="E996" s="72"/>
    </row>
    <row r="997">
      <c r="A997" s="71"/>
      <c r="B997" s="72"/>
      <c r="C997" s="72"/>
      <c r="D997" s="91"/>
      <c r="E997" s="72"/>
    </row>
    <row r="998">
      <c r="A998" s="71"/>
      <c r="B998" s="72"/>
      <c r="C998" s="72"/>
      <c r="D998" s="91"/>
      <c r="E998" s="72"/>
    </row>
    <row r="999">
      <c r="A999" s="71"/>
      <c r="B999" s="72"/>
      <c r="C999" s="72"/>
      <c r="D999" s="91"/>
      <c r="E999" s="72"/>
    </row>
    <row r="1000">
      <c r="A1000" s="71"/>
      <c r="B1000" s="72"/>
      <c r="C1000" s="72"/>
      <c r="D1000" s="91"/>
      <c r="E1000" s="72"/>
    </row>
    <row r="1001">
      <c r="A1001" s="71"/>
      <c r="B1001" s="72"/>
      <c r="C1001" s="72"/>
      <c r="D1001" s="91"/>
      <c r="E1001" s="72"/>
    </row>
    <row r="1002">
      <c r="A1002" s="71"/>
      <c r="B1002" s="72"/>
      <c r="C1002" s="72"/>
      <c r="D1002" s="91"/>
      <c r="E1002" s="72"/>
    </row>
    <row r="1003">
      <c r="A1003" s="71"/>
      <c r="B1003" s="72"/>
      <c r="C1003" s="72"/>
      <c r="D1003" s="91"/>
      <c r="E1003" s="72"/>
    </row>
    <row r="1004">
      <c r="A1004" s="71"/>
      <c r="B1004" s="72"/>
      <c r="C1004" s="72"/>
      <c r="D1004" s="91"/>
      <c r="E1004" s="72"/>
    </row>
    <row r="1005">
      <c r="A1005" s="71"/>
      <c r="B1005" s="72"/>
      <c r="C1005" s="72"/>
      <c r="D1005" s="91"/>
      <c r="E1005" s="72"/>
    </row>
    <row r="1006">
      <c r="A1006" s="71"/>
      <c r="B1006" s="72"/>
      <c r="C1006" s="72"/>
      <c r="D1006" s="91"/>
      <c r="E1006" s="72"/>
    </row>
    <row r="1007">
      <c r="A1007" s="71"/>
      <c r="B1007" s="72"/>
      <c r="C1007" s="72"/>
      <c r="D1007" s="91"/>
      <c r="E1007" s="72"/>
    </row>
    <row r="1008">
      <c r="A1008" s="71"/>
      <c r="B1008" s="72"/>
      <c r="C1008" s="72"/>
      <c r="D1008" s="91"/>
      <c r="E1008" s="72"/>
    </row>
    <row r="1009">
      <c r="A1009" s="71"/>
      <c r="B1009" s="72"/>
      <c r="C1009" s="72"/>
      <c r="D1009" s="91"/>
      <c r="E1009" s="72"/>
    </row>
    <row r="1010">
      <c r="A1010" s="71"/>
      <c r="B1010" s="72"/>
      <c r="C1010" s="72"/>
      <c r="D1010" s="91"/>
      <c r="E1010" s="72"/>
    </row>
    <row r="1011">
      <c r="A1011" s="71"/>
      <c r="B1011" s="72"/>
      <c r="C1011" s="72"/>
      <c r="D1011" s="91"/>
      <c r="E1011" s="72"/>
    </row>
    <row r="1012">
      <c r="A1012" s="71"/>
      <c r="B1012" s="72"/>
      <c r="C1012" s="72"/>
      <c r="D1012" s="91"/>
      <c r="E1012" s="72"/>
    </row>
    <row r="1013">
      <c r="A1013" s="71"/>
      <c r="B1013" s="72"/>
      <c r="C1013" s="72"/>
      <c r="D1013" s="91"/>
      <c r="E1013" s="72"/>
    </row>
    <row r="1014">
      <c r="A1014" s="71"/>
      <c r="B1014" s="72"/>
      <c r="C1014" s="72"/>
      <c r="D1014" s="91"/>
      <c r="E1014" s="72"/>
    </row>
    <row r="1015">
      <c r="A1015" s="71"/>
      <c r="B1015" s="72"/>
      <c r="C1015" s="72"/>
      <c r="D1015" s="91"/>
      <c r="E1015" s="72"/>
    </row>
    <row r="1016">
      <c r="A1016" s="71"/>
      <c r="B1016" s="72"/>
      <c r="C1016" s="72"/>
      <c r="D1016" s="91"/>
      <c r="E1016" s="72"/>
    </row>
    <row r="1017">
      <c r="A1017" s="71"/>
      <c r="B1017" s="72"/>
      <c r="C1017" s="72"/>
      <c r="D1017" s="91"/>
      <c r="E1017" s="72"/>
    </row>
    <row r="1018">
      <c r="A1018" s="71"/>
      <c r="B1018" s="72"/>
      <c r="C1018" s="72"/>
      <c r="D1018" s="91"/>
      <c r="E1018" s="72"/>
    </row>
    <row r="1019">
      <c r="A1019" s="71"/>
      <c r="B1019" s="72"/>
      <c r="C1019" s="72"/>
      <c r="D1019" s="91"/>
      <c r="E1019" s="72"/>
    </row>
    <row r="1020">
      <c r="A1020" s="71"/>
      <c r="B1020" s="72"/>
      <c r="C1020" s="72"/>
      <c r="D1020" s="91"/>
      <c r="E1020" s="72"/>
    </row>
    <row r="1021">
      <c r="A1021" s="71"/>
      <c r="B1021" s="72"/>
      <c r="C1021" s="72"/>
      <c r="D1021" s="91"/>
      <c r="E1021" s="72"/>
    </row>
    <row r="1022">
      <c r="A1022" s="71"/>
      <c r="B1022" s="72"/>
      <c r="C1022" s="72"/>
      <c r="D1022" s="91"/>
      <c r="E1022" s="72"/>
    </row>
    <row r="1023">
      <c r="A1023" s="71"/>
      <c r="B1023" s="72"/>
      <c r="C1023" s="72"/>
      <c r="D1023" s="91"/>
      <c r="E1023" s="72"/>
    </row>
    <row r="1024">
      <c r="A1024" s="71"/>
      <c r="B1024" s="72"/>
      <c r="C1024" s="72"/>
      <c r="D1024" s="91"/>
      <c r="E1024" s="72"/>
    </row>
    <row r="1025">
      <c r="A1025" s="71"/>
      <c r="B1025" s="72"/>
      <c r="C1025" s="72"/>
      <c r="D1025" s="91"/>
      <c r="E1025" s="72"/>
    </row>
    <row r="1026">
      <c r="A1026" s="71"/>
      <c r="B1026" s="72"/>
      <c r="C1026" s="72"/>
      <c r="D1026" s="91"/>
      <c r="E1026" s="72"/>
    </row>
    <row r="1027">
      <c r="A1027" s="71"/>
      <c r="B1027" s="72"/>
      <c r="C1027" s="72"/>
      <c r="D1027" s="91"/>
      <c r="E1027" s="72"/>
    </row>
    <row r="1028">
      <c r="A1028" s="71"/>
      <c r="B1028" s="72"/>
      <c r="C1028" s="72"/>
      <c r="D1028" s="91"/>
      <c r="E1028" s="72"/>
    </row>
    <row r="1029">
      <c r="A1029" s="71"/>
      <c r="B1029" s="72"/>
      <c r="C1029" s="72"/>
      <c r="D1029" s="91"/>
      <c r="E1029" s="72"/>
    </row>
    <row r="1030">
      <c r="A1030" s="71"/>
      <c r="B1030" s="72"/>
      <c r="C1030" s="72"/>
      <c r="D1030" s="91"/>
      <c r="E1030" s="72"/>
    </row>
    <row r="1031">
      <c r="A1031" s="71"/>
      <c r="B1031" s="72"/>
      <c r="C1031" s="72"/>
      <c r="D1031" s="91"/>
      <c r="E1031" s="72"/>
    </row>
    <row r="1032">
      <c r="A1032" s="71"/>
      <c r="B1032" s="72"/>
      <c r="C1032" s="72"/>
      <c r="D1032" s="91"/>
      <c r="E1032" s="72"/>
    </row>
    <row r="1033">
      <c r="A1033" s="71"/>
      <c r="B1033" s="72"/>
      <c r="C1033" s="72"/>
      <c r="D1033" s="91"/>
      <c r="E1033" s="72"/>
    </row>
    <row r="1034">
      <c r="A1034" s="71"/>
      <c r="B1034" s="72"/>
      <c r="C1034" s="72"/>
      <c r="D1034" s="91"/>
      <c r="E1034" s="72"/>
    </row>
    <row r="1035">
      <c r="A1035" s="71"/>
      <c r="B1035" s="72"/>
      <c r="C1035" s="72"/>
      <c r="D1035" s="91"/>
      <c r="E1035" s="72"/>
    </row>
    <row r="1036">
      <c r="A1036" s="71"/>
      <c r="B1036" s="72"/>
      <c r="C1036" s="72"/>
      <c r="D1036" s="91"/>
      <c r="E1036" s="72"/>
    </row>
    <row r="1037">
      <c r="A1037" s="71"/>
      <c r="B1037" s="72"/>
      <c r="C1037" s="72"/>
      <c r="D1037" s="91"/>
      <c r="E1037" s="72"/>
    </row>
    <row r="1038">
      <c r="A1038" s="71"/>
      <c r="B1038" s="72"/>
      <c r="C1038" s="72"/>
      <c r="D1038" s="91"/>
      <c r="E1038" s="72"/>
    </row>
    <row r="1039">
      <c r="A1039" s="71"/>
      <c r="B1039" s="72"/>
      <c r="C1039" s="72"/>
      <c r="D1039" s="91"/>
      <c r="E1039" s="72"/>
    </row>
    <row r="1040">
      <c r="A1040" s="71"/>
      <c r="B1040" s="72"/>
      <c r="C1040" s="72"/>
      <c r="D1040" s="91"/>
      <c r="E1040" s="72"/>
    </row>
    <row r="1041">
      <c r="A1041" s="71"/>
      <c r="B1041" s="72"/>
      <c r="C1041" s="72"/>
      <c r="D1041" s="91"/>
      <c r="E1041" s="72"/>
    </row>
    <row r="1042">
      <c r="A1042" s="71"/>
      <c r="B1042" s="72"/>
      <c r="C1042" s="72"/>
      <c r="D1042" s="91"/>
      <c r="E1042" s="72"/>
    </row>
    <row r="1043">
      <c r="A1043" s="71"/>
      <c r="B1043" s="72"/>
      <c r="C1043" s="72"/>
      <c r="D1043" s="91"/>
      <c r="E1043" s="72"/>
    </row>
    <row r="1044">
      <c r="A1044" s="71"/>
      <c r="B1044" s="72"/>
      <c r="C1044" s="72"/>
      <c r="D1044" s="91"/>
      <c r="E1044" s="72"/>
    </row>
    <row r="1045">
      <c r="A1045" s="71"/>
      <c r="B1045" s="72"/>
      <c r="C1045" s="72"/>
      <c r="D1045" s="91"/>
      <c r="E1045" s="72"/>
    </row>
    <row r="1046">
      <c r="A1046" s="71"/>
      <c r="B1046" s="72"/>
      <c r="C1046" s="72"/>
      <c r="D1046" s="91"/>
      <c r="E1046" s="72"/>
    </row>
    <row r="1047">
      <c r="A1047" s="71"/>
      <c r="B1047" s="72"/>
      <c r="C1047" s="72"/>
      <c r="D1047" s="91"/>
      <c r="E1047" s="72"/>
    </row>
    <row r="1048">
      <c r="A1048" s="71"/>
      <c r="B1048" s="72"/>
      <c r="C1048" s="72"/>
      <c r="D1048" s="91"/>
      <c r="E1048" s="72"/>
    </row>
    <row r="1049">
      <c r="A1049" s="71"/>
      <c r="B1049" s="72"/>
      <c r="C1049" s="72"/>
      <c r="D1049" s="91"/>
      <c r="E1049" s="72"/>
    </row>
    <row r="1050">
      <c r="A1050" s="71"/>
      <c r="B1050" s="72"/>
      <c r="C1050" s="72"/>
      <c r="D1050" s="91"/>
      <c r="E1050" s="72"/>
    </row>
    <row r="1051">
      <c r="A1051" s="71"/>
      <c r="B1051" s="72"/>
      <c r="C1051" s="72"/>
      <c r="D1051" s="91"/>
      <c r="E1051" s="72"/>
    </row>
    <row r="1052">
      <c r="A1052" s="71"/>
      <c r="B1052" s="72"/>
      <c r="C1052" s="72"/>
      <c r="D1052" s="91"/>
      <c r="E1052" s="72"/>
    </row>
    <row r="1053">
      <c r="A1053" s="71"/>
      <c r="B1053" s="72"/>
      <c r="C1053" s="72"/>
      <c r="D1053" s="91"/>
      <c r="E1053" s="72"/>
    </row>
    <row r="1054">
      <c r="A1054" s="71"/>
      <c r="B1054" s="72"/>
      <c r="C1054" s="72"/>
      <c r="D1054" s="91"/>
      <c r="E1054" s="72"/>
    </row>
    <row r="1055">
      <c r="A1055" s="71"/>
      <c r="B1055" s="72"/>
      <c r="C1055" s="72"/>
      <c r="D1055" s="91"/>
      <c r="E1055" s="72"/>
    </row>
    <row r="1056">
      <c r="A1056" s="71"/>
      <c r="B1056" s="72"/>
      <c r="C1056" s="72"/>
      <c r="D1056" s="91"/>
      <c r="E1056" s="72"/>
    </row>
    <row r="1057">
      <c r="A1057" s="71"/>
      <c r="B1057" s="72"/>
      <c r="C1057" s="72"/>
      <c r="D1057" s="91"/>
      <c r="E1057" s="72"/>
    </row>
    <row r="1058">
      <c r="A1058" s="71"/>
      <c r="B1058" s="72"/>
      <c r="C1058" s="72"/>
      <c r="D1058" s="91"/>
      <c r="E1058" s="72"/>
    </row>
    <row r="1059">
      <c r="A1059" s="71"/>
      <c r="B1059" s="72"/>
      <c r="C1059" s="72"/>
      <c r="D1059" s="91"/>
      <c r="E1059" s="72"/>
    </row>
    <row r="1060">
      <c r="A1060" s="71"/>
      <c r="B1060" s="72"/>
      <c r="C1060" s="72"/>
      <c r="D1060" s="91"/>
      <c r="E1060" s="72"/>
    </row>
    <row r="1061">
      <c r="A1061" s="71"/>
      <c r="B1061" s="72"/>
      <c r="C1061" s="72"/>
      <c r="D1061" s="91"/>
      <c r="E1061" s="72"/>
    </row>
    <row r="1062">
      <c r="A1062" s="71"/>
      <c r="B1062" s="72"/>
      <c r="C1062" s="72"/>
      <c r="D1062" s="91"/>
      <c r="E1062" s="72"/>
    </row>
    <row r="1063">
      <c r="A1063" s="71"/>
      <c r="B1063" s="72"/>
      <c r="C1063" s="72"/>
      <c r="D1063" s="91"/>
      <c r="E1063" s="72"/>
    </row>
    <row r="1064">
      <c r="A1064" s="71"/>
      <c r="B1064" s="72"/>
      <c r="C1064" s="72"/>
      <c r="D1064" s="91"/>
      <c r="E1064" s="72"/>
    </row>
    <row r="1065">
      <c r="A1065" s="71"/>
      <c r="B1065" s="72"/>
      <c r="C1065" s="72"/>
      <c r="D1065" s="91"/>
      <c r="E1065" s="72"/>
    </row>
    <row r="1066">
      <c r="A1066" s="71"/>
      <c r="B1066" s="72"/>
      <c r="C1066" s="72"/>
      <c r="D1066" s="91"/>
      <c r="E1066" s="72"/>
    </row>
    <row r="1067">
      <c r="A1067" s="71"/>
      <c r="B1067" s="72"/>
      <c r="C1067" s="72"/>
      <c r="D1067" s="91"/>
      <c r="E1067" s="72"/>
    </row>
    <row r="1068">
      <c r="A1068" s="71"/>
      <c r="B1068" s="72"/>
      <c r="C1068" s="72"/>
      <c r="D1068" s="91"/>
      <c r="E1068" s="72"/>
    </row>
    <row r="1069">
      <c r="A1069" s="71"/>
      <c r="B1069" s="72"/>
      <c r="C1069" s="72"/>
      <c r="D1069" s="91"/>
      <c r="E1069" s="72"/>
    </row>
    <row r="1070">
      <c r="A1070" s="71"/>
      <c r="B1070" s="72"/>
      <c r="C1070" s="72"/>
      <c r="D1070" s="91"/>
      <c r="E1070" s="72"/>
    </row>
    <row r="1071">
      <c r="A1071" s="71"/>
      <c r="B1071" s="72"/>
      <c r="C1071" s="72"/>
      <c r="D1071" s="91"/>
      <c r="E1071" s="72"/>
    </row>
    <row r="1072">
      <c r="A1072" s="71"/>
      <c r="B1072" s="72"/>
      <c r="C1072" s="72"/>
      <c r="D1072" s="91"/>
      <c r="E1072" s="72"/>
    </row>
    <row r="1073">
      <c r="A1073" s="71"/>
      <c r="B1073" s="72"/>
      <c r="C1073" s="72"/>
      <c r="D1073" s="91"/>
      <c r="E1073" s="72"/>
    </row>
    <row r="1074">
      <c r="A1074" s="71"/>
      <c r="B1074" s="72"/>
      <c r="C1074" s="72"/>
      <c r="D1074" s="91"/>
      <c r="E1074" s="72"/>
    </row>
    <row r="1075">
      <c r="A1075" s="71"/>
      <c r="B1075" s="72"/>
      <c r="C1075" s="72"/>
      <c r="D1075" s="91"/>
      <c r="E1075" s="72"/>
    </row>
    <row r="1076">
      <c r="A1076" s="71"/>
      <c r="B1076" s="72"/>
      <c r="C1076" s="72"/>
      <c r="D1076" s="91"/>
      <c r="E1076" s="72"/>
    </row>
    <row r="1077">
      <c r="A1077" s="71"/>
      <c r="B1077" s="72"/>
      <c r="C1077" s="72"/>
      <c r="D1077" s="91"/>
      <c r="E1077" s="72"/>
    </row>
    <row r="1078">
      <c r="A1078" s="71"/>
      <c r="B1078" s="72"/>
      <c r="C1078" s="72"/>
      <c r="D1078" s="91"/>
      <c r="E1078" s="72"/>
    </row>
    <row r="1079">
      <c r="A1079" s="71"/>
      <c r="B1079" s="72"/>
      <c r="C1079" s="72"/>
      <c r="D1079" s="91"/>
      <c r="E1079" s="72"/>
    </row>
    <row r="1080">
      <c r="A1080" s="71"/>
      <c r="B1080" s="72"/>
      <c r="C1080" s="72"/>
      <c r="D1080" s="91"/>
      <c r="E1080" s="72"/>
    </row>
    <row r="1081">
      <c r="A1081" s="71"/>
      <c r="B1081" s="72"/>
      <c r="C1081" s="72"/>
      <c r="D1081" s="91"/>
      <c r="E1081" s="72"/>
    </row>
    <row r="1082">
      <c r="A1082" s="71"/>
      <c r="B1082" s="72"/>
      <c r="C1082" s="72"/>
      <c r="D1082" s="91"/>
      <c r="E1082" s="72"/>
    </row>
    <row r="1083">
      <c r="A1083" s="71"/>
      <c r="B1083" s="72"/>
      <c r="C1083" s="72"/>
      <c r="D1083" s="91"/>
      <c r="E1083" s="72"/>
    </row>
    <row r="1084">
      <c r="A1084" s="71"/>
      <c r="B1084" s="72"/>
      <c r="C1084" s="72"/>
      <c r="D1084" s="91"/>
      <c r="E1084" s="72"/>
    </row>
    <row r="1085">
      <c r="A1085" s="71"/>
      <c r="B1085" s="72"/>
      <c r="C1085" s="72"/>
      <c r="D1085" s="91"/>
      <c r="E1085" s="72"/>
    </row>
    <row r="1086">
      <c r="A1086" s="71"/>
      <c r="B1086" s="72"/>
      <c r="C1086" s="72"/>
      <c r="D1086" s="91"/>
      <c r="E1086" s="72"/>
    </row>
    <row r="1087">
      <c r="A1087" s="71"/>
      <c r="B1087" s="72"/>
      <c r="C1087" s="72"/>
      <c r="D1087" s="91"/>
      <c r="E1087" s="72"/>
    </row>
    <row r="1088">
      <c r="A1088" s="71"/>
      <c r="B1088" s="72"/>
      <c r="C1088" s="72"/>
      <c r="D1088" s="91"/>
      <c r="E1088" s="72"/>
    </row>
    <row r="1089">
      <c r="A1089" s="71"/>
      <c r="B1089" s="72"/>
      <c r="C1089" s="72"/>
      <c r="D1089" s="91"/>
      <c r="E1089" s="72"/>
    </row>
    <row r="1090">
      <c r="A1090" s="71"/>
      <c r="B1090" s="72"/>
      <c r="C1090" s="72"/>
      <c r="D1090" s="91"/>
      <c r="E1090" s="72"/>
    </row>
    <row r="1091">
      <c r="A1091" s="71"/>
      <c r="B1091" s="72"/>
      <c r="C1091" s="72"/>
      <c r="D1091" s="91"/>
      <c r="E1091" s="72"/>
    </row>
    <row r="1092">
      <c r="A1092" s="71"/>
      <c r="B1092" s="72"/>
      <c r="C1092" s="72"/>
      <c r="D1092" s="91"/>
      <c r="E1092" s="72"/>
    </row>
    <row r="1093">
      <c r="A1093" s="71"/>
      <c r="B1093" s="72"/>
      <c r="C1093" s="72"/>
      <c r="D1093" s="91"/>
      <c r="E1093" s="72"/>
    </row>
    <row r="1094">
      <c r="A1094" s="71"/>
      <c r="B1094" s="72"/>
      <c r="C1094" s="72"/>
      <c r="D1094" s="91"/>
      <c r="E1094" s="72"/>
    </row>
    <row r="1095">
      <c r="A1095" s="71"/>
      <c r="B1095" s="72"/>
      <c r="C1095" s="72"/>
      <c r="D1095" s="91"/>
      <c r="E1095" s="72"/>
    </row>
    <row r="1096">
      <c r="A1096" s="71"/>
      <c r="B1096" s="72"/>
      <c r="C1096" s="72"/>
      <c r="D1096" s="91"/>
      <c r="E1096" s="72"/>
    </row>
    <row r="1097">
      <c r="A1097" s="71"/>
      <c r="B1097" s="72"/>
      <c r="C1097" s="72"/>
      <c r="D1097" s="91"/>
      <c r="E1097" s="72"/>
    </row>
    <row r="1098">
      <c r="A1098" s="71"/>
      <c r="B1098" s="72"/>
      <c r="C1098" s="72"/>
      <c r="D1098" s="91"/>
      <c r="E1098" s="72"/>
    </row>
    <row r="1099">
      <c r="A1099" s="71"/>
      <c r="B1099" s="72"/>
      <c r="C1099" s="72"/>
      <c r="D1099" s="91"/>
      <c r="E1099" s="72"/>
    </row>
    <row r="1100">
      <c r="A1100" s="71"/>
      <c r="B1100" s="72"/>
      <c r="C1100" s="72"/>
      <c r="D1100" s="91"/>
      <c r="E1100" s="72"/>
    </row>
    <row r="1101">
      <c r="A1101" s="71"/>
      <c r="B1101" s="72"/>
      <c r="C1101" s="72"/>
      <c r="D1101" s="91"/>
      <c r="E1101" s="72"/>
    </row>
    <row r="1102">
      <c r="A1102" s="71"/>
      <c r="B1102" s="72"/>
      <c r="C1102" s="72"/>
      <c r="D1102" s="91"/>
      <c r="E1102" s="72"/>
    </row>
    <row r="1103">
      <c r="A1103" s="71"/>
      <c r="B1103" s="72"/>
      <c r="C1103" s="72"/>
      <c r="D1103" s="91"/>
      <c r="E1103" s="72"/>
    </row>
    <row r="1104">
      <c r="A1104" s="71"/>
      <c r="B1104" s="72"/>
      <c r="C1104" s="72"/>
      <c r="D1104" s="91"/>
      <c r="E1104" s="72"/>
    </row>
    <row r="1105">
      <c r="A1105" s="71"/>
      <c r="B1105" s="72"/>
      <c r="C1105" s="72"/>
      <c r="D1105" s="91"/>
      <c r="E1105" s="72"/>
    </row>
    <row r="1106">
      <c r="A1106" s="71"/>
      <c r="B1106" s="72"/>
      <c r="C1106" s="72"/>
      <c r="D1106" s="91"/>
      <c r="E1106" s="72"/>
    </row>
    <row r="1107">
      <c r="A1107" s="71"/>
      <c r="B1107" s="72"/>
      <c r="C1107" s="72"/>
      <c r="D1107" s="91"/>
      <c r="E1107" s="72"/>
    </row>
    <row r="1108">
      <c r="A1108" s="71"/>
      <c r="B1108" s="72"/>
      <c r="C1108" s="72"/>
      <c r="D1108" s="91"/>
      <c r="E1108" s="72"/>
    </row>
    <row r="1109">
      <c r="A1109" s="71"/>
      <c r="B1109" s="72"/>
      <c r="C1109" s="72"/>
      <c r="D1109" s="91"/>
      <c r="E1109" s="72"/>
    </row>
    <row r="1110">
      <c r="A1110" s="71"/>
      <c r="B1110" s="72"/>
      <c r="C1110" s="72"/>
      <c r="D1110" s="91"/>
      <c r="E1110" s="72"/>
    </row>
    <row r="1111">
      <c r="A1111" s="71"/>
      <c r="B1111" s="72"/>
      <c r="C1111" s="72"/>
      <c r="D1111" s="91"/>
      <c r="E1111" s="72"/>
    </row>
    <row r="1112">
      <c r="A1112" s="71"/>
      <c r="B1112" s="72"/>
      <c r="C1112" s="72"/>
      <c r="D1112" s="91"/>
      <c r="E1112" s="72"/>
    </row>
    <row r="1113">
      <c r="A1113" s="71"/>
      <c r="B1113" s="72"/>
      <c r="C1113" s="72"/>
      <c r="D1113" s="91"/>
      <c r="E1113" s="72"/>
    </row>
    <row r="1114">
      <c r="A1114" s="71"/>
      <c r="B1114" s="72"/>
      <c r="C1114" s="72"/>
      <c r="D1114" s="91"/>
      <c r="E1114" s="72"/>
    </row>
    <row r="1115">
      <c r="A1115" s="71"/>
      <c r="B1115" s="72"/>
      <c r="C1115" s="72"/>
      <c r="D1115" s="91"/>
      <c r="E1115" s="72"/>
    </row>
    <row r="1116">
      <c r="A1116" s="71"/>
      <c r="B1116" s="72"/>
      <c r="C1116" s="72"/>
      <c r="D1116" s="91"/>
      <c r="E1116" s="72"/>
    </row>
    <row r="1117">
      <c r="A1117" s="71"/>
      <c r="B1117" s="72"/>
      <c r="C1117" s="72"/>
      <c r="D1117" s="91"/>
      <c r="E1117" s="72"/>
    </row>
    <row r="1118">
      <c r="A1118" s="71"/>
      <c r="B1118" s="72"/>
      <c r="C1118" s="72"/>
      <c r="D1118" s="91"/>
      <c r="E1118" s="72"/>
    </row>
    <row r="1119">
      <c r="A1119" s="71"/>
      <c r="B1119" s="72"/>
      <c r="C1119" s="72"/>
      <c r="D1119" s="91"/>
      <c r="E1119" s="72"/>
    </row>
    <row r="1120">
      <c r="A1120" s="71"/>
      <c r="B1120" s="72"/>
      <c r="C1120" s="72"/>
      <c r="D1120" s="91"/>
      <c r="E1120" s="72"/>
    </row>
    <row r="1121">
      <c r="A1121" s="71"/>
      <c r="B1121" s="72"/>
      <c r="C1121" s="72"/>
      <c r="D1121" s="91"/>
      <c r="E1121" s="72"/>
    </row>
    <row r="1122">
      <c r="A1122" s="71"/>
      <c r="B1122" s="72"/>
      <c r="C1122" s="72"/>
      <c r="D1122" s="91"/>
      <c r="E1122" s="72"/>
    </row>
    <row r="1123">
      <c r="A1123" s="71"/>
      <c r="B1123" s="72"/>
      <c r="C1123" s="72"/>
      <c r="D1123" s="91"/>
      <c r="E1123" s="72"/>
    </row>
    <row r="1124">
      <c r="A1124" s="71"/>
      <c r="B1124" s="72"/>
      <c r="C1124" s="72"/>
      <c r="D1124" s="91"/>
      <c r="E1124" s="72"/>
    </row>
    <row r="1125">
      <c r="A1125" s="71"/>
      <c r="B1125" s="72"/>
      <c r="C1125" s="72"/>
      <c r="D1125" s="91"/>
      <c r="E1125" s="72"/>
    </row>
    <row r="1126">
      <c r="A1126" s="71"/>
      <c r="B1126" s="72"/>
      <c r="C1126" s="72"/>
      <c r="D1126" s="91"/>
      <c r="E1126" s="72"/>
    </row>
    <row r="1127">
      <c r="A1127" s="71"/>
      <c r="B1127" s="72"/>
      <c r="C1127" s="72"/>
      <c r="D1127" s="91"/>
      <c r="E1127" s="72"/>
    </row>
    <row r="1128">
      <c r="A1128" s="71"/>
      <c r="B1128" s="72"/>
      <c r="C1128" s="72"/>
      <c r="D1128" s="91"/>
      <c r="E1128" s="72"/>
    </row>
    <row r="1129">
      <c r="A1129" s="71"/>
      <c r="B1129" s="72"/>
      <c r="C1129" s="72"/>
      <c r="D1129" s="91"/>
      <c r="E1129" s="72"/>
    </row>
    <row r="1130">
      <c r="A1130" s="71"/>
      <c r="B1130" s="72"/>
      <c r="C1130" s="72"/>
      <c r="D1130" s="91"/>
      <c r="E1130" s="72"/>
    </row>
    <row r="1131">
      <c r="A1131" s="71"/>
      <c r="B1131" s="72"/>
      <c r="C1131" s="72"/>
      <c r="D1131" s="91"/>
      <c r="E1131" s="72"/>
    </row>
    <row r="1132">
      <c r="A1132" s="71"/>
      <c r="B1132" s="72"/>
      <c r="C1132" s="72"/>
      <c r="D1132" s="91"/>
      <c r="E1132" s="72"/>
    </row>
    <row r="1133">
      <c r="A1133" s="71"/>
      <c r="B1133" s="72"/>
      <c r="C1133" s="72"/>
      <c r="D1133" s="91"/>
      <c r="E1133" s="72"/>
    </row>
    <row r="1134">
      <c r="A1134" s="71"/>
      <c r="B1134" s="72"/>
      <c r="C1134" s="72"/>
      <c r="D1134" s="91"/>
      <c r="E1134" s="72"/>
    </row>
    <row r="1135">
      <c r="A1135" s="71"/>
      <c r="B1135" s="72"/>
      <c r="C1135" s="72"/>
      <c r="D1135" s="91"/>
      <c r="E1135" s="72"/>
    </row>
    <row r="1136">
      <c r="A1136" s="71"/>
      <c r="B1136" s="72"/>
      <c r="C1136" s="72"/>
      <c r="D1136" s="91"/>
      <c r="E1136" s="72"/>
    </row>
    <row r="1137">
      <c r="A1137" s="71"/>
      <c r="B1137" s="72"/>
      <c r="C1137" s="72"/>
      <c r="D1137" s="91"/>
      <c r="E1137" s="72"/>
    </row>
    <row r="1138">
      <c r="A1138" s="71"/>
      <c r="B1138" s="72"/>
      <c r="C1138" s="72"/>
      <c r="D1138" s="91"/>
      <c r="E1138" s="72"/>
    </row>
    <row r="1139">
      <c r="A1139" s="71"/>
      <c r="B1139" s="72"/>
      <c r="C1139" s="72"/>
      <c r="D1139" s="91"/>
      <c r="E1139" s="72"/>
    </row>
    <row r="1140">
      <c r="A1140" s="71"/>
      <c r="B1140" s="72"/>
      <c r="C1140" s="72"/>
      <c r="D1140" s="91"/>
      <c r="E1140" s="72"/>
    </row>
    <row r="1141">
      <c r="A1141" s="71"/>
      <c r="B1141" s="72"/>
      <c r="C1141" s="72"/>
      <c r="D1141" s="91"/>
      <c r="E1141" s="72"/>
    </row>
    <row r="1142">
      <c r="A1142" s="71"/>
      <c r="B1142" s="72"/>
      <c r="C1142" s="72"/>
      <c r="D1142" s="91"/>
      <c r="E1142" s="72"/>
    </row>
    <row r="1143">
      <c r="A1143" s="71"/>
      <c r="B1143" s="72"/>
      <c r="C1143" s="72"/>
      <c r="D1143" s="91"/>
      <c r="E1143" s="72"/>
    </row>
    <row r="1144">
      <c r="A1144" s="71"/>
      <c r="B1144" s="72"/>
      <c r="C1144" s="72"/>
      <c r="D1144" s="91"/>
      <c r="E1144" s="72"/>
    </row>
    <row r="1145">
      <c r="A1145" s="71"/>
      <c r="B1145" s="72"/>
      <c r="C1145" s="72"/>
      <c r="D1145" s="91"/>
      <c r="E1145" s="72"/>
    </row>
    <row r="1146">
      <c r="A1146" s="71"/>
      <c r="B1146" s="72"/>
      <c r="C1146" s="72"/>
      <c r="D1146" s="91"/>
      <c r="E1146" s="72"/>
    </row>
    <row r="1147">
      <c r="A1147" s="71"/>
      <c r="B1147" s="72"/>
      <c r="C1147" s="72"/>
      <c r="D1147" s="91"/>
      <c r="E1147" s="72"/>
    </row>
    <row r="1148">
      <c r="A1148" s="71"/>
      <c r="B1148" s="72"/>
      <c r="C1148" s="72"/>
      <c r="D1148" s="91"/>
      <c r="E1148" s="72"/>
    </row>
    <row r="1149">
      <c r="A1149" s="71"/>
      <c r="B1149" s="72"/>
      <c r="C1149" s="72"/>
      <c r="D1149" s="91"/>
      <c r="E1149" s="72"/>
    </row>
    <row r="1150">
      <c r="A1150" s="71"/>
      <c r="B1150" s="72"/>
      <c r="C1150" s="72"/>
      <c r="D1150" s="91"/>
      <c r="E1150" s="72"/>
    </row>
    <row r="1151">
      <c r="A1151" s="71"/>
      <c r="B1151" s="72"/>
      <c r="C1151" s="72"/>
      <c r="D1151" s="91"/>
      <c r="E1151" s="72"/>
    </row>
    <row r="1152">
      <c r="A1152" s="71"/>
      <c r="B1152" s="72"/>
      <c r="C1152" s="72"/>
      <c r="D1152" s="91"/>
      <c r="E1152" s="72"/>
    </row>
    <row r="1153">
      <c r="A1153" s="71"/>
      <c r="B1153" s="72"/>
      <c r="C1153" s="72"/>
      <c r="D1153" s="91"/>
      <c r="E1153" s="72"/>
    </row>
    <row r="1154">
      <c r="A1154" s="71"/>
      <c r="B1154" s="72"/>
      <c r="C1154" s="72"/>
      <c r="D1154" s="91"/>
      <c r="E1154" s="72"/>
    </row>
    <row r="1155">
      <c r="A1155" s="71"/>
      <c r="B1155" s="72"/>
      <c r="C1155" s="72"/>
      <c r="D1155" s="91"/>
      <c r="E1155" s="72"/>
    </row>
    <row r="1156">
      <c r="A1156" s="71"/>
      <c r="B1156" s="72"/>
      <c r="C1156" s="72"/>
      <c r="D1156" s="91"/>
      <c r="E1156" s="72"/>
    </row>
    <row r="1157">
      <c r="A1157" s="71"/>
      <c r="B1157" s="72"/>
      <c r="C1157" s="72"/>
      <c r="D1157" s="91"/>
      <c r="E1157" s="72"/>
    </row>
    <row r="1158">
      <c r="A1158" s="71"/>
      <c r="B1158" s="72"/>
      <c r="C1158" s="72"/>
      <c r="D1158" s="91"/>
      <c r="E1158" s="72"/>
    </row>
    <row r="1159">
      <c r="A1159" s="71"/>
      <c r="B1159" s="72"/>
      <c r="C1159" s="72"/>
      <c r="D1159" s="91"/>
      <c r="E1159" s="72"/>
    </row>
    <row r="1160">
      <c r="A1160" s="71"/>
      <c r="B1160" s="72"/>
      <c r="C1160" s="72"/>
      <c r="D1160" s="91"/>
      <c r="E1160" s="72"/>
    </row>
    <row r="1161">
      <c r="A1161" s="71"/>
      <c r="B1161" s="72"/>
      <c r="C1161" s="72"/>
      <c r="D1161" s="91"/>
      <c r="E1161" s="72"/>
    </row>
    <row r="1162">
      <c r="A1162" s="71"/>
      <c r="B1162" s="72"/>
      <c r="C1162" s="72"/>
      <c r="D1162" s="91"/>
      <c r="E1162" s="72"/>
    </row>
    <row r="1163">
      <c r="A1163" s="71"/>
      <c r="B1163" s="72"/>
      <c r="C1163" s="72"/>
      <c r="D1163" s="91"/>
      <c r="E1163" s="72"/>
    </row>
    <row r="1164">
      <c r="A1164" s="71"/>
      <c r="B1164" s="72"/>
      <c r="C1164" s="72"/>
      <c r="D1164" s="91"/>
      <c r="E1164" s="72"/>
    </row>
    <row r="1165">
      <c r="A1165" s="71"/>
      <c r="B1165" s="72"/>
      <c r="C1165" s="72"/>
      <c r="D1165" s="91"/>
      <c r="E1165" s="72"/>
    </row>
    <row r="1166">
      <c r="A1166" s="71"/>
      <c r="B1166" s="72"/>
      <c r="C1166" s="72"/>
      <c r="D1166" s="91"/>
      <c r="E1166" s="72"/>
    </row>
    <row r="1167">
      <c r="A1167" s="71"/>
      <c r="B1167" s="72"/>
      <c r="C1167" s="72"/>
      <c r="D1167" s="91"/>
      <c r="E1167" s="72"/>
    </row>
    <row r="1168">
      <c r="A1168" s="71"/>
      <c r="B1168" s="72"/>
      <c r="C1168" s="72"/>
      <c r="D1168" s="91"/>
      <c r="E1168" s="72"/>
    </row>
    <row r="1169">
      <c r="A1169" s="71"/>
      <c r="B1169" s="72"/>
      <c r="C1169" s="72"/>
      <c r="D1169" s="91"/>
      <c r="E1169" s="72"/>
    </row>
    <row r="1170">
      <c r="A1170" s="71"/>
      <c r="B1170" s="72"/>
      <c r="C1170" s="72"/>
      <c r="D1170" s="91"/>
      <c r="E1170" s="72"/>
    </row>
    <row r="1171">
      <c r="A1171" s="71"/>
      <c r="B1171" s="72"/>
      <c r="C1171" s="72"/>
      <c r="D1171" s="91"/>
      <c r="E1171" s="72"/>
    </row>
    <row r="1172">
      <c r="A1172" s="71"/>
      <c r="B1172" s="72"/>
      <c r="C1172" s="72"/>
      <c r="D1172" s="91"/>
      <c r="E1172" s="72"/>
    </row>
    <row r="1173">
      <c r="A1173" s="71"/>
      <c r="B1173" s="72"/>
      <c r="C1173" s="72"/>
      <c r="D1173" s="91"/>
      <c r="E1173" s="72"/>
    </row>
    <row r="1174">
      <c r="A1174" s="71"/>
      <c r="B1174" s="72"/>
      <c r="C1174" s="72"/>
      <c r="D1174" s="91"/>
      <c r="E1174" s="72"/>
    </row>
    <row r="1175">
      <c r="A1175" s="71"/>
      <c r="B1175" s="72"/>
      <c r="C1175" s="72"/>
      <c r="D1175" s="91"/>
      <c r="E1175" s="72"/>
    </row>
    <row r="1176">
      <c r="A1176" s="71"/>
      <c r="B1176" s="72"/>
      <c r="C1176" s="72"/>
      <c r="D1176" s="91"/>
      <c r="E1176" s="72"/>
    </row>
    <row r="1177">
      <c r="A1177" s="71"/>
      <c r="B1177" s="72"/>
      <c r="C1177" s="72"/>
      <c r="D1177" s="91"/>
      <c r="E1177" s="72"/>
    </row>
    <row r="1178">
      <c r="A1178" s="71"/>
      <c r="B1178" s="72"/>
      <c r="C1178" s="72"/>
      <c r="D1178" s="91"/>
      <c r="E1178" s="72"/>
    </row>
    <row r="1179">
      <c r="A1179" s="71"/>
      <c r="B1179" s="72"/>
      <c r="C1179" s="72"/>
      <c r="D1179" s="91"/>
      <c r="E1179" s="72"/>
    </row>
    <row r="1180">
      <c r="A1180" s="71"/>
      <c r="B1180" s="72"/>
      <c r="C1180" s="72"/>
      <c r="D1180" s="91"/>
      <c r="E1180" s="72"/>
    </row>
    <row r="1181">
      <c r="A1181" s="71"/>
      <c r="B1181" s="72"/>
      <c r="C1181" s="72"/>
      <c r="D1181" s="91"/>
      <c r="E1181" s="72"/>
    </row>
    <row r="1182">
      <c r="A1182" s="71"/>
      <c r="B1182" s="72"/>
      <c r="C1182" s="72"/>
      <c r="D1182" s="91"/>
      <c r="E1182" s="72"/>
    </row>
    <row r="1183">
      <c r="A1183" s="71"/>
      <c r="B1183" s="72"/>
      <c r="C1183" s="72"/>
      <c r="D1183" s="91"/>
      <c r="E1183" s="72"/>
    </row>
    <row r="1184">
      <c r="A1184" s="71"/>
      <c r="B1184" s="72"/>
      <c r="C1184" s="72"/>
      <c r="D1184" s="91"/>
      <c r="E1184" s="72"/>
    </row>
    <row r="1185">
      <c r="A1185" s="71"/>
      <c r="B1185" s="72"/>
      <c r="C1185" s="72"/>
      <c r="D1185" s="91"/>
      <c r="E1185" s="72"/>
    </row>
    <row r="1186">
      <c r="A1186" s="71"/>
      <c r="B1186" s="72"/>
      <c r="C1186" s="72"/>
      <c r="D1186" s="91"/>
      <c r="E1186" s="72"/>
    </row>
    <row r="1187">
      <c r="A1187" s="71"/>
      <c r="B1187" s="72"/>
      <c r="C1187" s="72"/>
      <c r="D1187" s="91"/>
      <c r="E1187" s="72"/>
    </row>
    <row r="1188">
      <c r="A1188" s="71"/>
      <c r="B1188" s="72"/>
      <c r="C1188" s="72"/>
      <c r="D1188" s="91"/>
      <c r="E1188" s="72"/>
    </row>
    <row r="1189">
      <c r="A1189" s="71"/>
      <c r="B1189" s="72"/>
      <c r="C1189" s="72"/>
      <c r="D1189" s="91"/>
      <c r="E1189" s="72"/>
    </row>
    <row r="1190">
      <c r="A1190" s="71"/>
      <c r="B1190" s="72"/>
      <c r="C1190" s="72"/>
      <c r="D1190" s="91"/>
      <c r="E1190" s="72"/>
    </row>
    <row r="1191">
      <c r="A1191" s="71"/>
      <c r="B1191" s="72"/>
      <c r="C1191" s="72"/>
      <c r="D1191" s="91"/>
      <c r="E1191" s="72"/>
    </row>
    <row r="1192">
      <c r="A1192" s="71"/>
      <c r="B1192" s="72"/>
      <c r="C1192" s="72"/>
      <c r="D1192" s="91"/>
      <c r="E1192" s="72"/>
    </row>
    <row r="1193">
      <c r="A1193" s="71"/>
      <c r="B1193" s="72"/>
      <c r="C1193" s="72"/>
      <c r="D1193" s="91"/>
      <c r="E1193" s="72"/>
    </row>
    <row r="1194">
      <c r="A1194" s="71"/>
      <c r="B1194" s="72"/>
      <c r="C1194" s="72"/>
      <c r="D1194" s="91"/>
      <c r="E1194" s="72"/>
    </row>
    <row r="1195">
      <c r="A1195" s="71"/>
      <c r="B1195" s="72"/>
      <c r="C1195" s="72"/>
      <c r="D1195" s="91"/>
      <c r="E1195" s="72"/>
    </row>
    <row r="1196">
      <c r="A1196" s="71"/>
      <c r="B1196" s="72"/>
      <c r="C1196" s="72"/>
      <c r="D1196" s="91"/>
      <c r="E1196" s="72"/>
    </row>
    <row r="1197">
      <c r="A1197" s="71"/>
      <c r="B1197" s="72"/>
      <c r="C1197" s="72"/>
      <c r="D1197" s="91"/>
      <c r="E1197" s="72"/>
    </row>
    <row r="1198">
      <c r="A1198" s="71"/>
      <c r="B1198" s="72"/>
      <c r="C1198" s="72"/>
      <c r="D1198" s="91"/>
      <c r="E1198" s="72"/>
    </row>
    <row r="1199">
      <c r="A1199" s="71"/>
      <c r="B1199" s="72"/>
      <c r="C1199" s="72"/>
      <c r="D1199" s="91"/>
      <c r="E1199" s="72"/>
    </row>
    <row r="1200">
      <c r="A1200" s="71"/>
      <c r="B1200" s="72"/>
      <c r="C1200" s="72"/>
      <c r="D1200" s="91"/>
      <c r="E1200" s="72"/>
    </row>
    <row r="1201">
      <c r="A1201" s="71"/>
      <c r="B1201" s="72"/>
      <c r="C1201" s="72"/>
      <c r="D1201" s="91"/>
      <c r="E1201" s="72"/>
    </row>
    <row r="1202">
      <c r="A1202" s="71"/>
      <c r="B1202" s="72"/>
      <c r="C1202" s="72"/>
      <c r="D1202" s="91"/>
      <c r="E1202" s="72"/>
    </row>
    <row r="1203">
      <c r="A1203" s="71"/>
      <c r="B1203" s="72"/>
      <c r="C1203" s="72"/>
      <c r="D1203" s="91"/>
      <c r="E1203" s="72"/>
    </row>
    <row r="1204">
      <c r="A1204" s="71"/>
      <c r="B1204" s="72"/>
      <c r="C1204" s="72"/>
      <c r="D1204" s="91"/>
      <c r="E1204" s="72"/>
    </row>
    <row r="1205">
      <c r="A1205" s="71"/>
      <c r="B1205" s="72"/>
      <c r="C1205" s="72"/>
      <c r="D1205" s="91"/>
      <c r="E1205" s="72"/>
    </row>
    <row r="1206">
      <c r="A1206" s="71"/>
      <c r="B1206" s="72"/>
      <c r="C1206" s="72"/>
      <c r="D1206" s="91"/>
      <c r="E1206" s="72"/>
    </row>
    <row r="1207">
      <c r="A1207" s="71"/>
      <c r="B1207" s="72"/>
      <c r="C1207" s="72"/>
      <c r="D1207" s="91"/>
      <c r="E1207" s="72"/>
    </row>
    <row r="1208">
      <c r="A1208" s="71"/>
      <c r="B1208" s="72"/>
      <c r="C1208" s="72"/>
      <c r="D1208" s="91"/>
      <c r="E1208" s="72"/>
    </row>
    <row r="1209">
      <c r="A1209" s="71"/>
      <c r="B1209" s="72"/>
      <c r="C1209" s="72"/>
      <c r="D1209" s="91"/>
      <c r="E1209" s="72"/>
    </row>
    <row r="1210">
      <c r="A1210" s="71"/>
      <c r="B1210" s="72"/>
      <c r="C1210" s="72"/>
      <c r="D1210" s="91"/>
      <c r="E1210" s="72"/>
    </row>
    <row r="1211">
      <c r="A1211" s="71"/>
      <c r="B1211" s="72"/>
      <c r="C1211" s="72"/>
      <c r="D1211" s="91"/>
      <c r="E1211" s="72"/>
    </row>
    <row r="1212">
      <c r="A1212" s="71"/>
      <c r="B1212" s="72"/>
      <c r="C1212" s="72"/>
      <c r="D1212" s="91"/>
      <c r="E1212" s="72"/>
    </row>
    <row r="1213">
      <c r="A1213" s="71"/>
      <c r="B1213" s="72"/>
      <c r="C1213" s="72"/>
      <c r="D1213" s="91"/>
      <c r="E1213" s="72"/>
    </row>
    <row r="1214">
      <c r="A1214" s="71"/>
      <c r="B1214" s="72"/>
      <c r="C1214" s="72"/>
      <c r="D1214" s="91"/>
      <c r="E1214" s="72"/>
    </row>
    <row r="1215">
      <c r="A1215" s="71"/>
      <c r="B1215" s="72"/>
      <c r="C1215" s="72"/>
      <c r="D1215" s="91"/>
      <c r="E1215" s="72"/>
    </row>
    <row r="1216">
      <c r="A1216" s="71"/>
      <c r="B1216" s="72"/>
      <c r="C1216" s="72"/>
      <c r="D1216" s="91"/>
      <c r="E1216" s="72"/>
    </row>
    <row r="1217">
      <c r="A1217" s="71"/>
      <c r="B1217" s="72"/>
      <c r="C1217" s="72"/>
      <c r="D1217" s="91"/>
      <c r="E1217" s="72"/>
    </row>
    <row r="1218">
      <c r="A1218" s="71"/>
      <c r="B1218" s="72"/>
      <c r="C1218" s="72"/>
      <c r="D1218" s="91"/>
      <c r="E1218" s="72"/>
    </row>
    <row r="1219">
      <c r="A1219" s="71"/>
      <c r="B1219" s="72"/>
      <c r="C1219" s="72"/>
      <c r="D1219" s="91"/>
      <c r="E1219" s="72"/>
    </row>
    <row r="1220">
      <c r="A1220" s="71"/>
      <c r="B1220" s="72"/>
      <c r="C1220" s="72"/>
      <c r="D1220" s="91"/>
      <c r="E1220" s="72"/>
    </row>
    <row r="1221">
      <c r="A1221" s="71"/>
      <c r="B1221" s="72"/>
      <c r="C1221" s="72"/>
      <c r="D1221" s="91"/>
      <c r="E1221" s="72"/>
    </row>
    <row r="1222">
      <c r="A1222" s="71"/>
      <c r="B1222" s="72"/>
      <c r="C1222" s="72"/>
      <c r="D1222" s="91"/>
      <c r="E1222" s="72"/>
    </row>
    <row r="1223">
      <c r="A1223" s="71"/>
      <c r="B1223" s="72"/>
      <c r="C1223" s="72"/>
      <c r="D1223" s="91"/>
      <c r="E1223" s="72"/>
    </row>
    <row r="1224">
      <c r="A1224" s="71"/>
      <c r="B1224" s="72"/>
      <c r="C1224" s="72"/>
      <c r="D1224" s="91"/>
      <c r="E1224" s="72"/>
    </row>
    <row r="1225">
      <c r="A1225" s="71"/>
      <c r="B1225" s="72"/>
      <c r="C1225" s="72"/>
      <c r="D1225" s="91"/>
      <c r="E1225" s="72"/>
    </row>
    <row r="1226">
      <c r="A1226" s="71"/>
      <c r="B1226" s="72"/>
      <c r="C1226" s="72"/>
      <c r="D1226" s="91"/>
      <c r="E1226" s="72"/>
    </row>
    <row r="1227">
      <c r="A1227" s="71"/>
      <c r="B1227" s="72"/>
      <c r="C1227" s="72"/>
      <c r="D1227" s="91"/>
      <c r="E1227" s="72"/>
    </row>
    <row r="1228">
      <c r="A1228" s="71"/>
      <c r="B1228" s="72"/>
      <c r="C1228" s="72"/>
      <c r="D1228" s="91"/>
      <c r="E1228" s="72"/>
    </row>
    <row r="1229">
      <c r="A1229" s="71"/>
      <c r="B1229" s="72"/>
      <c r="C1229" s="72"/>
      <c r="D1229" s="91"/>
      <c r="E1229" s="72"/>
    </row>
    <row r="1230">
      <c r="A1230" s="71"/>
      <c r="B1230" s="72"/>
      <c r="C1230" s="72"/>
      <c r="D1230" s="91"/>
      <c r="E1230" s="72"/>
    </row>
    <row r="1231">
      <c r="A1231" s="71"/>
      <c r="B1231" s="72"/>
      <c r="C1231" s="72"/>
      <c r="D1231" s="91"/>
      <c r="E1231" s="72"/>
    </row>
    <row r="1232">
      <c r="A1232" s="71"/>
      <c r="B1232" s="72"/>
      <c r="C1232" s="72"/>
      <c r="D1232" s="91"/>
      <c r="E1232" s="72"/>
    </row>
    <row r="1233">
      <c r="A1233" s="71"/>
      <c r="B1233" s="72"/>
      <c r="C1233" s="72"/>
      <c r="D1233" s="91"/>
      <c r="E1233" s="72"/>
    </row>
    <row r="1234">
      <c r="A1234" s="71"/>
      <c r="B1234" s="72"/>
      <c r="C1234" s="72"/>
      <c r="D1234" s="91"/>
      <c r="E1234" s="72"/>
    </row>
    <row r="1235">
      <c r="A1235" s="71"/>
      <c r="B1235" s="72"/>
      <c r="C1235" s="72"/>
      <c r="D1235" s="91"/>
      <c r="E1235" s="72"/>
    </row>
    <row r="1236">
      <c r="A1236" s="71"/>
      <c r="B1236" s="72"/>
      <c r="C1236" s="72"/>
      <c r="D1236" s="91"/>
      <c r="E1236" s="72"/>
    </row>
    <row r="1237">
      <c r="A1237" s="71"/>
      <c r="B1237" s="72"/>
      <c r="C1237" s="72"/>
      <c r="D1237" s="91"/>
      <c r="E1237" s="72"/>
    </row>
    <row r="1238">
      <c r="A1238" s="71"/>
      <c r="B1238" s="72"/>
      <c r="C1238" s="72"/>
      <c r="D1238" s="91"/>
      <c r="E1238" s="72"/>
    </row>
    <row r="1239">
      <c r="A1239" s="71"/>
      <c r="B1239" s="72"/>
      <c r="C1239" s="72"/>
      <c r="D1239" s="91"/>
      <c r="E1239" s="72"/>
    </row>
    <row r="1240">
      <c r="A1240" s="71"/>
      <c r="B1240" s="72"/>
      <c r="C1240" s="72"/>
      <c r="D1240" s="91"/>
      <c r="E1240" s="72"/>
    </row>
    <row r="1241">
      <c r="A1241" s="71"/>
      <c r="B1241" s="72"/>
      <c r="C1241" s="72"/>
      <c r="D1241" s="91"/>
      <c r="E1241" s="72"/>
    </row>
    <row r="1242">
      <c r="A1242" s="71"/>
      <c r="B1242" s="72"/>
      <c r="C1242" s="72"/>
      <c r="D1242" s="91"/>
      <c r="E1242" s="72"/>
    </row>
    <row r="1243">
      <c r="A1243" s="71"/>
      <c r="B1243" s="72"/>
      <c r="C1243" s="72"/>
      <c r="D1243" s="91"/>
      <c r="E1243" s="72"/>
    </row>
    <row r="1244">
      <c r="A1244" s="71"/>
      <c r="B1244" s="72"/>
      <c r="C1244" s="72"/>
      <c r="D1244" s="91"/>
      <c r="E1244" s="72"/>
    </row>
    <row r="1245">
      <c r="A1245" s="71"/>
      <c r="B1245" s="72"/>
      <c r="C1245" s="72"/>
      <c r="D1245" s="91"/>
      <c r="E1245" s="72"/>
    </row>
    <row r="1246">
      <c r="A1246" s="71"/>
      <c r="B1246" s="72"/>
      <c r="C1246" s="72"/>
      <c r="D1246" s="91"/>
      <c r="E1246" s="72"/>
    </row>
    <row r="1247">
      <c r="A1247" s="71"/>
      <c r="B1247" s="72"/>
      <c r="C1247" s="72"/>
      <c r="D1247" s="91"/>
      <c r="E1247" s="72"/>
    </row>
    <row r="1248">
      <c r="A1248" s="71"/>
      <c r="B1248" s="72"/>
      <c r="C1248" s="72"/>
      <c r="D1248" s="91"/>
      <c r="E1248" s="72"/>
    </row>
    <row r="1249">
      <c r="A1249" s="71"/>
      <c r="B1249" s="72"/>
      <c r="C1249" s="72"/>
      <c r="D1249" s="91"/>
      <c r="E1249" s="72"/>
    </row>
    <row r="1250">
      <c r="A1250" s="71"/>
      <c r="B1250" s="72"/>
      <c r="C1250" s="72"/>
      <c r="D1250" s="91"/>
      <c r="E1250" s="72"/>
    </row>
    <row r="1251">
      <c r="A1251" s="71"/>
      <c r="B1251" s="72"/>
      <c r="C1251" s="72"/>
      <c r="D1251" s="91"/>
      <c r="E1251" s="72"/>
    </row>
    <row r="1252">
      <c r="A1252" s="71"/>
      <c r="B1252" s="72"/>
      <c r="C1252" s="72"/>
      <c r="D1252" s="91"/>
      <c r="E1252" s="72"/>
    </row>
    <row r="1253">
      <c r="A1253" s="71"/>
      <c r="B1253" s="72"/>
      <c r="C1253" s="72"/>
      <c r="D1253" s="91"/>
      <c r="E1253" s="72"/>
    </row>
    <row r="1254">
      <c r="A1254" s="71"/>
      <c r="B1254" s="72"/>
      <c r="C1254" s="72"/>
      <c r="D1254" s="91"/>
      <c r="E1254" s="72"/>
    </row>
    <row r="1255">
      <c r="A1255" s="71"/>
      <c r="B1255" s="72"/>
      <c r="C1255" s="72"/>
      <c r="D1255" s="91"/>
      <c r="E1255" s="72"/>
    </row>
    <row r="1256">
      <c r="A1256" s="71"/>
      <c r="B1256" s="72"/>
      <c r="C1256" s="72"/>
      <c r="D1256" s="91"/>
      <c r="E1256" s="72"/>
    </row>
    <row r="1257">
      <c r="A1257" s="71"/>
      <c r="B1257" s="72"/>
      <c r="C1257" s="72"/>
      <c r="D1257" s="91"/>
      <c r="E1257" s="72"/>
    </row>
    <row r="1258">
      <c r="A1258" s="71"/>
      <c r="B1258" s="72"/>
      <c r="C1258" s="72"/>
      <c r="D1258" s="91"/>
      <c r="E1258" s="72"/>
    </row>
    <row r="1259">
      <c r="A1259" s="71"/>
      <c r="B1259" s="72"/>
      <c r="C1259" s="72"/>
      <c r="D1259" s="91"/>
      <c r="E1259" s="72"/>
    </row>
    <row r="1260">
      <c r="A1260" s="71"/>
      <c r="B1260" s="72"/>
      <c r="C1260" s="72"/>
      <c r="D1260" s="91"/>
      <c r="E1260" s="72"/>
    </row>
    <row r="1261">
      <c r="A1261" s="71"/>
      <c r="B1261" s="72"/>
      <c r="C1261" s="72"/>
      <c r="D1261" s="91"/>
      <c r="E1261" s="72"/>
    </row>
    <row r="1262">
      <c r="A1262" s="71"/>
      <c r="B1262" s="72"/>
      <c r="C1262" s="72"/>
      <c r="D1262" s="91"/>
      <c r="E1262" s="72"/>
    </row>
    <row r="1263">
      <c r="A1263" s="71"/>
      <c r="B1263" s="72"/>
      <c r="C1263" s="72"/>
      <c r="D1263" s="91"/>
      <c r="E1263" s="72"/>
    </row>
    <row r="1264">
      <c r="A1264" s="71"/>
      <c r="B1264" s="72"/>
      <c r="C1264" s="72"/>
      <c r="D1264" s="91"/>
      <c r="E1264" s="72"/>
    </row>
    <row r="1265">
      <c r="A1265" s="71"/>
      <c r="B1265" s="72"/>
      <c r="C1265" s="72"/>
      <c r="D1265" s="91"/>
      <c r="E1265" s="72"/>
    </row>
    <row r="1266">
      <c r="A1266" s="71"/>
      <c r="B1266" s="72"/>
      <c r="C1266" s="72"/>
      <c r="D1266" s="91"/>
      <c r="E1266" s="72"/>
    </row>
    <row r="1267">
      <c r="A1267" s="71"/>
      <c r="B1267" s="72"/>
      <c r="C1267" s="72"/>
      <c r="D1267" s="91"/>
      <c r="E1267" s="72"/>
    </row>
    <row r="1268">
      <c r="A1268" s="71"/>
      <c r="B1268" s="72"/>
      <c r="C1268" s="72"/>
      <c r="D1268" s="91"/>
      <c r="E1268" s="72"/>
    </row>
    <row r="1269">
      <c r="A1269" s="71"/>
      <c r="B1269" s="72"/>
      <c r="C1269" s="72"/>
      <c r="D1269" s="91"/>
      <c r="E1269" s="72"/>
    </row>
    <row r="1270">
      <c r="A1270" s="71"/>
      <c r="B1270" s="72"/>
      <c r="C1270" s="72"/>
      <c r="D1270" s="91"/>
      <c r="E1270" s="72"/>
    </row>
    <row r="1271">
      <c r="A1271" s="71"/>
      <c r="B1271" s="72"/>
      <c r="C1271" s="72"/>
      <c r="D1271" s="91"/>
      <c r="E1271" s="72"/>
    </row>
    <row r="1272">
      <c r="A1272" s="71"/>
      <c r="B1272" s="72"/>
      <c r="C1272" s="72"/>
      <c r="D1272" s="91"/>
      <c r="E1272" s="72"/>
    </row>
    <row r="1273">
      <c r="A1273" s="71"/>
      <c r="B1273" s="72"/>
      <c r="C1273" s="72"/>
      <c r="D1273" s="91"/>
      <c r="E1273" s="72"/>
    </row>
    <row r="1274">
      <c r="A1274" s="71"/>
      <c r="B1274" s="72"/>
      <c r="C1274" s="72"/>
      <c r="D1274" s="91"/>
      <c r="E1274" s="72"/>
    </row>
    <row r="1275">
      <c r="A1275" s="71"/>
      <c r="B1275" s="72"/>
      <c r="C1275" s="72"/>
      <c r="D1275" s="91"/>
      <c r="E1275" s="72"/>
    </row>
    <row r="1276">
      <c r="A1276" s="71"/>
      <c r="B1276" s="72"/>
      <c r="C1276" s="72"/>
      <c r="D1276" s="91"/>
      <c r="E1276" s="72"/>
    </row>
    <row r="1277">
      <c r="A1277" s="71"/>
      <c r="B1277" s="72"/>
      <c r="C1277" s="72"/>
      <c r="D1277" s="91"/>
      <c r="E1277" s="72"/>
    </row>
    <row r="1278">
      <c r="A1278" s="71"/>
      <c r="B1278" s="72"/>
      <c r="C1278" s="72"/>
      <c r="D1278" s="91"/>
      <c r="E1278" s="72"/>
    </row>
    <row r="1279">
      <c r="A1279" s="71"/>
      <c r="B1279" s="72"/>
      <c r="C1279" s="72"/>
      <c r="D1279" s="91"/>
      <c r="E1279" s="72"/>
    </row>
    <row r="1280">
      <c r="A1280" s="71"/>
      <c r="B1280" s="72"/>
      <c r="C1280" s="72"/>
      <c r="D1280" s="91"/>
      <c r="E1280" s="72"/>
    </row>
    <row r="1281">
      <c r="A1281" s="71"/>
      <c r="B1281" s="72"/>
      <c r="C1281" s="72"/>
      <c r="D1281" s="91"/>
      <c r="E1281" s="72"/>
    </row>
    <row r="1282">
      <c r="A1282" s="71"/>
      <c r="B1282" s="72"/>
      <c r="C1282" s="72"/>
      <c r="D1282" s="91"/>
      <c r="E1282" s="72"/>
    </row>
    <row r="1283">
      <c r="A1283" s="71"/>
      <c r="B1283" s="72"/>
      <c r="C1283" s="72"/>
      <c r="D1283" s="91"/>
      <c r="E1283" s="72"/>
    </row>
    <row r="1284">
      <c r="A1284" s="71"/>
      <c r="B1284" s="72"/>
      <c r="C1284" s="72"/>
      <c r="D1284" s="91"/>
      <c r="E1284" s="72"/>
    </row>
    <row r="1285">
      <c r="A1285" s="71"/>
      <c r="B1285" s="72"/>
      <c r="C1285" s="72"/>
      <c r="D1285" s="91"/>
      <c r="E1285" s="72"/>
    </row>
    <row r="1286">
      <c r="A1286" s="71"/>
      <c r="B1286" s="72"/>
      <c r="C1286" s="72"/>
      <c r="D1286" s="91"/>
      <c r="E1286" s="72"/>
    </row>
    <row r="1287">
      <c r="A1287" s="71"/>
      <c r="B1287" s="72"/>
      <c r="C1287" s="72"/>
      <c r="D1287" s="91"/>
      <c r="E1287" s="72"/>
    </row>
    <row r="1288">
      <c r="A1288" s="71"/>
      <c r="B1288" s="72"/>
      <c r="C1288" s="72"/>
      <c r="D1288" s="91"/>
      <c r="E1288" s="72"/>
    </row>
    <row r="1289">
      <c r="A1289" s="71"/>
      <c r="B1289" s="72"/>
      <c r="C1289" s="72"/>
      <c r="D1289" s="91"/>
      <c r="E1289" s="72"/>
    </row>
    <row r="1290">
      <c r="A1290" s="71"/>
      <c r="B1290" s="72"/>
      <c r="C1290" s="72"/>
      <c r="D1290" s="91"/>
      <c r="E1290" s="72"/>
    </row>
    <row r="1291">
      <c r="A1291" s="71"/>
      <c r="B1291" s="72"/>
      <c r="C1291" s="72"/>
      <c r="D1291" s="91"/>
      <c r="E1291" s="72"/>
    </row>
    <row r="1292">
      <c r="A1292" s="71"/>
      <c r="B1292" s="72"/>
      <c r="C1292" s="72"/>
      <c r="D1292" s="91"/>
      <c r="E1292" s="72"/>
    </row>
    <row r="1293">
      <c r="A1293" s="71"/>
      <c r="B1293" s="72"/>
      <c r="C1293" s="72"/>
      <c r="D1293" s="91"/>
      <c r="E1293" s="72"/>
    </row>
    <row r="1294">
      <c r="A1294" s="71"/>
      <c r="B1294" s="72"/>
      <c r="C1294" s="72"/>
      <c r="D1294" s="91"/>
      <c r="E1294" s="72"/>
    </row>
    <row r="1295">
      <c r="A1295" s="71"/>
      <c r="B1295" s="72"/>
      <c r="C1295" s="72"/>
      <c r="D1295" s="91"/>
      <c r="E1295" s="72"/>
    </row>
    <row r="1296">
      <c r="A1296" s="71"/>
      <c r="B1296" s="72"/>
      <c r="C1296" s="72"/>
      <c r="D1296" s="91"/>
      <c r="E1296" s="72"/>
    </row>
    <row r="1297">
      <c r="A1297" s="71"/>
      <c r="B1297" s="72"/>
      <c r="C1297" s="72"/>
      <c r="D1297" s="91"/>
      <c r="E1297" s="72"/>
    </row>
    <row r="1298">
      <c r="A1298" s="71"/>
      <c r="B1298" s="72"/>
      <c r="C1298" s="72"/>
      <c r="D1298" s="91"/>
      <c r="E1298" s="72"/>
    </row>
    <row r="1299">
      <c r="A1299" s="71"/>
      <c r="B1299" s="72"/>
      <c r="C1299" s="72"/>
      <c r="D1299" s="91"/>
      <c r="E1299" s="72"/>
    </row>
    <row r="1300">
      <c r="A1300" s="71"/>
      <c r="B1300" s="72"/>
      <c r="C1300" s="72"/>
      <c r="D1300" s="91"/>
      <c r="E1300" s="72"/>
    </row>
    <row r="1301">
      <c r="A1301" s="71"/>
      <c r="B1301" s="72"/>
      <c r="C1301" s="72"/>
      <c r="D1301" s="91"/>
      <c r="E1301" s="72"/>
    </row>
    <row r="1302">
      <c r="A1302" s="71"/>
      <c r="B1302" s="72"/>
      <c r="C1302" s="72"/>
      <c r="D1302" s="91"/>
      <c r="E1302" s="72"/>
    </row>
    <row r="1303">
      <c r="A1303" s="71"/>
      <c r="B1303" s="72"/>
      <c r="C1303" s="72"/>
      <c r="D1303" s="91"/>
      <c r="E1303" s="72"/>
    </row>
    <row r="1304">
      <c r="A1304" s="71"/>
      <c r="B1304" s="72"/>
      <c r="C1304" s="72"/>
      <c r="D1304" s="91"/>
      <c r="E1304" s="72"/>
    </row>
    <row r="1305">
      <c r="A1305" s="71"/>
      <c r="B1305" s="72"/>
      <c r="C1305" s="72"/>
      <c r="D1305" s="91"/>
      <c r="E1305" s="72"/>
    </row>
    <row r="1306">
      <c r="A1306" s="71"/>
      <c r="B1306" s="72"/>
      <c r="C1306" s="72"/>
      <c r="D1306" s="91"/>
      <c r="E1306" s="72"/>
    </row>
    <row r="1307">
      <c r="A1307" s="71"/>
      <c r="B1307" s="72"/>
      <c r="C1307" s="72"/>
      <c r="D1307" s="91"/>
      <c r="E1307" s="72"/>
    </row>
    <row r="1308">
      <c r="A1308" s="71"/>
      <c r="B1308" s="72"/>
      <c r="C1308" s="72"/>
      <c r="D1308" s="91"/>
      <c r="E1308" s="72"/>
    </row>
    <row r="1309">
      <c r="A1309" s="71"/>
      <c r="B1309" s="72"/>
      <c r="C1309" s="72"/>
      <c r="D1309" s="91"/>
      <c r="E1309" s="72"/>
    </row>
    <row r="1310">
      <c r="A1310" s="71"/>
      <c r="B1310" s="72"/>
      <c r="C1310" s="72"/>
      <c r="D1310" s="91"/>
      <c r="E1310" s="72"/>
    </row>
    <row r="1311">
      <c r="A1311" s="71"/>
      <c r="B1311" s="72"/>
      <c r="C1311" s="72"/>
      <c r="D1311" s="91"/>
      <c r="E1311" s="72"/>
    </row>
    <row r="1312">
      <c r="A1312" s="71"/>
      <c r="B1312" s="72"/>
      <c r="C1312" s="72"/>
      <c r="D1312" s="91"/>
      <c r="E1312" s="72"/>
    </row>
    <row r="1313">
      <c r="A1313" s="71"/>
      <c r="B1313" s="72"/>
      <c r="C1313" s="72"/>
      <c r="D1313" s="91"/>
      <c r="E1313" s="72"/>
    </row>
    <row r="1314">
      <c r="A1314" s="71"/>
      <c r="B1314" s="72"/>
      <c r="C1314" s="72"/>
      <c r="D1314" s="91"/>
      <c r="E1314" s="72"/>
    </row>
    <row r="1315">
      <c r="A1315" s="71"/>
      <c r="B1315" s="72"/>
      <c r="C1315" s="72"/>
      <c r="D1315" s="91"/>
      <c r="E1315" s="72"/>
    </row>
    <row r="1316">
      <c r="A1316" s="71"/>
      <c r="B1316" s="72"/>
      <c r="C1316" s="72"/>
      <c r="D1316" s="91"/>
      <c r="E1316" s="72"/>
    </row>
    <row r="1317">
      <c r="A1317" s="71"/>
      <c r="B1317" s="72"/>
      <c r="C1317" s="72"/>
      <c r="D1317" s="91"/>
      <c r="E1317" s="72"/>
    </row>
    <row r="1318">
      <c r="A1318" s="71"/>
      <c r="B1318" s="72"/>
      <c r="C1318" s="72"/>
      <c r="D1318" s="91"/>
      <c r="E1318" s="72"/>
    </row>
    <row r="1319">
      <c r="A1319" s="71"/>
      <c r="B1319" s="72"/>
      <c r="C1319" s="72"/>
      <c r="D1319" s="91"/>
      <c r="E1319" s="72"/>
    </row>
    <row r="1320">
      <c r="A1320" s="71"/>
      <c r="B1320" s="72"/>
      <c r="C1320" s="72"/>
      <c r="D1320" s="91"/>
      <c r="E1320" s="72"/>
    </row>
    <row r="1321">
      <c r="A1321" s="71"/>
      <c r="B1321" s="72"/>
      <c r="C1321" s="72"/>
      <c r="D1321" s="91"/>
      <c r="E1321" s="72"/>
    </row>
    <row r="1322">
      <c r="A1322" s="71"/>
      <c r="B1322" s="72"/>
      <c r="C1322" s="72"/>
      <c r="D1322" s="91"/>
      <c r="E1322" s="72"/>
    </row>
    <row r="1323">
      <c r="A1323" s="71"/>
      <c r="B1323" s="72"/>
      <c r="C1323" s="72"/>
      <c r="D1323" s="91"/>
      <c r="E1323" s="72"/>
    </row>
    <row r="1324">
      <c r="A1324" s="71"/>
      <c r="B1324" s="72"/>
      <c r="C1324" s="72"/>
      <c r="D1324" s="91"/>
      <c r="E1324" s="72"/>
    </row>
    <row r="1325">
      <c r="A1325" s="71"/>
      <c r="B1325" s="72"/>
      <c r="C1325" s="72"/>
      <c r="D1325" s="91"/>
      <c r="E1325" s="72"/>
    </row>
    <row r="1326">
      <c r="A1326" s="71"/>
      <c r="B1326" s="72"/>
      <c r="C1326" s="72"/>
      <c r="D1326" s="91"/>
      <c r="E1326" s="72"/>
    </row>
    <row r="1327">
      <c r="A1327" s="71"/>
      <c r="B1327" s="72"/>
      <c r="C1327" s="72"/>
      <c r="D1327" s="91"/>
      <c r="E1327" s="72"/>
    </row>
    <row r="1328">
      <c r="A1328" s="71"/>
      <c r="B1328" s="72"/>
      <c r="C1328" s="72"/>
      <c r="D1328" s="91"/>
      <c r="E1328" s="72"/>
    </row>
    <row r="1329">
      <c r="A1329" s="71"/>
      <c r="B1329" s="72"/>
      <c r="C1329" s="72"/>
      <c r="D1329" s="91"/>
      <c r="E1329" s="72"/>
    </row>
    <row r="1330">
      <c r="A1330" s="71"/>
      <c r="B1330" s="72"/>
      <c r="C1330" s="72"/>
      <c r="D1330" s="91"/>
      <c r="E1330" s="72"/>
    </row>
    <row r="1331">
      <c r="A1331" s="71"/>
      <c r="B1331" s="72"/>
      <c r="C1331" s="72"/>
      <c r="D1331" s="91"/>
      <c r="E1331" s="72"/>
    </row>
    <row r="1332">
      <c r="A1332" s="71"/>
      <c r="B1332" s="72"/>
      <c r="C1332" s="72"/>
      <c r="D1332" s="91"/>
      <c r="E1332" s="72"/>
    </row>
    <row r="1333">
      <c r="A1333" s="71"/>
      <c r="B1333" s="72"/>
      <c r="C1333" s="72"/>
      <c r="D1333" s="91"/>
      <c r="E1333" s="72"/>
    </row>
    <row r="1334">
      <c r="A1334" s="71"/>
      <c r="B1334" s="72"/>
      <c r="C1334" s="72"/>
      <c r="D1334" s="91"/>
      <c r="E1334" s="72"/>
    </row>
    <row r="1335">
      <c r="A1335" s="71"/>
      <c r="B1335" s="72"/>
      <c r="C1335" s="72"/>
      <c r="D1335" s="91"/>
      <c r="E1335" s="72"/>
    </row>
    <row r="1336">
      <c r="A1336" s="71"/>
      <c r="B1336" s="72"/>
      <c r="C1336" s="72"/>
      <c r="D1336" s="91"/>
      <c r="E1336" s="72"/>
    </row>
    <row r="1337">
      <c r="A1337" s="71"/>
      <c r="B1337" s="72"/>
      <c r="C1337" s="72"/>
      <c r="D1337" s="91"/>
      <c r="E1337" s="72"/>
    </row>
    <row r="1338">
      <c r="A1338" s="71"/>
      <c r="B1338" s="72"/>
      <c r="C1338" s="72"/>
      <c r="D1338" s="91"/>
      <c r="E1338" s="72"/>
    </row>
    <row r="1339">
      <c r="A1339" s="71"/>
      <c r="B1339" s="72"/>
      <c r="C1339" s="72"/>
      <c r="D1339" s="91"/>
      <c r="E1339" s="72"/>
    </row>
    <row r="1340">
      <c r="A1340" s="71"/>
      <c r="B1340" s="72"/>
      <c r="C1340" s="72"/>
      <c r="D1340" s="91"/>
      <c r="E1340" s="72"/>
    </row>
    <row r="1341">
      <c r="A1341" s="71"/>
      <c r="B1341" s="72"/>
      <c r="C1341" s="72"/>
      <c r="D1341" s="91"/>
      <c r="E1341" s="72"/>
    </row>
    <row r="1342">
      <c r="A1342" s="71"/>
      <c r="B1342" s="72"/>
      <c r="C1342" s="72"/>
      <c r="D1342" s="91"/>
      <c r="E1342" s="72"/>
    </row>
    <row r="1343">
      <c r="A1343" s="71"/>
      <c r="B1343" s="72"/>
      <c r="C1343" s="72"/>
      <c r="D1343" s="91"/>
      <c r="E1343" s="72"/>
    </row>
    <row r="1344">
      <c r="A1344" s="71"/>
      <c r="B1344" s="72"/>
      <c r="C1344" s="72"/>
      <c r="D1344" s="91"/>
      <c r="E1344" s="72"/>
    </row>
    <row r="1345">
      <c r="A1345" s="71"/>
      <c r="B1345" s="72"/>
      <c r="C1345" s="72"/>
      <c r="D1345" s="91"/>
      <c r="E1345" s="72"/>
    </row>
    <row r="1346">
      <c r="A1346" s="71"/>
      <c r="B1346" s="72"/>
      <c r="C1346" s="72"/>
      <c r="D1346" s="91"/>
      <c r="E1346" s="72"/>
    </row>
    <row r="1347">
      <c r="A1347" s="71"/>
      <c r="B1347" s="72"/>
      <c r="C1347" s="72"/>
      <c r="D1347" s="91"/>
      <c r="E1347" s="72"/>
    </row>
    <row r="1348">
      <c r="A1348" s="71"/>
      <c r="B1348" s="72"/>
      <c r="C1348" s="72"/>
      <c r="D1348" s="91"/>
      <c r="E1348" s="72"/>
    </row>
    <row r="1349">
      <c r="A1349" s="71"/>
      <c r="B1349" s="72"/>
      <c r="C1349" s="72"/>
      <c r="D1349" s="91"/>
      <c r="E1349" s="72"/>
    </row>
    <row r="1350">
      <c r="A1350" s="71"/>
      <c r="B1350" s="72"/>
      <c r="C1350" s="72"/>
      <c r="D1350" s="91"/>
      <c r="E1350" s="72"/>
    </row>
    <row r="1351">
      <c r="A1351" s="71"/>
      <c r="B1351" s="72"/>
      <c r="C1351" s="72"/>
      <c r="D1351" s="91"/>
      <c r="E1351" s="72"/>
    </row>
    <row r="1352">
      <c r="A1352" s="71"/>
      <c r="B1352" s="72"/>
      <c r="C1352" s="72"/>
      <c r="D1352" s="91"/>
      <c r="E1352" s="72"/>
    </row>
    <row r="1353">
      <c r="A1353" s="71"/>
      <c r="B1353" s="72"/>
      <c r="C1353" s="72"/>
      <c r="D1353" s="91"/>
      <c r="E1353" s="72"/>
    </row>
    <row r="1354">
      <c r="A1354" s="71"/>
      <c r="B1354" s="72"/>
      <c r="C1354" s="72"/>
      <c r="D1354" s="91"/>
      <c r="E1354" s="72"/>
    </row>
    <row r="1355">
      <c r="A1355" s="71"/>
      <c r="B1355" s="72"/>
      <c r="C1355" s="72"/>
      <c r="D1355" s="91"/>
      <c r="E1355" s="72"/>
    </row>
    <row r="1356">
      <c r="A1356" s="71"/>
      <c r="B1356" s="72"/>
      <c r="C1356" s="72"/>
      <c r="D1356" s="91"/>
      <c r="E1356" s="72"/>
    </row>
    <row r="1357">
      <c r="A1357" s="71"/>
      <c r="B1357" s="72"/>
      <c r="C1357" s="72"/>
      <c r="D1357" s="91"/>
      <c r="E1357" s="72"/>
    </row>
    <row r="1358">
      <c r="A1358" s="71"/>
      <c r="B1358" s="72"/>
      <c r="C1358" s="72"/>
      <c r="D1358" s="91"/>
      <c r="E1358" s="72"/>
    </row>
    <row r="1359">
      <c r="A1359" s="71"/>
      <c r="B1359" s="72"/>
      <c r="C1359" s="72"/>
      <c r="D1359" s="91"/>
      <c r="E1359" s="72"/>
    </row>
    <row r="1360">
      <c r="A1360" s="71"/>
      <c r="B1360" s="72"/>
      <c r="C1360" s="72"/>
      <c r="D1360" s="91"/>
      <c r="E1360" s="72"/>
    </row>
    <row r="1361">
      <c r="A1361" s="71"/>
      <c r="B1361" s="72"/>
      <c r="C1361" s="72"/>
      <c r="D1361" s="91"/>
      <c r="E1361" s="72"/>
    </row>
    <row r="1362">
      <c r="A1362" s="71"/>
      <c r="B1362" s="72"/>
      <c r="C1362" s="72"/>
      <c r="D1362" s="91"/>
      <c r="E1362" s="72"/>
    </row>
    <row r="1363">
      <c r="A1363" s="71"/>
      <c r="B1363" s="72"/>
      <c r="C1363" s="72"/>
      <c r="D1363" s="91"/>
      <c r="E1363" s="72"/>
    </row>
    <row r="1364">
      <c r="A1364" s="71"/>
      <c r="B1364" s="72"/>
      <c r="C1364" s="72"/>
      <c r="D1364" s="91"/>
      <c r="E1364" s="72"/>
    </row>
    <row r="1365">
      <c r="A1365" s="71"/>
      <c r="B1365" s="72"/>
      <c r="C1365" s="72"/>
      <c r="D1365" s="91"/>
      <c r="E1365" s="72"/>
    </row>
    <row r="1366">
      <c r="A1366" s="71"/>
      <c r="B1366" s="72"/>
      <c r="C1366" s="72"/>
      <c r="D1366" s="91"/>
      <c r="E1366" s="72"/>
    </row>
    <row r="1367">
      <c r="A1367" s="71"/>
      <c r="B1367" s="72"/>
      <c r="C1367" s="72"/>
      <c r="D1367" s="91"/>
      <c r="E1367" s="72"/>
    </row>
    <row r="1368">
      <c r="A1368" s="71"/>
      <c r="B1368" s="72"/>
      <c r="C1368" s="72"/>
      <c r="D1368" s="91"/>
      <c r="E1368" s="72"/>
    </row>
    <row r="1369">
      <c r="A1369" s="71"/>
      <c r="B1369" s="72"/>
      <c r="C1369" s="72"/>
      <c r="D1369" s="91"/>
      <c r="E1369" s="72"/>
    </row>
    <row r="1370">
      <c r="A1370" s="71"/>
      <c r="B1370" s="72"/>
      <c r="C1370" s="72"/>
      <c r="D1370" s="91"/>
      <c r="E1370" s="72"/>
    </row>
    <row r="1371">
      <c r="A1371" s="71"/>
      <c r="B1371" s="72"/>
      <c r="C1371" s="72"/>
      <c r="D1371" s="91"/>
      <c r="E1371" s="72"/>
    </row>
    <row r="1372">
      <c r="A1372" s="71"/>
      <c r="B1372" s="72"/>
      <c r="C1372" s="72"/>
      <c r="D1372" s="91"/>
      <c r="E1372" s="72"/>
    </row>
    <row r="1373">
      <c r="A1373" s="71"/>
      <c r="B1373" s="72"/>
      <c r="C1373" s="72"/>
      <c r="D1373" s="91"/>
      <c r="E1373" s="72"/>
    </row>
    <row r="1374">
      <c r="A1374" s="71"/>
      <c r="B1374" s="72"/>
      <c r="C1374" s="72"/>
      <c r="D1374" s="91"/>
      <c r="E1374" s="72"/>
    </row>
    <row r="1375">
      <c r="A1375" s="71"/>
      <c r="B1375" s="72"/>
      <c r="C1375" s="72"/>
      <c r="D1375" s="91"/>
      <c r="E1375" s="72"/>
    </row>
    <row r="1376">
      <c r="A1376" s="71"/>
      <c r="B1376" s="72"/>
      <c r="C1376" s="72"/>
      <c r="D1376" s="91"/>
      <c r="E1376" s="72"/>
    </row>
    <row r="1377">
      <c r="A1377" s="71"/>
      <c r="B1377" s="72"/>
      <c r="C1377" s="72"/>
      <c r="D1377" s="91"/>
      <c r="E1377" s="72"/>
    </row>
    <row r="1378">
      <c r="A1378" s="71"/>
      <c r="B1378" s="72"/>
      <c r="C1378" s="72"/>
      <c r="D1378" s="91"/>
      <c r="E1378" s="72"/>
    </row>
    <row r="1379">
      <c r="A1379" s="71"/>
      <c r="B1379" s="72"/>
      <c r="C1379" s="72"/>
      <c r="D1379" s="91"/>
      <c r="E1379" s="72"/>
    </row>
    <row r="1380">
      <c r="A1380" s="71"/>
      <c r="B1380" s="72"/>
      <c r="C1380" s="72"/>
      <c r="D1380" s="91"/>
      <c r="E1380" s="72"/>
    </row>
    <row r="1381">
      <c r="A1381" s="71"/>
      <c r="B1381" s="72"/>
      <c r="C1381" s="72"/>
      <c r="D1381" s="91"/>
      <c r="E1381" s="72"/>
    </row>
    <row r="1382">
      <c r="A1382" s="71"/>
      <c r="B1382" s="72"/>
      <c r="C1382" s="72"/>
      <c r="D1382" s="91"/>
      <c r="E1382" s="72"/>
    </row>
    <row r="1383">
      <c r="A1383" s="71"/>
      <c r="B1383" s="72"/>
      <c r="C1383" s="72"/>
      <c r="D1383" s="91"/>
      <c r="E1383" s="72"/>
    </row>
    <row r="1384">
      <c r="A1384" s="71"/>
      <c r="B1384" s="72"/>
      <c r="C1384" s="72"/>
      <c r="D1384" s="91"/>
      <c r="E1384" s="72"/>
    </row>
    <row r="1385">
      <c r="A1385" s="71"/>
      <c r="B1385" s="72"/>
      <c r="C1385" s="72"/>
      <c r="D1385" s="91"/>
      <c r="E1385" s="72"/>
    </row>
    <row r="1386">
      <c r="A1386" s="71"/>
      <c r="B1386" s="72"/>
      <c r="C1386" s="72"/>
      <c r="D1386" s="91"/>
      <c r="E1386" s="72"/>
    </row>
    <row r="1387">
      <c r="A1387" s="71"/>
      <c r="B1387" s="72"/>
      <c r="C1387" s="72"/>
      <c r="D1387" s="91"/>
      <c r="E1387" s="72"/>
    </row>
    <row r="1388">
      <c r="A1388" s="71"/>
      <c r="B1388" s="72"/>
      <c r="C1388" s="72"/>
      <c r="D1388" s="91"/>
      <c r="E1388" s="72"/>
    </row>
    <row r="1389">
      <c r="A1389" s="71"/>
      <c r="B1389" s="72"/>
      <c r="C1389" s="72"/>
      <c r="D1389" s="91"/>
      <c r="E1389" s="72"/>
    </row>
    <row r="1390">
      <c r="A1390" s="71"/>
      <c r="B1390" s="72"/>
      <c r="C1390" s="72"/>
      <c r="D1390" s="91"/>
      <c r="E1390" s="72"/>
    </row>
    <row r="1391">
      <c r="A1391" s="71"/>
      <c r="B1391" s="72"/>
      <c r="C1391" s="72"/>
      <c r="D1391" s="91"/>
      <c r="E1391" s="72"/>
    </row>
    <row r="1392">
      <c r="A1392" s="71"/>
      <c r="B1392" s="72"/>
      <c r="C1392" s="72"/>
      <c r="D1392" s="91"/>
      <c r="E1392" s="72"/>
    </row>
    <row r="1393">
      <c r="A1393" s="71"/>
      <c r="B1393" s="72"/>
      <c r="C1393" s="72"/>
      <c r="D1393" s="91"/>
      <c r="E1393" s="72"/>
    </row>
    <row r="1394">
      <c r="A1394" s="71"/>
      <c r="B1394" s="72"/>
      <c r="C1394" s="72"/>
      <c r="D1394" s="91"/>
      <c r="E1394" s="72"/>
    </row>
    <row r="1395">
      <c r="A1395" s="71"/>
      <c r="B1395" s="72"/>
      <c r="C1395" s="72"/>
      <c r="D1395" s="91"/>
      <c r="E1395" s="72"/>
    </row>
    <row r="1396">
      <c r="A1396" s="71"/>
      <c r="B1396" s="72"/>
      <c r="C1396" s="72"/>
      <c r="D1396" s="91"/>
      <c r="E1396" s="72"/>
    </row>
    <row r="1397">
      <c r="A1397" s="71"/>
      <c r="B1397" s="72"/>
      <c r="C1397" s="72"/>
      <c r="D1397" s="91"/>
      <c r="E1397" s="72"/>
    </row>
    <row r="1398">
      <c r="A1398" s="71"/>
      <c r="B1398" s="72"/>
      <c r="C1398" s="72"/>
      <c r="D1398" s="91"/>
      <c r="E1398" s="72"/>
    </row>
    <row r="1399">
      <c r="A1399" s="71"/>
      <c r="B1399" s="72"/>
      <c r="C1399" s="72"/>
      <c r="D1399" s="91"/>
      <c r="E1399" s="72"/>
    </row>
    <row r="1400">
      <c r="A1400" s="71"/>
      <c r="B1400" s="72"/>
      <c r="C1400" s="72"/>
      <c r="D1400" s="91"/>
      <c r="E1400" s="72"/>
    </row>
    <row r="1401">
      <c r="A1401" s="71"/>
      <c r="B1401" s="72"/>
      <c r="C1401" s="72"/>
      <c r="D1401" s="91"/>
      <c r="E1401" s="72"/>
    </row>
    <row r="1402">
      <c r="A1402" s="71"/>
      <c r="B1402" s="72"/>
      <c r="C1402" s="72"/>
      <c r="D1402" s="91"/>
      <c r="E1402" s="72"/>
    </row>
    <row r="1403">
      <c r="A1403" s="71"/>
      <c r="B1403" s="72"/>
      <c r="C1403" s="72"/>
      <c r="D1403" s="91"/>
      <c r="E1403" s="72"/>
    </row>
    <row r="1404">
      <c r="A1404" s="71"/>
      <c r="B1404" s="72"/>
      <c r="C1404" s="72"/>
      <c r="D1404" s="91"/>
      <c r="E1404" s="72"/>
    </row>
    <row r="1405">
      <c r="A1405" s="71"/>
      <c r="B1405" s="72"/>
      <c r="C1405" s="72"/>
      <c r="D1405" s="91"/>
      <c r="E1405" s="72"/>
    </row>
    <row r="1406">
      <c r="A1406" s="71"/>
      <c r="B1406" s="72"/>
      <c r="C1406" s="72"/>
      <c r="D1406" s="91"/>
      <c r="E1406" s="72"/>
    </row>
    <row r="1407">
      <c r="A1407" s="71"/>
      <c r="B1407" s="72"/>
      <c r="C1407" s="72"/>
      <c r="D1407" s="91"/>
      <c r="E1407" s="72"/>
    </row>
    <row r="1408">
      <c r="A1408" s="71"/>
      <c r="B1408" s="72"/>
      <c r="C1408" s="72"/>
      <c r="D1408" s="91"/>
      <c r="E1408" s="72"/>
    </row>
    <row r="1409">
      <c r="A1409" s="71"/>
      <c r="B1409" s="72"/>
      <c r="C1409" s="72"/>
      <c r="D1409" s="91"/>
      <c r="E1409" s="72"/>
    </row>
    <row r="1410">
      <c r="A1410" s="71"/>
      <c r="B1410" s="72"/>
      <c r="C1410" s="72"/>
      <c r="D1410" s="91"/>
      <c r="E1410" s="72"/>
    </row>
    <row r="1411">
      <c r="A1411" s="71"/>
      <c r="B1411" s="72"/>
      <c r="C1411" s="72"/>
      <c r="D1411" s="91"/>
      <c r="E1411" s="72"/>
    </row>
    <row r="1412">
      <c r="A1412" s="71"/>
      <c r="B1412" s="72"/>
      <c r="C1412" s="72"/>
      <c r="D1412" s="91"/>
      <c r="E1412" s="72"/>
    </row>
    <row r="1413">
      <c r="A1413" s="71"/>
      <c r="B1413" s="72"/>
      <c r="C1413" s="72"/>
      <c r="D1413" s="91"/>
      <c r="E1413" s="72"/>
    </row>
    <row r="1414">
      <c r="A1414" s="71"/>
      <c r="B1414" s="72"/>
      <c r="C1414" s="72"/>
      <c r="D1414" s="91"/>
      <c r="E1414" s="72"/>
    </row>
    <row r="1415">
      <c r="A1415" s="71"/>
      <c r="B1415" s="72"/>
      <c r="C1415" s="72"/>
      <c r="D1415" s="91"/>
      <c r="E1415" s="72"/>
    </row>
    <row r="1416">
      <c r="A1416" s="71"/>
      <c r="B1416" s="72"/>
      <c r="C1416" s="72"/>
      <c r="D1416" s="91"/>
      <c r="E1416" s="72"/>
    </row>
    <row r="1417">
      <c r="A1417" s="71"/>
      <c r="B1417" s="72"/>
      <c r="C1417" s="72"/>
      <c r="D1417" s="91"/>
      <c r="E1417" s="72"/>
    </row>
    <row r="1418">
      <c r="A1418" s="71"/>
      <c r="B1418" s="72"/>
      <c r="C1418" s="72"/>
      <c r="D1418" s="91"/>
      <c r="E1418" s="72"/>
    </row>
    <row r="1419">
      <c r="A1419" s="71"/>
      <c r="B1419" s="72"/>
      <c r="C1419" s="72"/>
      <c r="D1419" s="91"/>
      <c r="E1419" s="72"/>
    </row>
    <row r="1420">
      <c r="A1420" s="71"/>
      <c r="B1420" s="72"/>
      <c r="C1420" s="72"/>
      <c r="D1420" s="91"/>
      <c r="E1420" s="72"/>
    </row>
    <row r="1421">
      <c r="A1421" s="71"/>
      <c r="B1421" s="72"/>
      <c r="C1421" s="72"/>
      <c r="D1421" s="91"/>
      <c r="E1421" s="72"/>
    </row>
    <row r="1422">
      <c r="A1422" s="71"/>
      <c r="B1422" s="72"/>
      <c r="C1422" s="72"/>
      <c r="D1422" s="91"/>
      <c r="E1422" s="72"/>
    </row>
    <row r="1423">
      <c r="A1423" s="71"/>
      <c r="B1423" s="72"/>
      <c r="C1423" s="72"/>
      <c r="D1423" s="91"/>
      <c r="E1423" s="72"/>
    </row>
    <row r="1424">
      <c r="A1424" s="71"/>
      <c r="B1424" s="72"/>
      <c r="C1424" s="72"/>
      <c r="D1424" s="91"/>
      <c r="E1424" s="72"/>
    </row>
    <row r="1425">
      <c r="A1425" s="71"/>
      <c r="B1425" s="72"/>
      <c r="C1425" s="72"/>
      <c r="D1425" s="91"/>
      <c r="E1425" s="72"/>
    </row>
    <row r="1426">
      <c r="A1426" s="71"/>
      <c r="B1426" s="72"/>
      <c r="C1426" s="72"/>
      <c r="D1426" s="91"/>
      <c r="E1426" s="72"/>
    </row>
    <row r="1427">
      <c r="A1427" s="71"/>
      <c r="B1427" s="72"/>
      <c r="C1427" s="72"/>
      <c r="D1427" s="91"/>
      <c r="E1427" s="72"/>
    </row>
    <row r="1428">
      <c r="A1428" s="71"/>
      <c r="B1428" s="72"/>
      <c r="C1428" s="72"/>
      <c r="D1428" s="91"/>
      <c r="E1428" s="72"/>
    </row>
    <row r="1429">
      <c r="A1429" s="71"/>
      <c r="B1429" s="72"/>
      <c r="C1429" s="72"/>
      <c r="D1429" s="91"/>
      <c r="E1429" s="72"/>
    </row>
    <row r="1430">
      <c r="A1430" s="71"/>
      <c r="B1430" s="72"/>
      <c r="C1430" s="72"/>
      <c r="D1430" s="91"/>
      <c r="E1430" s="72"/>
    </row>
    <row r="1431">
      <c r="A1431" s="71"/>
      <c r="B1431" s="72"/>
      <c r="C1431" s="72"/>
      <c r="D1431" s="91"/>
      <c r="E1431" s="72"/>
    </row>
    <row r="1432">
      <c r="A1432" s="71"/>
      <c r="B1432" s="72"/>
      <c r="C1432" s="72"/>
      <c r="D1432" s="91"/>
      <c r="E1432" s="72"/>
    </row>
    <row r="1433">
      <c r="A1433" s="71"/>
      <c r="B1433" s="72"/>
      <c r="C1433" s="72"/>
      <c r="D1433" s="91"/>
      <c r="E1433" s="72"/>
    </row>
    <row r="1434">
      <c r="A1434" s="71"/>
      <c r="B1434" s="72"/>
      <c r="C1434" s="72"/>
      <c r="D1434" s="91"/>
      <c r="E1434" s="72"/>
    </row>
    <row r="1435">
      <c r="A1435" s="71"/>
      <c r="B1435" s="72"/>
      <c r="C1435" s="72"/>
      <c r="D1435" s="91"/>
      <c r="E1435" s="72"/>
    </row>
    <row r="1436">
      <c r="A1436" s="71"/>
      <c r="B1436" s="72"/>
      <c r="C1436" s="72"/>
      <c r="D1436" s="91"/>
      <c r="E1436" s="72"/>
    </row>
    <row r="1437">
      <c r="A1437" s="71"/>
      <c r="B1437" s="72"/>
      <c r="C1437" s="72"/>
      <c r="D1437" s="91"/>
      <c r="E1437" s="72"/>
    </row>
    <row r="1438">
      <c r="A1438" s="71"/>
      <c r="B1438" s="72"/>
      <c r="C1438" s="72"/>
      <c r="D1438" s="91"/>
      <c r="E1438" s="72"/>
    </row>
    <row r="1439">
      <c r="A1439" s="71"/>
      <c r="B1439" s="72"/>
      <c r="C1439" s="72"/>
      <c r="D1439" s="91"/>
      <c r="E1439" s="72"/>
    </row>
    <row r="1440">
      <c r="A1440" s="71"/>
      <c r="B1440" s="72"/>
      <c r="C1440" s="72"/>
      <c r="D1440" s="91"/>
      <c r="E1440" s="72"/>
    </row>
    <row r="1441">
      <c r="A1441" s="71"/>
      <c r="B1441" s="72"/>
      <c r="C1441" s="72"/>
      <c r="D1441" s="91"/>
      <c r="E1441" s="72"/>
    </row>
    <row r="1442">
      <c r="A1442" s="71"/>
      <c r="B1442" s="72"/>
      <c r="C1442" s="72"/>
      <c r="D1442" s="91"/>
      <c r="E1442" s="72"/>
    </row>
    <row r="1443">
      <c r="A1443" s="71"/>
      <c r="B1443" s="72"/>
      <c r="C1443" s="72"/>
      <c r="D1443" s="91"/>
      <c r="E1443" s="72"/>
    </row>
    <row r="1444">
      <c r="A1444" s="71"/>
      <c r="B1444" s="72"/>
      <c r="C1444" s="72"/>
      <c r="D1444" s="91"/>
      <c r="E1444" s="72"/>
    </row>
    <row r="1445">
      <c r="A1445" s="71"/>
      <c r="B1445" s="72"/>
      <c r="C1445" s="72"/>
      <c r="D1445" s="91"/>
      <c r="E1445" s="72"/>
    </row>
    <row r="1446">
      <c r="A1446" s="71"/>
      <c r="B1446" s="72"/>
      <c r="C1446" s="72"/>
      <c r="D1446" s="91"/>
      <c r="E1446" s="72"/>
    </row>
    <row r="1447">
      <c r="A1447" s="71"/>
      <c r="B1447" s="72"/>
      <c r="C1447" s="72"/>
      <c r="D1447" s="91"/>
      <c r="E1447" s="72"/>
    </row>
    <row r="1448">
      <c r="A1448" s="71"/>
      <c r="B1448" s="72"/>
      <c r="C1448" s="72"/>
      <c r="D1448" s="91"/>
      <c r="E1448" s="72"/>
    </row>
    <row r="1449">
      <c r="A1449" s="71"/>
      <c r="B1449" s="72"/>
      <c r="C1449" s="72"/>
      <c r="D1449" s="91"/>
      <c r="E1449" s="72"/>
    </row>
    <row r="1450">
      <c r="A1450" s="71"/>
      <c r="B1450" s="72"/>
      <c r="C1450" s="72"/>
      <c r="D1450" s="91"/>
      <c r="E1450" s="72"/>
    </row>
    <row r="1451">
      <c r="A1451" s="71"/>
      <c r="B1451" s="72"/>
      <c r="C1451" s="72"/>
      <c r="D1451" s="91"/>
      <c r="E1451" s="72"/>
    </row>
    <row r="1452">
      <c r="A1452" s="71"/>
      <c r="B1452" s="72"/>
      <c r="C1452" s="72"/>
      <c r="D1452" s="91"/>
      <c r="E1452" s="72"/>
    </row>
    <row r="1453">
      <c r="A1453" s="71"/>
      <c r="B1453" s="72"/>
      <c r="C1453" s="72"/>
      <c r="D1453" s="91"/>
      <c r="E1453" s="72"/>
    </row>
    <row r="1454">
      <c r="A1454" s="71"/>
      <c r="B1454" s="72"/>
      <c r="C1454" s="72"/>
      <c r="D1454" s="91"/>
      <c r="E1454" s="72"/>
    </row>
    <row r="1455">
      <c r="A1455" s="71"/>
      <c r="B1455" s="72"/>
      <c r="C1455" s="72"/>
      <c r="D1455" s="91"/>
      <c r="E1455" s="72"/>
    </row>
    <row r="1456">
      <c r="A1456" s="71"/>
      <c r="B1456" s="72"/>
      <c r="C1456" s="72"/>
      <c r="D1456" s="91"/>
      <c r="E1456" s="72"/>
    </row>
    <row r="1457">
      <c r="A1457" s="71"/>
      <c r="B1457" s="72"/>
      <c r="C1457" s="72"/>
      <c r="D1457" s="91"/>
      <c r="E1457" s="72"/>
    </row>
    <row r="1458">
      <c r="A1458" s="71"/>
      <c r="B1458" s="72"/>
      <c r="C1458" s="72"/>
      <c r="D1458" s="91"/>
      <c r="E1458" s="72"/>
    </row>
    <row r="1459">
      <c r="A1459" s="71"/>
      <c r="B1459" s="72"/>
      <c r="C1459" s="72"/>
      <c r="D1459" s="91"/>
      <c r="E1459" s="72"/>
    </row>
    <row r="1460">
      <c r="A1460" s="71"/>
      <c r="B1460" s="72"/>
      <c r="C1460" s="72"/>
      <c r="D1460" s="91"/>
      <c r="E1460" s="72"/>
    </row>
    <row r="1461">
      <c r="A1461" s="71"/>
      <c r="B1461" s="72"/>
      <c r="C1461" s="72"/>
      <c r="D1461" s="91"/>
      <c r="E1461" s="72"/>
    </row>
    <row r="1462">
      <c r="A1462" s="71"/>
      <c r="B1462" s="72"/>
      <c r="C1462" s="72"/>
      <c r="D1462" s="91"/>
      <c r="E1462" s="72"/>
    </row>
    <row r="1463">
      <c r="A1463" s="71"/>
      <c r="B1463" s="72"/>
      <c r="C1463" s="72"/>
      <c r="D1463" s="91"/>
      <c r="E1463" s="72"/>
    </row>
    <row r="1464">
      <c r="A1464" s="71"/>
      <c r="B1464" s="72"/>
      <c r="C1464" s="72"/>
      <c r="D1464" s="91"/>
      <c r="E1464" s="72"/>
    </row>
    <row r="1465" ht="1.5" customHeight="1">
      <c r="A1465" s="71"/>
      <c r="B1465" s="72"/>
      <c r="C1465" s="72"/>
      <c r="D1465" s="91"/>
      <c r="E1465" s="72"/>
    </row>
    <row r="1466" ht="1.5" customHeight="1">
      <c r="A1466" s="71"/>
      <c r="B1466" s="72"/>
      <c r="C1466" s="72"/>
      <c r="D1466" s="91"/>
      <c r="E1466" s="72"/>
    </row>
  </sheetData>
  <conditionalFormatting sqref="C1">
    <cfRule type="colorScale" priority="1">
      <colorScale>
        <cfvo type="min"/>
        <cfvo type="max"/>
        <color rgb="FFFFFFFF"/>
        <color rgb="FF57BB8A"/>
      </colorScale>
    </cfRule>
  </conditionalFormatting>
  <dataValidations>
    <dataValidation type="custom" allowBlank="1" showDropDown="1" sqref="A2:A269">
      <formula1>OR(NOT(ISERROR(DATEVALUE(A2))), AND(ISNUMBER(A2), LEFT(CELL("format", A2))="D"))</formula1>
    </dataValidation>
    <dataValidation type="list" allowBlank="1" sqref="C2:C269">
      <formula1>#REF!</formula1>
    </dataValidation>
    <dataValidation type="list" allowBlank="1" sqref="E2:E269">
      <formula1>"OK"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7.88"/>
    <col customWidth="1" min="2" max="2" width="16.38"/>
    <col customWidth="1" min="3" max="3" width="13.0"/>
    <col customWidth="1" min="4" max="4" width="26.25"/>
    <col customWidth="1" min="5" max="5" width="46.25"/>
    <col customWidth="1" min="6" max="6" width="17.88"/>
    <col customWidth="1" min="7" max="7" width="14.25"/>
    <col customWidth="1" min="8" max="8" width="17.38"/>
    <col customWidth="1" min="9" max="9" width="15.63"/>
    <col customWidth="1" min="10" max="10" width="15.13"/>
    <col customWidth="1" min="11" max="11" width="14.25"/>
    <col customWidth="1" min="12" max="12" width="9.63"/>
    <col customWidth="1" min="13" max="13" width="14.88"/>
  </cols>
  <sheetData>
    <row r="1" ht="76.5" customHeight="1">
      <c r="A1" s="101" t="s">
        <v>575</v>
      </c>
      <c r="B1" s="102" t="s">
        <v>576</v>
      </c>
      <c r="C1" s="103" t="s">
        <v>171</v>
      </c>
      <c r="D1" s="104" t="s">
        <v>4</v>
      </c>
      <c r="E1" s="103" t="s">
        <v>577</v>
      </c>
      <c r="F1" s="103" t="s">
        <v>578</v>
      </c>
      <c r="G1" s="105" t="s">
        <v>5</v>
      </c>
      <c r="H1" s="105" t="s">
        <v>579</v>
      </c>
      <c r="I1" s="105" t="s">
        <v>580</v>
      </c>
      <c r="J1" s="106" t="s">
        <v>581</v>
      </c>
      <c r="K1" s="105" t="s">
        <v>582</v>
      </c>
      <c r="L1" s="107" t="s">
        <v>583</v>
      </c>
      <c r="M1" s="102" t="s">
        <v>584</v>
      </c>
      <c r="N1" s="108" t="s">
        <v>585</v>
      </c>
    </row>
    <row r="2" ht="22.5" hidden="1" customHeight="1">
      <c r="A2" s="109" t="s">
        <v>106</v>
      </c>
      <c r="B2" s="110">
        <v>46024.0</v>
      </c>
      <c r="C2" s="111">
        <v>1.0</v>
      </c>
      <c r="D2" s="112" t="s">
        <v>178</v>
      </c>
      <c r="E2" s="111" t="s">
        <v>586</v>
      </c>
      <c r="F2" s="113"/>
      <c r="G2" s="114" t="s">
        <v>587</v>
      </c>
      <c r="H2" s="115" t="s">
        <v>588</v>
      </c>
      <c r="I2" s="116">
        <v>8000.0</v>
      </c>
      <c r="J2" s="117">
        <f>IF(A2="RAPPI",(VLOOKUP(TRIM(D2), CATALOGO!F:G, 2, FALSE) * C2)+I2,IFERROR(IF(COUNTIF('RESTAURANTESDESCUENTOS 2026'!A:A,TRIM(A2))&gt;0,((VLOOKUP(TRIM(D2), CATALOGO!A:B, 2, FALSE) * C2)*(1-VALUE(SUBSTITUTE(VLOOKUP(TRIM(A2),'RESTAURANTESDESCUENTOS 2026'!A:B,2,FALSE),"%",""))/100)+I2),(VLOOKUP(TRIM(D2), CATALOGO!A:B, 2, FALSE) * C2+I2)),""))</f>
        <v>105125</v>
      </c>
      <c r="K2" s="118">
        <v>10000.0</v>
      </c>
      <c r="L2" s="119" t="s">
        <v>587</v>
      </c>
      <c r="M2" s="120" t="s">
        <v>587</v>
      </c>
      <c r="N2" s="121"/>
    </row>
    <row r="3" ht="22.5" hidden="1" customHeight="1">
      <c r="A3" s="122" t="s">
        <v>589</v>
      </c>
      <c r="B3" s="123">
        <v>46024.0</v>
      </c>
      <c r="C3" s="124">
        <v>1.0</v>
      </c>
      <c r="D3" s="125" t="s">
        <v>178</v>
      </c>
      <c r="E3" s="124" t="s">
        <v>552</v>
      </c>
      <c r="F3" s="125"/>
      <c r="G3" s="114" t="s">
        <v>587</v>
      </c>
      <c r="H3" s="126" t="s">
        <v>588</v>
      </c>
      <c r="I3" s="127">
        <v>0.0</v>
      </c>
      <c r="J3" s="117">
        <f>IF(A3="RAPPI",(VLOOKUP(TRIM(D3), CATALOGO!F:G, 2, FALSE) * C3)+I3,IFERROR(IF(COUNTIF('RESTAURANTESDESCUENTOS 2026'!A:A,TRIM(A3))&gt;0,((VLOOKUP(TRIM(D3), CATALOGO!A:B, 2, FALSE) * C3)*(1-VALUE(SUBSTITUTE(VLOOKUP(TRIM(A3),'RESTAURANTESDESCUENTOS 2026'!A:B,2,FALSE),"%",""))/100)+I3),(VLOOKUP(TRIM(D3), CATALOGO!A:B, 2, FALSE) * C3+I3)),""))</f>
        <v>112500</v>
      </c>
      <c r="K3" s="118">
        <v>10000.0</v>
      </c>
      <c r="L3" s="128" t="s">
        <v>587</v>
      </c>
      <c r="M3" s="129" t="s">
        <v>587</v>
      </c>
      <c r="N3" s="130"/>
    </row>
    <row r="4" ht="22.5" hidden="1" customHeight="1">
      <c r="A4" s="131" t="s">
        <v>590</v>
      </c>
      <c r="B4" s="110">
        <v>46024.0</v>
      </c>
      <c r="C4" s="111">
        <v>1.0</v>
      </c>
      <c r="D4" s="112" t="s">
        <v>555</v>
      </c>
      <c r="E4" s="111" t="s">
        <v>591</v>
      </c>
      <c r="F4" s="112"/>
      <c r="G4" s="114" t="s">
        <v>587</v>
      </c>
      <c r="H4" s="115" t="s">
        <v>588</v>
      </c>
      <c r="I4" s="116">
        <v>14000.0</v>
      </c>
      <c r="J4" s="117">
        <f>IF(A4="RAPPI",(VLOOKUP(TRIM(D4), CATALOGO!F:G, 2, FALSE) * C4)+I4,IFERROR(IF(COUNTIF('RESTAURANTESDESCUENTOS 2026'!A:A,TRIM(A4))&gt;0,((VLOOKUP(TRIM(D4), CATALOGO!A:B, 2, FALSE) * C4)*(1-VALUE(SUBSTITUTE(VLOOKUP(TRIM(A4),'RESTAURANTESDESCUENTOS 2026'!A:B,2,FALSE),"%",""))/100)+I4),(VLOOKUP(TRIM(D4), CATALOGO!A:B, 2, FALSE) * C4+I4)),""))</f>
        <v>137000</v>
      </c>
      <c r="K4" s="116">
        <v>14000.0</v>
      </c>
      <c r="L4" s="132"/>
      <c r="M4" s="120" t="s">
        <v>587</v>
      </c>
      <c r="N4" s="121"/>
    </row>
    <row r="5" ht="22.5" hidden="1" customHeight="1">
      <c r="A5" s="122" t="s">
        <v>592</v>
      </c>
      <c r="B5" s="123">
        <v>46024.0</v>
      </c>
      <c r="C5" s="124">
        <v>1.0</v>
      </c>
      <c r="D5" s="125" t="s">
        <v>177</v>
      </c>
      <c r="E5" s="133"/>
      <c r="F5" s="134"/>
      <c r="G5" s="114" t="s">
        <v>587</v>
      </c>
      <c r="H5" s="126" t="s">
        <v>588</v>
      </c>
      <c r="I5" s="127">
        <v>12000.0</v>
      </c>
      <c r="J5" s="117">
        <f>IF(A5="RAPPI",(VLOOKUP(TRIM(D5), CATALOGO!F:G, 2, FALSE) * C5)+I5,IFERROR(IF(COUNTIF('RESTAURANTESDESCUENTOS 2026'!A:A,TRIM(A5))&gt;0,((VLOOKUP(TRIM(D5), CATALOGO!A:B, 2, FALSE) * C5)*(1-VALUE(SUBSTITUTE(VLOOKUP(TRIM(A5),'RESTAURANTESDESCUENTOS 2026'!A:B,2,FALSE),"%",""))/100)+I5),(VLOOKUP(TRIM(D5), CATALOGO!A:B, 2, FALSE) * C5+I5)),""))</f>
        <v>127000</v>
      </c>
      <c r="K5" s="127">
        <v>12000.0</v>
      </c>
      <c r="L5" s="135"/>
      <c r="M5" s="129" t="s">
        <v>587</v>
      </c>
      <c r="N5" s="130"/>
    </row>
    <row r="6" ht="22.5" hidden="1" customHeight="1">
      <c r="A6" s="131" t="s">
        <v>593</v>
      </c>
      <c r="B6" s="110">
        <v>46024.0</v>
      </c>
      <c r="C6" s="111">
        <v>1.0</v>
      </c>
      <c r="D6" s="112" t="s">
        <v>178</v>
      </c>
      <c r="E6" s="111" t="s">
        <v>594</v>
      </c>
      <c r="F6" s="112"/>
      <c r="G6" s="114" t="s">
        <v>587</v>
      </c>
      <c r="H6" s="115" t="s">
        <v>588</v>
      </c>
      <c r="I6" s="116">
        <v>0.0</v>
      </c>
      <c r="J6" s="117">
        <f>IF(A6="RAPPI",(VLOOKUP(TRIM(D6), CATALOGO!F:G, 2, FALSE) * C6)+I6,IFERROR(IF(COUNTIF('RESTAURANTESDESCUENTOS 2026'!A:A,TRIM(A6))&gt;0,((VLOOKUP(TRIM(D6), CATALOGO!A:B, 2, FALSE) * C6)*(1-VALUE(SUBSTITUTE(VLOOKUP(TRIM(A6),'RESTAURANTESDESCUENTOS 2026'!A:B,2,FALSE),"%",""))/100)+I6),(VLOOKUP(TRIM(D6), CATALOGO!A:B, 2, FALSE) * C6+I6)),""))</f>
        <v>105000</v>
      </c>
      <c r="K6" s="116">
        <v>0.0</v>
      </c>
      <c r="L6" s="136" t="s">
        <v>587</v>
      </c>
      <c r="M6" s="120" t="s">
        <v>587</v>
      </c>
      <c r="N6" s="121"/>
    </row>
    <row r="7" ht="22.5" hidden="1" customHeight="1">
      <c r="A7" s="137" t="s">
        <v>49</v>
      </c>
      <c r="B7" s="123">
        <v>46024.0</v>
      </c>
      <c r="C7" s="124">
        <v>3.0</v>
      </c>
      <c r="D7" s="125" t="s">
        <v>177</v>
      </c>
      <c r="E7" s="124" t="s">
        <v>595</v>
      </c>
      <c r="F7" s="125"/>
      <c r="G7" s="114" t="s">
        <v>587</v>
      </c>
      <c r="H7" s="126" t="s">
        <v>588</v>
      </c>
      <c r="I7" s="127">
        <v>0.0</v>
      </c>
      <c r="J7" s="117">
        <f>IF(A7="RAPPI",(VLOOKUP(TRIM(D7), CATALOGO!F:G, 2, FALSE) * C7)+I7,IFERROR(IF(COUNTIF('RESTAURANTESDESCUENTOS 2026'!A:A,TRIM(A7))&gt;0,((VLOOKUP(TRIM(D7), CATALOGO!A:B, 2, FALSE) * C7)*(1-VALUE(SUBSTITUTE(VLOOKUP(TRIM(A7),'RESTAURANTESDESCUENTOS 2026'!A:B,2,FALSE),"%",""))/100)+I7),(VLOOKUP(TRIM(D7), CATALOGO!A:B, 2, FALSE) * C7+I7)),""))</f>
        <v>258750</v>
      </c>
      <c r="K7" s="127">
        <v>0.0</v>
      </c>
      <c r="L7" s="128" t="s">
        <v>587</v>
      </c>
      <c r="M7" s="129" t="s">
        <v>587</v>
      </c>
      <c r="N7" s="130"/>
    </row>
    <row r="8" ht="22.5" hidden="1" customHeight="1">
      <c r="A8" s="131" t="s">
        <v>596</v>
      </c>
      <c r="B8" s="110">
        <v>46024.0</v>
      </c>
      <c r="C8" s="111">
        <v>1.0</v>
      </c>
      <c r="D8" s="112" t="s">
        <v>188</v>
      </c>
      <c r="E8" s="138"/>
      <c r="F8" s="139"/>
      <c r="G8" s="114" t="s">
        <v>35</v>
      </c>
      <c r="H8" s="139"/>
      <c r="I8" s="140"/>
      <c r="J8" s="117">
        <f>IF(A8="RAPPI",(VLOOKUP(TRIM(D8), CATALOGO!F:G, 2, FALSE) * C8)+I8,IFERROR(IF(COUNTIF('RESTAURANTESDESCUENTOS 2026'!A:A,TRIM(A8))&gt;0,((VLOOKUP(TRIM(D8), CATALOGO!A:B, 2, FALSE) * C8)*(1-VALUE(SUBSTITUTE(VLOOKUP(TRIM(A8),'RESTAURANTESDESCUENTOS 2026'!A:B,2,FALSE),"%",""))/100)+I8),(VLOOKUP(TRIM(D8), CATALOGO!A:B, 2, FALSE) * C8+I8)),""))</f>
        <v>163000</v>
      </c>
      <c r="K8" s="140"/>
      <c r="L8" s="132"/>
      <c r="M8" s="120" t="s">
        <v>587</v>
      </c>
      <c r="N8" s="121"/>
    </row>
    <row r="9" ht="22.5" hidden="1" customHeight="1">
      <c r="A9" s="122" t="s">
        <v>25</v>
      </c>
      <c r="B9" s="123">
        <v>46024.0</v>
      </c>
      <c r="C9" s="124">
        <v>2.0</v>
      </c>
      <c r="D9" s="125" t="s">
        <v>178</v>
      </c>
      <c r="E9" s="124" t="s">
        <v>552</v>
      </c>
      <c r="F9" s="125"/>
      <c r="G9" s="114" t="s">
        <v>587</v>
      </c>
      <c r="H9" s="126" t="s">
        <v>588</v>
      </c>
      <c r="I9" s="127">
        <v>0.0</v>
      </c>
      <c r="J9" s="117">
        <f>IF(A9="RAPPI",(VLOOKUP(TRIM(D9), CATALOGO!F:G, 2, FALSE) * C9)+I9,IFERROR(IF(COUNTIF('RESTAURANTESDESCUENTOS 2026'!A:A,TRIM(A9))&gt;0,((VLOOKUP(TRIM(D9), CATALOGO!A:B, 2, FALSE) * C9)*(1-VALUE(SUBSTITUTE(VLOOKUP(TRIM(A9),'RESTAURANTESDESCUENTOS 2026'!A:B,2,FALSE),"%",""))/100)+I9),(VLOOKUP(TRIM(D9), CATALOGO!A:B, 2, FALSE) * C9+I9)),""))</f>
        <v>225000</v>
      </c>
      <c r="K9" s="127">
        <v>0.0</v>
      </c>
      <c r="L9" s="128" t="s">
        <v>587</v>
      </c>
      <c r="M9" s="129" t="s">
        <v>587</v>
      </c>
      <c r="N9" s="130"/>
    </row>
    <row r="10" ht="22.5" hidden="1" customHeight="1">
      <c r="A10" s="141" t="s">
        <v>597</v>
      </c>
      <c r="B10" s="110">
        <v>46024.0</v>
      </c>
      <c r="C10" s="111">
        <v>6.0</v>
      </c>
      <c r="D10" s="112" t="s">
        <v>176</v>
      </c>
      <c r="E10" s="138"/>
      <c r="F10" s="139"/>
      <c r="G10" s="114" t="s">
        <v>587</v>
      </c>
      <c r="H10" s="115" t="s">
        <v>588</v>
      </c>
      <c r="I10" s="116">
        <v>0.0</v>
      </c>
      <c r="J10" s="142">
        <v>0.0</v>
      </c>
      <c r="K10" s="118">
        <v>170000.0</v>
      </c>
      <c r="L10" s="132"/>
      <c r="M10" s="120" t="s">
        <v>587</v>
      </c>
      <c r="N10" s="121"/>
    </row>
    <row r="11" ht="22.5" hidden="1" customHeight="1">
      <c r="A11" s="122" t="s">
        <v>598</v>
      </c>
      <c r="B11" s="123">
        <v>46024.0</v>
      </c>
      <c r="C11" s="143">
        <v>1.0</v>
      </c>
      <c r="D11" s="125" t="s">
        <v>174</v>
      </c>
      <c r="E11" s="133"/>
      <c r="F11" s="134"/>
      <c r="G11" s="114" t="s">
        <v>587</v>
      </c>
      <c r="H11" s="126" t="s">
        <v>588</v>
      </c>
      <c r="I11" s="127">
        <v>10000.0</v>
      </c>
      <c r="J11" s="117">
        <f>IF(A11="RAPPI",(VLOOKUP(TRIM(D11), CATALOGO!F:G, 2, FALSE) * C11)+I11,IFERROR(IF(COUNTIF('RESTAURANTESDESCUENTOS 2026'!A:A,TRIM(A11))&gt;0,((VLOOKUP(TRIM(D11), CATALOGO!A:B, 2, FALSE) * C11)*(1-VALUE(SUBSTITUTE(VLOOKUP(TRIM(A11),'RESTAURANTESDESCUENTOS 2026'!A:B,2,FALSE),"%",""))/100)+I11),(VLOOKUP(TRIM(D11), CATALOGO!A:B, 2, FALSE) * C11+I11)),""))</f>
        <v>28000</v>
      </c>
      <c r="K11" s="127">
        <v>10000.0</v>
      </c>
      <c r="L11" s="135"/>
      <c r="M11" s="129" t="s">
        <v>587</v>
      </c>
      <c r="N11" s="130"/>
    </row>
    <row r="12" ht="22.5" hidden="1" customHeight="1">
      <c r="A12" s="122" t="s">
        <v>599</v>
      </c>
      <c r="B12" s="123">
        <v>46024.0</v>
      </c>
      <c r="C12" s="124">
        <v>1.0</v>
      </c>
      <c r="D12" s="125" t="s">
        <v>177</v>
      </c>
      <c r="E12" s="133"/>
      <c r="F12" s="134"/>
      <c r="G12" s="114" t="s">
        <v>587</v>
      </c>
      <c r="H12" s="126" t="s">
        <v>588</v>
      </c>
      <c r="I12" s="127">
        <v>10000.0</v>
      </c>
      <c r="J12" s="117">
        <f>IF(A12="RAPPI",(VLOOKUP(TRIM(D12), CATALOGO!F:G, 2, FALSE) * C12)+I12,IFERROR(IF(COUNTIF('RESTAURANTESDESCUENTOS 2026'!A:A,TRIM(A12))&gt;0,((VLOOKUP(TRIM(D12), CATALOGO!A:B, 2, FALSE) * C12)*(1-VALUE(SUBSTITUTE(VLOOKUP(TRIM(A12),'RESTAURANTESDESCUENTOS 2026'!A:B,2,FALSE),"%",""))/100)+I12),(VLOOKUP(TRIM(D12), CATALOGO!A:B, 2, FALSE) * C12+I12)),""))</f>
        <v>125000</v>
      </c>
      <c r="K12" s="127">
        <v>10000.0</v>
      </c>
      <c r="L12" s="135"/>
      <c r="M12" s="129" t="s">
        <v>587</v>
      </c>
      <c r="N12" s="130"/>
    </row>
    <row r="13" ht="22.5" hidden="1" customHeight="1">
      <c r="A13" s="131" t="s">
        <v>600</v>
      </c>
      <c r="B13" s="110">
        <v>46024.0</v>
      </c>
      <c r="C13" s="111">
        <v>1.0</v>
      </c>
      <c r="D13" s="112" t="s">
        <v>601</v>
      </c>
      <c r="E13" s="138"/>
      <c r="F13" s="139"/>
      <c r="G13" s="114" t="s">
        <v>587</v>
      </c>
      <c r="H13" s="115" t="s">
        <v>588</v>
      </c>
      <c r="I13" s="116">
        <v>13000.0</v>
      </c>
      <c r="J13" s="117">
        <f>IF(A13="RAPPI",(VLOOKUP(TRIM(D13), CATALOGO!F:G, 2, FALSE) * C13)+I13,IFERROR(IF(COUNTIF('RESTAURANTESDESCUENTOS 2026'!A:A,TRIM(A13))&gt;0,((VLOOKUP(TRIM(D13), CATALOGO!A:B, 2, FALSE) * C13)*(1-VALUE(SUBSTITUTE(VLOOKUP(TRIM(A13),'RESTAURANTESDESCUENTOS 2026'!A:B,2,FALSE),"%",""))/100)+I13),(VLOOKUP(TRIM(D13), CATALOGO!A:B, 2, FALSE) * C13+I13)),""))</f>
        <v>66000</v>
      </c>
      <c r="K13" s="116">
        <v>13000.0</v>
      </c>
      <c r="L13" s="132"/>
      <c r="M13" s="120" t="s">
        <v>587</v>
      </c>
      <c r="N13" s="121"/>
    </row>
    <row r="14" ht="22.5" hidden="1" customHeight="1">
      <c r="A14" s="122" t="s">
        <v>597</v>
      </c>
      <c r="B14" s="123">
        <v>46024.0</v>
      </c>
      <c r="C14" s="124">
        <v>3.0</v>
      </c>
      <c r="D14" s="125" t="s">
        <v>178</v>
      </c>
      <c r="E14" s="124" t="s">
        <v>552</v>
      </c>
      <c r="F14" s="125"/>
      <c r="G14" s="114" t="s">
        <v>587</v>
      </c>
      <c r="H14" s="126" t="s">
        <v>588</v>
      </c>
      <c r="I14" s="127">
        <v>0.0</v>
      </c>
      <c r="J14" s="117">
        <v>0.0</v>
      </c>
      <c r="K14" s="127">
        <v>0.0</v>
      </c>
      <c r="L14" s="135"/>
      <c r="M14" s="129" t="s">
        <v>587</v>
      </c>
      <c r="N14" s="130"/>
    </row>
    <row r="15" ht="22.5" hidden="1" customHeight="1">
      <c r="A15" s="131" t="s">
        <v>597</v>
      </c>
      <c r="B15" s="110">
        <v>46024.0</v>
      </c>
      <c r="C15" s="111">
        <v>6.0</v>
      </c>
      <c r="D15" s="112" t="s">
        <v>177</v>
      </c>
      <c r="E15" s="138"/>
      <c r="F15" s="139"/>
      <c r="G15" s="114" t="s">
        <v>587</v>
      </c>
      <c r="H15" s="115" t="s">
        <v>588</v>
      </c>
      <c r="I15" s="116">
        <v>0.0</v>
      </c>
      <c r="J15" s="142">
        <v>0.0</v>
      </c>
      <c r="K15" s="116">
        <v>0.0</v>
      </c>
      <c r="L15" s="132"/>
      <c r="M15" s="120" t="s">
        <v>587</v>
      </c>
      <c r="N15" s="121"/>
    </row>
    <row r="16" ht="22.5" hidden="1" customHeight="1">
      <c r="A16" s="131" t="s">
        <v>598</v>
      </c>
      <c r="B16" s="110">
        <v>46024.0</v>
      </c>
      <c r="C16" s="143">
        <v>1.0</v>
      </c>
      <c r="D16" s="112" t="s">
        <v>602</v>
      </c>
      <c r="E16" s="138"/>
      <c r="F16" s="139"/>
      <c r="G16" s="114" t="s">
        <v>587</v>
      </c>
      <c r="H16" s="45" t="s">
        <v>588</v>
      </c>
      <c r="I16" s="116">
        <v>0.0</v>
      </c>
      <c r="J16" s="117">
        <f>IF(A16="RAPPI",(VLOOKUP(TRIM(D16), CATALOGO!F:G, 2, FALSE) * C16)+I16,IFERROR(IF(COUNTIF('RESTAURANTESDESCUENTOS 2026'!A:A,TRIM(A16))&gt;0,((VLOOKUP(TRIM(D16), CATALOGO!A:B, 2, FALSE) * C16)*(1-VALUE(SUBSTITUTE(VLOOKUP(TRIM(A16),'RESTAURANTESDESCUENTOS 2026'!A:B,2,FALSE),"%",""))/100)+I16),(VLOOKUP(TRIM(D16), CATALOGO!A:B, 2, FALSE) * C16+I16)),""))</f>
        <v>22000</v>
      </c>
      <c r="K16" s="116">
        <v>0.0</v>
      </c>
      <c r="L16" s="132"/>
      <c r="M16" s="120" t="s">
        <v>587</v>
      </c>
      <c r="N16" s="121"/>
    </row>
    <row r="17" ht="22.5" hidden="1" customHeight="1">
      <c r="A17" s="131" t="s">
        <v>603</v>
      </c>
      <c r="B17" s="110">
        <v>46024.0</v>
      </c>
      <c r="C17" s="111">
        <v>1.0</v>
      </c>
      <c r="D17" s="112" t="s">
        <v>553</v>
      </c>
      <c r="E17" s="111">
        <v>7468.0</v>
      </c>
      <c r="F17" s="112"/>
      <c r="G17" s="114" t="s">
        <v>587</v>
      </c>
      <c r="H17" s="144" t="s">
        <v>603</v>
      </c>
      <c r="I17" s="140"/>
      <c r="J17" s="117">
        <f>IF(A17="RAPPI",(VLOOKUP(TRIM(D17), CATALOGO!F:G, 2, FALSE) * C17)+I17,IFERROR(IF(COUNTIF('RESTAURANTESDESCUENTOS 2026'!A:A,TRIM(A17))&gt;0,((VLOOKUP(TRIM(D17), CATALOGO!A:B, 2, FALSE) * C17)*(1-VALUE(SUBSTITUTE(VLOOKUP(TRIM(A17),'RESTAURANTESDESCUENTOS 2026'!A:B,2,FALSE),"%",""))/100)+I17),(VLOOKUP(TRIM(D17), CATALOGO!A:B, 2, FALSE) * C17+I17)),""))</f>
        <v>163000</v>
      </c>
      <c r="K17" s="140"/>
      <c r="L17" s="132"/>
      <c r="M17" s="120" t="s">
        <v>587</v>
      </c>
      <c r="N17" s="121"/>
    </row>
    <row r="18" ht="22.5" hidden="1" customHeight="1">
      <c r="A18" s="122" t="s">
        <v>603</v>
      </c>
      <c r="B18" s="123">
        <v>46024.0</v>
      </c>
      <c r="C18" s="124">
        <v>1.0</v>
      </c>
      <c r="D18" s="125" t="s">
        <v>554</v>
      </c>
      <c r="E18" s="124">
        <v>340.0</v>
      </c>
      <c r="F18" s="125"/>
      <c r="G18" s="114" t="s">
        <v>587</v>
      </c>
      <c r="H18" s="145" t="s">
        <v>603</v>
      </c>
      <c r="I18" s="146"/>
      <c r="J18" s="117">
        <f>IF(A18="RAPPI",(VLOOKUP(TRIM(D18), CATALOGO!F:G, 2, FALSE) * C18)+I18,IFERROR(IF(COUNTIF('RESTAURANTESDESCUENTOS 2026'!A:A,TRIM(A18))&gt;0,((VLOOKUP(TRIM(D18), CATALOGO!A:B, 2, FALSE) * C18)*(1-VALUE(SUBSTITUTE(VLOOKUP(TRIM(A18),'RESTAURANTESDESCUENTOS 2026'!A:B,2,FALSE),"%",""))/100)+I18),(VLOOKUP(TRIM(D18), CATALOGO!A:B, 2, FALSE) * C18+I18)),""))</f>
        <v>53000</v>
      </c>
      <c r="K18" s="146"/>
      <c r="L18" s="135"/>
      <c r="M18" s="129" t="s">
        <v>587</v>
      </c>
      <c r="N18" s="130"/>
    </row>
    <row r="19" ht="22.5" hidden="1" customHeight="1">
      <c r="A19" s="131" t="s">
        <v>603</v>
      </c>
      <c r="B19" s="110">
        <v>46024.0</v>
      </c>
      <c r="C19" s="143">
        <v>1.0</v>
      </c>
      <c r="D19" s="112" t="s">
        <v>604</v>
      </c>
      <c r="E19" s="111">
        <v>635.0</v>
      </c>
      <c r="F19" s="112"/>
      <c r="G19" s="114" t="s">
        <v>587</v>
      </c>
      <c r="H19" s="144" t="s">
        <v>603</v>
      </c>
      <c r="I19" s="140"/>
      <c r="J19" s="117">
        <f>IF(A19="RAPPI",(VLOOKUP(TRIM(D19), CATALOGO!F:G, 2, FALSE) * C19)+I19,IFERROR(IF(COUNTIF('RESTAURANTESDESCUENTOS 2026'!A:A,TRIM(A19))&gt;0,((VLOOKUP(TRIM(D19), CATALOGO!A:B, 2, FALSE) * C19)*(1-VALUE(SUBSTITUTE(VLOOKUP(TRIM(A19),'RESTAURANTESDESCUENTOS 2026'!A:B,2,FALSE),"%",""))/100)+I19),(VLOOKUP(TRIM(D19), CATALOGO!A:B, 2, FALSE) * C19+I19)),""))</f>
        <v>22000</v>
      </c>
      <c r="K19" s="140"/>
      <c r="L19" s="132"/>
      <c r="M19" s="120" t="s">
        <v>587</v>
      </c>
      <c r="N19" s="121"/>
    </row>
    <row r="20" ht="22.5" hidden="1" customHeight="1">
      <c r="A20" s="131" t="s">
        <v>603</v>
      </c>
      <c r="B20" s="110">
        <v>46024.0</v>
      </c>
      <c r="C20" s="143">
        <v>1.0</v>
      </c>
      <c r="D20" s="112" t="s">
        <v>602</v>
      </c>
      <c r="E20" s="111">
        <v>7333.0</v>
      </c>
      <c r="F20" s="112"/>
      <c r="G20" s="114" t="s">
        <v>587</v>
      </c>
      <c r="H20" s="144" t="s">
        <v>603</v>
      </c>
      <c r="I20" s="140"/>
      <c r="J20" s="117">
        <f>IF(A20="RAPPI",(VLOOKUP(TRIM(D20), CATALOGO!F:G, 2, FALSE) * C20)+I20,IFERROR(IF(COUNTIF('RESTAURANTESDESCUENTOS 2026'!A:A,TRIM(A20))&gt;0,((VLOOKUP(TRIM(D20), CATALOGO!A:B, 2, FALSE) * C20)*(1-VALUE(SUBSTITUTE(VLOOKUP(TRIM(A20),'RESTAURANTESDESCUENTOS 2026'!A:B,2,FALSE),"%",""))/100)+I20),(VLOOKUP(TRIM(D20), CATALOGO!A:B, 2, FALSE) * C20+I20)),""))</f>
        <v>22000</v>
      </c>
      <c r="K20" s="140"/>
      <c r="L20" s="132"/>
      <c r="M20" s="120" t="s">
        <v>587</v>
      </c>
      <c r="N20" s="121"/>
    </row>
    <row r="21" ht="22.5" hidden="1" customHeight="1">
      <c r="A21" s="122" t="s">
        <v>605</v>
      </c>
      <c r="B21" s="123">
        <v>46024.0</v>
      </c>
      <c r="C21" s="124">
        <v>1.0</v>
      </c>
      <c r="D21" s="125" t="s">
        <v>554</v>
      </c>
      <c r="E21" s="124" t="s">
        <v>606</v>
      </c>
      <c r="F21" s="125"/>
      <c r="G21" s="114" t="s">
        <v>35</v>
      </c>
      <c r="H21" s="134"/>
      <c r="I21" s="146"/>
      <c r="J21" s="117">
        <f>IF(A21="RAPPI",(VLOOKUP(TRIM(D21), CATALOGO!F:G, 2, FALSE) * C21)+I21,IFERROR(IF(COUNTIF('RESTAURANTESDESCUENTOS 2026'!A:A,TRIM(A21))&gt;0,((VLOOKUP(TRIM(D21), CATALOGO!A:B, 2, FALSE) * C21)*(1-VALUE(SUBSTITUTE(VLOOKUP(TRIM(A21),'RESTAURANTESDESCUENTOS 2026'!A:B,2,FALSE),"%",""))/100)+I21),(VLOOKUP(TRIM(D21), CATALOGO!A:B, 2, FALSE) * C21+I21)),""))</f>
        <v>53000</v>
      </c>
      <c r="K21" s="146"/>
      <c r="L21" s="135"/>
      <c r="M21" s="129" t="s">
        <v>587</v>
      </c>
      <c r="N21" s="130"/>
    </row>
    <row r="22" ht="22.5" hidden="1" customHeight="1">
      <c r="A22" s="131" t="s">
        <v>605</v>
      </c>
      <c r="B22" s="110">
        <v>46024.0</v>
      </c>
      <c r="C22" s="111">
        <v>1.0</v>
      </c>
      <c r="D22" s="112" t="s">
        <v>177</v>
      </c>
      <c r="E22" s="111" t="s">
        <v>607</v>
      </c>
      <c r="F22" s="112"/>
      <c r="G22" s="114" t="s">
        <v>35</v>
      </c>
      <c r="H22" s="139"/>
      <c r="I22" s="140"/>
      <c r="J22" s="117">
        <f>IF(A22="RAPPI",(VLOOKUP(TRIM(D22), CATALOGO!F:G, 2, FALSE) * C22)+I22,IFERROR(IF(COUNTIF('RESTAURANTESDESCUENTOS 2026'!A:A,TRIM(A22))&gt;0,((VLOOKUP(TRIM(D22), CATALOGO!A:B, 2, FALSE) * C22)*(1-VALUE(SUBSTITUTE(VLOOKUP(TRIM(A22),'RESTAURANTESDESCUENTOS 2026'!A:B,2,FALSE),"%",""))/100)+I22),(VLOOKUP(TRIM(D22), CATALOGO!A:B, 2, FALSE) * C22+I22)),""))</f>
        <v>115000</v>
      </c>
      <c r="K22" s="140"/>
      <c r="L22" s="132"/>
      <c r="M22" s="120" t="s">
        <v>587</v>
      </c>
      <c r="N22" s="121"/>
    </row>
    <row r="23" ht="22.5" hidden="1" customHeight="1">
      <c r="A23" s="147" t="s">
        <v>605</v>
      </c>
      <c r="B23" s="123">
        <v>46024.0</v>
      </c>
      <c r="C23" s="143">
        <v>1.0</v>
      </c>
      <c r="D23" s="125" t="s">
        <v>174</v>
      </c>
      <c r="E23" s="124" t="s">
        <v>607</v>
      </c>
      <c r="F23" s="125"/>
      <c r="G23" s="114" t="s">
        <v>35</v>
      </c>
      <c r="H23" s="134"/>
      <c r="I23" s="146"/>
      <c r="J23" s="117">
        <f>IF(A23="RAPPI",(VLOOKUP(TRIM(D23), CATALOGO!F:G, 2, FALSE) * C23)+I23,IFERROR(IF(COUNTIF('RESTAURANTESDESCUENTOS 2026'!A:A,TRIM(A23))&gt;0,((VLOOKUP(TRIM(D23), CATALOGO!A:B, 2, FALSE) * C23)*(1-VALUE(SUBSTITUTE(VLOOKUP(TRIM(A23),'RESTAURANTESDESCUENTOS 2026'!A:B,2,FALSE),"%",""))/100)+I23),(VLOOKUP(TRIM(D23), CATALOGO!A:B, 2, FALSE) * C23+I23)),""))</f>
        <v>18000</v>
      </c>
      <c r="K23" s="146"/>
      <c r="L23" s="135"/>
      <c r="M23" s="129" t="s">
        <v>587</v>
      </c>
      <c r="N23" s="130"/>
    </row>
    <row r="24" ht="22.5" hidden="1" customHeight="1">
      <c r="A24" s="148" t="s">
        <v>21</v>
      </c>
      <c r="B24" s="123">
        <v>46025.0</v>
      </c>
      <c r="C24" s="124">
        <v>1.0</v>
      </c>
      <c r="D24" s="125" t="s">
        <v>178</v>
      </c>
      <c r="E24" s="124" t="s">
        <v>608</v>
      </c>
      <c r="F24" s="125"/>
      <c r="G24" s="114" t="s">
        <v>587</v>
      </c>
      <c r="H24" s="126" t="s">
        <v>588</v>
      </c>
      <c r="I24" s="127">
        <v>15000.0</v>
      </c>
      <c r="J24" s="117">
        <f>IF(A24="RAPPI",(VLOOKUP(TRIM(D24), CATALOGO!F:G, 2, FALSE) * C24)+I24,IFERROR(IF(COUNTIF('RESTAURANTESDESCUENTOS 2026'!A:A,TRIM(A24))&gt;0,((VLOOKUP(TRIM(D24), CATALOGO!A:B, 2, FALSE) * C24)*(1-VALUE(SUBSTITUTE(VLOOKUP(TRIM(A24),'RESTAURANTESDESCUENTOS 2026'!A:B,2,FALSE),"%",""))/100)+I24),(VLOOKUP(TRIM(D24), CATALOGO!A:B, 2, FALSE) * C24+I24)),""))</f>
        <v>127500</v>
      </c>
      <c r="K24" s="127">
        <v>15000.0</v>
      </c>
      <c r="L24" s="128" t="s">
        <v>587</v>
      </c>
      <c r="M24" s="129" t="s">
        <v>587</v>
      </c>
      <c r="N24" s="130"/>
    </row>
    <row r="25" ht="22.5" hidden="1" customHeight="1">
      <c r="A25" s="122" t="s">
        <v>609</v>
      </c>
      <c r="B25" s="123">
        <v>46025.0</v>
      </c>
      <c r="C25" s="124">
        <v>2.0</v>
      </c>
      <c r="D25" s="125" t="s">
        <v>178</v>
      </c>
      <c r="E25" s="124" t="s">
        <v>610</v>
      </c>
      <c r="F25" s="125"/>
      <c r="G25" s="114" t="s">
        <v>587</v>
      </c>
      <c r="H25" s="126" t="s">
        <v>588</v>
      </c>
      <c r="I25" s="127">
        <v>10000.0</v>
      </c>
      <c r="J25" s="117">
        <f>IF(A25="RAPPI",(VLOOKUP(TRIM(D25), CATALOGO!F:G, 2, FALSE) * C25)+I25,IFERROR(IF(COUNTIF('RESTAURANTESDESCUENTOS 2026'!A:A,TRIM(A25))&gt;0,((VLOOKUP(TRIM(D25), CATALOGO!A:B, 2, FALSE) * C25)*(1-VALUE(SUBSTITUTE(VLOOKUP(TRIM(A25),'RESTAURANTESDESCUENTOS 2026'!A:B,2,FALSE),"%",""))/100)+I25),(VLOOKUP(TRIM(D25), CATALOGO!A:B, 2, FALSE) * C25+I25)),""))</f>
        <v>310000</v>
      </c>
      <c r="K25" s="118">
        <v>14000.0</v>
      </c>
      <c r="L25" s="128" t="s">
        <v>587</v>
      </c>
      <c r="M25" s="129" t="s">
        <v>587</v>
      </c>
      <c r="N25" s="130"/>
    </row>
    <row r="26" ht="22.5" hidden="1" customHeight="1">
      <c r="A26" s="148" t="s">
        <v>17</v>
      </c>
      <c r="B26" s="110">
        <v>46025.0</v>
      </c>
      <c r="C26" s="111">
        <v>1.0</v>
      </c>
      <c r="D26" s="112" t="s">
        <v>178</v>
      </c>
      <c r="E26" s="111" t="s">
        <v>611</v>
      </c>
      <c r="F26" s="112"/>
      <c r="G26" s="114" t="s">
        <v>587</v>
      </c>
      <c r="H26" s="115" t="s">
        <v>588</v>
      </c>
      <c r="I26" s="116">
        <v>10000.0</v>
      </c>
      <c r="J26" s="117">
        <f>IF(A26="RAPPI",(VLOOKUP(TRIM(D26), CATALOGO!F:G, 2, FALSE) * C26)+I26,IFERROR(IF(COUNTIF('RESTAURANTESDESCUENTOS 2026'!A:A,TRIM(A26))&gt;0,((VLOOKUP(TRIM(D26), CATALOGO!A:B, 2, FALSE) * C26)*(1-VALUE(SUBSTITUTE(VLOOKUP(TRIM(A26),'RESTAURANTESDESCUENTOS 2026'!A:B,2,FALSE),"%",""))/100)+I26),(VLOOKUP(TRIM(D26), CATALOGO!A:B, 2, FALSE) * C26+I26)),""))</f>
        <v>122500</v>
      </c>
      <c r="K26" s="116">
        <v>10000.0</v>
      </c>
      <c r="L26" s="136" t="s">
        <v>587</v>
      </c>
      <c r="M26" s="120" t="s">
        <v>587</v>
      </c>
      <c r="N26" s="121"/>
    </row>
    <row r="27" ht="22.5" hidden="1" customHeight="1">
      <c r="A27" s="122" t="s">
        <v>55</v>
      </c>
      <c r="B27" s="123">
        <v>46025.0</v>
      </c>
      <c r="C27" s="124">
        <v>3.0</v>
      </c>
      <c r="D27" s="125" t="s">
        <v>178</v>
      </c>
      <c r="E27" s="124" t="s">
        <v>552</v>
      </c>
      <c r="F27" s="125"/>
      <c r="G27" s="114" t="s">
        <v>587</v>
      </c>
      <c r="H27" s="126" t="s">
        <v>588</v>
      </c>
      <c r="I27" s="127">
        <v>10000.0</v>
      </c>
      <c r="J27" s="117">
        <f>IF(A27="RAPPI",(VLOOKUP(TRIM(D27), CATALOGO!F:G, 2, FALSE) * C27)+I27,IFERROR(IF(COUNTIF('RESTAURANTESDESCUENTOS 2026'!A:A,TRIM(A27))&gt;0,((VLOOKUP(TRIM(D27), CATALOGO!A:B, 2, FALSE) * C27)*(1-VALUE(SUBSTITUTE(VLOOKUP(TRIM(A27),'RESTAURANTESDESCUENTOS 2026'!A:B,2,FALSE),"%",""))/100)+I27),(VLOOKUP(TRIM(D27), CATALOGO!A:B, 2, FALSE) * C27+I27)),""))</f>
        <v>347500</v>
      </c>
      <c r="K27" s="127">
        <v>10000.0</v>
      </c>
      <c r="L27" s="128" t="s">
        <v>587</v>
      </c>
      <c r="M27" s="129" t="s">
        <v>587</v>
      </c>
      <c r="N27" s="130"/>
    </row>
    <row r="28" ht="22.5" hidden="1" customHeight="1">
      <c r="A28" s="148" t="s">
        <v>33</v>
      </c>
      <c r="B28" s="110">
        <v>46025.0</v>
      </c>
      <c r="C28" s="111">
        <v>1.0</v>
      </c>
      <c r="D28" s="112" t="s">
        <v>177</v>
      </c>
      <c r="E28" s="111" t="s">
        <v>612</v>
      </c>
      <c r="F28" s="112"/>
      <c r="G28" s="114" t="s">
        <v>587</v>
      </c>
      <c r="H28" s="115" t="s">
        <v>588</v>
      </c>
      <c r="I28" s="116">
        <v>0.0</v>
      </c>
      <c r="J28" s="117">
        <f>IF(A28="RAPPI",(VLOOKUP(TRIM(D28), CATALOGO!F:G, 2, FALSE) * C28)+I28,IFERROR(IF(COUNTIF('RESTAURANTESDESCUENTOS 2026'!A:A,TRIM(A28))&gt;0,((VLOOKUP(TRIM(D28), CATALOGO!A:B, 2, FALSE) * C28)*(1-VALUE(SUBSTITUTE(VLOOKUP(TRIM(A28),'RESTAURANTESDESCUENTOS 2026'!A:B,2,FALSE),"%",""))/100)+I28),(VLOOKUP(TRIM(D28), CATALOGO!A:B, 2, FALSE) * C28+I28)),""))</f>
        <v>86250</v>
      </c>
      <c r="K28" s="118">
        <v>13000.0</v>
      </c>
      <c r="L28" s="136" t="s">
        <v>587</v>
      </c>
      <c r="M28" s="120" t="s">
        <v>587</v>
      </c>
      <c r="N28" s="121"/>
    </row>
    <row r="29" ht="22.5" hidden="1" customHeight="1">
      <c r="A29" s="131" t="s">
        <v>597</v>
      </c>
      <c r="B29" s="110">
        <v>46025.0</v>
      </c>
      <c r="C29" s="111">
        <v>10.0</v>
      </c>
      <c r="D29" s="112" t="s">
        <v>178</v>
      </c>
      <c r="E29" s="111" t="s">
        <v>552</v>
      </c>
      <c r="F29" s="112"/>
      <c r="G29" s="114" t="s">
        <v>587</v>
      </c>
      <c r="H29" s="149" t="s">
        <v>613</v>
      </c>
      <c r="I29" s="116">
        <v>0.0</v>
      </c>
      <c r="J29" s="142">
        <v>0.0</v>
      </c>
      <c r="K29" s="118">
        <v>55000.0</v>
      </c>
      <c r="L29" s="132"/>
      <c r="M29" s="120" t="s">
        <v>587</v>
      </c>
      <c r="N29" s="121"/>
    </row>
    <row r="30" ht="22.5" hidden="1" customHeight="1">
      <c r="A30" s="147" t="s">
        <v>614</v>
      </c>
      <c r="B30" s="123">
        <v>46025.0</v>
      </c>
      <c r="C30" s="124">
        <v>1.0</v>
      </c>
      <c r="D30" s="125" t="s">
        <v>554</v>
      </c>
      <c r="E30" s="133"/>
      <c r="F30" s="134"/>
      <c r="G30" s="114" t="s">
        <v>587</v>
      </c>
      <c r="H30" s="126" t="s">
        <v>588</v>
      </c>
      <c r="I30" s="127">
        <v>12000.0</v>
      </c>
      <c r="J30" s="117">
        <f>IF(A30="RAPPI",(VLOOKUP(TRIM(D30), CATALOGO!F:G, 2, FALSE) * C30)+I30,IFERROR(IF(COUNTIF('RESTAURANTESDESCUENTOS 2026'!A:A,TRIM(A30))&gt;0,((VLOOKUP(TRIM(D30), CATALOGO!A:B, 2, FALSE) * C30)*(1-VALUE(SUBSTITUTE(VLOOKUP(TRIM(A30),'RESTAURANTESDESCUENTOS 2026'!A:B,2,FALSE),"%",""))/100)+I30),(VLOOKUP(TRIM(D30), CATALOGO!A:B, 2, FALSE) * C30+I30)),""))</f>
        <v>65000</v>
      </c>
      <c r="K30" s="127">
        <v>12000.0</v>
      </c>
      <c r="L30" s="135"/>
      <c r="M30" s="129" t="s">
        <v>587</v>
      </c>
      <c r="N30" s="130"/>
    </row>
    <row r="31" ht="22.5" hidden="1" customHeight="1">
      <c r="A31" s="122" t="s">
        <v>615</v>
      </c>
      <c r="B31" s="123">
        <v>46025.0</v>
      </c>
      <c r="C31" s="124">
        <v>1.0</v>
      </c>
      <c r="D31" s="125" t="s">
        <v>555</v>
      </c>
      <c r="E31" s="133"/>
      <c r="F31" s="134"/>
      <c r="G31" s="114" t="s">
        <v>587</v>
      </c>
      <c r="H31" s="126" t="s">
        <v>588</v>
      </c>
      <c r="I31" s="127">
        <v>10000.0</v>
      </c>
      <c r="J31" s="117">
        <f>IF(A31="RAPPI",(VLOOKUP(TRIM(D31), CATALOGO!F:G, 2, FALSE) * C31)+I31,IFERROR(IF(COUNTIF('RESTAURANTESDESCUENTOS 2026'!A:A,TRIM(A31))&gt;0,((VLOOKUP(TRIM(D31), CATALOGO!A:B, 2, FALSE) * C31)*(1-VALUE(SUBSTITUTE(VLOOKUP(TRIM(A31),'RESTAURANTESDESCUENTOS 2026'!A:B,2,FALSE),"%",""))/100)+I31),(VLOOKUP(TRIM(D31), CATALOGO!A:B, 2, FALSE) * C31+I31)),""))</f>
        <v>133000</v>
      </c>
      <c r="K31" s="127">
        <v>10000.0</v>
      </c>
      <c r="L31" s="135"/>
      <c r="M31" s="129" t="s">
        <v>587</v>
      </c>
      <c r="N31" s="130"/>
    </row>
    <row r="32" ht="22.5" hidden="1" customHeight="1">
      <c r="A32" s="147" t="s">
        <v>616</v>
      </c>
      <c r="B32" s="123">
        <v>46025.0</v>
      </c>
      <c r="C32" s="124">
        <v>1.0</v>
      </c>
      <c r="D32" s="125" t="s">
        <v>617</v>
      </c>
      <c r="E32" s="124" t="s">
        <v>591</v>
      </c>
      <c r="F32" s="125"/>
      <c r="G32" s="114" t="s">
        <v>35</v>
      </c>
      <c r="H32" s="134"/>
      <c r="I32" s="146"/>
      <c r="J32" s="117">
        <f>IF(A32="RAPPI",(VLOOKUP(TRIM(D32), CATALOGO!F:G, 2, FALSE) * C32)+I32,IFERROR(IF(COUNTIF('RESTAURANTESDESCUENTOS 2026'!A:A,TRIM(A32))&gt;0,((VLOOKUP(TRIM(D32), CATALOGO!A:B, 2, FALSE) * C32)*(1-VALUE(SUBSTITUTE(VLOOKUP(TRIM(A32),'RESTAURANTESDESCUENTOS 2026'!A:B,2,FALSE),"%",""))/100)+I32),(VLOOKUP(TRIM(D32), CATALOGO!A:B, 2, FALSE) * C32+I32)),""))</f>
        <v>123000</v>
      </c>
      <c r="K32" s="146"/>
      <c r="L32" s="135"/>
      <c r="M32" s="129" t="s">
        <v>587</v>
      </c>
      <c r="N32" s="130"/>
    </row>
    <row r="33" ht="22.5" hidden="1" customHeight="1">
      <c r="A33" s="122" t="s">
        <v>597</v>
      </c>
      <c r="B33" s="123">
        <v>46025.0</v>
      </c>
      <c r="C33" s="124">
        <v>5.0</v>
      </c>
      <c r="D33" s="125" t="s">
        <v>176</v>
      </c>
      <c r="E33" s="133"/>
      <c r="F33" s="134"/>
      <c r="G33" s="114" t="s">
        <v>587</v>
      </c>
      <c r="H33" s="150" t="s">
        <v>613</v>
      </c>
      <c r="I33" s="127">
        <v>0.0</v>
      </c>
      <c r="J33" s="117">
        <v>0.0</v>
      </c>
      <c r="K33" s="127">
        <v>0.0</v>
      </c>
      <c r="L33" s="135"/>
      <c r="M33" s="129" t="s">
        <v>587</v>
      </c>
      <c r="N33" s="130"/>
    </row>
    <row r="34" ht="22.5" hidden="1" customHeight="1">
      <c r="A34" s="131" t="s">
        <v>605</v>
      </c>
      <c r="B34" s="110">
        <v>46025.0</v>
      </c>
      <c r="C34" s="111">
        <v>1.0</v>
      </c>
      <c r="D34" s="112" t="s">
        <v>618</v>
      </c>
      <c r="E34" s="111" t="s">
        <v>606</v>
      </c>
      <c r="F34" s="112"/>
      <c r="G34" s="114" t="s">
        <v>35</v>
      </c>
      <c r="H34" s="139"/>
      <c r="I34" s="140"/>
      <c r="J34" s="117">
        <f>IF(A34="RAPPI",(VLOOKUP(TRIM(D34), CATALOGO!F:G, 2, FALSE) * C34)+I34,IFERROR(IF(COUNTIF('RESTAURANTESDESCUENTOS 2026'!A:A,TRIM(A34))&gt;0,((VLOOKUP(TRIM(D34), CATALOGO!A:B, 2, FALSE) * C34)*(1-VALUE(SUBSTITUTE(VLOOKUP(TRIM(A34),'RESTAURANTESDESCUENTOS 2026'!A:B,2,FALSE),"%",""))/100)+I34),(VLOOKUP(TRIM(D34), CATALOGO!A:B, 2, FALSE) * C34+I34)),""))</f>
        <v>53000</v>
      </c>
      <c r="K34" s="140"/>
      <c r="L34" s="132"/>
      <c r="M34" s="120" t="s">
        <v>587</v>
      </c>
      <c r="N34" s="121"/>
    </row>
    <row r="35" ht="22.5" hidden="1" customHeight="1">
      <c r="A35" s="131" t="s">
        <v>603</v>
      </c>
      <c r="B35" s="110">
        <v>46025.0</v>
      </c>
      <c r="C35" s="111">
        <v>1.0</v>
      </c>
      <c r="D35" s="112" t="s">
        <v>619</v>
      </c>
      <c r="E35" s="111">
        <v>2071.0</v>
      </c>
      <c r="F35" s="112"/>
      <c r="G35" s="114" t="s">
        <v>587</v>
      </c>
      <c r="H35" s="144" t="s">
        <v>603</v>
      </c>
      <c r="I35" s="140"/>
      <c r="J35" s="117" t="str">
        <f>IF(A35="RAPPI",(VLOOKUP(TRIM(D35), CATALOGO!F:G, 2, FALSE) * C35)+I35,IFERROR(IF(COUNTIF('RESTAURANTESDESCUENTOS 2026'!A:A,TRIM(A35))&gt;0,((VLOOKUP(TRIM(D35), CATALOGO!A:B, 2, FALSE) * C35)*(1-VALUE(SUBSTITUTE(VLOOKUP(TRIM(A35),'RESTAURANTESDESCUENTOS 2026'!A:B,2,FALSE),"%",""))/100)+I35),(VLOOKUP(TRIM(D35), CATALOGO!A:B, 2, FALSE) * C35+I35)),""))</f>
        <v>#N/A</v>
      </c>
      <c r="K35" s="140"/>
      <c r="L35" s="132"/>
      <c r="M35" s="120" t="s">
        <v>587</v>
      </c>
      <c r="N35" s="121"/>
    </row>
    <row r="36" ht="22.5" hidden="1" customHeight="1">
      <c r="A36" s="122" t="s">
        <v>603</v>
      </c>
      <c r="B36" s="123">
        <v>46025.0</v>
      </c>
      <c r="C36" s="124">
        <v>4.0</v>
      </c>
      <c r="D36" s="125" t="s">
        <v>620</v>
      </c>
      <c r="E36" s="124">
        <v>2071.0</v>
      </c>
      <c r="F36" s="125"/>
      <c r="G36" s="114" t="s">
        <v>587</v>
      </c>
      <c r="H36" s="145" t="s">
        <v>603</v>
      </c>
      <c r="I36" s="146"/>
      <c r="J36" s="117">
        <v>0.0</v>
      </c>
      <c r="K36" s="146"/>
      <c r="L36" s="135"/>
      <c r="M36" s="129" t="s">
        <v>587</v>
      </c>
      <c r="N36" s="130"/>
    </row>
    <row r="37" ht="22.5" hidden="1" customHeight="1">
      <c r="A37" s="131" t="s">
        <v>605</v>
      </c>
      <c r="B37" s="110">
        <v>46025.0</v>
      </c>
      <c r="C37" s="143">
        <v>2.0</v>
      </c>
      <c r="D37" s="112" t="s">
        <v>174</v>
      </c>
      <c r="E37" s="111" t="s">
        <v>606</v>
      </c>
      <c r="F37" s="112"/>
      <c r="G37" s="114" t="s">
        <v>35</v>
      </c>
      <c r="H37" s="139"/>
      <c r="I37" s="140"/>
      <c r="J37" s="117">
        <f>IF(A37="RAPPI",(VLOOKUP(TRIM(D37), CATALOGO!F:G, 2, FALSE) * C37)+I37,IFERROR(IF(COUNTIF('RESTAURANTESDESCUENTOS 2026'!A:A,TRIM(A37))&gt;0,((VLOOKUP(TRIM(D37), CATALOGO!A:B, 2, FALSE) * C37)*(1-VALUE(SUBSTITUTE(VLOOKUP(TRIM(A37),'RESTAURANTESDESCUENTOS 2026'!A:B,2,FALSE),"%",""))/100)+I37),(VLOOKUP(TRIM(D37), CATALOGO!A:B, 2, FALSE) * C37+I37)),""))</f>
        <v>36000</v>
      </c>
      <c r="K37" s="140"/>
      <c r="L37" s="132"/>
      <c r="M37" s="120" t="s">
        <v>587</v>
      </c>
      <c r="N37" s="121"/>
    </row>
    <row r="38" ht="22.5" hidden="1" customHeight="1">
      <c r="A38" s="122" t="s">
        <v>605</v>
      </c>
      <c r="B38" s="123">
        <v>46025.0</v>
      </c>
      <c r="C38" s="124">
        <v>2.0</v>
      </c>
      <c r="D38" s="125" t="s">
        <v>621</v>
      </c>
      <c r="E38" s="124" t="s">
        <v>606</v>
      </c>
      <c r="F38" s="125"/>
      <c r="G38" s="114" t="s">
        <v>35</v>
      </c>
      <c r="H38" s="134"/>
      <c r="I38" s="146"/>
      <c r="J38" s="117">
        <v>8000.0</v>
      </c>
      <c r="K38" s="146"/>
      <c r="L38" s="135"/>
      <c r="M38" s="129" t="s">
        <v>587</v>
      </c>
      <c r="N38" s="130"/>
    </row>
    <row r="39" ht="22.5" hidden="1" customHeight="1">
      <c r="A39" s="131" t="s">
        <v>605</v>
      </c>
      <c r="B39" s="110">
        <v>46025.0</v>
      </c>
      <c r="C39" s="111">
        <v>1.0</v>
      </c>
      <c r="D39" s="112" t="s">
        <v>177</v>
      </c>
      <c r="E39" s="111" t="s">
        <v>607</v>
      </c>
      <c r="F39" s="112"/>
      <c r="G39" s="114" t="s">
        <v>35</v>
      </c>
      <c r="H39" s="139"/>
      <c r="I39" s="140"/>
      <c r="J39" s="117">
        <f>IF(A39="RAPPI",(VLOOKUP(TRIM(D39), CATALOGO!F:G, 2, FALSE) * C39)+I39,IFERROR(IF(COUNTIF('RESTAURANTESDESCUENTOS 2026'!A:A,TRIM(A39))&gt;0,((VLOOKUP(TRIM(D39), CATALOGO!A:B, 2, FALSE) * C39)*(1-VALUE(SUBSTITUTE(VLOOKUP(TRIM(A39),'RESTAURANTESDESCUENTOS 2026'!A:B,2,FALSE),"%",""))/100)+I39),(VLOOKUP(TRIM(D39), CATALOGO!A:B, 2, FALSE) * C39+I39)),""))</f>
        <v>115000</v>
      </c>
      <c r="K39" s="140"/>
      <c r="L39" s="132"/>
      <c r="M39" s="120" t="s">
        <v>587</v>
      </c>
      <c r="N39" s="121"/>
    </row>
    <row r="40" ht="22.5" hidden="1" customHeight="1">
      <c r="A40" s="131" t="s">
        <v>605</v>
      </c>
      <c r="B40" s="110">
        <v>46025.0</v>
      </c>
      <c r="C40" s="111">
        <v>1.0</v>
      </c>
      <c r="D40" s="112" t="s">
        <v>555</v>
      </c>
      <c r="E40" s="111" t="s">
        <v>606</v>
      </c>
      <c r="F40" s="112"/>
      <c r="G40" s="114" t="s">
        <v>35</v>
      </c>
      <c r="H40" s="139"/>
      <c r="I40" s="140"/>
      <c r="J40" s="117">
        <f>IF(A40="RAPPI",(VLOOKUP(TRIM(D40), CATALOGO!F:G, 2, FALSE) * C40)+I40,IFERROR(IF(COUNTIF('RESTAURANTESDESCUENTOS 2026'!A:A,TRIM(A40))&gt;0,((VLOOKUP(TRIM(D40), CATALOGO!A:B, 2, FALSE) * C40)*(1-VALUE(SUBSTITUTE(VLOOKUP(TRIM(A40),'RESTAURANTESDESCUENTOS 2026'!A:B,2,FALSE),"%",""))/100)+I40),(VLOOKUP(TRIM(D40), CATALOGO!A:B, 2, FALSE) * C40+I40)),""))</f>
        <v>123000</v>
      </c>
      <c r="K40" s="140"/>
      <c r="L40" s="132"/>
      <c r="M40" s="120" t="s">
        <v>587</v>
      </c>
      <c r="N40" s="121"/>
    </row>
    <row r="41" ht="22.5" hidden="1" customHeight="1">
      <c r="A41" s="122" t="s">
        <v>605</v>
      </c>
      <c r="B41" s="123">
        <v>46025.0</v>
      </c>
      <c r="C41" s="143">
        <v>1.0</v>
      </c>
      <c r="D41" s="125" t="s">
        <v>174</v>
      </c>
      <c r="E41" s="124" t="s">
        <v>606</v>
      </c>
      <c r="F41" s="125"/>
      <c r="G41" s="114" t="s">
        <v>35</v>
      </c>
      <c r="H41" s="134"/>
      <c r="I41" s="146"/>
      <c r="J41" s="117">
        <f>IF(A41="RAPPI",(VLOOKUP(TRIM(D41), CATALOGO!F:G, 2, FALSE) * C41)+I41,IFERROR(IF(COUNTIF('RESTAURANTESDESCUENTOS 2026'!A:A,TRIM(A41))&gt;0,((VLOOKUP(TRIM(D41), CATALOGO!A:B, 2, FALSE) * C41)*(1-VALUE(SUBSTITUTE(VLOOKUP(TRIM(A41),'RESTAURANTESDESCUENTOS 2026'!A:B,2,FALSE),"%",""))/100)+I41),(VLOOKUP(TRIM(D41), CATALOGO!A:B, 2, FALSE) * C41+I41)),""))</f>
        <v>18000</v>
      </c>
      <c r="K41" s="146"/>
      <c r="L41" s="135"/>
      <c r="M41" s="129" t="s">
        <v>587</v>
      </c>
      <c r="N41" s="130"/>
    </row>
    <row r="42" ht="22.5" hidden="1" customHeight="1">
      <c r="A42" s="131" t="s">
        <v>605</v>
      </c>
      <c r="B42" s="110">
        <v>46025.0</v>
      </c>
      <c r="C42" s="143">
        <v>1.0</v>
      </c>
      <c r="D42" s="112" t="s">
        <v>174</v>
      </c>
      <c r="E42" s="111" t="s">
        <v>607</v>
      </c>
      <c r="F42" s="112"/>
      <c r="G42" s="114" t="s">
        <v>35</v>
      </c>
      <c r="H42" s="139"/>
      <c r="I42" s="140"/>
      <c r="J42" s="117">
        <f>IF(A42="RAPPI",(VLOOKUP(TRIM(D42), CATALOGO!F:G, 2, FALSE) * C42)+I42,IFERROR(IF(COUNTIF('RESTAURANTESDESCUENTOS 2026'!A:A,TRIM(A42))&gt;0,((VLOOKUP(TRIM(D42), CATALOGO!A:B, 2, FALSE) * C42)*(1-VALUE(SUBSTITUTE(VLOOKUP(TRIM(A42),'RESTAURANTESDESCUENTOS 2026'!A:B,2,FALSE),"%",""))/100)+I42),(VLOOKUP(TRIM(D42), CATALOGO!A:B, 2, FALSE) * C42+I42)),""))</f>
        <v>18000</v>
      </c>
      <c r="K42" s="140"/>
      <c r="L42" s="132"/>
      <c r="M42" s="120" t="s">
        <v>587</v>
      </c>
      <c r="N42" s="121"/>
    </row>
    <row r="43" ht="22.5" hidden="1" customHeight="1">
      <c r="A43" s="122" t="s">
        <v>605</v>
      </c>
      <c r="B43" s="123">
        <v>46025.0</v>
      </c>
      <c r="C43" s="124">
        <v>1.0</v>
      </c>
      <c r="D43" s="125" t="s">
        <v>621</v>
      </c>
      <c r="E43" s="124" t="s">
        <v>607</v>
      </c>
      <c r="F43" s="125"/>
      <c r="G43" s="114" t="s">
        <v>35</v>
      </c>
      <c r="H43" s="134"/>
      <c r="I43" s="146"/>
      <c r="J43" s="117">
        <v>4000.0</v>
      </c>
      <c r="K43" s="146"/>
      <c r="L43" s="135"/>
      <c r="M43" s="129" t="s">
        <v>587</v>
      </c>
      <c r="N43" s="130"/>
    </row>
    <row r="44" ht="22.5" hidden="1" customHeight="1">
      <c r="A44" s="131" t="s">
        <v>603</v>
      </c>
      <c r="B44" s="110">
        <v>46025.0</v>
      </c>
      <c r="C44" s="143">
        <v>2.0</v>
      </c>
      <c r="D44" s="112" t="s">
        <v>604</v>
      </c>
      <c r="E44" s="111">
        <v>5183.0</v>
      </c>
      <c r="F44" s="112"/>
      <c r="G44" s="114" t="s">
        <v>587</v>
      </c>
      <c r="H44" s="144" t="s">
        <v>603</v>
      </c>
      <c r="I44" s="140"/>
      <c r="J44" s="117">
        <f>IF(A44="RAPPI",(VLOOKUP(TRIM(D44), CATALOGO!F:G, 2, FALSE) * C44)+I44,IFERROR(IF(COUNTIF('RESTAURANTESDESCUENTOS 2026'!A:A,TRIM(A44))&gt;0,((VLOOKUP(TRIM(D44), CATALOGO!A:B, 2, FALSE) * C44)*(1-VALUE(SUBSTITUTE(VLOOKUP(TRIM(A44),'RESTAURANTESDESCUENTOS 2026'!A:B,2,FALSE),"%",""))/100)+I44),(VLOOKUP(TRIM(D44), CATALOGO!A:B, 2, FALSE) * C44+I44)),""))</f>
        <v>44000</v>
      </c>
      <c r="K44" s="140"/>
      <c r="L44" s="132"/>
      <c r="M44" s="120" t="s">
        <v>587</v>
      </c>
      <c r="N44" s="121"/>
    </row>
    <row r="45" ht="22.5" hidden="1" customHeight="1">
      <c r="A45" s="122" t="s">
        <v>605</v>
      </c>
      <c r="B45" s="123">
        <v>46025.0</v>
      </c>
      <c r="C45" s="124">
        <v>1.0</v>
      </c>
      <c r="D45" s="125" t="s">
        <v>555</v>
      </c>
      <c r="E45" s="124" t="s">
        <v>606</v>
      </c>
      <c r="F45" s="125"/>
      <c r="G45" s="114" t="s">
        <v>35</v>
      </c>
      <c r="H45" s="134"/>
      <c r="I45" s="146"/>
      <c r="J45" s="117">
        <f>IF(A45="RAPPI",(VLOOKUP(TRIM(D45), CATALOGO!F:G, 2, FALSE) * C45)+I45,IFERROR(IF(COUNTIF('RESTAURANTESDESCUENTOS 2026'!A:A,TRIM(A45))&gt;0,((VLOOKUP(TRIM(D45), CATALOGO!A:B, 2, FALSE) * C45)*(1-VALUE(SUBSTITUTE(VLOOKUP(TRIM(A45),'RESTAURANTESDESCUENTOS 2026'!A:B,2,FALSE),"%",""))/100)+I45),(VLOOKUP(TRIM(D45), CATALOGO!A:B, 2, FALSE) * C45+I45)),""))</f>
        <v>123000</v>
      </c>
      <c r="K45" s="146"/>
      <c r="L45" s="135"/>
      <c r="M45" s="129" t="s">
        <v>587</v>
      </c>
      <c r="N45" s="130"/>
    </row>
    <row r="46" ht="22.5" hidden="1" customHeight="1">
      <c r="A46" s="131" t="s">
        <v>605</v>
      </c>
      <c r="B46" s="110">
        <v>46025.0</v>
      </c>
      <c r="C46" s="111">
        <v>1.0</v>
      </c>
      <c r="D46" s="112" t="s">
        <v>617</v>
      </c>
      <c r="E46" s="111" t="s">
        <v>606</v>
      </c>
      <c r="F46" s="112"/>
      <c r="G46" s="114" t="s">
        <v>35</v>
      </c>
      <c r="H46" s="139"/>
      <c r="I46" s="140"/>
      <c r="J46" s="117">
        <f>IF(A46="RAPPI",(VLOOKUP(TRIM(D46), CATALOGO!F:G, 2, FALSE) * C46)+I46,IFERROR(IF(COUNTIF('RESTAURANTESDESCUENTOS 2026'!A:A,TRIM(A46))&gt;0,((VLOOKUP(TRIM(D46), CATALOGO!A:B, 2, FALSE) * C46)*(1-VALUE(SUBSTITUTE(VLOOKUP(TRIM(A46),'RESTAURANTESDESCUENTOS 2026'!A:B,2,FALSE),"%",""))/100)+I46),(VLOOKUP(TRIM(D46), CATALOGO!A:B, 2, FALSE) * C46+I46)),""))</f>
        <v>123000</v>
      </c>
      <c r="K46" s="140"/>
      <c r="L46" s="132"/>
      <c r="M46" s="120" t="s">
        <v>587</v>
      </c>
      <c r="N46" s="121"/>
    </row>
    <row r="47" ht="22.5" hidden="1" customHeight="1">
      <c r="A47" s="122" t="s">
        <v>622</v>
      </c>
      <c r="B47" s="123">
        <v>46025.0</v>
      </c>
      <c r="C47" s="124">
        <v>1.0</v>
      </c>
      <c r="D47" s="125" t="s">
        <v>178</v>
      </c>
      <c r="E47" s="124" t="s">
        <v>28</v>
      </c>
      <c r="F47" s="125"/>
      <c r="G47" s="114" t="s">
        <v>35</v>
      </c>
      <c r="H47" s="134"/>
      <c r="I47" s="146"/>
      <c r="J47" s="117">
        <v>0.0</v>
      </c>
      <c r="K47" s="146"/>
      <c r="L47" s="135"/>
      <c r="M47" s="129" t="s">
        <v>587</v>
      </c>
      <c r="N47" s="130"/>
    </row>
    <row r="48" ht="22.5" hidden="1" customHeight="1">
      <c r="A48" s="131" t="s">
        <v>603</v>
      </c>
      <c r="B48" s="110">
        <v>46025.0</v>
      </c>
      <c r="C48" s="111">
        <v>1.0</v>
      </c>
      <c r="D48" s="112" t="s">
        <v>555</v>
      </c>
      <c r="E48" s="111">
        <v>3583.0</v>
      </c>
      <c r="F48" s="112"/>
      <c r="G48" s="114" t="s">
        <v>587</v>
      </c>
      <c r="H48" s="144" t="s">
        <v>603</v>
      </c>
      <c r="I48" s="140"/>
      <c r="J48" s="117">
        <f>IF(A48="RAPPI",(VLOOKUP(TRIM(D48), CATALOGO!F:G, 2, FALSE) * C48)+I48,IFERROR(IF(COUNTIF('RESTAURANTESDESCUENTOS 2026'!A:A,TRIM(A48))&gt;0,((VLOOKUP(TRIM(D48), CATALOGO!A:B, 2, FALSE) * C48)*(1-VALUE(SUBSTITUTE(VLOOKUP(TRIM(A48),'RESTAURANTESDESCUENTOS 2026'!A:B,2,FALSE),"%",""))/100)+I48),(VLOOKUP(TRIM(D48), CATALOGO!A:B, 2, FALSE) * C48+I48)),""))</f>
        <v>123000</v>
      </c>
      <c r="K48" s="140"/>
      <c r="L48" s="132"/>
      <c r="M48" s="120" t="s">
        <v>587</v>
      </c>
      <c r="N48" s="121"/>
    </row>
    <row r="49" ht="22.5" hidden="1" customHeight="1">
      <c r="A49" s="131" t="s">
        <v>605</v>
      </c>
      <c r="B49" s="110">
        <v>46025.0</v>
      </c>
      <c r="C49" s="143">
        <v>1.0</v>
      </c>
      <c r="D49" s="112" t="s">
        <v>174</v>
      </c>
      <c r="E49" s="111" t="s">
        <v>606</v>
      </c>
      <c r="F49" s="112"/>
      <c r="G49" s="114" t="s">
        <v>35</v>
      </c>
      <c r="H49" s="139"/>
      <c r="I49" s="140"/>
      <c r="J49" s="117">
        <f>IF(A49="RAPPI",(VLOOKUP(TRIM(D49), CATALOGO!F:G, 2, FALSE) * C49)+I49,IFERROR(IF(COUNTIF('RESTAURANTESDESCUENTOS 2026'!A:A,TRIM(A49))&gt;0,((VLOOKUP(TRIM(D49), CATALOGO!A:B, 2, FALSE) * C49)*(1-VALUE(SUBSTITUTE(VLOOKUP(TRIM(A49),'RESTAURANTESDESCUENTOS 2026'!A:B,2,FALSE),"%",""))/100)+I49),(VLOOKUP(TRIM(D49), CATALOGO!A:B, 2, FALSE) * C49+I49)),""))</f>
        <v>18000</v>
      </c>
      <c r="K49" s="140"/>
      <c r="L49" s="132"/>
      <c r="M49" s="120" t="s">
        <v>587</v>
      </c>
      <c r="N49" s="121"/>
    </row>
    <row r="50" ht="22.5" hidden="1" customHeight="1">
      <c r="A50" s="122" t="s">
        <v>10</v>
      </c>
      <c r="B50" s="123">
        <v>46027.0</v>
      </c>
      <c r="C50" s="124">
        <v>1.0</v>
      </c>
      <c r="D50" s="125" t="s">
        <v>178</v>
      </c>
      <c r="E50" s="124" t="s">
        <v>610</v>
      </c>
      <c r="F50" s="125"/>
      <c r="G50" s="114" t="s">
        <v>587</v>
      </c>
      <c r="H50" s="126" t="s">
        <v>588</v>
      </c>
      <c r="I50" s="127">
        <v>0.0</v>
      </c>
      <c r="J50" s="117">
        <f>IF(A50="RAPPI",(VLOOKUP(TRIM(D50), CATALOGO!F:G, 2, FALSE) * C50)+I50,IFERROR(IF(COUNTIF('RESTAURANTESDESCUENTOS 2026'!A:A,TRIM(A50))&gt;0,((VLOOKUP(TRIM(D50), CATALOGO!A:B, 2, FALSE) * C50)*(1-VALUE(SUBSTITUTE(VLOOKUP(TRIM(A50),'RESTAURANTESDESCUENTOS 2026'!A:B,2,FALSE),"%",""))/100)+I50),(VLOOKUP(TRIM(D50), CATALOGO!A:B, 2, FALSE) * C50+I50)),""))</f>
        <v>112500</v>
      </c>
      <c r="K50" s="118">
        <v>10000.0</v>
      </c>
      <c r="L50" s="128" t="s">
        <v>587</v>
      </c>
      <c r="M50" s="129" t="s">
        <v>587</v>
      </c>
      <c r="N50" s="130"/>
    </row>
    <row r="51" ht="22.5" hidden="1" customHeight="1">
      <c r="A51" s="131" t="s">
        <v>623</v>
      </c>
      <c r="B51" s="110">
        <v>46027.0</v>
      </c>
      <c r="C51" s="111">
        <v>2.0</v>
      </c>
      <c r="D51" s="112" t="s">
        <v>189</v>
      </c>
      <c r="E51" s="138"/>
      <c r="F51" s="139"/>
      <c r="G51" s="114" t="s">
        <v>587</v>
      </c>
      <c r="H51" s="115" t="s">
        <v>588</v>
      </c>
      <c r="I51" s="116">
        <v>10000.0</v>
      </c>
      <c r="J51" s="117">
        <f>IF(A51="RAPPI",(VLOOKUP(TRIM(D51), CATALOGO!F:G, 2, FALSE) * C51)+I51,IFERROR(IF(COUNTIF('RESTAURANTESDESCUENTOS 2026'!A:A,TRIM(A51))&gt;0,((VLOOKUP(TRIM(D51), CATALOGO!A:B, 2, FALSE) * C51)*(1-VALUE(SUBSTITUTE(VLOOKUP(TRIM(A51),'RESTAURANTESDESCUENTOS 2026'!A:B,2,FALSE),"%",""))/100)+I51),(VLOOKUP(TRIM(D51), CATALOGO!A:B, 2, FALSE) * C51+I51)),""))</f>
        <v>300000</v>
      </c>
      <c r="K51" s="116">
        <v>10000.0</v>
      </c>
      <c r="L51" s="132"/>
      <c r="M51" s="120" t="s">
        <v>587</v>
      </c>
      <c r="N51" s="121"/>
    </row>
    <row r="52" ht="22.5" hidden="1" customHeight="1">
      <c r="A52" s="148" t="s">
        <v>38</v>
      </c>
      <c r="B52" s="123">
        <v>46027.0</v>
      </c>
      <c r="C52" s="124">
        <v>2.0</v>
      </c>
      <c r="D52" s="125" t="s">
        <v>177</v>
      </c>
      <c r="E52" s="124" t="s">
        <v>624</v>
      </c>
      <c r="F52" s="125"/>
      <c r="G52" s="114" t="s">
        <v>587</v>
      </c>
      <c r="H52" s="126" t="s">
        <v>588</v>
      </c>
      <c r="I52" s="127">
        <v>0.0</v>
      </c>
      <c r="J52" s="117">
        <f>IF(A52="RAPPI",(VLOOKUP(TRIM(D52), CATALOGO!F:G, 2, FALSE) * C52)+I52,IFERROR(IF(COUNTIF('RESTAURANTESDESCUENTOS 2026'!A:A,TRIM(A52))&gt;0,((VLOOKUP(TRIM(D52), CATALOGO!A:B, 2, FALSE) * C52)*(1-VALUE(SUBSTITUTE(VLOOKUP(TRIM(A52),'RESTAURANTESDESCUENTOS 2026'!A:B,2,FALSE),"%",""))/100)+I52),(VLOOKUP(TRIM(D52), CATALOGO!A:B, 2, FALSE) * C52+I52)),""))</f>
        <v>172500</v>
      </c>
      <c r="K52" s="118">
        <v>18000.0</v>
      </c>
      <c r="L52" s="128" t="s">
        <v>587</v>
      </c>
      <c r="M52" s="129" t="s">
        <v>587</v>
      </c>
      <c r="N52" s="130"/>
    </row>
    <row r="53" ht="22.5" hidden="1" customHeight="1">
      <c r="A53" s="131" t="s">
        <v>99</v>
      </c>
      <c r="B53" s="110">
        <v>46027.0</v>
      </c>
      <c r="C53" s="111">
        <v>1.0</v>
      </c>
      <c r="D53" s="112" t="s">
        <v>178</v>
      </c>
      <c r="E53" s="111" t="s">
        <v>625</v>
      </c>
      <c r="F53" s="112"/>
      <c r="G53" s="114" t="s">
        <v>587</v>
      </c>
      <c r="H53" s="115" t="s">
        <v>588</v>
      </c>
      <c r="I53" s="116">
        <v>5000.0</v>
      </c>
      <c r="J53" s="117">
        <f>IF(A53="RAPPI",(VLOOKUP(TRIM(D53), CATALOGO!F:G, 2, FALSE) * C53)+I53,IFERROR(IF(COUNTIF('RESTAURANTESDESCUENTOS 2026'!A:A,TRIM(A53))&gt;0,((VLOOKUP(TRIM(D53), CATALOGO!A:B, 2, FALSE) * C53)*(1-VALUE(SUBSTITUTE(VLOOKUP(TRIM(A53),'RESTAURANTESDESCUENTOS 2026'!A:B,2,FALSE),"%",""))/100)+I53),(VLOOKUP(TRIM(D53), CATALOGO!A:B, 2, FALSE) * C53+I53)),""))</f>
        <v>110000</v>
      </c>
      <c r="K53" s="118">
        <v>10000.0</v>
      </c>
      <c r="L53" s="136" t="s">
        <v>587</v>
      </c>
      <c r="M53" s="120" t="s">
        <v>587</v>
      </c>
      <c r="N53" s="121"/>
    </row>
    <row r="54" ht="22.5" hidden="1" customHeight="1">
      <c r="A54" s="131" t="s">
        <v>626</v>
      </c>
      <c r="B54" s="110">
        <v>46027.0</v>
      </c>
      <c r="C54" s="111">
        <v>1.0</v>
      </c>
      <c r="D54" s="112" t="s">
        <v>178</v>
      </c>
      <c r="E54" s="111" t="s">
        <v>610</v>
      </c>
      <c r="F54" s="112"/>
      <c r="G54" s="114" t="s">
        <v>587</v>
      </c>
      <c r="H54" s="115" t="s">
        <v>588</v>
      </c>
      <c r="I54" s="116">
        <v>5000.0</v>
      </c>
      <c r="J54" s="117">
        <f>IF(A54="RAPPI",(VLOOKUP(TRIM(D54), CATALOGO!F:G, 2, FALSE) * C54)+I54,IFERROR(IF(COUNTIF('RESTAURANTESDESCUENTOS 2026'!A:A,TRIM(A54))&gt;0,((VLOOKUP(TRIM(D54), CATALOGO!A:B, 2, FALSE) * C54)*(1-VALUE(SUBSTITUTE(VLOOKUP(TRIM(A54),'RESTAURANTESDESCUENTOS 2026'!A:B,2,FALSE),"%",""))/100)+I54),(VLOOKUP(TRIM(D54), CATALOGO!A:B, 2, FALSE) * C54+I54)),""))</f>
        <v>110000</v>
      </c>
      <c r="K54" s="118">
        <v>10000.0</v>
      </c>
      <c r="L54" s="136" t="s">
        <v>587</v>
      </c>
      <c r="M54" s="120" t="s">
        <v>587</v>
      </c>
      <c r="N54" s="121"/>
    </row>
    <row r="55" ht="22.5" hidden="1" customHeight="1">
      <c r="A55" s="122" t="s">
        <v>86</v>
      </c>
      <c r="B55" s="123">
        <v>46027.0</v>
      </c>
      <c r="C55" s="124">
        <v>1.0</v>
      </c>
      <c r="D55" s="125" t="s">
        <v>177</v>
      </c>
      <c r="E55" s="124" t="s">
        <v>610</v>
      </c>
      <c r="F55" s="125"/>
      <c r="G55" s="114" t="s">
        <v>587</v>
      </c>
      <c r="H55" s="126" t="s">
        <v>588</v>
      </c>
      <c r="I55" s="127">
        <v>0.0</v>
      </c>
      <c r="J55" s="117">
        <f>IF(A55="RAPPI",(VLOOKUP(TRIM(D55), CATALOGO!F:G, 2, FALSE) * C55)+I55,IFERROR(IF(COUNTIF('RESTAURANTESDESCUENTOS 2026'!A:A,TRIM(A55))&gt;0,((VLOOKUP(TRIM(D55), CATALOGO!A:B, 2, FALSE) * C55)*(1-VALUE(SUBSTITUTE(VLOOKUP(TRIM(A55),'RESTAURANTESDESCUENTOS 2026'!A:B,2,FALSE),"%",""))/100)+I55),(VLOOKUP(TRIM(D55), CATALOGO!A:B, 2, FALSE) * C55+I55)),""))</f>
        <v>86250</v>
      </c>
      <c r="K55" s="127">
        <v>0.0</v>
      </c>
      <c r="L55" s="128" t="s">
        <v>587</v>
      </c>
      <c r="M55" s="129" t="s">
        <v>587</v>
      </c>
      <c r="N55" s="130"/>
    </row>
    <row r="56" ht="22.5" hidden="1" customHeight="1">
      <c r="A56" s="109" t="s">
        <v>106</v>
      </c>
      <c r="B56" s="110">
        <v>46027.0</v>
      </c>
      <c r="C56" s="111">
        <v>1.0</v>
      </c>
      <c r="D56" s="112" t="s">
        <v>178</v>
      </c>
      <c r="E56" s="111" t="s">
        <v>610</v>
      </c>
      <c r="F56" s="112"/>
      <c r="G56" s="114" t="s">
        <v>587</v>
      </c>
      <c r="H56" s="115" t="s">
        <v>588</v>
      </c>
      <c r="I56" s="116">
        <v>5000.0</v>
      </c>
      <c r="J56" s="117">
        <f>IF(A56="RAPPI",(VLOOKUP(TRIM(D56), CATALOGO!F:G, 2, FALSE) * C56)+I56,IFERROR(IF(COUNTIF('RESTAURANTESDESCUENTOS 2026'!A:A,TRIM(A56))&gt;0,((VLOOKUP(TRIM(D56), CATALOGO!A:B, 2, FALSE) * C56)*(1-VALUE(SUBSTITUTE(VLOOKUP(TRIM(A56),'RESTAURANTESDESCUENTOS 2026'!A:B,2,FALSE),"%",""))/100)+I56),(VLOOKUP(TRIM(D56), CATALOGO!A:B, 2, FALSE) * C56+I56)),""))</f>
        <v>102125</v>
      </c>
      <c r="K56" s="118">
        <v>13000.0</v>
      </c>
      <c r="L56" s="136" t="s">
        <v>587</v>
      </c>
      <c r="M56" s="120" t="s">
        <v>587</v>
      </c>
      <c r="N56" s="121"/>
    </row>
    <row r="57" ht="22.5" hidden="1" customHeight="1">
      <c r="A57" s="122" t="s">
        <v>627</v>
      </c>
      <c r="B57" s="123">
        <v>46027.0</v>
      </c>
      <c r="C57" s="124">
        <v>1.0</v>
      </c>
      <c r="D57" s="125" t="s">
        <v>555</v>
      </c>
      <c r="E57" s="133"/>
      <c r="F57" s="134"/>
      <c r="G57" s="114" t="s">
        <v>35</v>
      </c>
      <c r="H57" s="134"/>
      <c r="I57" s="146"/>
      <c r="J57" s="117">
        <f>IF(A57="RAPPI",(VLOOKUP(TRIM(D57), CATALOGO!F:G, 2, FALSE) * C57)+I57,IFERROR(IF(COUNTIF('RESTAURANTESDESCUENTOS 2026'!A:A,TRIM(A57))&gt;0,((VLOOKUP(TRIM(D57), CATALOGO!A:B, 2, FALSE) * C57)*(1-VALUE(SUBSTITUTE(VLOOKUP(TRIM(A57),'RESTAURANTESDESCUENTOS 2026'!A:B,2,FALSE),"%",""))/100)+I57),(VLOOKUP(TRIM(D57), CATALOGO!A:B, 2, FALSE) * C57+I57)),""))</f>
        <v>123000</v>
      </c>
      <c r="K57" s="146"/>
      <c r="L57" s="135"/>
      <c r="M57" s="129" t="s">
        <v>587</v>
      </c>
      <c r="N57" s="130"/>
    </row>
    <row r="58" ht="22.5" hidden="1" customHeight="1">
      <c r="A58" s="131" t="s">
        <v>605</v>
      </c>
      <c r="B58" s="110">
        <v>46027.0</v>
      </c>
      <c r="C58" s="143">
        <v>1.0</v>
      </c>
      <c r="D58" s="112" t="s">
        <v>174</v>
      </c>
      <c r="E58" s="111" t="s">
        <v>606</v>
      </c>
      <c r="F58" s="112"/>
      <c r="G58" s="114" t="s">
        <v>35</v>
      </c>
      <c r="H58" s="139"/>
      <c r="I58" s="140"/>
      <c r="J58" s="117">
        <f>IF(A58="RAPPI",(VLOOKUP(TRIM(D58), CATALOGO!F:G, 2, FALSE) * C58)+I58,IFERROR(IF(COUNTIF('RESTAURANTESDESCUENTOS 2026'!A:A,TRIM(A58))&gt;0,((VLOOKUP(TRIM(D58), CATALOGO!A:B, 2, FALSE) * C58)*(1-VALUE(SUBSTITUTE(VLOOKUP(TRIM(A58),'RESTAURANTESDESCUENTOS 2026'!A:B,2,FALSE),"%",""))/100)+I58),(VLOOKUP(TRIM(D58), CATALOGO!A:B, 2, FALSE) * C58+I58)),""))</f>
        <v>18000</v>
      </c>
      <c r="K58" s="140"/>
      <c r="L58" s="132"/>
      <c r="M58" s="120" t="s">
        <v>587</v>
      </c>
      <c r="N58" s="121"/>
    </row>
    <row r="59" ht="22.5" hidden="1" customHeight="1">
      <c r="A59" s="147" t="s">
        <v>603</v>
      </c>
      <c r="B59" s="123">
        <v>46027.0</v>
      </c>
      <c r="C59" s="143">
        <v>1.0</v>
      </c>
      <c r="D59" s="125" t="s">
        <v>174</v>
      </c>
      <c r="E59" s="124">
        <v>2697.0</v>
      </c>
      <c r="F59" s="125"/>
      <c r="G59" s="114" t="s">
        <v>587</v>
      </c>
      <c r="H59" s="145" t="s">
        <v>603</v>
      </c>
      <c r="I59" s="146"/>
      <c r="J59" s="117">
        <f>IF(A59="RAPPI",(VLOOKUP(TRIM(D59), CATALOGO!F:G, 2, FALSE) * C59)+I59,IFERROR(IF(COUNTIF('RESTAURANTESDESCUENTOS 2026'!A:A,TRIM(A59))&gt;0,((VLOOKUP(TRIM(D59), CATALOGO!A:B, 2, FALSE) * C59)*(1-VALUE(SUBSTITUTE(VLOOKUP(TRIM(A59),'RESTAURANTESDESCUENTOS 2026'!A:B,2,FALSE),"%",""))/100)+I59),(VLOOKUP(TRIM(D59), CATALOGO!A:B, 2, FALSE) * C59+I59)),""))</f>
        <v>18000</v>
      </c>
      <c r="K59" s="146"/>
      <c r="L59" s="135"/>
      <c r="M59" s="129" t="s">
        <v>587</v>
      </c>
      <c r="N59" s="130"/>
    </row>
    <row r="60" ht="22.5" hidden="1" customHeight="1">
      <c r="A60" s="131" t="s">
        <v>603</v>
      </c>
      <c r="B60" s="110">
        <v>46027.0</v>
      </c>
      <c r="C60" s="143">
        <v>2.0</v>
      </c>
      <c r="D60" s="112" t="s">
        <v>628</v>
      </c>
      <c r="E60" s="111">
        <v>2697.0</v>
      </c>
      <c r="F60" s="112"/>
      <c r="G60" s="114" t="s">
        <v>587</v>
      </c>
      <c r="H60" s="144" t="s">
        <v>603</v>
      </c>
      <c r="I60" s="140"/>
      <c r="J60" s="117">
        <f>IF(A60="RAPPI",(VLOOKUP(TRIM(D60), CATALOGO!F:G, 2, FALSE) * C60)+I60,IFERROR(IF(COUNTIF('RESTAURANTESDESCUENTOS 2026'!A:A,TRIM(A60))&gt;0,((VLOOKUP(TRIM(D60), CATALOGO!A:B, 2, FALSE) * C60)*(1-VALUE(SUBSTITUTE(VLOOKUP(TRIM(A60),'RESTAURANTESDESCUENTOS 2026'!A:B,2,FALSE),"%",""))/100)+I60),(VLOOKUP(TRIM(D60), CATALOGO!A:B, 2, FALSE) * C60+I60)),""))</f>
        <v>44000</v>
      </c>
      <c r="K60" s="140"/>
      <c r="L60" s="132"/>
      <c r="M60" s="120" t="s">
        <v>587</v>
      </c>
      <c r="N60" s="121"/>
    </row>
    <row r="61" ht="22.5" hidden="1" customHeight="1">
      <c r="A61" s="147" t="s">
        <v>603</v>
      </c>
      <c r="B61" s="123">
        <v>46027.0</v>
      </c>
      <c r="C61" s="124">
        <v>1.0</v>
      </c>
      <c r="D61" s="125" t="s">
        <v>176</v>
      </c>
      <c r="E61" s="124">
        <v>3062.0</v>
      </c>
      <c r="F61" s="125"/>
      <c r="G61" s="114" t="s">
        <v>587</v>
      </c>
      <c r="H61" s="145" t="s">
        <v>603</v>
      </c>
      <c r="I61" s="146"/>
      <c r="J61" s="117">
        <f>IF(A61="RAPPI",(VLOOKUP(TRIM(D61), CATALOGO!F:G, 2, FALSE) * C61)+I61,IFERROR(IF(COUNTIF('RESTAURANTESDESCUENTOS 2026'!A:A,TRIM(A61))&gt;0,((VLOOKUP(TRIM(D61), CATALOGO!A:B, 2, FALSE) * C61)*(1-VALUE(SUBSTITUTE(VLOOKUP(TRIM(A61),'RESTAURANTESDESCUENTOS 2026'!A:B,2,FALSE),"%",""))/100)+I61),(VLOOKUP(TRIM(D61), CATALOGO!A:B, 2, FALSE) * C61+I61)),""))</f>
        <v>50000</v>
      </c>
      <c r="K61" s="146"/>
      <c r="L61" s="135"/>
      <c r="M61" s="129" t="s">
        <v>587</v>
      </c>
      <c r="N61" s="130"/>
    </row>
    <row r="62" ht="22.5" hidden="1" customHeight="1">
      <c r="A62" s="131" t="s">
        <v>603</v>
      </c>
      <c r="B62" s="110">
        <v>46027.0</v>
      </c>
      <c r="C62" s="111">
        <v>1.0</v>
      </c>
      <c r="D62" s="112" t="s">
        <v>629</v>
      </c>
      <c r="E62" s="111">
        <v>6138.0</v>
      </c>
      <c r="F62" s="112"/>
      <c r="G62" s="114" t="s">
        <v>587</v>
      </c>
      <c r="H62" s="144" t="s">
        <v>603</v>
      </c>
      <c r="I62" s="140"/>
      <c r="J62" s="117">
        <f>IF(A62="RAPPI",(VLOOKUP(TRIM(D62), CATALOGO!F:G, 2, FALSE) * C62)+I62,IFERROR(IF(COUNTIF('RESTAURANTESDESCUENTOS 2026'!A:A,TRIM(A62))&gt;0,((VLOOKUP(TRIM(D62), CATALOGO!A:B, 2, FALSE) * C62)*(1-VALUE(SUBSTITUTE(VLOOKUP(TRIM(A62),'RESTAURANTESDESCUENTOS 2026'!A:B,2,FALSE),"%",""))/100)+I62),(VLOOKUP(TRIM(D62), CATALOGO!A:B, 2, FALSE) * C62+I62)),""))</f>
        <v>163000</v>
      </c>
      <c r="K62" s="140"/>
      <c r="L62" s="132"/>
      <c r="M62" s="120" t="s">
        <v>587</v>
      </c>
      <c r="N62" s="121"/>
    </row>
    <row r="63" ht="22.5" hidden="1" customHeight="1">
      <c r="A63" s="122" t="s">
        <v>603</v>
      </c>
      <c r="B63" s="123">
        <v>46027.0</v>
      </c>
      <c r="C63" s="124">
        <v>1.0</v>
      </c>
      <c r="D63" s="125" t="s">
        <v>176</v>
      </c>
      <c r="E63" s="124">
        <v>4025.0</v>
      </c>
      <c r="F63" s="125"/>
      <c r="G63" s="114" t="s">
        <v>587</v>
      </c>
      <c r="H63" s="145" t="s">
        <v>603</v>
      </c>
      <c r="I63" s="146"/>
      <c r="J63" s="117">
        <f>IF(A63="RAPPI",(VLOOKUP(TRIM(D63), CATALOGO!F:G, 2, FALSE) * C63)+I63,IFERROR(IF(COUNTIF('RESTAURANTESDESCUENTOS 2026'!A:A,TRIM(A63))&gt;0,((VLOOKUP(TRIM(D63), CATALOGO!A:B, 2, FALSE) * C63)*(1-VALUE(SUBSTITUTE(VLOOKUP(TRIM(A63),'RESTAURANTESDESCUENTOS 2026'!A:B,2,FALSE),"%",""))/100)+I63),(VLOOKUP(TRIM(D63), CATALOGO!A:B, 2, FALSE) * C63+I63)),""))</f>
        <v>50000</v>
      </c>
      <c r="K63" s="146"/>
      <c r="L63" s="135"/>
      <c r="M63" s="129" t="s">
        <v>587</v>
      </c>
      <c r="N63" s="130"/>
    </row>
    <row r="64" ht="22.5" hidden="1" customHeight="1">
      <c r="A64" s="122" t="s">
        <v>603</v>
      </c>
      <c r="B64" s="123">
        <v>46027.0</v>
      </c>
      <c r="C64" s="124">
        <v>1.0</v>
      </c>
      <c r="D64" s="125" t="s">
        <v>629</v>
      </c>
      <c r="E64" s="124">
        <v>7165.0</v>
      </c>
      <c r="F64" s="125"/>
      <c r="G64" s="114" t="s">
        <v>587</v>
      </c>
      <c r="H64" s="145" t="s">
        <v>603</v>
      </c>
      <c r="I64" s="146"/>
      <c r="J64" s="117">
        <f>IF(A64="RAPPI",(VLOOKUP(TRIM(D64), CATALOGO!F:G, 2, FALSE) * C64)+I64,IFERROR(IF(COUNTIF('RESTAURANTESDESCUENTOS 2026'!A:A,TRIM(A64))&gt;0,((VLOOKUP(TRIM(D64), CATALOGO!A:B, 2, FALSE) * C64)*(1-VALUE(SUBSTITUTE(VLOOKUP(TRIM(A64),'RESTAURANTESDESCUENTOS 2026'!A:B,2,FALSE),"%",""))/100)+I64),(VLOOKUP(TRIM(D64), CATALOGO!A:B, 2, FALSE) * C64+I64)),""))</f>
        <v>163000</v>
      </c>
      <c r="K64" s="146"/>
      <c r="L64" s="135"/>
      <c r="M64" s="129" t="s">
        <v>587</v>
      </c>
      <c r="N64" s="130"/>
    </row>
    <row r="65" ht="22.5" hidden="1" customHeight="1">
      <c r="A65" s="122" t="s">
        <v>605</v>
      </c>
      <c r="B65" s="123">
        <v>46027.0</v>
      </c>
      <c r="C65" s="124">
        <v>1.0</v>
      </c>
      <c r="D65" s="125" t="s">
        <v>176</v>
      </c>
      <c r="E65" s="124" t="s">
        <v>606</v>
      </c>
      <c r="F65" s="125"/>
      <c r="G65" s="114" t="s">
        <v>35</v>
      </c>
      <c r="H65" s="134"/>
      <c r="I65" s="146"/>
      <c r="J65" s="117">
        <f>IF(A65="RAPPI",(VLOOKUP(TRIM(D65), CATALOGO!F:G, 2, FALSE) * C65)+I65,IFERROR(IF(COUNTIF('RESTAURANTESDESCUENTOS 2026'!A:A,TRIM(A65))&gt;0,((VLOOKUP(TRIM(D65), CATALOGO!A:B, 2, FALSE) * C65)*(1-VALUE(SUBSTITUTE(VLOOKUP(TRIM(A65),'RESTAURANTESDESCUENTOS 2026'!A:B,2,FALSE),"%",""))/100)+I65),(VLOOKUP(TRIM(D65), CATALOGO!A:B, 2, FALSE) * C65+I65)),""))</f>
        <v>50000</v>
      </c>
      <c r="K65" s="146"/>
      <c r="L65" s="135"/>
      <c r="M65" s="129" t="s">
        <v>587</v>
      </c>
      <c r="N65" s="130"/>
    </row>
    <row r="66" ht="22.5" hidden="1" customHeight="1">
      <c r="A66" s="131" t="s">
        <v>605</v>
      </c>
      <c r="B66" s="110">
        <v>46027.0</v>
      </c>
      <c r="C66" s="111">
        <v>1.0</v>
      </c>
      <c r="D66" s="112" t="s">
        <v>601</v>
      </c>
      <c r="E66" s="111" t="s">
        <v>630</v>
      </c>
      <c r="F66" s="112"/>
      <c r="G66" s="114" t="s">
        <v>35</v>
      </c>
      <c r="H66" s="139"/>
      <c r="I66" s="140"/>
      <c r="J66" s="117">
        <f>IF(A66="RAPPI",(VLOOKUP(TRIM(D66), CATALOGO!F:G, 2, FALSE) * C66)+I66,IFERROR(IF(COUNTIF('RESTAURANTESDESCUENTOS 2026'!A:A,TRIM(A66))&gt;0,((VLOOKUP(TRIM(D66), CATALOGO!A:B, 2, FALSE) * C66)*(1-VALUE(SUBSTITUTE(VLOOKUP(TRIM(A66),'RESTAURANTESDESCUENTOS 2026'!A:B,2,FALSE),"%",""))/100)+I66),(VLOOKUP(TRIM(D66), CATALOGO!A:B, 2, FALSE) * C66+I66)),""))</f>
        <v>53000</v>
      </c>
      <c r="K66" s="140"/>
      <c r="L66" s="132"/>
      <c r="M66" s="120" t="s">
        <v>587</v>
      </c>
      <c r="N66" s="121"/>
    </row>
    <row r="67" ht="22.5" hidden="1" customHeight="1">
      <c r="A67" s="148" t="s">
        <v>40</v>
      </c>
      <c r="B67" s="123">
        <v>46028.0</v>
      </c>
      <c r="C67" s="124">
        <v>1.0</v>
      </c>
      <c r="D67" s="125" t="s">
        <v>177</v>
      </c>
      <c r="E67" s="124" t="s">
        <v>631</v>
      </c>
      <c r="F67" s="125"/>
      <c r="G67" s="114" t="s">
        <v>587</v>
      </c>
      <c r="H67" s="151" t="s">
        <v>632</v>
      </c>
      <c r="I67" s="127">
        <v>0.0</v>
      </c>
      <c r="J67" s="117">
        <f>IF(A67="RAPPI",(VLOOKUP(TRIM(D67), CATALOGO!F:G, 2, FALSE) * C67)+I67,IFERROR(IF(COUNTIF('RESTAURANTESDESCUENTOS 2026'!A:A,TRIM(A67))&gt;0,((VLOOKUP(TRIM(D67), CATALOGO!A:B, 2, FALSE) * C67)*(1-VALUE(SUBSTITUTE(VLOOKUP(TRIM(A67),'RESTAURANTESDESCUENTOS 2026'!A:B,2,FALSE),"%",""))/100)+I67),(VLOOKUP(TRIM(D67), CATALOGO!A:B, 2, FALSE) * C67+I67)),""))</f>
        <v>86250</v>
      </c>
      <c r="K67" s="118">
        <v>10000.0</v>
      </c>
      <c r="L67" s="128" t="s">
        <v>587</v>
      </c>
      <c r="M67" s="129" t="s">
        <v>587</v>
      </c>
      <c r="N67" s="130"/>
    </row>
    <row r="68" ht="22.5" hidden="1" customHeight="1">
      <c r="A68" s="131" t="s">
        <v>597</v>
      </c>
      <c r="B68" s="110">
        <v>46028.0</v>
      </c>
      <c r="C68" s="111">
        <v>6.0</v>
      </c>
      <c r="D68" s="112" t="s">
        <v>178</v>
      </c>
      <c r="E68" s="111" t="s">
        <v>633</v>
      </c>
      <c r="F68" s="112"/>
      <c r="G68" s="114" t="s">
        <v>587</v>
      </c>
      <c r="H68" s="115" t="s">
        <v>588</v>
      </c>
      <c r="I68" s="116">
        <v>0.0</v>
      </c>
      <c r="J68" s="142">
        <v>0.0</v>
      </c>
      <c r="K68" s="118">
        <v>220000.0</v>
      </c>
      <c r="L68" s="132"/>
      <c r="M68" s="120" t="s">
        <v>587</v>
      </c>
      <c r="N68" s="121"/>
    </row>
    <row r="69" ht="22.5" hidden="1" customHeight="1">
      <c r="A69" s="131" t="s">
        <v>634</v>
      </c>
      <c r="B69" s="110">
        <v>46028.0</v>
      </c>
      <c r="C69" s="111">
        <v>1.0</v>
      </c>
      <c r="D69" s="152" t="s">
        <v>182</v>
      </c>
      <c r="E69" s="111" t="s">
        <v>635</v>
      </c>
      <c r="F69" s="112"/>
      <c r="G69" s="114" t="s">
        <v>587</v>
      </c>
      <c r="H69" s="115" t="s">
        <v>588</v>
      </c>
      <c r="I69" s="116">
        <v>12000.0</v>
      </c>
      <c r="J69" s="117">
        <f>IF(A69="RAPPI",(VLOOKUP(TRIM(D69), CATALOGO!F:G, 2, FALSE) * C69)+I69,IFERROR(IF(COUNTIF('RESTAURANTESDESCUENTOS 2026'!A:A,TRIM(A69))&gt;0,((VLOOKUP(TRIM(D69), CATALOGO!A:B, 2, FALSE) * C69)*(1-VALUE(SUBSTITUTE(VLOOKUP(TRIM(A69),'RESTAURANTESDESCUENTOS 2026'!A:B,2,FALSE),"%",""))/100)+I69),(VLOOKUP(TRIM(D69), CATALOGO!A:B, 2, FALSE) * C69+I69)),""))</f>
        <v>49000</v>
      </c>
      <c r="K69" s="116">
        <v>12000.0</v>
      </c>
      <c r="L69" s="132"/>
      <c r="M69" s="120" t="s">
        <v>587</v>
      </c>
      <c r="N69" s="121"/>
    </row>
    <row r="70" ht="22.5" hidden="1" customHeight="1">
      <c r="A70" s="141" t="s">
        <v>10</v>
      </c>
      <c r="B70" s="110">
        <v>46028.0</v>
      </c>
      <c r="C70" s="111">
        <v>1.0</v>
      </c>
      <c r="D70" s="112" t="s">
        <v>178</v>
      </c>
      <c r="E70" s="111" t="s">
        <v>610</v>
      </c>
      <c r="F70" s="112"/>
      <c r="G70" s="114" t="s">
        <v>587</v>
      </c>
      <c r="H70" s="153" t="s">
        <v>632</v>
      </c>
      <c r="I70" s="116">
        <v>10000.0</v>
      </c>
      <c r="J70" s="117">
        <f>IF(A70="RAPPI",(VLOOKUP(TRIM(D70), CATALOGO!F:G, 2, FALSE) * C70)+I70,IFERROR(IF(COUNTIF('RESTAURANTESDESCUENTOS 2026'!A:A,TRIM(A70))&gt;0,((VLOOKUP(TRIM(D70), CATALOGO!A:B, 2, FALSE) * C70)*(1-VALUE(SUBSTITUTE(VLOOKUP(TRIM(A70),'RESTAURANTESDESCUENTOS 2026'!A:B,2,FALSE),"%",""))/100)+I70),(VLOOKUP(TRIM(D70), CATALOGO!A:B, 2, FALSE) * C70+I70)),""))</f>
        <v>122500</v>
      </c>
      <c r="K70" s="116">
        <v>10000.0</v>
      </c>
      <c r="L70" s="136" t="s">
        <v>587</v>
      </c>
      <c r="M70" s="120" t="s">
        <v>587</v>
      </c>
      <c r="N70" s="121"/>
    </row>
    <row r="71" ht="22.5" hidden="1" customHeight="1">
      <c r="A71" s="131" t="s">
        <v>636</v>
      </c>
      <c r="B71" s="110">
        <v>46028.0</v>
      </c>
      <c r="C71" s="111">
        <v>1.0</v>
      </c>
      <c r="D71" s="112" t="s">
        <v>554</v>
      </c>
      <c r="E71" s="111" t="s">
        <v>637</v>
      </c>
      <c r="F71" s="112"/>
      <c r="G71" s="114" t="s">
        <v>587</v>
      </c>
      <c r="H71" s="153" t="s">
        <v>632</v>
      </c>
      <c r="I71" s="116">
        <v>10000.0</v>
      </c>
      <c r="J71" s="117">
        <f>IF(A71="RAPPI",(VLOOKUP(TRIM(D71), CATALOGO!F:G, 2, FALSE) * C71)+I71,IFERROR(IF(COUNTIF('RESTAURANTESDESCUENTOS 2026'!A:A,TRIM(A71))&gt;0,((VLOOKUP(TRIM(D71), CATALOGO!A:B, 2, FALSE) * C71)*(1-VALUE(SUBSTITUTE(VLOOKUP(TRIM(A71),'RESTAURANTESDESCUENTOS 2026'!A:B,2,FALSE),"%",""))/100)+I71),(VLOOKUP(TRIM(D71), CATALOGO!A:B, 2, FALSE) * C71+I71)),""))</f>
        <v>63000</v>
      </c>
      <c r="K71" s="116">
        <v>10000.0</v>
      </c>
      <c r="L71" s="132"/>
      <c r="M71" s="120" t="s">
        <v>587</v>
      </c>
      <c r="N71" s="121"/>
    </row>
    <row r="72" ht="22.5" hidden="1" customHeight="1">
      <c r="A72" s="131" t="s">
        <v>638</v>
      </c>
      <c r="B72" s="110">
        <v>46028.0</v>
      </c>
      <c r="C72" s="111">
        <v>1.0</v>
      </c>
      <c r="D72" s="112" t="s">
        <v>554</v>
      </c>
      <c r="E72" s="138"/>
      <c r="F72" s="139"/>
      <c r="G72" s="114" t="s">
        <v>587</v>
      </c>
      <c r="H72" s="115" t="s">
        <v>588</v>
      </c>
      <c r="I72" s="116">
        <v>26000.0</v>
      </c>
      <c r="J72" s="117">
        <f>IF(A72="RAPPI",(VLOOKUP(TRIM(D72), CATALOGO!F:G, 2, FALSE) * C72)+I72,IFERROR(IF(COUNTIF('RESTAURANTESDESCUENTOS 2026'!A:A,TRIM(A72))&gt;0,((VLOOKUP(TRIM(D72), CATALOGO!A:B, 2, FALSE) * C72)*(1-VALUE(SUBSTITUTE(VLOOKUP(TRIM(A72),'RESTAURANTESDESCUENTOS 2026'!A:B,2,FALSE),"%",""))/100)+I72),(VLOOKUP(TRIM(D72), CATALOGO!A:B, 2, FALSE) * C72+I72)),""))</f>
        <v>79000</v>
      </c>
      <c r="K72" s="116">
        <v>26000.0</v>
      </c>
      <c r="L72" s="132"/>
      <c r="M72" s="120" t="s">
        <v>587</v>
      </c>
      <c r="N72" s="121"/>
    </row>
    <row r="73" ht="22.5" hidden="1" customHeight="1">
      <c r="A73" s="131" t="s">
        <v>88</v>
      </c>
      <c r="B73" s="110">
        <v>46028.0</v>
      </c>
      <c r="C73" s="111">
        <v>1.0</v>
      </c>
      <c r="D73" s="112" t="s">
        <v>177</v>
      </c>
      <c r="E73" s="111" t="s">
        <v>610</v>
      </c>
      <c r="F73" s="112"/>
      <c r="G73" s="114" t="s">
        <v>587</v>
      </c>
      <c r="H73" s="115" t="s">
        <v>588</v>
      </c>
      <c r="I73" s="140"/>
      <c r="J73" s="142">
        <v>78750.0</v>
      </c>
      <c r="K73" s="118">
        <v>20000.0</v>
      </c>
      <c r="L73" s="136" t="s">
        <v>587</v>
      </c>
      <c r="M73" s="120" t="s">
        <v>587</v>
      </c>
      <c r="N73" s="121"/>
    </row>
    <row r="74" ht="22.5" hidden="1" customHeight="1">
      <c r="A74" s="122" t="s">
        <v>605</v>
      </c>
      <c r="B74" s="123">
        <v>46028.0</v>
      </c>
      <c r="C74" s="143">
        <v>1.0</v>
      </c>
      <c r="D74" s="125" t="s">
        <v>174</v>
      </c>
      <c r="E74" s="124" t="s">
        <v>606</v>
      </c>
      <c r="F74" s="125"/>
      <c r="G74" s="114" t="s">
        <v>35</v>
      </c>
      <c r="H74" s="134"/>
      <c r="I74" s="146"/>
      <c r="J74" s="117">
        <f>IF(A74="RAPPI",(VLOOKUP(TRIM(D74), CATALOGO!F:G, 2, FALSE) * C74)+I74,IFERROR(IF(COUNTIF('RESTAURANTESDESCUENTOS 2026'!A:A,TRIM(A74))&gt;0,((VLOOKUP(TRIM(D74), CATALOGO!A:B, 2, FALSE) * C74)*(1-VALUE(SUBSTITUTE(VLOOKUP(TRIM(A74),'RESTAURANTESDESCUENTOS 2026'!A:B,2,FALSE),"%",""))/100)+I74),(VLOOKUP(TRIM(D74), CATALOGO!A:B, 2, FALSE) * C74+I74)),""))</f>
        <v>18000</v>
      </c>
      <c r="K74" s="146"/>
      <c r="L74" s="135"/>
      <c r="M74" s="129" t="s">
        <v>587</v>
      </c>
      <c r="N74" s="130"/>
    </row>
    <row r="75" ht="22.5" hidden="1" customHeight="1">
      <c r="A75" s="122" t="s">
        <v>597</v>
      </c>
      <c r="B75" s="123">
        <v>46028.0</v>
      </c>
      <c r="C75" s="124">
        <v>4.0</v>
      </c>
      <c r="D75" s="125" t="s">
        <v>177</v>
      </c>
      <c r="E75" s="133"/>
      <c r="F75" s="134"/>
      <c r="G75" s="114" t="s">
        <v>587</v>
      </c>
      <c r="H75" s="126" t="s">
        <v>588</v>
      </c>
      <c r="I75" s="127">
        <v>0.0</v>
      </c>
      <c r="J75" s="117">
        <v>0.0</v>
      </c>
      <c r="K75" s="127">
        <v>0.0</v>
      </c>
      <c r="L75" s="135"/>
      <c r="M75" s="129" t="s">
        <v>587</v>
      </c>
      <c r="N75" s="130"/>
    </row>
    <row r="76" ht="22.5" hidden="1" customHeight="1">
      <c r="A76" s="131" t="s">
        <v>597</v>
      </c>
      <c r="B76" s="110">
        <v>46028.0</v>
      </c>
      <c r="C76" s="111">
        <v>3.0</v>
      </c>
      <c r="D76" s="112" t="s">
        <v>555</v>
      </c>
      <c r="E76" s="138"/>
      <c r="F76" s="139"/>
      <c r="G76" s="114" t="s">
        <v>587</v>
      </c>
      <c r="H76" s="115" t="s">
        <v>588</v>
      </c>
      <c r="I76" s="116">
        <v>0.0</v>
      </c>
      <c r="J76" s="142">
        <v>0.0</v>
      </c>
      <c r="K76" s="116">
        <v>0.0</v>
      </c>
      <c r="L76" s="132"/>
      <c r="M76" s="120" t="s">
        <v>587</v>
      </c>
      <c r="N76" s="121"/>
    </row>
    <row r="77" ht="22.5" hidden="1" customHeight="1">
      <c r="A77" s="122" t="s">
        <v>597</v>
      </c>
      <c r="B77" s="123">
        <v>46028.0</v>
      </c>
      <c r="C77" s="124">
        <v>2.0</v>
      </c>
      <c r="D77" s="125" t="s">
        <v>176</v>
      </c>
      <c r="E77" s="133"/>
      <c r="F77" s="134"/>
      <c r="G77" s="114" t="s">
        <v>587</v>
      </c>
      <c r="H77" s="126" t="s">
        <v>588</v>
      </c>
      <c r="I77" s="127">
        <v>0.0</v>
      </c>
      <c r="J77" s="117">
        <v>0.0</v>
      </c>
      <c r="K77" s="127">
        <v>0.0</v>
      </c>
      <c r="L77" s="135"/>
      <c r="M77" s="129" t="s">
        <v>587</v>
      </c>
      <c r="N77" s="130"/>
    </row>
    <row r="78" ht="22.5" hidden="1" customHeight="1">
      <c r="A78" s="131" t="s">
        <v>597</v>
      </c>
      <c r="B78" s="110">
        <v>46028.0</v>
      </c>
      <c r="C78" s="111">
        <v>3.0</v>
      </c>
      <c r="D78" s="112" t="s">
        <v>554</v>
      </c>
      <c r="E78" s="138"/>
      <c r="F78" s="139"/>
      <c r="G78" s="114" t="s">
        <v>587</v>
      </c>
      <c r="H78" s="115" t="s">
        <v>588</v>
      </c>
      <c r="I78" s="116">
        <v>0.0</v>
      </c>
      <c r="J78" s="142">
        <v>0.0</v>
      </c>
      <c r="K78" s="116">
        <v>0.0</v>
      </c>
      <c r="L78" s="132"/>
      <c r="M78" s="120" t="s">
        <v>587</v>
      </c>
      <c r="N78" s="121"/>
    </row>
    <row r="79" ht="22.5" hidden="1" customHeight="1">
      <c r="A79" s="148" t="s">
        <v>49</v>
      </c>
      <c r="B79" s="123">
        <v>46028.0</v>
      </c>
      <c r="C79" s="124">
        <v>2.0</v>
      </c>
      <c r="D79" s="125" t="s">
        <v>177</v>
      </c>
      <c r="E79" s="124" t="s">
        <v>595</v>
      </c>
      <c r="F79" s="125"/>
      <c r="G79" s="114" t="s">
        <v>587</v>
      </c>
      <c r="H79" s="126" t="s">
        <v>588</v>
      </c>
      <c r="I79" s="127">
        <v>0.0</v>
      </c>
      <c r="J79" s="117">
        <f>IF(A79="RAPPI",(VLOOKUP(TRIM(D79), CATALOGO!F:G, 2, FALSE) * C79)+I79,IFERROR(IF(COUNTIF('RESTAURANTESDESCUENTOS 2026'!A:A,TRIM(A79))&gt;0,((VLOOKUP(TRIM(D79), CATALOGO!A:B, 2, FALSE) * C79)*(1-VALUE(SUBSTITUTE(VLOOKUP(TRIM(A79),'RESTAURANTESDESCUENTOS 2026'!A:B,2,FALSE),"%",""))/100)+I79),(VLOOKUP(TRIM(D79), CATALOGO!A:B, 2, FALSE) * C79+I79)),""))</f>
        <v>172500</v>
      </c>
      <c r="K79" s="127">
        <v>0.0</v>
      </c>
      <c r="L79" s="128" t="s">
        <v>587</v>
      </c>
      <c r="M79" s="129" t="s">
        <v>587</v>
      </c>
      <c r="N79" s="130"/>
    </row>
    <row r="80" ht="22.5" hidden="1" customHeight="1">
      <c r="A80" s="122" t="s">
        <v>634</v>
      </c>
      <c r="B80" s="123">
        <v>46028.0</v>
      </c>
      <c r="C80" s="124">
        <v>1.0</v>
      </c>
      <c r="D80" s="125" t="s">
        <v>639</v>
      </c>
      <c r="E80" s="133"/>
      <c r="F80" s="134"/>
      <c r="G80" s="114" t="s">
        <v>587</v>
      </c>
      <c r="H80" s="126" t="s">
        <v>588</v>
      </c>
      <c r="I80" s="127">
        <v>0.0</v>
      </c>
      <c r="J80" s="117">
        <f>IF(A80="RAPPI",(VLOOKUP(TRIM(D80), CATALOGO!F:G, 2, FALSE) * C80)+I80,IFERROR(IF(COUNTIF('RESTAURANTESDESCUENTOS 2026'!A:A,TRIM(A80))&gt;0,((VLOOKUP(TRIM(D80), CATALOGO!A:B, 2, FALSE) * C80)*(1-VALUE(SUBSTITUTE(VLOOKUP(TRIM(A80),'RESTAURANTESDESCUENTOS 2026'!A:B,2,FALSE),"%",""))/100)+I80),(VLOOKUP(TRIM(D80), CATALOGO!A:B, 2, FALSE) * C80+I80)),""))</f>
        <v>0</v>
      </c>
      <c r="K80" s="127">
        <v>0.0</v>
      </c>
      <c r="L80" s="135"/>
      <c r="M80" s="129" t="s">
        <v>587</v>
      </c>
      <c r="N80" s="130"/>
    </row>
    <row r="81" ht="22.5" hidden="1" customHeight="1">
      <c r="A81" s="131" t="s">
        <v>634</v>
      </c>
      <c r="B81" s="110">
        <v>46028.0</v>
      </c>
      <c r="C81" s="111">
        <v>1.0</v>
      </c>
      <c r="D81" s="112" t="s">
        <v>620</v>
      </c>
      <c r="E81" s="138"/>
      <c r="F81" s="139"/>
      <c r="G81" s="114" t="s">
        <v>587</v>
      </c>
      <c r="H81" s="115" t="s">
        <v>588</v>
      </c>
      <c r="I81" s="116">
        <v>0.0</v>
      </c>
      <c r="J81" s="117">
        <f>IF(A81="RAPPI",(VLOOKUP(TRIM(D81), CATALOGO!F:G, 2, FALSE) * C81)+I81,IFERROR(IF(COUNTIF('RESTAURANTESDESCUENTOS 2026'!A:A,TRIM(A81))&gt;0,((VLOOKUP(TRIM(D81), CATALOGO!A:B, 2, FALSE) * C81)*(1-VALUE(SUBSTITUTE(VLOOKUP(TRIM(A81),'RESTAURANTESDESCUENTOS 2026'!A:B,2,FALSE),"%",""))/100)+I81),(VLOOKUP(TRIM(D81), CATALOGO!A:B, 2, FALSE) * C81+I81)),""))</f>
        <v>0</v>
      </c>
      <c r="K81" s="116">
        <v>0.0</v>
      </c>
      <c r="L81" s="132"/>
      <c r="M81" s="120" t="s">
        <v>587</v>
      </c>
      <c r="N81" s="121"/>
    </row>
    <row r="82" ht="22.5" hidden="1" customHeight="1">
      <c r="A82" s="122" t="s">
        <v>634</v>
      </c>
      <c r="B82" s="123">
        <v>46028.0</v>
      </c>
      <c r="C82" s="124">
        <v>1.0</v>
      </c>
      <c r="D82" s="125" t="s">
        <v>236</v>
      </c>
      <c r="E82" s="133"/>
      <c r="F82" s="134"/>
      <c r="G82" s="114" t="s">
        <v>587</v>
      </c>
      <c r="H82" s="126" t="s">
        <v>588</v>
      </c>
      <c r="I82" s="127">
        <v>0.0</v>
      </c>
      <c r="J82" s="117">
        <f>IF(A82="RAPPI",(VLOOKUP(TRIM(D82), CATALOGO!F:G, 2, FALSE) * C82)+I82,IFERROR(IF(COUNTIF('RESTAURANTESDESCUENTOS 2026'!A:A,TRIM(A82))&gt;0,((VLOOKUP(TRIM(D82), CATALOGO!A:B, 2, FALSE) * C82)*(1-VALUE(SUBSTITUTE(VLOOKUP(TRIM(A82),'RESTAURANTESDESCUENTOS 2026'!A:B,2,FALSE),"%",""))/100)+I82),(VLOOKUP(TRIM(D82), CATALOGO!A:B, 2, FALSE) * C82+I82)),""))</f>
        <v>0</v>
      </c>
      <c r="K82" s="127">
        <v>0.0</v>
      </c>
      <c r="L82" s="135"/>
      <c r="M82" s="129" t="s">
        <v>587</v>
      </c>
      <c r="N82" s="130"/>
    </row>
    <row r="83" ht="22.5" hidden="1" customHeight="1">
      <c r="A83" s="131" t="s">
        <v>634</v>
      </c>
      <c r="B83" s="110">
        <v>46028.0</v>
      </c>
      <c r="C83" s="111">
        <v>1.0</v>
      </c>
      <c r="D83" s="112" t="s">
        <v>621</v>
      </c>
      <c r="E83" s="138"/>
      <c r="F83" s="139"/>
      <c r="G83" s="114" t="s">
        <v>587</v>
      </c>
      <c r="H83" s="115" t="s">
        <v>588</v>
      </c>
      <c r="I83" s="116">
        <v>0.0</v>
      </c>
      <c r="J83" s="117">
        <f>IF(A83="RAPPI",(VLOOKUP(TRIM(D83), CATALOGO!F:G, 2, FALSE) * C83)+I83,IFERROR(IF(COUNTIF('RESTAURANTESDESCUENTOS 2026'!A:A,TRIM(A83))&gt;0,((VLOOKUP(TRIM(D83), CATALOGO!A:B, 2, FALSE) * C83)*(1-VALUE(SUBSTITUTE(VLOOKUP(TRIM(A83),'RESTAURANTESDESCUENTOS 2026'!A:B,2,FALSE),"%",""))/100)+I83),(VLOOKUP(TRIM(D83), CATALOGO!A:B, 2, FALSE) * C83+I83)),""))</f>
        <v>0</v>
      </c>
      <c r="K83" s="116">
        <v>0.0</v>
      </c>
      <c r="L83" s="132"/>
      <c r="M83" s="120" t="s">
        <v>587</v>
      </c>
      <c r="N83" s="121"/>
    </row>
    <row r="84" ht="22.5" hidden="1" customHeight="1">
      <c r="A84" s="122" t="s">
        <v>603</v>
      </c>
      <c r="B84" s="123">
        <v>46028.0</v>
      </c>
      <c r="C84" s="124">
        <v>1.0</v>
      </c>
      <c r="D84" s="125" t="s">
        <v>554</v>
      </c>
      <c r="E84" s="124">
        <v>9417.0</v>
      </c>
      <c r="F84" s="125"/>
      <c r="G84" s="114" t="s">
        <v>587</v>
      </c>
      <c r="H84" s="145" t="s">
        <v>603</v>
      </c>
      <c r="I84" s="146"/>
      <c r="J84" s="117">
        <f>IF(A84="RAPPI",(VLOOKUP(TRIM(D84), CATALOGO!F:G, 2, FALSE) * C84)+I84,IFERROR(IF(COUNTIF('RESTAURANTESDESCUENTOS 2026'!A:A,TRIM(A84))&gt;0,((VLOOKUP(TRIM(D84), CATALOGO!A:B, 2, FALSE) * C84)*(1-VALUE(SUBSTITUTE(VLOOKUP(TRIM(A84),'RESTAURANTESDESCUENTOS 2026'!A:B,2,FALSE),"%",""))/100)+I84),(VLOOKUP(TRIM(D84), CATALOGO!A:B, 2, FALSE) * C84+I84)),""))</f>
        <v>53000</v>
      </c>
      <c r="K84" s="146"/>
      <c r="L84" s="135"/>
      <c r="M84" s="129" t="s">
        <v>587</v>
      </c>
      <c r="N84" s="130"/>
    </row>
    <row r="85" ht="22.5" hidden="1" customHeight="1">
      <c r="A85" s="131" t="s">
        <v>603</v>
      </c>
      <c r="B85" s="110">
        <v>46028.0</v>
      </c>
      <c r="C85" s="111">
        <v>1.0</v>
      </c>
      <c r="D85" s="112" t="s">
        <v>601</v>
      </c>
      <c r="E85" s="111">
        <v>9417.0</v>
      </c>
      <c r="F85" s="112"/>
      <c r="G85" s="114" t="s">
        <v>587</v>
      </c>
      <c r="H85" s="144" t="s">
        <v>603</v>
      </c>
      <c r="I85" s="140"/>
      <c r="J85" s="117">
        <f>IF(A85="RAPPI",(VLOOKUP(TRIM(D85), CATALOGO!F:G, 2, FALSE) * C85)+I85,IFERROR(IF(COUNTIF('RESTAURANTESDESCUENTOS 2026'!A:A,TRIM(A85))&gt;0,((VLOOKUP(TRIM(D85), CATALOGO!A:B, 2, FALSE) * C85)*(1-VALUE(SUBSTITUTE(VLOOKUP(TRIM(A85),'RESTAURANTESDESCUENTOS 2026'!A:B,2,FALSE),"%",""))/100)+I85),(VLOOKUP(TRIM(D85), CATALOGO!A:B, 2, FALSE) * C85+I85)),""))</f>
        <v>53000</v>
      </c>
      <c r="K85" s="140"/>
      <c r="L85" s="132"/>
      <c r="M85" s="120" t="s">
        <v>587</v>
      </c>
      <c r="N85" s="121"/>
    </row>
    <row r="86" ht="22.5" hidden="1" customHeight="1">
      <c r="A86" s="122" t="s">
        <v>603</v>
      </c>
      <c r="B86" s="123">
        <v>46028.0</v>
      </c>
      <c r="C86" s="124">
        <v>1.0</v>
      </c>
      <c r="D86" s="125" t="s">
        <v>640</v>
      </c>
      <c r="E86" s="124">
        <v>9417.0</v>
      </c>
      <c r="F86" s="125"/>
      <c r="G86" s="114" t="s">
        <v>587</v>
      </c>
      <c r="H86" s="145" t="s">
        <v>603</v>
      </c>
      <c r="I86" s="146"/>
      <c r="J86" s="117">
        <f>IF(A86="RAPPI",(VLOOKUP(TRIM(D86), CATALOGO!F:G, 2, FALSE) * C86)+I86,IFERROR(IF(COUNTIF('RESTAURANTESDESCUENTOS 2026'!A:A,TRIM(A86))&gt;0,((VLOOKUP(TRIM(D86), CATALOGO!A:B, 2, FALSE) * C86)*(1-VALUE(SUBSTITUTE(VLOOKUP(TRIM(A86),'RESTAURANTESDESCUENTOS 2026'!A:B,2,FALSE),"%",""))/100)+I86),(VLOOKUP(TRIM(D86), CATALOGO!A:B, 2, FALSE) * C86+I86)),""))</f>
        <v>53000</v>
      </c>
      <c r="K86" s="146"/>
      <c r="L86" s="135"/>
      <c r="M86" s="129" t="s">
        <v>587</v>
      </c>
      <c r="N86" s="130"/>
    </row>
    <row r="87" ht="22.5" hidden="1" customHeight="1">
      <c r="A87" s="122" t="s">
        <v>603</v>
      </c>
      <c r="B87" s="123">
        <v>46028.0</v>
      </c>
      <c r="C87" s="124">
        <v>1.0</v>
      </c>
      <c r="D87" s="125" t="s">
        <v>177</v>
      </c>
      <c r="E87" s="124">
        <v>7632.0</v>
      </c>
      <c r="F87" s="125"/>
      <c r="G87" s="114" t="s">
        <v>587</v>
      </c>
      <c r="H87" s="145" t="s">
        <v>603</v>
      </c>
      <c r="I87" s="146"/>
      <c r="J87" s="117">
        <f>IF(A87="RAPPI",(VLOOKUP(TRIM(D87), CATALOGO!F:G, 2, FALSE) * C87)+I87,IFERROR(IF(COUNTIF('RESTAURANTESDESCUENTOS 2026'!A:A,TRIM(A87))&gt;0,((VLOOKUP(TRIM(D87), CATALOGO!A:B, 2, FALSE) * C87)*(1-VALUE(SUBSTITUTE(VLOOKUP(TRIM(A87),'RESTAURANTESDESCUENTOS 2026'!A:B,2,FALSE),"%",""))/100)+I87),(VLOOKUP(TRIM(D87), CATALOGO!A:B, 2, FALSE) * C87+I87)),""))</f>
        <v>115000</v>
      </c>
      <c r="K87" s="146"/>
      <c r="L87" s="135"/>
      <c r="M87" s="129" t="s">
        <v>587</v>
      </c>
      <c r="N87" s="130"/>
    </row>
    <row r="88" ht="22.5" hidden="1" customHeight="1">
      <c r="A88" s="122" t="s">
        <v>638</v>
      </c>
      <c r="B88" s="123">
        <v>46028.0</v>
      </c>
      <c r="C88" s="124">
        <v>1.0</v>
      </c>
      <c r="D88" s="125" t="s">
        <v>176</v>
      </c>
      <c r="E88" s="124" t="s">
        <v>641</v>
      </c>
      <c r="F88" s="125"/>
      <c r="G88" s="114" t="s">
        <v>587</v>
      </c>
      <c r="H88" s="126" t="s">
        <v>588</v>
      </c>
      <c r="I88" s="127">
        <v>0.0</v>
      </c>
      <c r="J88" s="117">
        <f>IF(A88="RAPPI",(VLOOKUP(TRIM(D88), CATALOGO!F:G, 2, FALSE) * C88)+I88,IFERROR(IF(COUNTIF('RESTAURANTESDESCUENTOS 2026'!A:A,TRIM(A88))&gt;0,((VLOOKUP(TRIM(D88), CATALOGO!A:B, 2, FALSE) * C88)*(1-VALUE(SUBSTITUTE(VLOOKUP(TRIM(A88),'RESTAURANTESDESCUENTOS 2026'!A:B,2,FALSE),"%",""))/100)+I88),(VLOOKUP(TRIM(D88), CATALOGO!A:B, 2, FALSE) * C88+I88)),""))</f>
        <v>50000</v>
      </c>
      <c r="K88" s="127">
        <v>0.0</v>
      </c>
      <c r="L88" s="135"/>
      <c r="M88" s="129" t="s">
        <v>587</v>
      </c>
      <c r="N88" s="130"/>
    </row>
    <row r="89" ht="22.5" hidden="1" customHeight="1">
      <c r="A89" s="141" t="s">
        <v>605</v>
      </c>
      <c r="B89" s="110">
        <v>46028.0</v>
      </c>
      <c r="C89" s="111">
        <v>1.0</v>
      </c>
      <c r="D89" s="112" t="s">
        <v>176</v>
      </c>
      <c r="E89" s="111" t="s">
        <v>606</v>
      </c>
      <c r="F89" s="112"/>
      <c r="G89" s="114" t="s">
        <v>35</v>
      </c>
      <c r="H89" s="139"/>
      <c r="I89" s="140"/>
      <c r="J89" s="117">
        <f>IF(A89="RAPPI",(VLOOKUP(TRIM(D89), CATALOGO!F:G, 2, FALSE) * C89)+I89,IFERROR(IF(COUNTIF('RESTAURANTESDESCUENTOS 2026'!A:A,TRIM(A89))&gt;0,((VLOOKUP(TRIM(D89), CATALOGO!A:B, 2, FALSE) * C89)*(1-VALUE(SUBSTITUTE(VLOOKUP(TRIM(A89),'RESTAURANTESDESCUENTOS 2026'!A:B,2,FALSE),"%",""))/100)+I89),(VLOOKUP(TRIM(D89), CATALOGO!A:B, 2, FALSE) * C89+I89)),""))</f>
        <v>50000</v>
      </c>
      <c r="K89" s="140"/>
      <c r="L89" s="132"/>
      <c r="M89" s="120" t="s">
        <v>587</v>
      </c>
      <c r="N89" s="121"/>
    </row>
    <row r="90" ht="22.5" hidden="1" customHeight="1">
      <c r="A90" s="131" t="s">
        <v>642</v>
      </c>
      <c r="B90" s="110">
        <v>46028.0</v>
      </c>
      <c r="C90" s="143">
        <v>1.0</v>
      </c>
      <c r="D90" s="112" t="s">
        <v>628</v>
      </c>
      <c r="E90" s="111" t="s">
        <v>643</v>
      </c>
      <c r="F90" s="112"/>
      <c r="G90" s="114" t="s">
        <v>35</v>
      </c>
      <c r="H90" s="139"/>
      <c r="I90" s="140"/>
      <c r="J90" s="142">
        <v>14000.0</v>
      </c>
      <c r="K90" s="140"/>
      <c r="L90" s="132"/>
      <c r="M90" s="120" t="s">
        <v>587</v>
      </c>
      <c r="N90" s="121"/>
    </row>
    <row r="91" ht="22.5" hidden="1" customHeight="1">
      <c r="A91" s="122" t="s">
        <v>603</v>
      </c>
      <c r="B91" s="123">
        <v>46028.0</v>
      </c>
      <c r="C91" s="143">
        <v>1.0</v>
      </c>
      <c r="D91" s="125" t="s">
        <v>174</v>
      </c>
      <c r="E91" s="124">
        <v>9497.0</v>
      </c>
      <c r="F91" s="125"/>
      <c r="G91" s="114" t="s">
        <v>587</v>
      </c>
      <c r="H91" s="145" t="s">
        <v>603</v>
      </c>
      <c r="I91" s="146"/>
      <c r="J91" s="117">
        <f>IF(A91="RAPPI",(VLOOKUP(TRIM(D91), CATALOGO!F:G, 2, FALSE) * C91)+I91,IFERROR(IF(COUNTIF('RESTAURANTESDESCUENTOS 2026'!A:A,TRIM(A91))&gt;0,((VLOOKUP(TRIM(D91), CATALOGO!A:B, 2, FALSE) * C91)*(1-VALUE(SUBSTITUTE(VLOOKUP(TRIM(A91),'RESTAURANTESDESCUENTOS 2026'!A:B,2,FALSE),"%",""))/100)+I91),(VLOOKUP(TRIM(D91), CATALOGO!A:B, 2, FALSE) * C91+I91)),""))</f>
        <v>18000</v>
      </c>
      <c r="K91" s="146"/>
      <c r="L91" s="135"/>
      <c r="M91" s="129" t="s">
        <v>587</v>
      </c>
      <c r="N91" s="130"/>
    </row>
    <row r="92" ht="22.5" hidden="1" customHeight="1">
      <c r="A92" s="131" t="s">
        <v>603</v>
      </c>
      <c r="B92" s="110">
        <v>46028.0</v>
      </c>
      <c r="C92" s="111">
        <v>1.0</v>
      </c>
      <c r="D92" s="112" t="s">
        <v>555</v>
      </c>
      <c r="E92" s="111">
        <v>4323.0</v>
      </c>
      <c r="F92" s="112"/>
      <c r="G92" s="114" t="s">
        <v>587</v>
      </c>
      <c r="H92" s="144" t="s">
        <v>603</v>
      </c>
      <c r="I92" s="140"/>
      <c r="J92" s="117">
        <f>IF(A92="RAPPI",(VLOOKUP(TRIM(D92), CATALOGO!F:G, 2, FALSE) * C92)+I92,IFERROR(IF(COUNTIF('RESTAURANTESDESCUENTOS 2026'!A:A,TRIM(A92))&gt;0,((VLOOKUP(TRIM(D92), CATALOGO!A:B, 2, FALSE) * C92)*(1-VALUE(SUBSTITUTE(VLOOKUP(TRIM(A92),'RESTAURANTESDESCUENTOS 2026'!A:B,2,FALSE),"%",""))/100)+I92),(VLOOKUP(TRIM(D92), CATALOGO!A:B, 2, FALSE) * C92+I92)),""))</f>
        <v>123000</v>
      </c>
      <c r="K92" s="140"/>
      <c r="L92" s="132"/>
      <c r="M92" s="120" t="s">
        <v>587</v>
      </c>
      <c r="N92" s="121"/>
    </row>
    <row r="93" ht="22.5" hidden="1" customHeight="1">
      <c r="A93" s="122" t="s">
        <v>603</v>
      </c>
      <c r="B93" s="123">
        <v>46028.0</v>
      </c>
      <c r="C93" s="143">
        <v>1.0</v>
      </c>
      <c r="D93" s="125" t="s">
        <v>628</v>
      </c>
      <c r="E93" s="124">
        <v>604.0</v>
      </c>
      <c r="F93" s="125"/>
      <c r="G93" s="114" t="s">
        <v>587</v>
      </c>
      <c r="H93" s="145" t="s">
        <v>603</v>
      </c>
      <c r="I93" s="146"/>
      <c r="J93" s="117">
        <f>IF(A93="RAPPI",(VLOOKUP(TRIM(D93), CATALOGO!F:G, 2, FALSE) * C93)+I93,IFERROR(IF(COUNTIF('RESTAURANTESDESCUENTOS 2026'!A:A,TRIM(A93))&gt;0,((VLOOKUP(TRIM(D93), CATALOGO!A:B, 2, FALSE) * C93)*(1-VALUE(SUBSTITUTE(VLOOKUP(TRIM(A93),'RESTAURANTESDESCUENTOS 2026'!A:B,2,FALSE),"%",""))/100)+I93),(VLOOKUP(TRIM(D93), CATALOGO!A:B, 2, FALSE) * C93+I93)),""))</f>
        <v>22000</v>
      </c>
      <c r="K93" s="146"/>
      <c r="L93" s="135"/>
      <c r="M93" s="129" t="s">
        <v>587</v>
      </c>
      <c r="N93" s="130"/>
    </row>
    <row r="94" ht="22.5" hidden="1" customHeight="1">
      <c r="A94" s="131" t="s">
        <v>644</v>
      </c>
      <c r="B94" s="110">
        <v>46029.0</v>
      </c>
      <c r="C94" s="111">
        <v>1.0</v>
      </c>
      <c r="D94" s="112" t="s">
        <v>554</v>
      </c>
      <c r="E94" s="111" t="s">
        <v>645</v>
      </c>
      <c r="F94" s="112"/>
      <c r="G94" s="114" t="s">
        <v>587</v>
      </c>
      <c r="H94" s="115" t="s">
        <v>588</v>
      </c>
      <c r="I94" s="116">
        <v>14000.0</v>
      </c>
      <c r="J94" s="117">
        <f>IF(A94="RAPPI",(VLOOKUP(TRIM(D94), CATALOGO!F:G, 2, FALSE) * C94)+I94,IFERROR(IF(COUNTIF('RESTAURANTESDESCUENTOS 2026'!A:A,TRIM(A94))&gt;0,((VLOOKUP(TRIM(D94), CATALOGO!A:B, 2, FALSE) * C94)*(1-VALUE(SUBSTITUTE(VLOOKUP(TRIM(A94),'RESTAURANTESDESCUENTOS 2026'!A:B,2,FALSE),"%",""))/100)+I94),(VLOOKUP(TRIM(D94), CATALOGO!A:B, 2, FALSE) * C94+I94)),""))</f>
        <v>67000</v>
      </c>
      <c r="K94" s="116">
        <v>14000.0</v>
      </c>
      <c r="L94" s="132"/>
      <c r="M94" s="120" t="s">
        <v>587</v>
      </c>
      <c r="N94" s="121"/>
    </row>
    <row r="95" ht="22.5" hidden="1" customHeight="1">
      <c r="A95" s="122" t="s">
        <v>646</v>
      </c>
      <c r="B95" s="123">
        <v>46029.0</v>
      </c>
      <c r="C95" s="124">
        <v>1.0</v>
      </c>
      <c r="D95" s="125" t="s">
        <v>554</v>
      </c>
      <c r="E95" s="124" t="s">
        <v>645</v>
      </c>
      <c r="F95" s="125"/>
      <c r="G95" s="114" t="s">
        <v>587</v>
      </c>
      <c r="H95" s="126" t="s">
        <v>588</v>
      </c>
      <c r="I95" s="127">
        <v>14000.0</v>
      </c>
      <c r="J95" s="117">
        <f>IF(A95="RAPPI",(VLOOKUP(TRIM(D95), CATALOGO!F:G, 2, FALSE) * C95)+I95,IFERROR(IF(COUNTIF('RESTAURANTESDESCUENTOS 2026'!A:A,TRIM(A95))&gt;0,((VLOOKUP(TRIM(D95), CATALOGO!A:B, 2, FALSE) * C95)*(1-VALUE(SUBSTITUTE(VLOOKUP(TRIM(A95),'RESTAURANTESDESCUENTOS 2026'!A:B,2,FALSE),"%",""))/100)+I95),(VLOOKUP(TRIM(D95), CATALOGO!A:B, 2, FALSE) * C95+I95)),""))</f>
        <v>67000</v>
      </c>
      <c r="K95" s="127">
        <v>14000.0</v>
      </c>
      <c r="L95" s="135"/>
      <c r="M95" s="129" t="s">
        <v>587</v>
      </c>
      <c r="N95" s="130"/>
    </row>
    <row r="96" ht="22.5" hidden="1" customHeight="1">
      <c r="A96" s="131" t="s">
        <v>647</v>
      </c>
      <c r="B96" s="110">
        <v>46029.0</v>
      </c>
      <c r="C96" s="111">
        <v>1.0</v>
      </c>
      <c r="D96" s="112" t="s">
        <v>177</v>
      </c>
      <c r="E96" s="111" t="s">
        <v>648</v>
      </c>
      <c r="F96" s="112"/>
      <c r="G96" s="114" t="s">
        <v>587</v>
      </c>
      <c r="H96" s="115" t="s">
        <v>588</v>
      </c>
      <c r="I96" s="116">
        <v>16000.0</v>
      </c>
      <c r="J96" s="142">
        <v>94750.0</v>
      </c>
      <c r="K96" s="116">
        <v>16000.0</v>
      </c>
      <c r="L96" s="132"/>
      <c r="M96" s="120" t="s">
        <v>587</v>
      </c>
      <c r="N96" s="121"/>
    </row>
    <row r="97" ht="22.5" hidden="1" customHeight="1">
      <c r="A97" s="131" t="s">
        <v>649</v>
      </c>
      <c r="B97" s="110">
        <v>46029.0</v>
      </c>
      <c r="C97" s="111">
        <v>1.0</v>
      </c>
      <c r="D97" s="112" t="s">
        <v>554</v>
      </c>
      <c r="E97" s="111" t="s">
        <v>648</v>
      </c>
      <c r="F97" s="112"/>
      <c r="G97" s="114" t="s">
        <v>587</v>
      </c>
      <c r="H97" s="115" t="s">
        <v>588</v>
      </c>
      <c r="I97" s="116">
        <v>13000.0</v>
      </c>
      <c r="J97" s="142">
        <v>50500.0</v>
      </c>
      <c r="K97" s="116">
        <v>13000.0</v>
      </c>
      <c r="L97" s="132"/>
      <c r="M97" s="120" t="s">
        <v>587</v>
      </c>
      <c r="N97" s="121"/>
    </row>
    <row r="98" ht="22.5" hidden="1" customHeight="1">
      <c r="A98" s="131" t="s">
        <v>131</v>
      </c>
      <c r="B98" s="110">
        <v>46029.0</v>
      </c>
      <c r="C98" s="111">
        <v>1.0</v>
      </c>
      <c r="D98" s="112" t="s">
        <v>178</v>
      </c>
      <c r="E98" s="111" t="s">
        <v>610</v>
      </c>
      <c r="F98" s="112"/>
      <c r="G98" s="114" t="s">
        <v>587</v>
      </c>
      <c r="H98" s="115" t="s">
        <v>588</v>
      </c>
      <c r="I98" s="116">
        <v>5000.0</v>
      </c>
      <c r="J98" s="117">
        <f>IF(A98="RAPPI",(VLOOKUP(TRIM(D98), CATALOGO!F:G, 2, FALSE) * C98)+I98,IFERROR(IF(COUNTIF('RESTAURANTESDESCUENTOS 2026'!A:A,TRIM(A98))&gt;0,((VLOOKUP(TRIM(D98), CATALOGO!A:B, 2, FALSE) * C98)*(1-VALUE(SUBSTITUTE(VLOOKUP(TRIM(A98),'RESTAURANTESDESCUENTOS 2026'!A:B,2,FALSE),"%",""))/100)+I98),(VLOOKUP(TRIM(D98), CATALOGO!A:B, 2, FALSE) * C98+I98)),""))</f>
        <v>110000</v>
      </c>
      <c r="K98" s="118">
        <v>10000.0</v>
      </c>
      <c r="L98" s="136" t="s">
        <v>587</v>
      </c>
      <c r="M98" s="120" t="s">
        <v>587</v>
      </c>
      <c r="N98" s="121"/>
    </row>
    <row r="99" ht="22.5" hidden="1" customHeight="1">
      <c r="A99" s="122" t="s">
        <v>650</v>
      </c>
      <c r="B99" s="123">
        <v>46029.0</v>
      </c>
      <c r="C99" s="124">
        <v>1.0</v>
      </c>
      <c r="D99" s="125" t="s">
        <v>178</v>
      </c>
      <c r="E99" s="124" t="s">
        <v>552</v>
      </c>
      <c r="F99" s="125"/>
      <c r="G99" s="114" t="s">
        <v>587</v>
      </c>
      <c r="H99" s="126" t="s">
        <v>588</v>
      </c>
      <c r="I99" s="127">
        <v>0.0</v>
      </c>
      <c r="J99" s="117">
        <f>IF(A99="RAPPI",(VLOOKUP(TRIM(D99), CATALOGO!F:G, 2, FALSE) * C99)+I99,IFERROR(IF(COUNTIF('RESTAURANTESDESCUENTOS 2026'!A:A,TRIM(A99))&gt;0,((VLOOKUP(TRIM(D99), CATALOGO!A:B, 2, FALSE) * C99)*(1-VALUE(SUBSTITUTE(VLOOKUP(TRIM(A99),'RESTAURANTESDESCUENTOS 2026'!A:B,2,FALSE),"%",""))/100)+I99),(VLOOKUP(TRIM(D99), CATALOGO!A:B, 2, FALSE) * C99+I99)),""))</f>
        <v>112500</v>
      </c>
      <c r="K99" s="127">
        <v>0.0</v>
      </c>
      <c r="L99" s="128" t="s">
        <v>587</v>
      </c>
      <c r="M99" s="129" t="s">
        <v>587</v>
      </c>
      <c r="N99" s="130"/>
    </row>
    <row r="100" ht="22.5" hidden="1" customHeight="1">
      <c r="A100" s="131" t="s">
        <v>30</v>
      </c>
      <c r="B100" s="110">
        <v>46029.0</v>
      </c>
      <c r="C100" s="111">
        <v>1.0</v>
      </c>
      <c r="D100" s="112" t="s">
        <v>178</v>
      </c>
      <c r="E100" s="111" t="s">
        <v>610</v>
      </c>
      <c r="F100" s="112"/>
      <c r="G100" s="114" t="s">
        <v>587</v>
      </c>
      <c r="H100" s="115" t="s">
        <v>588</v>
      </c>
      <c r="I100" s="116">
        <v>25000.0</v>
      </c>
      <c r="J100" s="117">
        <f>IF(A100="RAPPI",(VLOOKUP(TRIM(D100), CATALOGO!F:G, 2, FALSE) * C100)+I100,IFERROR(IF(COUNTIF('RESTAURANTESDESCUENTOS 2026'!A:A,TRIM(A100))&gt;0,((VLOOKUP(TRIM(D100), CATALOGO!A:B, 2, FALSE) * C100)*(1-VALUE(SUBSTITUTE(VLOOKUP(TRIM(A100),'RESTAURANTESDESCUENTOS 2026'!A:B,2,FALSE),"%",""))/100)+I100),(VLOOKUP(TRIM(D100), CATALOGO!A:B, 2, FALSE) * C100+I100)),""))</f>
        <v>137500</v>
      </c>
      <c r="K100" s="118">
        <v>0.0</v>
      </c>
      <c r="L100" s="136" t="s">
        <v>587</v>
      </c>
      <c r="M100" s="120" t="s">
        <v>587</v>
      </c>
      <c r="N100" s="121"/>
    </row>
    <row r="101" ht="22.5" hidden="1" customHeight="1">
      <c r="A101" s="122" t="s">
        <v>651</v>
      </c>
      <c r="B101" s="123">
        <v>46029.0</v>
      </c>
      <c r="C101" s="124">
        <v>1.0</v>
      </c>
      <c r="D101" s="125" t="s">
        <v>554</v>
      </c>
      <c r="E101" s="133"/>
      <c r="F101" s="134"/>
      <c r="G101" s="114" t="s">
        <v>587</v>
      </c>
      <c r="H101" s="126" t="s">
        <v>588</v>
      </c>
      <c r="I101" s="127">
        <v>12000.0</v>
      </c>
      <c r="J101" s="117">
        <f>IF(A101="RAPPI",(VLOOKUP(TRIM(D101), CATALOGO!F:G, 2, FALSE) * C101)+I101,IFERROR(IF(COUNTIF('RESTAURANTESDESCUENTOS 2026'!A:A,TRIM(A101))&gt;0,((VLOOKUP(TRIM(D101), CATALOGO!A:B, 2, FALSE) * C101)*(1-VALUE(SUBSTITUTE(VLOOKUP(TRIM(A101),'RESTAURANTESDESCUENTOS 2026'!A:B,2,FALSE),"%",""))/100)+I101),(VLOOKUP(TRIM(D101), CATALOGO!A:B, 2, FALSE) * C101+I101)),""))</f>
        <v>65000</v>
      </c>
      <c r="K101" s="118">
        <v>10000.0</v>
      </c>
      <c r="L101" s="135"/>
      <c r="M101" s="129" t="s">
        <v>587</v>
      </c>
      <c r="N101" s="130"/>
    </row>
    <row r="102" ht="22.5" hidden="1" customHeight="1">
      <c r="A102" s="131" t="s">
        <v>636</v>
      </c>
      <c r="B102" s="110">
        <v>46029.0</v>
      </c>
      <c r="C102" s="111">
        <v>1.0</v>
      </c>
      <c r="D102" s="112" t="s">
        <v>554</v>
      </c>
      <c r="E102" s="111" t="s">
        <v>645</v>
      </c>
      <c r="F102" s="112"/>
      <c r="G102" s="114" t="s">
        <v>587</v>
      </c>
      <c r="H102" s="115" t="s">
        <v>588</v>
      </c>
      <c r="I102" s="116">
        <v>14000.0</v>
      </c>
      <c r="J102" s="117">
        <f>IF(A102="RAPPI",(VLOOKUP(TRIM(D102), CATALOGO!F:G, 2, FALSE) * C102)+I102,IFERROR(IF(COUNTIF('RESTAURANTESDESCUENTOS 2026'!A:A,TRIM(A102))&gt;0,((VLOOKUP(TRIM(D102), CATALOGO!A:B, 2, FALSE) * C102)*(1-VALUE(SUBSTITUTE(VLOOKUP(TRIM(A102),'RESTAURANTESDESCUENTOS 2026'!A:B,2,FALSE),"%",""))/100)+I102),(VLOOKUP(TRIM(D102), CATALOGO!A:B, 2, FALSE) * C102+I102)),""))</f>
        <v>67000</v>
      </c>
      <c r="K102" s="116">
        <v>14000.0</v>
      </c>
      <c r="L102" s="132"/>
      <c r="M102" s="120" t="s">
        <v>587</v>
      </c>
      <c r="N102" s="121"/>
    </row>
    <row r="103" ht="22.5" hidden="1" customHeight="1">
      <c r="A103" s="122" t="s">
        <v>652</v>
      </c>
      <c r="B103" s="123">
        <v>46029.0</v>
      </c>
      <c r="C103" s="143">
        <v>1.0</v>
      </c>
      <c r="D103" s="125" t="s">
        <v>602</v>
      </c>
      <c r="E103" s="124" t="s">
        <v>645</v>
      </c>
      <c r="F103" s="125"/>
      <c r="G103" s="114" t="s">
        <v>587</v>
      </c>
      <c r="H103" s="154" t="s">
        <v>588</v>
      </c>
      <c r="I103" s="127">
        <v>10000.0</v>
      </c>
      <c r="J103" s="117">
        <f>IF(A103="RAPPI",(VLOOKUP(TRIM(D103), CATALOGO!F:G, 2, FALSE) * C103)+I103,IFERROR(IF(COUNTIF('RESTAURANTESDESCUENTOS 2026'!A:A,TRIM(A103))&gt;0,((VLOOKUP(TRIM(D103), CATALOGO!A:B, 2, FALSE) * C103)*(1-VALUE(SUBSTITUTE(VLOOKUP(TRIM(A103),'RESTAURANTESDESCUENTOS 2026'!A:B,2,FALSE),"%",""))/100)+I103),(VLOOKUP(TRIM(D103), CATALOGO!A:B, 2, FALSE) * C103+I103)),""))</f>
        <v>32000</v>
      </c>
      <c r="K103" s="127">
        <v>10000.0</v>
      </c>
      <c r="L103" s="135"/>
      <c r="M103" s="129" t="s">
        <v>587</v>
      </c>
      <c r="N103" s="130"/>
    </row>
    <row r="104" ht="22.5" hidden="1" customHeight="1">
      <c r="A104" s="122" t="s">
        <v>603</v>
      </c>
      <c r="B104" s="123">
        <v>46029.0</v>
      </c>
      <c r="C104" s="124">
        <v>1.0</v>
      </c>
      <c r="D104" s="125" t="s">
        <v>653</v>
      </c>
      <c r="E104" s="124">
        <v>9781.0</v>
      </c>
      <c r="F104" s="125"/>
      <c r="G104" s="114" t="s">
        <v>587</v>
      </c>
      <c r="H104" s="145" t="s">
        <v>603</v>
      </c>
      <c r="I104" s="146"/>
      <c r="J104" s="117">
        <f>IF(A104="RAPPI",(VLOOKUP(TRIM(D104), CATALOGO!F:G, 2, FALSE) * C104)+I104,IFERROR(IF(COUNTIF('RESTAURANTESDESCUENTOS 2026'!A:A,TRIM(A104))&gt;0,((VLOOKUP(TRIM(D104), CATALOGO!A:B, 2, FALSE) * C104)*(1-VALUE(SUBSTITUTE(VLOOKUP(TRIM(A104),'RESTAURANTESDESCUENTOS 2026'!A:B,2,FALSE),"%",""))/100)+I104),(VLOOKUP(TRIM(D104), CATALOGO!A:B, 2, FALSE) * C104+I104)),""))</f>
        <v>123000</v>
      </c>
      <c r="K104" s="146"/>
      <c r="L104" s="135"/>
      <c r="M104" s="129" t="s">
        <v>587</v>
      </c>
      <c r="N104" s="130"/>
    </row>
    <row r="105" ht="22.5" hidden="1" customHeight="1">
      <c r="A105" s="131" t="s">
        <v>603</v>
      </c>
      <c r="B105" s="110">
        <v>46029.0</v>
      </c>
      <c r="C105" s="143">
        <v>1.0</v>
      </c>
      <c r="D105" s="112" t="s">
        <v>604</v>
      </c>
      <c r="E105" s="111">
        <v>8968.0</v>
      </c>
      <c r="F105" s="112"/>
      <c r="G105" s="114" t="s">
        <v>587</v>
      </c>
      <c r="H105" s="144" t="s">
        <v>603</v>
      </c>
      <c r="I105" s="140"/>
      <c r="J105" s="117">
        <f>IF(A105="RAPPI",(VLOOKUP(TRIM(D105), CATALOGO!F:G, 2, FALSE) * C105)+I105,IFERROR(IF(COUNTIF('RESTAURANTESDESCUENTOS 2026'!A:A,TRIM(A105))&gt;0,((VLOOKUP(TRIM(D105), CATALOGO!A:B, 2, FALSE) * C105)*(1-VALUE(SUBSTITUTE(VLOOKUP(TRIM(A105),'RESTAURANTESDESCUENTOS 2026'!A:B,2,FALSE),"%",""))/100)+I105),(VLOOKUP(TRIM(D105), CATALOGO!A:B, 2, FALSE) * C105+I105)),""))</f>
        <v>22000</v>
      </c>
      <c r="K105" s="140"/>
      <c r="L105" s="132"/>
      <c r="M105" s="120" t="s">
        <v>587</v>
      </c>
      <c r="N105" s="121"/>
    </row>
    <row r="106" ht="22.5" hidden="1" customHeight="1">
      <c r="A106" s="122" t="s">
        <v>603</v>
      </c>
      <c r="B106" s="123">
        <v>46029.0</v>
      </c>
      <c r="C106" s="124">
        <v>1.0</v>
      </c>
      <c r="D106" s="125" t="s">
        <v>654</v>
      </c>
      <c r="E106" s="124">
        <v>8968.0</v>
      </c>
      <c r="F106" s="125"/>
      <c r="G106" s="114" t="s">
        <v>587</v>
      </c>
      <c r="H106" s="145" t="s">
        <v>603</v>
      </c>
      <c r="I106" s="146"/>
      <c r="J106" s="117">
        <f>IF(A106="RAPPI",(VLOOKUP(TRIM(D106), CATALOGO!F:G, 2, FALSE) * C106)+I106,IFERROR(IF(COUNTIF('RESTAURANTESDESCUENTOS 2026'!A:A,TRIM(A106))&gt;0,((VLOOKUP(TRIM(D106), CATALOGO!A:B, 2, FALSE) * C106)*(1-VALUE(SUBSTITUTE(VLOOKUP(TRIM(A106),'RESTAURANTESDESCUENTOS 2026'!A:B,2,FALSE),"%",""))/100)+I106),(VLOOKUP(TRIM(D106), CATALOGO!A:B, 2, FALSE) * C106+I106)),""))</f>
        <v>4000</v>
      </c>
      <c r="K106" s="146"/>
      <c r="L106" s="135"/>
      <c r="M106" s="129" t="s">
        <v>587</v>
      </c>
      <c r="N106" s="130"/>
    </row>
    <row r="107" ht="22.5" hidden="1" customHeight="1">
      <c r="A107" s="131" t="s">
        <v>593</v>
      </c>
      <c r="B107" s="110">
        <v>46029.0</v>
      </c>
      <c r="C107" s="111">
        <v>1.0</v>
      </c>
      <c r="D107" s="112" t="s">
        <v>178</v>
      </c>
      <c r="E107" s="111" t="s">
        <v>552</v>
      </c>
      <c r="F107" s="112"/>
      <c r="G107" s="114" t="s">
        <v>587</v>
      </c>
      <c r="H107" s="115" t="s">
        <v>588</v>
      </c>
      <c r="I107" s="116">
        <v>10000.0</v>
      </c>
      <c r="J107" s="117">
        <f>IF(A107="RAPPI",(VLOOKUP(TRIM(D107), CATALOGO!F:G, 2, FALSE) * C107)+I107,IFERROR(IF(COUNTIF('RESTAURANTESDESCUENTOS 2026'!A:A,TRIM(A107))&gt;0,((VLOOKUP(TRIM(D107), CATALOGO!A:B, 2, FALSE) * C107)*(1-VALUE(SUBSTITUTE(VLOOKUP(TRIM(A107),'RESTAURANTESDESCUENTOS 2026'!A:B,2,FALSE),"%",""))/100)+I107),(VLOOKUP(TRIM(D107), CATALOGO!A:B, 2, FALSE) * C107+I107)),""))</f>
        <v>115000</v>
      </c>
      <c r="K107" s="118">
        <v>0.0</v>
      </c>
      <c r="L107" s="136" t="s">
        <v>587</v>
      </c>
      <c r="M107" s="120" t="s">
        <v>587</v>
      </c>
      <c r="N107" s="121"/>
    </row>
    <row r="108" ht="22.5" hidden="1" customHeight="1">
      <c r="A108" s="148" t="s">
        <v>23</v>
      </c>
      <c r="B108" s="123">
        <v>46029.0</v>
      </c>
      <c r="C108" s="124">
        <v>2.0</v>
      </c>
      <c r="D108" s="125" t="s">
        <v>178</v>
      </c>
      <c r="E108" s="124" t="s">
        <v>655</v>
      </c>
      <c r="F108" s="125"/>
      <c r="G108" s="114" t="s">
        <v>587</v>
      </c>
      <c r="H108" s="126" t="s">
        <v>588</v>
      </c>
      <c r="I108" s="127">
        <v>25000.0</v>
      </c>
      <c r="J108" s="117">
        <f>IF(A108="RAPPI",(VLOOKUP(TRIM(D108), CATALOGO!F:G, 2, FALSE) * C108)+I108,IFERROR(IF(COUNTIF('RESTAURANTESDESCUENTOS 2026'!A:A,TRIM(A108))&gt;0,((VLOOKUP(TRIM(D108), CATALOGO!A:B, 2, FALSE) * C108)*(1-VALUE(SUBSTITUTE(VLOOKUP(TRIM(A108),'RESTAURANTESDESCUENTOS 2026'!A:B,2,FALSE),"%",""))/100)+I108),(VLOOKUP(TRIM(D108), CATALOGO!A:B, 2, FALSE) * C108+I108)),""))</f>
        <v>250000</v>
      </c>
      <c r="K108" s="118">
        <v>0.0</v>
      </c>
      <c r="L108" s="128" t="s">
        <v>587</v>
      </c>
      <c r="M108" s="129" t="s">
        <v>587</v>
      </c>
      <c r="N108" s="130"/>
    </row>
    <row r="109" ht="22.5" hidden="1" customHeight="1">
      <c r="A109" s="122" t="s">
        <v>603</v>
      </c>
      <c r="B109" s="123">
        <v>46029.0</v>
      </c>
      <c r="C109" s="124">
        <v>1.0</v>
      </c>
      <c r="D109" s="125" t="s">
        <v>176</v>
      </c>
      <c r="E109" s="124">
        <v>9008.0</v>
      </c>
      <c r="F109" s="125"/>
      <c r="G109" s="114" t="s">
        <v>587</v>
      </c>
      <c r="H109" s="145" t="s">
        <v>603</v>
      </c>
      <c r="I109" s="146"/>
      <c r="J109" s="117">
        <f>IF(A109="RAPPI",(VLOOKUP(TRIM(D109), CATALOGO!F:G, 2, FALSE) * C109)+I109,IFERROR(IF(COUNTIF('RESTAURANTESDESCUENTOS 2026'!A:A,TRIM(A109))&gt;0,((VLOOKUP(TRIM(D109), CATALOGO!A:B, 2, FALSE) * C109)*(1-VALUE(SUBSTITUTE(VLOOKUP(TRIM(A109),'RESTAURANTESDESCUENTOS 2026'!A:B,2,FALSE),"%",""))/100)+I109),(VLOOKUP(TRIM(D109), CATALOGO!A:B, 2, FALSE) * C109+I109)),""))</f>
        <v>50000</v>
      </c>
      <c r="K109" s="146"/>
      <c r="L109" s="135"/>
      <c r="M109" s="129" t="s">
        <v>587</v>
      </c>
      <c r="N109" s="130"/>
    </row>
    <row r="110" ht="22.5" hidden="1" customHeight="1">
      <c r="A110" s="131" t="s">
        <v>603</v>
      </c>
      <c r="B110" s="110">
        <v>46029.0</v>
      </c>
      <c r="C110" s="111">
        <v>1.0</v>
      </c>
      <c r="D110" s="112" t="s">
        <v>176</v>
      </c>
      <c r="E110" s="111">
        <v>2043.0</v>
      </c>
      <c r="F110" s="112"/>
      <c r="G110" s="114" t="s">
        <v>587</v>
      </c>
      <c r="H110" s="144" t="s">
        <v>603</v>
      </c>
      <c r="I110" s="140"/>
      <c r="J110" s="117">
        <f>IF(A110="RAPPI",(VLOOKUP(TRIM(D110), CATALOGO!F:G, 2, FALSE) * C110)+I110,IFERROR(IF(COUNTIF('RESTAURANTESDESCUENTOS 2026'!A:A,TRIM(A110))&gt;0,((VLOOKUP(TRIM(D110), CATALOGO!A:B, 2, FALSE) * C110)*(1-VALUE(SUBSTITUTE(VLOOKUP(TRIM(A110),'RESTAURANTESDESCUENTOS 2026'!A:B,2,FALSE),"%",""))/100)+I110),(VLOOKUP(TRIM(D110), CATALOGO!A:B, 2, FALSE) * C110+I110)),""))</f>
        <v>50000</v>
      </c>
      <c r="K110" s="140"/>
      <c r="L110" s="132"/>
      <c r="M110" s="120" t="s">
        <v>587</v>
      </c>
      <c r="N110" s="121"/>
    </row>
    <row r="111" ht="22.5" hidden="1" customHeight="1">
      <c r="A111" s="131" t="s">
        <v>622</v>
      </c>
      <c r="B111" s="110">
        <v>46029.0</v>
      </c>
      <c r="C111" s="111">
        <v>1.0</v>
      </c>
      <c r="D111" s="112" t="s">
        <v>178</v>
      </c>
      <c r="E111" s="111" t="s">
        <v>656</v>
      </c>
      <c r="F111" s="112"/>
      <c r="G111" s="114" t="s">
        <v>35</v>
      </c>
      <c r="H111" s="139"/>
      <c r="I111" s="140"/>
      <c r="J111" s="142">
        <v>0.0</v>
      </c>
      <c r="K111" s="140"/>
      <c r="L111" s="132"/>
      <c r="M111" s="120" t="s">
        <v>587</v>
      </c>
      <c r="N111" s="121"/>
    </row>
    <row r="112" ht="22.5" hidden="1" customHeight="1">
      <c r="A112" s="122" t="s">
        <v>603</v>
      </c>
      <c r="B112" s="123">
        <v>46029.0</v>
      </c>
      <c r="C112" s="143">
        <v>1.0</v>
      </c>
      <c r="D112" s="125" t="s">
        <v>628</v>
      </c>
      <c r="E112" s="124">
        <v>7655.0</v>
      </c>
      <c r="F112" s="125"/>
      <c r="G112" s="114" t="s">
        <v>587</v>
      </c>
      <c r="H112" s="145" t="s">
        <v>603</v>
      </c>
      <c r="I112" s="146"/>
      <c r="J112" s="117">
        <f>IF(A112="RAPPI",(VLOOKUP(TRIM(D112), CATALOGO!F:G, 2, FALSE) * C112)+I112,IFERROR(IF(COUNTIF('RESTAURANTESDESCUENTOS 2026'!A:A,TRIM(A112))&gt;0,((VLOOKUP(TRIM(D112), CATALOGO!A:B, 2, FALSE) * C112)*(1-VALUE(SUBSTITUTE(VLOOKUP(TRIM(A112),'RESTAURANTESDESCUENTOS 2026'!A:B,2,FALSE),"%",""))/100)+I112),(VLOOKUP(TRIM(D112), CATALOGO!A:B, 2, FALSE) * C112+I112)),""))</f>
        <v>22000</v>
      </c>
      <c r="K112" s="146"/>
      <c r="L112" s="135"/>
      <c r="M112" s="129" t="s">
        <v>587</v>
      </c>
      <c r="N112" s="130"/>
    </row>
    <row r="113" ht="22.5" hidden="1" customHeight="1">
      <c r="A113" s="131" t="s">
        <v>603</v>
      </c>
      <c r="B113" s="110">
        <v>46029.0</v>
      </c>
      <c r="C113" s="143">
        <v>1.0</v>
      </c>
      <c r="D113" s="112" t="s">
        <v>602</v>
      </c>
      <c r="E113" s="111">
        <v>7655.0</v>
      </c>
      <c r="F113" s="112"/>
      <c r="G113" s="114" t="s">
        <v>587</v>
      </c>
      <c r="H113" s="144" t="s">
        <v>603</v>
      </c>
      <c r="I113" s="140"/>
      <c r="J113" s="117">
        <f>IF(A113="RAPPI",(VLOOKUP(TRIM(D113), CATALOGO!F:G, 2, FALSE) * C113)+I113,IFERROR(IF(COUNTIF('RESTAURANTESDESCUENTOS 2026'!A:A,TRIM(A113))&gt;0,((VLOOKUP(TRIM(D113), CATALOGO!A:B, 2, FALSE) * C113)*(1-VALUE(SUBSTITUTE(VLOOKUP(TRIM(A113),'RESTAURANTESDESCUENTOS 2026'!A:B,2,FALSE),"%",""))/100)+I113),(VLOOKUP(TRIM(D113), CATALOGO!A:B, 2, FALSE) * C113+I113)),""))</f>
        <v>22000</v>
      </c>
      <c r="K113" s="140"/>
      <c r="L113" s="132"/>
      <c r="M113" s="120" t="s">
        <v>587</v>
      </c>
      <c r="N113" s="121"/>
    </row>
    <row r="114" ht="22.5" hidden="1" customHeight="1">
      <c r="A114" s="122" t="s">
        <v>603</v>
      </c>
      <c r="B114" s="123">
        <v>46029.0</v>
      </c>
      <c r="C114" s="124">
        <v>1.0</v>
      </c>
      <c r="D114" s="125" t="s">
        <v>601</v>
      </c>
      <c r="E114" s="124">
        <v>2899.0</v>
      </c>
      <c r="F114" s="125"/>
      <c r="G114" s="114" t="s">
        <v>587</v>
      </c>
      <c r="H114" s="145" t="s">
        <v>603</v>
      </c>
      <c r="I114" s="146"/>
      <c r="J114" s="117">
        <f>IF(A114="RAPPI",(VLOOKUP(TRIM(D114), CATALOGO!F:G, 2, FALSE) * C114)+I114,IFERROR(IF(COUNTIF('RESTAURANTESDESCUENTOS 2026'!A:A,TRIM(A114))&gt;0,((VLOOKUP(TRIM(D114), CATALOGO!A:B, 2, FALSE) * C114)*(1-VALUE(SUBSTITUTE(VLOOKUP(TRIM(A114),'RESTAURANTESDESCUENTOS 2026'!A:B,2,FALSE),"%",""))/100)+I114),(VLOOKUP(TRIM(D114), CATALOGO!A:B, 2, FALSE) * C114+I114)),""))</f>
        <v>53000</v>
      </c>
      <c r="K114" s="146"/>
      <c r="L114" s="135"/>
      <c r="M114" s="129" t="s">
        <v>587</v>
      </c>
      <c r="N114" s="130"/>
    </row>
    <row r="115" ht="22.5" hidden="1" customHeight="1">
      <c r="A115" s="131" t="s">
        <v>603</v>
      </c>
      <c r="B115" s="110">
        <v>46029.0</v>
      </c>
      <c r="C115" s="111">
        <v>1.0</v>
      </c>
      <c r="D115" s="112" t="s">
        <v>657</v>
      </c>
      <c r="E115" s="111">
        <v>2899.0</v>
      </c>
      <c r="F115" s="112"/>
      <c r="G115" s="114" t="s">
        <v>587</v>
      </c>
      <c r="H115" s="144" t="s">
        <v>603</v>
      </c>
      <c r="I115" s="140"/>
      <c r="J115" s="117">
        <f>IF(A115="RAPPI",(VLOOKUP(TRIM(D115), CATALOGO!F:G, 2, FALSE) * C115)+I115,IFERROR(IF(COUNTIF('RESTAURANTESDESCUENTOS 2026'!A:A,TRIM(A115))&gt;0,((VLOOKUP(TRIM(D115), CATALOGO!A:B, 2, FALSE) * C115)*(1-VALUE(SUBSTITUTE(VLOOKUP(TRIM(A115),'RESTAURANTESDESCUENTOS 2026'!A:B,2,FALSE),"%",""))/100)+I115),(VLOOKUP(TRIM(D115), CATALOGO!A:B, 2, FALSE) * C115+I115)),""))</f>
        <v>8000</v>
      </c>
      <c r="K115" s="140"/>
      <c r="L115" s="132"/>
      <c r="M115" s="120" t="s">
        <v>587</v>
      </c>
      <c r="N115" s="121"/>
    </row>
    <row r="116" ht="22.5" hidden="1" customHeight="1">
      <c r="A116" s="122" t="s">
        <v>605</v>
      </c>
      <c r="B116" s="123">
        <v>46029.0</v>
      </c>
      <c r="C116" s="124">
        <v>1.0</v>
      </c>
      <c r="D116" s="125" t="s">
        <v>554</v>
      </c>
      <c r="E116" s="124" t="s">
        <v>606</v>
      </c>
      <c r="F116" s="125"/>
      <c r="G116" s="114" t="s">
        <v>35</v>
      </c>
      <c r="H116" s="134"/>
      <c r="I116" s="146"/>
      <c r="J116" s="117">
        <f>IF(A116="RAPPI",(VLOOKUP(TRIM(D116), CATALOGO!F:G, 2, FALSE) * C116)+I116,IFERROR(IF(COUNTIF('RESTAURANTESDESCUENTOS 2026'!A:A,TRIM(A116))&gt;0,((VLOOKUP(TRIM(D116), CATALOGO!A:B, 2, FALSE) * C116)*(1-VALUE(SUBSTITUTE(VLOOKUP(TRIM(A116),'RESTAURANTESDESCUENTOS 2026'!A:B,2,FALSE),"%",""))/100)+I116),(VLOOKUP(TRIM(D116), CATALOGO!A:B, 2, FALSE) * C116+I116)),""))</f>
        <v>53000</v>
      </c>
      <c r="K116" s="146"/>
      <c r="L116" s="135"/>
      <c r="M116" s="129" t="s">
        <v>587</v>
      </c>
      <c r="N116" s="130"/>
    </row>
    <row r="117" ht="22.5" hidden="1" customHeight="1">
      <c r="A117" s="131" t="s">
        <v>603</v>
      </c>
      <c r="B117" s="110">
        <v>46029.0</v>
      </c>
      <c r="C117" s="111">
        <v>1.0</v>
      </c>
      <c r="D117" s="112" t="s">
        <v>176</v>
      </c>
      <c r="E117" s="111">
        <v>9972.0</v>
      </c>
      <c r="F117" s="112"/>
      <c r="G117" s="114" t="s">
        <v>587</v>
      </c>
      <c r="H117" s="144" t="s">
        <v>603</v>
      </c>
      <c r="I117" s="140"/>
      <c r="J117" s="117">
        <f>IF(A117="RAPPI",(VLOOKUP(TRIM(D117), CATALOGO!F:G, 2, FALSE) * C117)+I117,IFERROR(IF(COUNTIF('RESTAURANTESDESCUENTOS 2026'!A:A,TRIM(A117))&gt;0,((VLOOKUP(TRIM(D117), CATALOGO!A:B, 2, FALSE) * C117)*(1-VALUE(SUBSTITUTE(VLOOKUP(TRIM(A117),'RESTAURANTESDESCUENTOS 2026'!A:B,2,FALSE),"%",""))/100)+I117),(VLOOKUP(TRIM(D117), CATALOGO!A:B, 2, FALSE) * C117+I117)),""))</f>
        <v>50000</v>
      </c>
      <c r="K117" s="140"/>
      <c r="L117" s="132"/>
      <c r="M117" s="120" t="s">
        <v>587</v>
      </c>
      <c r="N117" s="121"/>
    </row>
    <row r="118" ht="22.5" hidden="1" customHeight="1">
      <c r="A118" s="122" t="s">
        <v>658</v>
      </c>
      <c r="B118" s="123">
        <v>46030.0</v>
      </c>
      <c r="C118" s="124">
        <v>100.0</v>
      </c>
      <c r="D118" s="125" t="s">
        <v>620</v>
      </c>
      <c r="E118" s="133"/>
      <c r="F118" s="134"/>
      <c r="G118" s="114" t="s">
        <v>587</v>
      </c>
      <c r="H118" s="151" t="s">
        <v>632</v>
      </c>
      <c r="I118" s="127">
        <v>0.0</v>
      </c>
      <c r="J118" s="117">
        <v>11000.0</v>
      </c>
      <c r="K118" s="127">
        <v>0.0</v>
      </c>
      <c r="L118" s="128" t="s">
        <v>587</v>
      </c>
      <c r="M118" s="129" t="s">
        <v>587</v>
      </c>
      <c r="N118" s="130"/>
    </row>
    <row r="119" ht="22.5" hidden="1" customHeight="1">
      <c r="A119" s="131" t="s">
        <v>658</v>
      </c>
      <c r="B119" s="110">
        <v>46030.0</v>
      </c>
      <c r="C119" s="111">
        <v>100.0</v>
      </c>
      <c r="D119" s="112" t="s">
        <v>639</v>
      </c>
      <c r="E119" s="138"/>
      <c r="F119" s="139"/>
      <c r="G119" s="114" t="s">
        <v>587</v>
      </c>
      <c r="H119" s="153" t="s">
        <v>632</v>
      </c>
      <c r="I119" s="116">
        <v>0.0</v>
      </c>
      <c r="J119" s="142">
        <v>11000.0</v>
      </c>
      <c r="K119" s="116">
        <v>0.0</v>
      </c>
      <c r="L119" s="136" t="s">
        <v>587</v>
      </c>
      <c r="M119" s="120" t="s">
        <v>587</v>
      </c>
      <c r="N119" s="121"/>
    </row>
    <row r="120" ht="22.5" hidden="1" customHeight="1">
      <c r="A120" s="131" t="s">
        <v>63</v>
      </c>
      <c r="B120" s="110">
        <v>46030.0</v>
      </c>
      <c r="C120" s="111">
        <v>100.0</v>
      </c>
      <c r="D120" s="112" t="s">
        <v>620</v>
      </c>
      <c r="E120" s="138"/>
      <c r="F120" s="139"/>
      <c r="G120" s="114" t="s">
        <v>587</v>
      </c>
      <c r="H120" s="153" t="s">
        <v>632</v>
      </c>
      <c r="I120" s="116">
        <v>0.0</v>
      </c>
      <c r="J120" s="142">
        <v>11000.0</v>
      </c>
      <c r="K120" s="116">
        <v>0.0</v>
      </c>
      <c r="L120" s="136" t="s">
        <v>587</v>
      </c>
      <c r="M120" s="120" t="s">
        <v>587</v>
      </c>
      <c r="N120" s="121"/>
    </row>
    <row r="121" ht="22.5" hidden="1" customHeight="1">
      <c r="A121" s="122" t="s">
        <v>63</v>
      </c>
      <c r="B121" s="123">
        <v>46030.0</v>
      </c>
      <c r="C121" s="124">
        <v>100.0</v>
      </c>
      <c r="D121" s="125" t="s">
        <v>639</v>
      </c>
      <c r="E121" s="133"/>
      <c r="F121" s="134"/>
      <c r="G121" s="114" t="s">
        <v>587</v>
      </c>
      <c r="H121" s="151" t="s">
        <v>632</v>
      </c>
      <c r="I121" s="127">
        <v>0.0</v>
      </c>
      <c r="J121" s="117">
        <v>11000.0</v>
      </c>
      <c r="K121" s="127">
        <v>0.0</v>
      </c>
      <c r="L121" s="128" t="s">
        <v>587</v>
      </c>
      <c r="M121" s="129" t="s">
        <v>587</v>
      </c>
      <c r="N121" s="130"/>
    </row>
    <row r="122" ht="22.5" hidden="1" customHeight="1">
      <c r="A122" s="122" t="s">
        <v>59</v>
      </c>
      <c r="B122" s="123">
        <v>46030.0</v>
      </c>
      <c r="C122" s="124">
        <v>100.0</v>
      </c>
      <c r="D122" s="125" t="s">
        <v>620</v>
      </c>
      <c r="E122" s="133"/>
      <c r="F122" s="134"/>
      <c r="G122" s="114" t="s">
        <v>587</v>
      </c>
      <c r="H122" s="151" t="s">
        <v>632</v>
      </c>
      <c r="I122" s="127">
        <v>0.0</v>
      </c>
      <c r="J122" s="117">
        <v>11000.0</v>
      </c>
      <c r="K122" s="127">
        <v>0.0</v>
      </c>
      <c r="L122" s="128" t="s">
        <v>587</v>
      </c>
      <c r="M122" s="129" t="s">
        <v>587</v>
      </c>
      <c r="N122" s="130"/>
    </row>
    <row r="123" ht="22.5" hidden="1" customHeight="1">
      <c r="A123" s="141" t="s">
        <v>59</v>
      </c>
      <c r="B123" s="110">
        <v>46030.0</v>
      </c>
      <c r="C123" s="111">
        <v>100.0</v>
      </c>
      <c r="D123" s="112" t="s">
        <v>639</v>
      </c>
      <c r="E123" s="138"/>
      <c r="F123" s="139"/>
      <c r="G123" s="114" t="s">
        <v>587</v>
      </c>
      <c r="H123" s="153" t="s">
        <v>632</v>
      </c>
      <c r="I123" s="116">
        <v>0.0</v>
      </c>
      <c r="J123" s="142">
        <v>11000.0</v>
      </c>
      <c r="K123" s="116">
        <v>0.0</v>
      </c>
      <c r="L123" s="136" t="s">
        <v>587</v>
      </c>
      <c r="M123" s="120" t="s">
        <v>587</v>
      </c>
      <c r="N123" s="121"/>
    </row>
    <row r="124" ht="22.5" hidden="1" customHeight="1">
      <c r="A124" s="131" t="s">
        <v>658</v>
      </c>
      <c r="B124" s="110">
        <v>46030.0</v>
      </c>
      <c r="C124" s="111">
        <v>1.0</v>
      </c>
      <c r="D124" s="112" t="s">
        <v>178</v>
      </c>
      <c r="E124" s="111" t="s">
        <v>610</v>
      </c>
      <c r="F124" s="112"/>
      <c r="G124" s="114" t="s">
        <v>587</v>
      </c>
      <c r="H124" s="153" t="s">
        <v>632</v>
      </c>
      <c r="I124" s="116">
        <v>0.0</v>
      </c>
      <c r="J124" s="117">
        <f>IF(A124="RAPPI",(VLOOKUP(TRIM(D124), CATALOGO!F:G, 2, FALSE) * C124)+I124,IFERROR(IF(COUNTIF('RESTAURANTESDESCUENTOS 2026'!A:A,TRIM(A124))&gt;0,((VLOOKUP(TRIM(D124), CATALOGO!A:B, 2, FALSE) * C124)*(1-VALUE(SUBSTITUTE(VLOOKUP(TRIM(A124),'RESTAURANTESDESCUENTOS 2026'!A:B,2,FALSE),"%",""))/100)+I124),(VLOOKUP(TRIM(D124), CATALOGO!A:B, 2, FALSE) * C124+I124)),""))</f>
        <v>150000</v>
      </c>
      <c r="K124" s="118">
        <v>13000.0</v>
      </c>
      <c r="L124" s="136" t="s">
        <v>587</v>
      </c>
      <c r="M124" s="120" t="s">
        <v>587</v>
      </c>
      <c r="N124" s="121"/>
    </row>
    <row r="125" ht="22.5" hidden="1" customHeight="1">
      <c r="A125" s="147" t="s">
        <v>63</v>
      </c>
      <c r="B125" s="123">
        <v>46030.0</v>
      </c>
      <c r="C125" s="124">
        <v>1.0</v>
      </c>
      <c r="D125" s="125" t="s">
        <v>178</v>
      </c>
      <c r="E125" s="124" t="s">
        <v>610</v>
      </c>
      <c r="F125" s="125"/>
      <c r="G125" s="114" t="s">
        <v>587</v>
      </c>
      <c r="H125" s="151" t="s">
        <v>632</v>
      </c>
      <c r="I125" s="127">
        <v>0.0</v>
      </c>
      <c r="J125" s="117">
        <f>IF(A125="RAPPI",(VLOOKUP(TRIM(D125), CATALOGO!F:G, 2, FALSE) * C125)+I125,IFERROR(IF(COUNTIF('RESTAURANTESDESCUENTOS 2026'!A:A,TRIM(A125))&gt;0,((VLOOKUP(TRIM(D125), CATALOGO!A:B, 2, FALSE) * C125)*(1-VALUE(SUBSTITUTE(VLOOKUP(TRIM(A125),'RESTAURANTESDESCUENTOS 2026'!A:B,2,FALSE),"%",""))/100)+I125),(VLOOKUP(TRIM(D125), CATALOGO!A:B, 2, FALSE) * C125+I125)),""))</f>
        <v>112500</v>
      </c>
      <c r="K125" s="118">
        <v>13000.0</v>
      </c>
      <c r="L125" s="128" t="s">
        <v>587</v>
      </c>
      <c r="M125" s="129" t="s">
        <v>587</v>
      </c>
      <c r="N125" s="130"/>
    </row>
    <row r="126" ht="22.5" hidden="1" customHeight="1">
      <c r="A126" s="131" t="s">
        <v>59</v>
      </c>
      <c r="B126" s="110">
        <v>46030.0</v>
      </c>
      <c r="C126" s="111">
        <v>1.0</v>
      </c>
      <c r="D126" s="112" t="s">
        <v>178</v>
      </c>
      <c r="E126" s="111" t="s">
        <v>610</v>
      </c>
      <c r="F126" s="112"/>
      <c r="G126" s="114" t="s">
        <v>587</v>
      </c>
      <c r="H126" s="153" t="s">
        <v>632</v>
      </c>
      <c r="I126" s="116">
        <v>0.0</v>
      </c>
      <c r="J126" s="117">
        <f>IF(A126="RAPPI",(VLOOKUP(TRIM(D126), CATALOGO!F:G, 2, FALSE) * C126)+I126,IFERROR(IF(COUNTIF('RESTAURANTESDESCUENTOS 2026'!A:A,TRIM(A126))&gt;0,((VLOOKUP(TRIM(D126), CATALOGO!A:B, 2, FALSE) * C126)*(1-VALUE(SUBSTITUTE(VLOOKUP(TRIM(A126),'RESTAURANTESDESCUENTOS 2026'!A:B,2,FALSE),"%",""))/100)+I126),(VLOOKUP(TRIM(D126), CATALOGO!A:B, 2, FALSE) * C126+I126)),""))</f>
        <v>112500</v>
      </c>
      <c r="K126" s="118">
        <v>10000.0</v>
      </c>
      <c r="L126" s="136" t="s">
        <v>587</v>
      </c>
      <c r="M126" s="120" t="s">
        <v>587</v>
      </c>
      <c r="N126" s="121"/>
    </row>
    <row r="127" ht="22.5" hidden="1" customHeight="1">
      <c r="A127" s="122" t="s">
        <v>659</v>
      </c>
      <c r="B127" s="123">
        <v>46030.0</v>
      </c>
      <c r="C127" s="124">
        <v>1.0</v>
      </c>
      <c r="D127" s="125" t="s">
        <v>653</v>
      </c>
      <c r="E127" s="124" t="s">
        <v>645</v>
      </c>
      <c r="F127" s="125"/>
      <c r="G127" s="114" t="s">
        <v>587</v>
      </c>
      <c r="H127" s="126" t="s">
        <v>588</v>
      </c>
      <c r="I127" s="127">
        <v>13000.0</v>
      </c>
      <c r="J127" s="117">
        <f>IF(A127="RAPPI",(VLOOKUP(TRIM(D127), CATALOGO!F:G, 2, FALSE) * C127)+I127,IFERROR(IF(COUNTIF('RESTAURANTESDESCUENTOS 2026'!A:A,TRIM(A127))&gt;0,((VLOOKUP(TRIM(D127), CATALOGO!A:B, 2, FALSE) * C127)*(1-VALUE(SUBSTITUTE(VLOOKUP(TRIM(A127),'RESTAURANTESDESCUENTOS 2026'!A:B,2,FALSE),"%",""))/100)+I127),(VLOOKUP(TRIM(D127), CATALOGO!A:B, 2, FALSE) * C127+I127)),""))</f>
        <v>136000</v>
      </c>
      <c r="K127" s="127">
        <v>13000.0</v>
      </c>
      <c r="L127" s="128" t="s">
        <v>587</v>
      </c>
      <c r="M127" s="129" t="s">
        <v>587</v>
      </c>
      <c r="N127" s="130"/>
    </row>
    <row r="128" ht="22.5" hidden="1" customHeight="1">
      <c r="A128" s="148" t="s">
        <v>40</v>
      </c>
      <c r="B128" s="123">
        <v>46030.0</v>
      </c>
      <c r="C128" s="124">
        <v>1.0</v>
      </c>
      <c r="D128" s="125" t="s">
        <v>177</v>
      </c>
      <c r="E128" s="124" t="s">
        <v>660</v>
      </c>
      <c r="F128" s="125"/>
      <c r="G128" s="114" t="s">
        <v>587</v>
      </c>
      <c r="H128" s="151" t="s">
        <v>632</v>
      </c>
      <c r="I128" s="127">
        <v>0.0</v>
      </c>
      <c r="J128" s="117">
        <f>IF(A128="RAPPI",(VLOOKUP(TRIM(D128), CATALOGO!F:G, 2, FALSE) * C128)+I128,IFERROR(IF(COUNTIF('RESTAURANTESDESCUENTOS 2026'!A:A,TRIM(A128))&gt;0,((VLOOKUP(TRIM(D128), CATALOGO!A:B, 2, FALSE) * C128)*(1-VALUE(SUBSTITUTE(VLOOKUP(TRIM(A128),'RESTAURANTESDESCUENTOS 2026'!A:B,2,FALSE),"%",""))/100)+I128),(VLOOKUP(TRIM(D128), CATALOGO!A:B, 2, FALSE) * C128+I128)),""))</f>
        <v>86250</v>
      </c>
      <c r="K128" s="118">
        <v>10000.0</v>
      </c>
      <c r="L128" s="128" t="s">
        <v>587</v>
      </c>
      <c r="M128" s="129" t="s">
        <v>587</v>
      </c>
      <c r="N128" s="130"/>
    </row>
    <row r="129" ht="22.5" hidden="1" customHeight="1">
      <c r="A129" s="122" t="s">
        <v>661</v>
      </c>
      <c r="B129" s="123">
        <v>46030.0</v>
      </c>
      <c r="C129" s="124">
        <v>1.0</v>
      </c>
      <c r="D129" s="125" t="s">
        <v>178</v>
      </c>
      <c r="E129" s="133"/>
      <c r="F129" s="134"/>
      <c r="G129" s="114" t="s">
        <v>587</v>
      </c>
      <c r="H129" s="126" t="s">
        <v>588</v>
      </c>
      <c r="I129" s="127">
        <v>14000.0</v>
      </c>
      <c r="J129" s="117">
        <f>IF(A129="RAPPI",(VLOOKUP(TRIM(D129), CATALOGO!F:G, 2, FALSE) * C129)+I129,IFERROR(IF(COUNTIF('RESTAURANTESDESCUENTOS 2026'!A:A,TRIM(A129))&gt;0,((VLOOKUP(TRIM(D129), CATALOGO!A:B, 2, FALSE) * C129)*(1-VALUE(SUBSTITUTE(VLOOKUP(TRIM(A129),'RESTAURANTESDESCUENTOS 2026'!A:B,2,FALSE),"%",""))/100)+I129),(VLOOKUP(TRIM(D129), CATALOGO!A:B, 2, FALSE) * C129+I129)),""))</f>
        <v>164000</v>
      </c>
      <c r="K129" s="127">
        <v>14000.0</v>
      </c>
      <c r="L129" s="135"/>
      <c r="M129" s="129" t="s">
        <v>587</v>
      </c>
      <c r="N129" s="130"/>
    </row>
    <row r="130" ht="22.5" hidden="1" customHeight="1">
      <c r="A130" s="148" t="s">
        <v>17</v>
      </c>
      <c r="B130" s="110">
        <v>46030.0</v>
      </c>
      <c r="C130" s="111">
        <v>1.0</v>
      </c>
      <c r="D130" s="112" t="s">
        <v>178</v>
      </c>
      <c r="E130" s="111" t="s">
        <v>662</v>
      </c>
      <c r="F130" s="112"/>
      <c r="G130" s="114" t="s">
        <v>587</v>
      </c>
      <c r="H130" s="153" t="s">
        <v>632</v>
      </c>
      <c r="I130" s="116">
        <v>10000.0</v>
      </c>
      <c r="J130" s="117">
        <f>IF(A130="RAPPI",(VLOOKUP(TRIM(D130), CATALOGO!F:G, 2, FALSE) * C130)+I130,IFERROR(IF(COUNTIF('RESTAURANTESDESCUENTOS 2026'!A:A,TRIM(A130))&gt;0,((VLOOKUP(TRIM(D130), CATALOGO!A:B, 2, FALSE) * C130)*(1-VALUE(SUBSTITUTE(VLOOKUP(TRIM(A130),'RESTAURANTESDESCUENTOS 2026'!A:B,2,FALSE),"%",""))/100)+I130),(VLOOKUP(TRIM(D130), CATALOGO!A:B, 2, FALSE) * C130+I130)),""))</f>
        <v>122500</v>
      </c>
      <c r="K130" s="116">
        <v>10000.0</v>
      </c>
      <c r="L130" s="136" t="s">
        <v>587</v>
      </c>
      <c r="M130" s="120" t="s">
        <v>587</v>
      </c>
      <c r="N130" s="121"/>
    </row>
    <row r="131" ht="22.5" hidden="1" customHeight="1">
      <c r="A131" s="122" t="s">
        <v>10</v>
      </c>
      <c r="B131" s="123">
        <v>46030.0</v>
      </c>
      <c r="C131" s="124">
        <v>2.0</v>
      </c>
      <c r="D131" s="125" t="s">
        <v>178</v>
      </c>
      <c r="E131" s="124" t="s">
        <v>610</v>
      </c>
      <c r="F131" s="125"/>
      <c r="G131" s="114" t="s">
        <v>587</v>
      </c>
      <c r="H131" s="151" t="s">
        <v>632</v>
      </c>
      <c r="I131" s="127">
        <v>0.0</v>
      </c>
      <c r="J131" s="117">
        <f>IF(A131="RAPPI",(VLOOKUP(TRIM(D131), CATALOGO!F:G, 2, FALSE) * C131)+I131,IFERROR(IF(COUNTIF('RESTAURANTESDESCUENTOS 2026'!A:A,TRIM(A131))&gt;0,((VLOOKUP(TRIM(D131), CATALOGO!A:B, 2, FALSE) * C131)*(1-VALUE(SUBSTITUTE(VLOOKUP(TRIM(A131),'RESTAURANTESDESCUENTOS 2026'!A:B,2,FALSE),"%",""))/100)+I131),(VLOOKUP(TRIM(D131), CATALOGO!A:B, 2, FALSE) * C131+I131)),""))</f>
        <v>225000</v>
      </c>
      <c r="K131" s="118">
        <v>10000.0</v>
      </c>
      <c r="L131" s="128" t="s">
        <v>587</v>
      </c>
      <c r="M131" s="129" t="s">
        <v>587</v>
      </c>
      <c r="N131" s="130"/>
    </row>
    <row r="132" ht="22.5" hidden="1" customHeight="1">
      <c r="A132" s="131" t="s">
        <v>663</v>
      </c>
      <c r="B132" s="110">
        <v>46030.0</v>
      </c>
      <c r="C132" s="111">
        <v>1.0</v>
      </c>
      <c r="D132" s="112" t="s">
        <v>640</v>
      </c>
      <c r="E132" s="138"/>
      <c r="F132" s="139"/>
      <c r="G132" s="114" t="s">
        <v>587</v>
      </c>
      <c r="H132" s="115" t="s">
        <v>588</v>
      </c>
      <c r="I132" s="116">
        <v>13000.0</v>
      </c>
      <c r="J132" s="117">
        <f>IF(A132="RAPPI",(VLOOKUP(TRIM(D132), CATALOGO!F:G, 2, FALSE) * C132)+I132,IFERROR(IF(COUNTIF('RESTAURANTESDESCUENTOS 2026'!A:A,TRIM(A132))&gt;0,((VLOOKUP(TRIM(D132), CATALOGO!A:B, 2, FALSE) * C132)*(1-VALUE(SUBSTITUTE(VLOOKUP(TRIM(A132),'RESTAURANTESDESCUENTOS 2026'!A:B,2,FALSE),"%",""))/100)+I132),(VLOOKUP(TRIM(D132), CATALOGO!A:B, 2, FALSE) * C132+I132)),""))</f>
        <v>66000</v>
      </c>
      <c r="K132" s="116">
        <v>13000.0</v>
      </c>
      <c r="L132" s="136" t="s">
        <v>587</v>
      </c>
      <c r="M132" s="120" t="s">
        <v>587</v>
      </c>
      <c r="N132" s="121"/>
    </row>
    <row r="133" ht="22.5" hidden="1" customHeight="1">
      <c r="A133" s="122" t="s">
        <v>55</v>
      </c>
      <c r="B133" s="123">
        <v>46030.0</v>
      </c>
      <c r="C133" s="124">
        <v>2.0</v>
      </c>
      <c r="D133" s="125" t="s">
        <v>178</v>
      </c>
      <c r="E133" s="124" t="s">
        <v>552</v>
      </c>
      <c r="F133" s="125"/>
      <c r="G133" s="114" t="s">
        <v>587</v>
      </c>
      <c r="H133" s="126" t="s">
        <v>588</v>
      </c>
      <c r="I133" s="127">
        <v>10000.0</v>
      </c>
      <c r="J133" s="117">
        <f>IF(A133="RAPPI",(VLOOKUP(TRIM(D133), CATALOGO!F:G, 2, FALSE) * C133)+I133,IFERROR(IF(COUNTIF('RESTAURANTESDESCUENTOS 2026'!A:A,TRIM(A133))&gt;0,((VLOOKUP(TRIM(D133), CATALOGO!A:B, 2, FALSE) * C133)*(1-VALUE(SUBSTITUTE(VLOOKUP(TRIM(A133),'RESTAURANTESDESCUENTOS 2026'!A:B,2,FALSE),"%",""))/100)+I133),(VLOOKUP(TRIM(D133), CATALOGO!A:B, 2, FALSE) * C133+I133)),""))</f>
        <v>235000</v>
      </c>
      <c r="K133" s="118">
        <v>12000.0</v>
      </c>
      <c r="L133" s="128" t="s">
        <v>587</v>
      </c>
      <c r="M133" s="129" t="s">
        <v>587</v>
      </c>
      <c r="N133" s="130"/>
    </row>
    <row r="134" ht="22.5" hidden="1" customHeight="1">
      <c r="A134" s="131" t="s">
        <v>664</v>
      </c>
      <c r="B134" s="110">
        <v>46030.0</v>
      </c>
      <c r="C134" s="111">
        <v>1.0</v>
      </c>
      <c r="D134" s="112" t="s">
        <v>177</v>
      </c>
      <c r="E134" s="138"/>
      <c r="F134" s="139"/>
      <c r="G134" s="114" t="s">
        <v>587</v>
      </c>
      <c r="H134" s="115" t="s">
        <v>588</v>
      </c>
      <c r="I134" s="116">
        <v>13000.0</v>
      </c>
      <c r="J134" s="117">
        <f>IF(A134="RAPPI",(VLOOKUP(TRIM(D134), CATALOGO!F:G, 2, FALSE) * C134)+I134,IFERROR(IF(COUNTIF('RESTAURANTESDESCUENTOS 2026'!A:A,TRIM(A134))&gt;0,((VLOOKUP(TRIM(D134), CATALOGO!A:B, 2, FALSE) * C134)*(1-VALUE(SUBSTITUTE(VLOOKUP(TRIM(A134),'RESTAURANTESDESCUENTOS 2026'!A:B,2,FALSE),"%",""))/100)+I134),(VLOOKUP(TRIM(D134), CATALOGO!A:B, 2, FALSE) * C134+I134)),""))</f>
        <v>128000</v>
      </c>
      <c r="K134" s="116">
        <v>13000.0</v>
      </c>
      <c r="L134" s="132"/>
      <c r="M134" s="120" t="s">
        <v>587</v>
      </c>
      <c r="N134" s="121"/>
    </row>
    <row r="135" ht="22.5" hidden="1" customHeight="1">
      <c r="A135" s="122" t="s">
        <v>665</v>
      </c>
      <c r="B135" s="123">
        <v>46030.0</v>
      </c>
      <c r="C135" s="124">
        <v>1.0</v>
      </c>
      <c r="D135" s="125" t="s">
        <v>554</v>
      </c>
      <c r="E135" s="133"/>
      <c r="F135" s="134"/>
      <c r="G135" s="114" t="s">
        <v>587</v>
      </c>
      <c r="H135" s="126" t="s">
        <v>588</v>
      </c>
      <c r="I135" s="127">
        <v>12000.0</v>
      </c>
      <c r="J135" s="117">
        <f>IF(A135="RAPPI",(VLOOKUP(TRIM(D135), CATALOGO!F:G, 2, FALSE) * C135)+I135,IFERROR(IF(COUNTIF('RESTAURANTESDESCUENTOS 2026'!A:A,TRIM(A135))&gt;0,((VLOOKUP(TRIM(D135), CATALOGO!A:B, 2, FALSE) * C135)*(1-VALUE(SUBSTITUTE(VLOOKUP(TRIM(A135),'RESTAURANTESDESCUENTOS 2026'!A:B,2,FALSE),"%",""))/100)+I135),(VLOOKUP(TRIM(D135), CATALOGO!A:B, 2, FALSE) * C135+I135)),""))</f>
        <v>65000</v>
      </c>
      <c r="K135" s="127">
        <v>12000.0</v>
      </c>
      <c r="L135" s="135"/>
      <c r="M135" s="129" t="s">
        <v>587</v>
      </c>
      <c r="N135" s="130"/>
    </row>
    <row r="136" ht="22.5" hidden="1" customHeight="1">
      <c r="A136" s="122" t="s">
        <v>666</v>
      </c>
      <c r="B136" s="123">
        <v>46030.0</v>
      </c>
      <c r="C136" s="124">
        <v>1.0</v>
      </c>
      <c r="D136" s="125" t="s">
        <v>554</v>
      </c>
      <c r="E136" s="133"/>
      <c r="F136" s="134"/>
      <c r="G136" s="114" t="s">
        <v>35</v>
      </c>
      <c r="H136" s="134"/>
      <c r="I136" s="146"/>
      <c r="J136" s="117">
        <f>IF(A136="RAPPI",(VLOOKUP(TRIM(D136), CATALOGO!F:G, 2, FALSE) * C136)+I136,IFERROR(IF(COUNTIF('RESTAURANTESDESCUENTOS 2026'!A:A,TRIM(A136))&gt;0,((VLOOKUP(TRIM(D136), CATALOGO!A:B, 2, FALSE) * C136)*(1-VALUE(SUBSTITUTE(VLOOKUP(TRIM(A136),'RESTAURANTESDESCUENTOS 2026'!A:B,2,FALSE),"%",""))/100)+I136),(VLOOKUP(TRIM(D136), CATALOGO!A:B, 2, FALSE) * C136+I136)),""))</f>
        <v>53000</v>
      </c>
      <c r="K136" s="146"/>
      <c r="L136" s="135"/>
      <c r="M136" s="129" t="s">
        <v>587</v>
      </c>
      <c r="N136" s="130"/>
    </row>
    <row r="137" ht="22.5" hidden="1" customHeight="1">
      <c r="A137" s="131" t="s">
        <v>666</v>
      </c>
      <c r="B137" s="110">
        <v>46030.0</v>
      </c>
      <c r="C137" s="111">
        <v>2.0</v>
      </c>
      <c r="D137" s="112" t="s">
        <v>619</v>
      </c>
      <c r="E137" s="138"/>
      <c r="F137" s="139"/>
      <c r="G137" s="114" t="s">
        <v>35</v>
      </c>
      <c r="H137" s="139"/>
      <c r="I137" s="140"/>
      <c r="J137" s="117" t="str">
        <f>IF(A137="RAPPI",(VLOOKUP(TRIM(D137), CATALOGO!F:G, 2, FALSE) * C137)+I137,IFERROR(IF(COUNTIF('RESTAURANTESDESCUENTOS 2026'!A:A,TRIM(A137))&gt;0,((VLOOKUP(TRIM(D137), CATALOGO!A:B, 2, FALSE) * C137)*(1-VALUE(SUBSTITUTE(VLOOKUP(TRIM(A137),'RESTAURANTESDESCUENTOS 2026'!A:B,2,FALSE),"%",""))/100)+I137),(VLOOKUP(TRIM(D137), CATALOGO!A:B, 2, FALSE) * C137+I137)),""))</f>
        <v/>
      </c>
      <c r="K137" s="140"/>
      <c r="L137" s="132"/>
      <c r="M137" s="120" t="s">
        <v>587</v>
      </c>
      <c r="N137" s="121"/>
    </row>
    <row r="138" ht="22.5" hidden="1" customHeight="1">
      <c r="A138" s="122" t="s">
        <v>666</v>
      </c>
      <c r="B138" s="123">
        <v>46030.0</v>
      </c>
      <c r="C138" s="124">
        <v>4.0</v>
      </c>
      <c r="D138" s="125" t="s">
        <v>620</v>
      </c>
      <c r="E138" s="133"/>
      <c r="F138" s="134"/>
      <c r="G138" s="114" t="s">
        <v>35</v>
      </c>
      <c r="H138" s="134"/>
      <c r="I138" s="146"/>
      <c r="J138" s="117">
        <f>IF(A138="RAPPI",(VLOOKUP(TRIM(D138), CATALOGO!F:G, 2, FALSE) * C138)+I138,IFERROR(IF(COUNTIF('RESTAURANTESDESCUENTOS 2026'!A:A,TRIM(A138))&gt;0,((VLOOKUP(TRIM(D138), CATALOGO!A:B, 2, FALSE) * C138)*(1-VALUE(SUBSTITUTE(VLOOKUP(TRIM(A138),'RESTAURANTESDESCUENTOS 2026'!A:B,2,FALSE),"%",""))/100)+I138),(VLOOKUP(TRIM(D138), CATALOGO!A:B, 2, FALSE) * C138+I138)),""))</f>
        <v>0</v>
      </c>
      <c r="K138" s="146"/>
      <c r="L138" s="135"/>
      <c r="M138" s="129" t="s">
        <v>587</v>
      </c>
      <c r="N138" s="130"/>
    </row>
    <row r="139" ht="22.5" hidden="1" customHeight="1">
      <c r="A139" s="131" t="s">
        <v>605</v>
      </c>
      <c r="B139" s="110">
        <v>46030.0</v>
      </c>
      <c r="C139" s="111">
        <v>1.0</v>
      </c>
      <c r="D139" s="112" t="s">
        <v>640</v>
      </c>
      <c r="E139" s="111" t="s">
        <v>667</v>
      </c>
      <c r="F139" s="112"/>
      <c r="G139" s="114" t="s">
        <v>35</v>
      </c>
      <c r="H139" s="139"/>
      <c r="I139" s="140"/>
      <c r="J139" s="117">
        <f>IF(A139="RAPPI",(VLOOKUP(TRIM(D139), CATALOGO!F:G, 2, FALSE) * C139)+I139,IFERROR(IF(COUNTIF('RESTAURANTESDESCUENTOS 2026'!A:A,TRIM(A139))&gt;0,((VLOOKUP(TRIM(D139), CATALOGO!A:B, 2, FALSE) * C139)*(1-VALUE(SUBSTITUTE(VLOOKUP(TRIM(A139),'RESTAURANTESDESCUENTOS 2026'!A:B,2,FALSE),"%",""))/100)+I139),(VLOOKUP(TRIM(D139), CATALOGO!A:B, 2, FALSE) * C139+I139)),""))</f>
        <v>53000</v>
      </c>
      <c r="K139" s="140"/>
      <c r="L139" s="132"/>
      <c r="M139" s="120" t="s">
        <v>587</v>
      </c>
      <c r="N139" s="121"/>
    </row>
    <row r="140" ht="22.5" hidden="1" customHeight="1">
      <c r="A140" s="141" t="s">
        <v>605</v>
      </c>
      <c r="B140" s="110">
        <v>46030.0</v>
      </c>
      <c r="C140" s="111">
        <v>1.0</v>
      </c>
      <c r="D140" s="112" t="s">
        <v>176</v>
      </c>
      <c r="E140" s="111" t="s">
        <v>667</v>
      </c>
      <c r="F140" s="112"/>
      <c r="G140" s="114" t="s">
        <v>35</v>
      </c>
      <c r="H140" s="139"/>
      <c r="I140" s="140"/>
      <c r="J140" s="117">
        <f>IF(A140="RAPPI",(VLOOKUP(TRIM(D140), CATALOGO!F:G, 2, FALSE) * C140)+I140,IFERROR(IF(COUNTIF('RESTAURANTESDESCUENTOS 2026'!A:A,TRIM(A140))&gt;0,((VLOOKUP(TRIM(D140), CATALOGO!A:B, 2, FALSE) * C140)*(1-VALUE(SUBSTITUTE(VLOOKUP(TRIM(A140),'RESTAURANTESDESCUENTOS 2026'!A:B,2,FALSE),"%",""))/100)+I140),(VLOOKUP(TRIM(D140), CATALOGO!A:B, 2, FALSE) * C140+I140)),""))</f>
        <v>50000</v>
      </c>
      <c r="K140" s="140"/>
      <c r="L140" s="132"/>
      <c r="M140" s="120" t="s">
        <v>587</v>
      </c>
      <c r="N140" s="121"/>
    </row>
    <row r="141" ht="22.5" hidden="1" customHeight="1">
      <c r="A141" s="122" t="s">
        <v>605</v>
      </c>
      <c r="B141" s="123">
        <v>46030.0</v>
      </c>
      <c r="C141" s="124">
        <v>1.0</v>
      </c>
      <c r="D141" s="125" t="s">
        <v>177</v>
      </c>
      <c r="E141" s="124" t="s">
        <v>667</v>
      </c>
      <c r="F141" s="125"/>
      <c r="G141" s="114" t="s">
        <v>35</v>
      </c>
      <c r="H141" s="134"/>
      <c r="I141" s="146"/>
      <c r="J141" s="117">
        <f>IF(A141="RAPPI",(VLOOKUP(TRIM(D141), CATALOGO!F:G, 2, FALSE) * C141)+I141,IFERROR(IF(COUNTIF('RESTAURANTESDESCUENTOS 2026'!A:A,TRIM(A141))&gt;0,((VLOOKUP(TRIM(D141), CATALOGO!A:B, 2, FALSE) * C141)*(1-VALUE(SUBSTITUTE(VLOOKUP(TRIM(A141),'RESTAURANTESDESCUENTOS 2026'!A:B,2,FALSE),"%",""))/100)+I141),(VLOOKUP(TRIM(D141), CATALOGO!A:B, 2, FALSE) * C141+I141)),""))</f>
        <v>115000</v>
      </c>
      <c r="K141" s="146"/>
      <c r="L141" s="135"/>
      <c r="M141" s="129" t="s">
        <v>587</v>
      </c>
      <c r="N141" s="130"/>
    </row>
    <row r="142" ht="22.5" hidden="1" customHeight="1">
      <c r="A142" s="122" t="s">
        <v>668</v>
      </c>
      <c r="B142" s="123">
        <v>46031.0</v>
      </c>
      <c r="C142" s="124">
        <v>1.0</v>
      </c>
      <c r="D142" s="125" t="s">
        <v>669</v>
      </c>
      <c r="E142" s="133"/>
      <c r="F142" s="134"/>
      <c r="G142" s="114" t="s">
        <v>587</v>
      </c>
      <c r="H142" s="126" t="s">
        <v>588</v>
      </c>
      <c r="I142" s="127">
        <v>0.0</v>
      </c>
      <c r="J142" s="117">
        <f>IF(A142="RAPPI",(VLOOKUP(TRIM(D142), CATALOGO!F:G, 2, FALSE) * C142)+I142,IFERROR(IF(COUNTIF('RESTAURANTESDESCUENTOS 2026'!A:A,TRIM(A142))&gt;0,((VLOOKUP(TRIM(D142), CATALOGO!A:B, 2, FALSE) * C142)*(1-VALUE(SUBSTITUTE(VLOOKUP(TRIM(A142),'RESTAURANTESDESCUENTOS 2026'!A:B,2,FALSE),"%",""))/100)+I142),(VLOOKUP(TRIM(D142), CATALOGO!A:B, 2, FALSE) * C142+I142)),""))</f>
        <v>0</v>
      </c>
      <c r="K142" s="127">
        <v>0.0</v>
      </c>
      <c r="L142" s="135"/>
      <c r="M142" s="129" t="s">
        <v>587</v>
      </c>
      <c r="N142" s="130"/>
    </row>
    <row r="143" ht="22.5" hidden="1" customHeight="1">
      <c r="A143" s="131" t="s">
        <v>668</v>
      </c>
      <c r="B143" s="110">
        <v>46031.0</v>
      </c>
      <c r="C143" s="111">
        <v>1.0</v>
      </c>
      <c r="D143" s="112" t="s">
        <v>236</v>
      </c>
      <c r="E143" s="138"/>
      <c r="F143" s="139"/>
      <c r="G143" s="114" t="s">
        <v>587</v>
      </c>
      <c r="H143" s="115" t="s">
        <v>588</v>
      </c>
      <c r="I143" s="116">
        <v>0.0</v>
      </c>
      <c r="J143" s="117">
        <f>IF(A143="RAPPI",(VLOOKUP(TRIM(D143), CATALOGO!F:G, 2, FALSE) * C143)+I143,IFERROR(IF(COUNTIF('RESTAURANTESDESCUENTOS 2026'!A:A,TRIM(A143))&gt;0,((VLOOKUP(TRIM(D143), CATALOGO!A:B, 2, FALSE) * C143)*(1-VALUE(SUBSTITUTE(VLOOKUP(TRIM(A143),'RESTAURANTESDESCUENTOS 2026'!A:B,2,FALSE),"%",""))/100)+I143),(VLOOKUP(TRIM(D143), CATALOGO!A:B, 2, FALSE) * C143+I143)),""))</f>
        <v>0</v>
      </c>
      <c r="K143" s="116">
        <v>0.0</v>
      </c>
      <c r="L143" s="132"/>
      <c r="M143" s="120" t="s">
        <v>587</v>
      </c>
      <c r="N143" s="121"/>
    </row>
    <row r="144" ht="22.5" hidden="1" customHeight="1">
      <c r="A144" s="122" t="s">
        <v>668</v>
      </c>
      <c r="B144" s="123">
        <v>46031.0</v>
      </c>
      <c r="C144" s="124">
        <v>1.0</v>
      </c>
      <c r="D144" s="125" t="s">
        <v>621</v>
      </c>
      <c r="E144" s="133"/>
      <c r="F144" s="134"/>
      <c r="G144" s="114" t="s">
        <v>587</v>
      </c>
      <c r="H144" s="126" t="s">
        <v>588</v>
      </c>
      <c r="I144" s="127">
        <v>0.0</v>
      </c>
      <c r="J144" s="117">
        <f>IF(A144="RAPPI",(VLOOKUP(TRIM(D144), CATALOGO!F:G, 2, FALSE) * C144)+I144,IFERROR(IF(COUNTIF('RESTAURANTESDESCUENTOS 2026'!A:A,TRIM(A144))&gt;0,((VLOOKUP(TRIM(D144), CATALOGO!A:B, 2, FALSE) * C144)*(1-VALUE(SUBSTITUTE(VLOOKUP(TRIM(A144),'RESTAURANTESDESCUENTOS 2026'!A:B,2,FALSE),"%",""))/100)+I144),(VLOOKUP(TRIM(D144), CATALOGO!A:B, 2, FALSE) * C144+I144)),""))</f>
        <v>0</v>
      </c>
      <c r="K144" s="127">
        <v>0.0</v>
      </c>
      <c r="L144" s="135"/>
      <c r="M144" s="129" t="s">
        <v>587</v>
      </c>
      <c r="N144" s="130"/>
    </row>
    <row r="145" ht="22.5" hidden="1" customHeight="1">
      <c r="A145" s="131" t="s">
        <v>668</v>
      </c>
      <c r="B145" s="110">
        <v>46031.0</v>
      </c>
      <c r="C145" s="111">
        <v>1.0</v>
      </c>
      <c r="D145" s="112" t="s">
        <v>619</v>
      </c>
      <c r="E145" s="111" t="s">
        <v>670</v>
      </c>
      <c r="F145" s="112"/>
      <c r="G145" s="114" t="s">
        <v>587</v>
      </c>
      <c r="H145" s="115" t="s">
        <v>588</v>
      </c>
      <c r="I145" s="116">
        <v>13000.0</v>
      </c>
      <c r="J145" s="117" t="str">
        <f>IF(A145="RAPPI",(VLOOKUP(TRIM(D145), CATALOGO!F:G, 2, FALSE) * C145)+I145,IFERROR(IF(COUNTIF('RESTAURANTESDESCUENTOS 2026'!A:A,TRIM(A145))&gt;0,((VLOOKUP(TRIM(D145), CATALOGO!A:B, 2, FALSE) * C145)*(1-VALUE(SUBSTITUTE(VLOOKUP(TRIM(A145),'RESTAURANTESDESCUENTOS 2026'!A:B,2,FALSE),"%",""))/100)+I145),(VLOOKUP(TRIM(D145), CATALOGO!A:B, 2, FALSE) * C145+I145)),""))</f>
        <v/>
      </c>
      <c r="K145" s="116">
        <v>13000.0</v>
      </c>
      <c r="L145" s="132"/>
      <c r="M145" s="120" t="s">
        <v>587</v>
      </c>
      <c r="N145" s="121"/>
    </row>
    <row r="146" ht="22.5" hidden="1" customHeight="1">
      <c r="A146" s="122" t="s">
        <v>671</v>
      </c>
      <c r="B146" s="123">
        <v>46031.0</v>
      </c>
      <c r="C146" s="124">
        <v>2.0</v>
      </c>
      <c r="D146" s="125" t="s">
        <v>178</v>
      </c>
      <c r="E146" s="133"/>
      <c r="F146" s="134"/>
      <c r="G146" s="114" t="s">
        <v>587</v>
      </c>
      <c r="H146" s="126" t="s">
        <v>588</v>
      </c>
      <c r="I146" s="127">
        <v>10000.0</v>
      </c>
      <c r="J146" s="117">
        <f>IF(A146="RAPPI",(VLOOKUP(TRIM(D146), CATALOGO!F:G, 2, FALSE) * C146)+I146,IFERROR(IF(COUNTIF('RESTAURANTESDESCUENTOS 2026'!A:A,TRIM(A146))&gt;0,((VLOOKUP(TRIM(D146), CATALOGO!A:B, 2, FALSE) * C146)*(1-VALUE(SUBSTITUTE(VLOOKUP(TRIM(A146),'RESTAURANTESDESCUENTOS 2026'!A:B,2,FALSE),"%",""))/100)+I146),(VLOOKUP(TRIM(D146), CATALOGO!A:B, 2, FALSE) * C146+I146)),""))</f>
        <v>310000</v>
      </c>
      <c r="K146" s="127">
        <v>10000.0</v>
      </c>
      <c r="L146" s="135"/>
      <c r="M146" s="129" t="s">
        <v>587</v>
      </c>
      <c r="N146" s="130"/>
    </row>
    <row r="147" ht="22.5" hidden="1" customHeight="1">
      <c r="A147" s="122" t="s">
        <v>672</v>
      </c>
      <c r="B147" s="123">
        <v>46031.0</v>
      </c>
      <c r="C147" s="124">
        <v>1.0</v>
      </c>
      <c r="D147" s="125" t="s">
        <v>176</v>
      </c>
      <c r="E147" s="133"/>
      <c r="F147" s="134"/>
      <c r="G147" s="114" t="s">
        <v>587</v>
      </c>
      <c r="H147" s="126" t="s">
        <v>588</v>
      </c>
      <c r="I147" s="127">
        <v>10000.0</v>
      </c>
      <c r="J147" s="117">
        <f>IF(A147="RAPPI",(VLOOKUP(TRIM(D147), CATALOGO!F:G, 2, FALSE) * C147)+I147,IFERROR(IF(COUNTIF('RESTAURANTESDESCUENTOS 2026'!A:A,TRIM(A147))&gt;0,((VLOOKUP(TRIM(D147), CATALOGO!A:B, 2, FALSE) * C147)*(1-VALUE(SUBSTITUTE(VLOOKUP(TRIM(A147),'RESTAURANTESDESCUENTOS 2026'!A:B,2,FALSE),"%",""))/100)+I147),(VLOOKUP(TRIM(D147), CATALOGO!A:B, 2, FALSE) * C147+I147)),""))</f>
        <v>60000</v>
      </c>
      <c r="K147" s="118">
        <v>12000.0</v>
      </c>
      <c r="L147" s="135"/>
      <c r="M147" s="129" t="s">
        <v>587</v>
      </c>
      <c r="N147" s="130"/>
    </row>
    <row r="148" ht="22.5" hidden="1" customHeight="1">
      <c r="A148" s="122" t="s">
        <v>673</v>
      </c>
      <c r="B148" s="123">
        <v>46031.0</v>
      </c>
      <c r="C148" s="124">
        <v>1.0</v>
      </c>
      <c r="D148" s="125" t="s">
        <v>177</v>
      </c>
      <c r="E148" s="133"/>
      <c r="F148" s="134"/>
      <c r="G148" s="114" t="s">
        <v>587</v>
      </c>
      <c r="H148" s="126" t="s">
        <v>588</v>
      </c>
      <c r="I148" s="127">
        <v>12000.0</v>
      </c>
      <c r="J148" s="117">
        <f>IF(A148="RAPPI",(VLOOKUP(TRIM(D148), CATALOGO!F:G, 2, FALSE) * C148)+I148,IFERROR(IF(COUNTIF('RESTAURANTESDESCUENTOS 2026'!A:A,TRIM(A148))&gt;0,((VLOOKUP(TRIM(D148), CATALOGO!A:B, 2, FALSE) * C148)*(1-VALUE(SUBSTITUTE(VLOOKUP(TRIM(A148),'RESTAURANTESDESCUENTOS 2026'!A:B,2,FALSE),"%",""))/100)+I148),(VLOOKUP(TRIM(D148), CATALOGO!A:B, 2, FALSE) * C148+I148)),""))</f>
        <v>127000</v>
      </c>
      <c r="K148" s="118">
        <v>16000.0</v>
      </c>
      <c r="L148" s="135"/>
      <c r="M148" s="129" t="s">
        <v>587</v>
      </c>
      <c r="N148" s="130"/>
    </row>
    <row r="149" ht="22.5" hidden="1" customHeight="1">
      <c r="A149" s="131" t="s">
        <v>674</v>
      </c>
      <c r="B149" s="110">
        <v>46031.0</v>
      </c>
      <c r="C149" s="111">
        <v>1.0</v>
      </c>
      <c r="D149" s="112" t="s">
        <v>177</v>
      </c>
      <c r="E149" s="138"/>
      <c r="F149" s="139"/>
      <c r="G149" s="114" t="s">
        <v>587</v>
      </c>
      <c r="H149" s="115" t="s">
        <v>588</v>
      </c>
      <c r="I149" s="116">
        <v>10000.0</v>
      </c>
      <c r="J149" s="117">
        <f>IF(A149="RAPPI",(VLOOKUP(TRIM(D149), CATALOGO!F:G, 2, FALSE) * C149)+I149,IFERROR(IF(COUNTIF('RESTAURANTESDESCUENTOS 2026'!A:A,TRIM(A149))&gt;0,((VLOOKUP(TRIM(D149), CATALOGO!A:B, 2, FALSE) * C149)*(1-VALUE(SUBSTITUTE(VLOOKUP(TRIM(A149),'RESTAURANTESDESCUENTOS 2026'!A:B,2,FALSE),"%",""))/100)+I149),(VLOOKUP(TRIM(D149), CATALOGO!A:B, 2, FALSE) * C149+I149)),""))</f>
        <v>125000</v>
      </c>
      <c r="K149" s="118">
        <v>12000.0</v>
      </c>
      <c r="L149" s="132"/>
      <c r="M149" s="120" t="s">
        <v>587</v>
      </c>
      <c r="N149" s="121"/>
    </row>
    <row r="150" ht="22.5" hidden="1" customHeight="1">
      <c r="A150" s="131" t="s">
        <v>25</v>
      </c>
      <c r="B150" s="110">
        <v>46031.0</v>
      </c>
      <c r="C150" s="111">
        <v>1.0</v>
      </c>
      <c r="D150" s="112" t="s">
        <v>178</v>
      </c>
      <c r="E150" s="111" t="s">
        <v>552</v>
      </c>
      <c r="F150" s="112"/>
      <c r="G150" s="114" t="s">
        <v>35</v>
      </c>
      <c r="H150" s="139"/>
      <c r="I150" s="140"/>
      <c r="J150" s="117">
        <f>IF(A150="RAPPI",(VLOOKUP(TRIM(D150), CATALOGO!F:G, 2, FALSE) * C150)+I150,IFERROR(IF(COUNTIF('RESTAURANTESDESCUENTOS 2026'!A:A,TRIM(A150))&gt;0,((VLOOKUP(TRIM(D150), CATALOGO!A:B, 2, FALSE) * C150)*(1-VALUE(SUBSTITUTE(VLOOKUP(TRIM(A150),'RESTAURANTESDESCUENTOS 2026'!A:B,2,FALSE),"%",""))/100)+I150),(VLOOKUP(TRIM(D150), CATALOGO!A:B, 2, FALSE) * C150+I150)),""))</f>
        <v>112500</v>
      </c>
      <c r="K150" s="140"/>
      <c r="L150" s="136" t="s">
        <v>587</v>
      </c>
      <c r="M150" s="120" t="s">
        <v>587</v>
      </c>
      <c r="N150" s="121"/>
    </row>
    <row r="151" ht="22.5" hidden="1" customHeight="1">
      <c r="A151" s="131" t="s">
        <v>603</v>
      </c>
      <c r="B151" s="110">
        <v>46031.0</v>
      </c>
      <c r="C151" s="111">
        <v>1.0</v>
      </c>
      <c r="D151" s="112" t="s">
        <v>554</v>
      </c>
      <c r="E151" s="111">
        <v>3951.0</v>
      </c>
      <c r="F151" s="112"/>
      <c r="G151" s="114" t="s">
        <v>587</v>
      </c>
      <c r="H151" s="144" t="s">
        <v>603</v>
      </c>
      <c r="I151" s="140"/>
      <c r="J151" s="117">
        <f>IF(A151="RAPPI",(VLOOKUP(TRIM(D151), CATALOGO!F:G, 2, FALSE) * C151)+I151,IFERROR(IF(COUNTIF('RESTAURANTESDESCUENTOS 2026'!A:A,TRIM(A151))&gt;0,((VLOOKUP(TRIM(D151), CATALOGO!A:B, 2, FALSE) * C151)*(1-VALUE(SUBSTITUTE(VLOOKUP(TRIM(A151),'RESTAURANTESDESCUENTOS 2026'!A:B,2,FALSE),"%",""))/100)+I151),(VLOOKUP(TRIM(D151), CATALOGO!A:B, 2, FALSE) * C151+I151)),""))</f>
        <v>53000</v>
      </c>
      <c r="K151" s="140"/>
      <c r="L151" s="132"/>
      <c r="M151" s="120" t="s">
        <v>587</v>
      </c>
      <c r="N151" s="121"/>
    </row>
    <row r="152" ht="22.5" hidden="1" customHeight="1">
      <c r="A152" s="131" t="s">
        <v>605</v>
      </c>
      <c r="B152" s="110">
        <v>46031.0</v>
      </c>
      <c r="C152" s="111">
        <v>1.0</v>
      </c>
      <c r="D152" s="112" t="s">
        <v>176</v>
      </c>
      <c r="E152" s="111" t="s">
        <v>606</v>
      </c>
      <c r="F152" s="112"/>
      <c r="G152" s="114" t="s">
        <v>35</v>
      </c>
      <c r="H152" s="139"/>
      <c r="I152" s="140"/>
      <c r="J152" s="117">
        <f>IF(A152="RAPPI",(VLOOKUP(TRIM(D152), CATALOGO!F:G, 2, FALSE) * C152)+I152,IFERROR(IF(COUNTIF('RESTAURANTESDESCUENTOS 2026'!A:A,TRIM(A152))&gt;0,((VLOOKUP(TRIM(D152), CATALOGO!A:B, 2, FALSE) * C152)*(1-VALUE(SUBSTITUTE(VLOOKUP(TRIM(A152),'RESTAURANTESDESCUENTOS 2026'!A:B,2,FALSE),"%",""))/100)+I152),(VLOOKUP(TRIM(D152), CATALOGO!A:B, 2, FALSE) * C152+I152)),""))</f>
        <v>50000</v>
      </c>
      <c r="K152" s="140"/>
      <c r="L152" s="132"/>
      <c r="M152" s="120" t="s">
        <v>587</v>
      </c>
      <c r="N152" s="121"/>
    </row>
    <row r="153" ht="22.5" hidden="1" customHeight="1">
      <c r="A153" s="131" t="s">
        <v>605</v>
      </c>
      <c r="B153" s="110">
        <v>46031.0</v>
      </c>
      <c r="C153" s="143">
        <v>1.0</v>
      </c>
      <c r="D153" s="112" t="s">
        <v>174</v>
      </c>
      <c r="E153" s="111" t="s">
        <v>667</v>
      </c>
      <c r="F153" s="112"/>
      <c r="G153" s="114" t="s">
        <v>35</v>
      </c>
      <c r="H153" s="139"/>
      <c r="I153" s="140"/>
      <c r="J153" s="117">
        <f>IF(A153="RAPPI",(VLOOKUP(TRIM(D153), CATALOGO!F:G, 2, FALSE) * C153)+I153,IFERROR(IF(COUNTIF('RESTAURANTESDESCUENTOS 2026'!A:A,TRIM(A153))&gt;0,((VLOOKUP(TRIM(D153), CATALOGO!A:B, 2, FALSE) * C153)*(1-VALUE(SUBSTITUTE(VLOOKUP(TRIM(A153),'RESTAURANTESDESCUENTOS 2026'!A:B,2,FALSE),"%",""))/100)+I153),(VLOOKUP(TRIM(D153), CATALOGO!A:B, 2, FALSE) * C153+I153)),""))</f>
        <v>18000</v>
      </c>
      <c r="K153" s="140"/>
      <c r="L153" s="132"/>
      <c r="M153" s="120" t="s">
        <v>587</v>
      </c>
      <c r="N153" s="121"/>
    </row>
    <row r="154" ht="22.5" hidden="1" customHeight="1">
      <c r="A154" s="122" t="s">
        <v>605</v>
      </c>
      <c r="B154" s="123">
        <v>46031.0</v>
      </c>
      <c r="C154" s="124">
        <v>1.0</v>
      </c>
      <c r="D154" s="125" t="s">
        <v>554</v>
      </c>
      <c r="E154" s="124" t="s">
        <v>667</v>
      </c>
      <c r="F154" s="125"/>
      <c r="G154" s="114" t="s">
        <v>35</v>
      </c>
      <c r="H154" s="134"/>
      <c r="I154" s="146"/>
      <c r="J154" s="117">
        <f>IF(A154="RAPPI",(VLOOKUP(TRIM(D154), CATALOGO!F:G, 2, FALSE) * C154)+I154,IFERROR(IF(COUNTIF('RESTAURANTESDESCUENTOS 2026'!A:A,TRIM(A154))&gt;0,((VLOOKUP(TRIM(D154), CATALOGO!A:B, 2, FALSE) * C154)*(1-VALUE(SUBSTITUTE(VLOOKUP(TRIM(A154),'RESTAURANTESDESCUENTOS 2026'!A:B,2,FALSE),"%",""))/100)+I154),(VLOOKUP(TRIM(D154), CATALOGO!A:B, 2, FALSE) * C154+I154)),""))</f>
        <v>53000</v>
      </c>
      <c r="K154" s="146"/>
      <c r="L154" s="135"/>
      <c r="M154" s="129" t="s">
        <v>587</v>
      </c>
      <c r="N154" s="130"/>
    </row>
    <row r="155" ht="22.5" hidden="1" customHeight="1">
      <c r="A155" s="131" t="s">
        <v>603</v>
      </c>
      <c r="B155" s="110">
        <v>46031.0</v>
      </c>
      <c r="C155" s="143">
        <v>1.0</v>
      </c>
      <c r="D155" s="112" t="s">
        <v>628</v>
      </c>
      <c r="E155" s="111">
        <v>3498.0</v>
      </c>
      <c r="F155" s="112"/>
      <c r="G155" s="114" t="s">
        <v>587</v>
      </c>
      <c r="H155" s="144" t="s">
        <v>603</v>
      </c>
      <c r="I155" s="140"/>
      <c r="J155" s="117">
        <f>IF(A155="RAPPI",(VLOOKUP(TRIM(D155), CATALOGO!F:G, 2, FALSE) * C155)+I155,IFERROR(IF(COUNTIF('RESTAURANTESDESCUENTOS 2026'!A:A,TRIM(A155))&gt;0,((VLOOKUP(TRIM(D155), CATALOGO!A:B, 2, FALSE) * C155)*(1-VALUE(SUBSTITUTE(VLOOKUP(TRIM(A155),'RESTAURANTESDESCUENTOS 2026'!A:B,2,FALSE),"%",""))/100)+I155),(VLOOKUP(TRIM(D155), CATALOGO!A:B, 2, FALSE) * C155+I155)),""))</f>
        <v>22000</v>
      </c>
      <c r="K155" s="140"/>
      <c r="L155" s="132"/>
      <c r="M155" s="120" t="s">
        <v>587</v>
      </c>
      <c r="N155" s="121"/>
    </row>
    <row r="156" ht="22.5" hidden="1" customHeight="1">
      <c r="A156" s="122" t="s">
        <v>603</v>
      </c>
      <c r="B156" s="123">
        <v>46031.0</v>
      </c>
      <c r="C156" s="143">
        <v>1.0</v>
      </c>
      <c r="D156" s="125" t="s">
        <v>602</v>
      </c>
      <c r="E156" s="124">
        <v>3498.0</v>
      </c>
      <c r="F156" s="125"/>
      <c r="G156" s="114" t="s">
        <v>587</v>
      </c>
      <c r="H156" s="145" t="s">
        <v>603</v>
      </c>
      <c r="I156" s="146"/>
      <c r="J156" s="117">
        <f>IF(A156="RAPPI",(VLOOKUP(TRIM(D156), CATALOGO!F:G, 2, FALSE) * C156)+I156,IFERROR(IF(COUNTIF('RESTAURANTESDESCUENTOS 2026'!A:A,TRIM(A156))&gt;0,((VLOOKUP(TRIM(D156), CATALOGO!A:B, 2, FALSE) * C156)*(1-VALUE(SUBSTITUTE(VLOOKUP(TRIM(A156),'RESTAURANTESDESCUENTOS 2026'!A:B,2,FALSE),"%",""))/100)+I156),(VLOOKUP(TRIM(D156), CATALOGO!A:B, 2, FALSE) * C156+I156)),""))</f>
        <v>22000</v>
      </c>
      <c r="K156" s="146"/>
      <c r="L156" s="135"/>
      <c r="M156" s="129" t="s">
        <v>587</v>
      </c>
      <c r="N156" s="130"/>
    </row>
    <row r="157" ht="22.5" hidden="1" customHeight="1">
      <c r="A157" s="131" t="s">
        <v>151</v>
      </c>
      <c r="B157" s="110">
        <v>46031.0</v>
      </c>
      <c r="C157" s="111">
        <v>1.0</v>
      </c>
      <c r="D157" s="112" t="s">
        <v>555</v>
      </c>
      <c r="E157" s="111" t="s">
        <v>648</v>
      </c>
      <c r="F157" s="112"/>
      <c r="G157" s="114" t="s">
        <v>35</v>
      </c>
      <c r="H157" s="139"/>
      <c r="I157" s="140"/>
      <c r="J157" s="117">
        <f>IF(A157="RAPPI",(VLOOKUP(TRIM(D157), CATALOGO!F:G, 2, FALSE) * C157)+I157,IFERROR(IF(COUNTIF('RESTAURANTESDESCUENTOS 2026'!A:A,TRIM(A157))&gt;0,((VLOOKUP(TRIM(D157), CATALOGO!A:B, 2, FALSE) * C157)*(1-VALUE(SUBSTITUTE(VLOOKUP(TRIM(A157),'RESTAURANTESDESCUENTOS 2026'!A:B,2,FALSE),"%",""))/100)+I157),(VLOOKUP(TRIM(D157), CATALOGO!A:B, 2, FALSE) * C157+I157)),""))</f>
        <v>92250</v>
      </c>
      <c r="K157" s="140"/>
      <c r="L157" s="132"/>
      <c r="M157" s="120" t="s">
        <v>587</v>
      </c>
      <c r="N157" s="121"/>
    </row>
    <row r="158" ht="22.5" hidden="1" customHeight="1">
      <c r="A158" s="122" t="s">
        <v>597</v>
      </c>
      <c r="B158" s="123">
        <v>46031.0</v>
      </c>
      <c r="C158" s="124">
        <v>4.0</v>
      </c>
      <c r="D158" s="125" t="s">
        <v>555</v>
      </c>
      <c r="E158" s="133"/>
      <c r="F158" s="134"/>
      <c r="G158" s="114" t="s">
        <v>35</v>
      </c>
      <c r="H158" s="134"/>
      <c r="I158" s="146"/>
      <c r="J158" s="117">
        <v>0.0</v>
      </c>
      <c r="K158" s="146"/>
      <c r="L158" s="135"/>
      <c r="M158" s="129" t="s">
        <v>587</v>
      </c>
      <c r="N158" s="130"/>
    </row>
    <row r="159" ht="22.5" hidden="1" customHeight="1">
      <c r="A159" s="131" t="s">
        <v>597</v>
      </c>
      <c r="B159" s="110">
        <v>46031.0</v>
      </c>
      <c r="C159" s="111">
        <v>2.0</v>
      </c>
      <c r="D159" s="112" t="s">
        <v>177</v>
      </c>
      <c r="E159" s="138"/>
      <c r="F159" s="139"/>
      <c r="G159" s="114" t="s">
        <v>35</v>
      </c>
      <c r="H159" s="139"/>
      <c r="I159" s="140"/>
      <c r="J159" s="142">
        <v>0.0</v>
      </c>
      <c r="K159" s="140"/>
      <c r="L159" s="132"/>
      <c r="M159" s="120" t="s">
        <v>587</v>
      </c>
      <c r="N159" s="121"/>
    </row>
    <row r="160" ht="22.5" hidden="1" customHeight="1">
      <c r="A160" s="122" t="s">
        <v>597</v>
      </c>
      <c r="B160" s="123">
        <v>46031.0</v>
      </c>
      <c r="C160" s="124">
        <v>6.0</v>
      </c>
      <c r="D160" s="125" t="s">
        <v>178</v>
      </c>
      <c r="E160" s="124" t="s">
        <v>552</v>
      </c>
      <c r="F160" s="125"/>
      <c r="G160" s="114" t="s">
        <v>35</v>
      </c>
      <c r="H160" s="134"/>
      <c r="I160" s="146"/>
      <c r="J160" s="117">
        <v>0.0</v>
      </c>
      <c r="K160" s="146"/>
      <c r="L160" s="135"/>
      <c r="M160" s="129" t="s">
        <v>587</v>
      </c>
      <c r="N160" s="130"/>
    </row>
    <row r="161" ht="22.5" hidden="1" customHeight="1">
      <c r="A161" s="122" t="s">
        <v>603</v>
      </c>
      <c r="B161" s="123">
        <v>46031.0</v>
      </c>
      <c r="C161" s="124">
        <v>1.0</v>
      </c>
      <c r="D161" s="125" t="s">
        <v>177</v>
      </c>
      <c r="E161" s="124">
        <v>477.0</v>
      </c>
      <c r="F161" s="125"/>
      <c r="G161" s="114" t="s">
        <v>587</v>
      </c>
      <c r="H161" s="145" t="s">
        <v>603</v>
      </c>
      <c r="I161" s="146"/>
      <c r="J161" s="117">
        <f>IF(A161="RAPPI",(VLOOKUP(TRIM(D161), CATALOGO!F:G, 2, FALSE) * C161)+I161,IFERROR(IF(COUNTIF('RESTAURANTESDESCUENTOS 2026'!A:A,TRIM(A161))&gt;0,((VLOOKUP(TRIM(D161), CATALOGO!A:B, 2, FALSE) * C161)*(1-VALUE(SUBSTITUTE(VLOOKUP(TRIM(A161),'RESTAURANTESDESCUENTOS 2026'!A:B,2,FALSE),"%",""))/100)+I161),(VLOOKUP(TRIM(D161), CATALOGO!A:B, 2, FALSE) * C161+I161)),""))</f>
        <v>115000</v>
      </c>
      <c r="K161" s="146"/>
      <c r="L161" s="135"/>
      <c r="M161" s="129" t="s">
        <v>587</v>
      </c>
      <c r="N161" s="130"/>
    </row>
    <row r="162" ht="22.5" hidden="1" customHeight="1">
      <c r="A162" s="131" t="s">
        <v>675</v>
      </c>
      <c r="B162" s="110">
        <v>46032.0</v>
      </c>
      <c r="C162" s="111">
        <v>1.0</v>
      </c>
      <c r="D162" s="112" t="s">
        <v>676</v>
      </c>
      <c r="E162" s="138"/>
      <c r="F162" s="139"/>
      <c r="G162" s="114" t="s">
        <v>587</v>
      </c>
      <c r="H162" s="153" t="s">
        <v>632</v>
      </c>
      <c r="I162" s="116">
        <v>0.0</v>
      </c>
      <c r="J162" s="117">
        <f>IF(A162="RAPPI",(VLOOKUP(TRIM(D162), CATALOGO!F:G, 2, FALSE) * C162)+I162,IFERROR(IF(COUNTIF('RESTAURANTESDESCUENTOS 2026'!A:A,TRIM(A162))&gt;0,((VLOOKUP(TRIM(D162), CATALOGO!A:B, 2, FALSE) * C162)*(1-VALUE(SUBSTITUTE(VLOOKUP(TRIM(A162),'RESTAURANTESDESCUENTOS 2026'!A:B,2,FALSE),"%",""))/100)+I162),(VLOOKUP(TRIM(D162), CATALOGO!A:B, 2, FALSE) * C162+I162)),""))</f>
        <v>8000</v>
      </c>
      <c r="K162" s="116">
        <v>0.0</v>
      </c>
      <c r="L162" s="132"/>
      <c r="M162" s="120" t="s">
        <v>587</v>
      </c>
      <c r="N162" s="121"/>
    </row>
    <row r="163" ht="22.5" hidden="1" customHeight="1">
      <c r="A163" s="131" t="s">
        <v>677</v>
      </c>
      <c r="B163" s="110">
        <v>46032.0</v>
      </c>
      <c r="C163" s="111">
        <v>1.0</v>
      </c>
      <c r="D163" s="112" t="s">
        <v>678</v>
      </c>
      <c r="E163" s="138"/>
      <c r="F163" s="139"/>
      <c r="G163" s="114" t="s">
        <v>35</v>
      </c>
      <c r="H163" s="139"/>
      <c r="I163" s="140"/>
      <c r="J163" s="117">
        <f>IF(A163="RAPPI",(VLOOKUP(TRIM(D163), CATALOGO!F:G, 2, FALSE) * C163)+I163,IFERROR(IF(COUNTIF('RESTAURANTESDESCUENTOS 2026'!A:A,TRIM(A163))&gt;0,((VLOOKUP(TRIM(D163), CATALOGO!A:B, 2, FALSE) * C163)*(1-VALUE(SUBSTITUTE(VLOOKUP(TRIM(A163),'RESTAURANTESDESCUENTOS 2026'!A:B,2,FALSE),"%",""))/100)+I163),(VLOOKUP(TRIM(D163), CATALOGO!A:B, 2, FALSE) * C163+I163)),""))</f>
        <v>123000</v>
      </c>
      <c r="K163" s="140"/>
      <c r="L163" s="132"/>
      <c r="M163" s="120" t="s">
        <v>587</v>
      </c>
      <c r="N163" s="121"/>
    </row>
    <row r="164" ht="22.5" hidden="1" customHeight="1">
      <c r="A164" s="122" t="s">
        <v>679</v>
      </c>
      <c r="B164" s="123">
        <v>46032.0</v>
      </c>
      <c r="C164" s="124">
        <v>1.0</v>
      </c>
      <c r="D164" s="125" t="s">
        <v>178</v>
      </c>
      <c r="E164" s="133"/>
      <c r="F164" s="134"/>
      <c r="G164" s="114" t="s">
        <v>587</v>
      </c>
      <c r="H164" s="151" t="s">
        <v>632</v>
      </c>
      <c r="I164" s="127">
        <v>12000.0</v>
      </c>
      <c r="J164" s="117">
        <f>IF(A164="RAPPI",(VLOOKUP(TRIM(D164), CATALOGO!F:G, 2, FALSE) * C164)+I164,IFERROR(IF(COUNTIF('RESTAURANTESDESCUENTOS 2026'!A:A,TRIM(A164))&gt;0,((VLOOKUP(TRIM(D164), CATALOGO!A:B, 2, FALSE) * C164)*(1-VALUE(SUBSTITUTE(VLOOKUP(TRIM(A164),'RESTAURANTESDESCUENTOS 2026'!A:B,2,FALSE),"%",""))/100)+I164),(VLOOKUP(TRIM(D164), CATALOGO!A:B, 2, FALSE) * C164+I164)),""))</f>
        <v>162000</v>
      </c>
      <c r="K164" s="127">
        <v>12000.0</v>
      </c>
      <c r="L164" s="135"/>
      <c r="M164" s="129" t="s">
        <v>587</v>
      </c>
      <c r="N164" s="130"/>
    </row>
    <row r="165" ht="22.5" hidden="1" customHeight="1">
      <c r="A165" s="122" t="s">
        <v>675</v>
      </c>
      <c r="B165" s="123">
        <v>46032.0</v>
      </c>
      <c r="C165" s="124">
        <v>2.0</v>
      </c>
      <c r="D165" s="125" t="s">
        <v>178</v>
      </c>
      <c r="E165" s="124" t="s">
        <v>680</v>
      </c>
      <c r="F165" s="125"/>
      <c r="G165" s="114" t="s">
        <v>587</v>
      </c>
      <c r="H165" s="151" t="s">
        <v>632</v>
      </c>
      <c r="I165" s="127">
        <v>12000.0</v>
      </c>
      <c r="J165" s="117">
        <f>IF(A165="RAPPI",(VLOOKUP(TRIM(D165), CATALOGO!F:G, 2, FALSE) * C165)+I165,IFERROR(IF(COUNTIF('RESTAURANTESDESCUENTOS 2026'!A:A,TRIM(A165))&gt;0,((VLOOKUP(TRIM(D165), CATALOGO!A:B, 2, FALSE) * C165)*(1-VALUE(SUBSTITUTE(VLOOKUP(TRIM(A165),'RESTAURANTESDESCUENTOS 2026'!A:B,2,FALSE),"%",""))/100)+I165),(VLOOKUP(TRIM(D165), CATALOGO!A:B, 2, FALSE) * C165+I165)),""))</f>
        <v>312000</v>
      </c>
      <c r="K165" s="127">
        <v>12000.0</v>
      </c>
      <c r="L165" s="135"/>
      <c r="M165" s="129" t="s">
        <v>587</v>
      </c>
      <c r="N165" s="130"/>
    </row>
    <row r="166" ht="22.5" hidden="1" customHeight="1">
      <c r="A166" s="131" t="s">
        <v>681</v>
      </c>
      <c r="B166" s="110">
        <v>46032.0</v>
      </c>
      <c r="C166" s="111">
        <v>1.0</v>
      </c>
      <c r="D166" s="112" t="s">
        <v>177</v>
      </c>
      <c r="E166" s="138"/>
      <c r="F166" s="139"/>
      <c r="G166" s="114" t="s">
        <v>35</v>
      </c>
      <c r="H166" s="139"/>
      <c r="I166" s="140"/>
      <c r="J166" s="117">
        <f>IF(A166="RAPPI",(VLOOKUP(TRIM(D166), CATALOGO!F:G, 2, FALSE) * C166)+I166,IFERROR(IF(COUNTIF('RESTAURANTESDESCUENTOS 2026'!A:A,TRIM(A166))&gt;0,((VLOOKUP(TRIM(D166), CATALOGO!A:B, 2, FALSE) * C166)*(1-VALUE(SUBSTITUTE(VLOOKUP(TRIM(A166),'RESTAURANTESDESCUENTOS 2026'!A:B,2,FALSE),"%",""))/100)+I166),(VLOOKUP(TRIM(D166), CATALOGO!A:B, 2, FALSE) * C166+I166)),""))</f>
        <v>115000</v>
      </c>
      <c r="K166" s="140"/>
      <c r="L166" s="132"/>
      <c r="M166" s="120" t="s">
        <v>587</v>
      </c>
      <c r="N166" s="121"/>
    </row>
    <row r="167" ht="22.5" hidden="1" customHeight="1">
      <c r="A167" s="122" t="s">
        <v>682</v>
      </c>
      <c r="B167" s="123">
        <v>46032.0</v>
      </c>
      <c r="C167" s="124">
        <v>1.0</v>
      </c>
      <c r="D167" s="125" t="s">
        <v>177</v>
      </c>
      <c r="E167" s="133"/>
      <c r="F167" s="134"/>
      <c r="G167" s="114" t="s">
        <v>35</v>
      </c>
      <c r="H167" s="134"/>
      <c r="I167" s="146"/>
      <c r="J167" s="117">
        <f>IF(A167="RAPPI",(VLOOKUP(TRIM(D167), CATALOGO!F:G, 2, FALSE) * C167)+I167,IFERROR(IF(COUNTIF('RESTAURANTESDESCUENTOS 2026'!A:A,TRIM(A167))&gt;0,((VLOOKUP(TRIM(D167), CATALOGO!A:B, 2, FALSE) * C167)*(1-VALUE(SUBSTITUTE(VLOOKUP(TRIM(A167),'RESTAURANTESDESCUENTOS 2026'!A:B,2,FALSE),"%",""))/100)+I167),(VLOOKUP(TRIM(D167), CATALOGO!A:B, 2, FALSE) * C167+I167)),""))</f>
        <v>115000</v>
      </c>
      <c r="K167" s="146"/>
      <c r="L167" s="135"/>
      <c r="M167" s="129" t="s">
        <v>587</v>
      </c>
      <c r="N167" s="130"/>
    </row>
    <row r="168" ht="22.5" hidden="1" customHeight="1">
      <c r="A168" s="122" t="s">
        <v>683</v>
      </c>
      <c r="B168" s="123">
        <v>46032.0</v>
      </c>
      <c r="C168" s="124">
        <v>1.0</v>
      </c>
      <c r="D168" s="125" t="s">
        <v>555</v>
      </c>
      <c r="E168" s="124" t="s">
        <v>645</v>
      </c>
      <c r="F168" s="125"/>
      <c r="G168" s="114" t="s">
        <v>587</v>
      </c>
      <c r="H168" s="151" t="s">
        <v>632</v>
      </c>
      <c r="I168" s="127">
        <v>15000.0</v>
      </c>
      <c r="J168" s="117">
        <f>IF(A168="RAPPI",(VLOOKUP(TRIM(D168), CATALOGO!F:G, 2, FALSE) * C168)+I168,IFERROR(IF(COUNTIF('RESTAURANTESDESCUENTOS 2026'!A:A,TRIM(A168))&gt;0,((VLOOKUP(TRIM(D168), CATALOGO!A:B, 2, FALSE) * C168)*(1-VALUE(SUBSTITUTE(VLOOKUP(TRIM(A168),'RESTAURANTESDESCUENTOS 2026'!A:B,2,FALSE),"%",""))/100)+I168),(VLOOKUP(TRIM(D168), CATALOGO!A:B, 2, FALSE) * C168+I168)),""))</f>
        <v>138000</v>
      </c>
      <c r="K168" s="127">
        <v>15000.0</v>
      </c>
      <c r="L168" s="135"/>
      <c r="M168" s="129" t="s">
        <v>587</v>
      </c>
      <c r="N168" s="130"/>
    </row>
    <row r="169" ht="22.5" hidden="1" customHeight="1">
      <c r="A169" s="122" t="s">
        <v>623</v>
      </c>
      <c r="B169" s="123">
        <v>46032.0</v>
      </c>
      <c r="C169" s="124">
        <v>1.0</v>
      </c>
      <c r="D169" s="125" t="s">
        <v>189</v>
      </c>
      <c r="E169" s="133"/>
      <c r="F169" s="134"/>
      <c r="G169" s="114" t="s">
        <v>587</v>
      </c>
      <c r="H169" s="151" t="s">
        <v>632</v>
      </c>
      <c r="I169" s="127">
        <v>10000.0</v>
      </c>
      <c r="J169" s="117">
        <f>IF(A169="RAPPI",(VLOOKUP(TRIM(D169), CATALOGO!F:G, 2, FALSE) * C169)+I169,IFERROR(IF(COUNTIF('RESTAURANTESDESCUENTOS 2026'!A:A,TRIM(A169))&gt;0,((VLOOKUP(TRIM(D169), CATALOGO!A:B, 2, FALSE) * C169)*(1-VALUE(SUBSTITUTE(VLOOKUP(TRIM(A169),'RESTAURANTESDESCUENTOS 2026'!A:B,2,FALSE),"%",""))/100)+I169),(VLOOKUP(TRIM(D169), CATALOGO!A:B, 2, FALSE) * C169+I169)),""))</f>
        <v>155000</v>
      </c>
      <c r="K169" s="127">
        <v>10000.0</v>
      </c>
      <c r="L169" s="135"/>
      <c r="M169" s="129" t="s">
        <v>587</v>
      </c>
      <c r="N169" s="130"/>
    </row>
    <row r="170" ht="22.5" hidden="1" customHeight="1">
      <c r="A170" s="122" t="s">
        <v>684</v>
      </c>
      <c r="B170" s="123">
        <v>46032.0</v>
      </c>
      <c r="C170" s="124">
        <v>1.0</v>
      </c>
      <c r="D170" s="125" t="s">
        <v>200</v>
      </c>
      <c r="E170" s="133"/>
      <c r="F170" s="134"/>
      <c r="G170" s="114" t="s">
        <v>587</v>
      </c>
      <c r="H170" s="151" t="s">
        <v>632</v>
      </c>
      <c r="I170" s="127">
        <v>10000.0</v>
      </c>
      <c r="J170" s="117">
        <f>IF(A170="RAPPI",(VLOOKUP(TRIM(D170), CATALOGO!F:G, 2, FALSE) * C170)+I170,IFERROR(IF(COUNTIF('RESTAURANTESDESCUENTOS 2026'!A:A,TRIM(A170))&gt;0,((VLOOKUP(TRIM(D170), CATALOGO!A:B, 2, FALSE) * C170)*(1-VALUE(SUBSTITUTE(VLOOKUP(TRIM(A170),'RESTAURANTESDESCUENTOS 2026'!A:B,2,FALSE),"%",""))/100)+I170),(VLOOKUP(TRIM(D170), CATALOGO!A:B, 2, FALSE) * C170+I170)),""))</f>
        <v>129000</v>
      </c>
      <c r="K170" s="127">
        <v>10000.0</v>
      </c>
      <c r="L170" s="135"/>
      <c r="M170" s="129" t="s">
        <v>587</v>
      </c>
      <c r="N170" s="130"/>
    </row>
    <row r="171" ht="22.5" hidden="1" customHeight="1">
      <c r="A171" s="131" t="s">
        <v>685</v>
      </c>
      <c r="B171" s="110">
        <v>46032.0</v>
      </c>
      <c r="C171" s="111">
        <v>1.0</v>
      </c>
      <c r="D171" s="112" t="s">
        <v>555</v>
      </c>
      <c r="E171" s="138"/>
      <c r="F171" s="139"/>
      <c r="G171" s="114" t="s">
        <v>587</v>
      </c>
      <c r="H171" s="153" t="s">
        <v>632</v>
      </c>
      <c r="I171" s="116">
        <v>14000.0</v>
      </c>
      <c r="J171" s="117">
        <f>IF(A171="RAPPI",(VLOOKUP(TRIM(D171), CATALOGO!F:G, 2, FALSE) * C171)+I171,IFERROR(IF(COUNTIF('RESTAURANTESDESCUENTOS 2026'!A:A,TRIM(A171))&gt;0,((VLOOKUP(TRIM(D171), CATALOGO!A:B, 2, FALSE) * C171)*(1-VALUE(SUBSTITUTE(VLOOKUP(TRIM(A171),'RESTAURANTESDESCUENTOS 2026'!A:B,2,FALSE),"%",""))/100)+I171),(VLOOKUP(TRIM(D171), CATALOGO!A:B, 2, FALSE) * C171+I171)),""))</f>
        <v>137000</v>
      </c>
      <c r="K171" s="116">
        <v>14000.0</v>
      </c>
      <c r="L171" s="132"/>
      <c r="M171" s="120" t="s">
        <v>587</v>
      </c>
      <c r="N171" s="121"/>
    </row>
    <row r="172" ht="22.5" hidden="1" customHeight="1">
      <c r="A172" s="122" t="s">
        <v>55</v>
      </c>
      <c r="B172" s="123">
        <v>46032.0</v>
      </c>
      <c r="C172" s="124">
        <v>2.0</v>
      </c>
      <c r="D172" s="125" t="s">
        <v>178</v>
      </c>
      <c r="E172" s="124" t="s">
        <v>686</v>
      </c>
      <c r="F172" s="125"/>
      <c r="G172" s="114" t="s">
        <v>587</v>
      </c>
      <c r="H172" s="151" t="s">
        <v>632</v>
      </c>
      <c r="I172" s="127">
        <v>10000.0</v>
      </c>
      <c r="J172" s="117">
        <f>IF(A172="RAPPI",(VLOOKUP(TRIM(D172), CATALOGO!F:G, 2, FALSE) * C172)+I172,IFERROR(IF(COUNTIF('RESTAURANTESDESCUENTOS 2026'!A:A,TRIM(A172))&gt;0,((VLOOKUP(TRIM(D172), CATALOGO!A:B, 2, FALSE) * C172)*(1-VALUE(SUBSTITUTE(VLOOKUP(TRIM(A172),'RESTAURANTESDESCUENTOS 2026'!A:B,2,FALSE),"%",""))/100)+I172),(VLOOKUP(TRIM(D172), CATALOGO!A:B, 2, FALSE) * C172+I172)),""))</f>
        <v>235000</v>
      </c>
      <c r="K172" s="127">
        <v>10000.0</v>
      </c>
      <c r="L172" s="128" t="s">
        <v>587</v>
      </c>
      <c r="M172" s="129" t="s">
        <v>587</v>
      </c>
      <c r="N172" s="130"/>
    </row>
    <row r="173" ht="22.5" hidden="1" customHeight="1">
      <c r="A173" s="131" t="s">
        <v>687</v>
      </c>
      <c r="B173" s="110">
        <v>46032.0</v>
      </c>
      <c r="C173" s="111">
        <v>1.0</v>
      </c>
      <c r="D173" s="112" t="s">
        <v>554</v>
      </c>
      <c r="E173" s="138"/>
      <c r="F173" s="139"/>
      <c r="G173" s="114" t="s">
        <v>35</v>
      </c>
      <c r="H173" s="139"/>
      <c r="I173" s="140"/>
      <c r="J173" s="117">
        <f>IF(A173="RAPPI",(VLOOKUP(TRIM(D173), CATALOGO!F:G, 2, FALSE) * C173)+I173,IFERROR(IF(COUNTIF('RESTAURANTESDESCUENTOS 2026'!A:A,TRIM(A173))&gt;0,((VLOOKUP(TRIM(D173), CATALOGO!A:B, 2, FALSE) * C173)*(1-VALUE(SUBSTITUTE(VLOOKUP(TRIM(A173),'RESTAURANTESDESCUENTOS 2026'!A:B,2,FALSE),"%",""))/100)+I173),(VLOOKUP(TRIM(D173), CATALOGO!A:B, 2, FALSE) * C173+I173)),""))</f>
        <v>53000</v>
      </c>
      <c r="K173" s="140"/>
      <c r="L173" s="132"/>
      <c r="M173" s="120" t="s">
        <v>587</v>
      </c>
      <c r="N173" s="121"/>
    </row>
    <row r="174" ht="22.5" hidden="1" customHeight="1">
      <c r="A174" s="131" t="s">
        <v>688</v>
      </c>
      <c r="B174" s="110">
        <v>46032.0</v>
      </c>
      <c r="C174" s="111">
        <v>1.0</v>
      </c>
      <c r="D174" s="112" t="s">
        <v>554</v>
      </c>
      <c r="E174" s="138"/>
      <c r="F174" s="139"/>
      <c r="G174" s="114" t="s">
        <v>587</v>
      </c>
      <c r="H174" s="115" t="s">
        <v>588</v>
      </c>
      <c r="I174" s="116">
        <v>13000.0</v>
      </c>
      <c r="J174" s="117">
        <f>IF(A174="RAPPI",(VLOOKUP(TRIM(D174), CATALOGO!F:G, 2, FALSE) * C174)+I174,IFERROR(IF(COUNTIF('RESTAURANTESDESCUENTOS 2026'!A:A,TRIM(A174))&gt;0,((VLOOKUP(TRIM(D174), CATALOGO!A:B, 2, FALSE) * C174)*(1-VALUE(SUBSTITUTE(VLOOKUP(TRIM(A174),'RESTAURANTESDESCUENTOS 2026'!A:B,2,FALSE),"%",""))/100)+I174),(VLOOKUP(TRIM(D174), CATALOGO!A:B, 2, FALSE) * C174+I174)),""))</f>
        <v>66000</v>
      </c>
      <c r="K174" s="116">
        <v>13000.0</v>
      </c>
      <c r="L174" s="132"/>
      <c r="M174" s="120" t="s">
        <v>587</v>
      </c>
      <c r="N174" s="121"/>
    </row>
    <row r="175" ht="22.5" hidden="1" customHeight="1">
      <c r="A175" s="122" t="s">
        <v>689</v>
      </c>
      <c r="B175" s="123">
        <v>46032.0</v>
      </c>
      <c r="C175" s="124">
        <v>1.0</v>
      </c>
      <c r="D175" s="125" t="s">
        <v>555</v>
      </c>
      <c r="E175" s="133"/>
      <c r="F175" s="134"/>
      <c r="G175" s="114" t="s">
        <v>587</v>
      </c>
      <c r="H175" s="126" t="s">
        <v>588</v>
      </c>
      <c r="I175" s="127">
        <v>13000.0</v>
      </c>
      <c r="J175" s="117">
        <f>IF(A175="RAPPI",(VLOOKUP(TRIM(D175), CATALOGO!F:G, 2, FALSE) * C175)+I175,IFERROR(IF(COUNTIF('RESTAURANTESDESCUENTOS 2026'!A:A,TRIM(A175))&gt;0,((VLOOKUP(TRIM(D175), CATALOGO!A:B, 2, FALSE) * C175)*(1-VALUE(SUBSTITUTE(VLOOKUP(TRIM(A175),'RESTAURANTESDESCUENTOS 2026'!A:B,2,FALSE),"%",""))/100)+I175),(VLOOKUP(TRIM(D175), CATALOGO!A:B, 2, FALSE) * C175+I175)),""))</f>
        <v>136000</v>
      </c>
      <c r="K175" s="127">
        <v>13000.0</v>
      </c>
      <c r="L175" s="135"/>
      <c r="M175" s="129" t="s">
        <v>587</v>
      </c>
      <c r="N175" s="130"/>
    </row>
    <row r="176" ht="22.5" hidden="1" customHeight="1">
      <c r="A176" s="122" t="s">
        <v>690</v>
      </c>
      <c r="B176" s="123">
        <v>46032.0</v>
      </c>
      <c r="C176" s="124">
        <v>1.0</v>
      </c>
      <c r="D176" s="125" t="s">
        <v>177</v>
      </c>
      <c r="E176" s="133"/>
      <c r="F176" s="134"/>
      <c r="G176" s="114" t="s">
        <v>587</v>
      </c>
      <c r="H176" s="126" t="s">
        <v>588</v>
      </c>
      <c r="I176" s="127">
        <v>14000.0</v>
      </c>
      <c r="J176" s="117">
        <f>IF(A176="RAPPI",(VLOOKUP(TRIM(D176), CATALOGO!F:G, 2, FALSE) * C176)+I176,IFERROR(IF(COUNTIF('RESTAURANTESDESCUENTOS 2026'!A:A,TRIM(A176))&gt;0,((VLOOKUP(TRIM(D176), CATALOGO!A:B, 2, FALSE) * C176)*(1-VALUE(SUBSTITUTE(VLOOKUP(TRIM(A176),'RESTAURANTESDESCUENTOS 2026'!A:B,2,FALSE),"%",""))/100)+I176),(VLOOKUP(TRIM(D176), CATALOGO!A:B, 2, FALSE) * C176+I176)),""))</f>
        <v>129000</v>
      </c>
      <c r="K176" s="127">
        <v>14000.0</v>
      </c>
      <c r="L176" s="135"/>
      <c r="M176" s="129" t="s">
        <v>587</v>
      </c>
      <c r="N176" s="130"/>
    </row>
    <row r="177" ht="22.5" hidden="1" customHeight="1">
      <c r="A177" s="122" t="s">
        <v>691</v>
      </c>
      <c r="B177" s="123">
        <v>46032.0</v>
      </c>
      <c r="C177" s="124">
        <v>1.0</v>
      </c>
      <c r="D177" s="125" t="s">
        <v>177</v>
      </c>
      <c r="E177" s="133"/>
      <c r="F177" s="134"/>
      <c r="G177" s="114" t="s">
        <v>587</v>
      </c>
      <c r="H177" s="151" t="s">
        <v>632</v>
      </c>
      <c r="I177" s="127">
        <v>13000.0</v>
      </c>
      <c r="J177" s="117">
        <f>IF(A177="RAPPI",(VLOOKUP(TRIM(D177), CATALOGO!F:G, 2, FALSE) * C177)+I177,IFERROR(IF(COUNTIF('RESTAURANTESDESCUENTOS 2026'!A:A,TRIM(A177))&gt;0,((VLOOKUP(TRIM(D177), CATALOGO!A:B, 2, FALSE) * C177)*(1-VALUE(SUBSTITUTE(VLOOKUP(TRIM(A177),'RESTAURANTESDESCUENTOS 2026'!A:B,2,FALSE),"%",""))/100)+I177),(VLOOKUP(TRIM(D177), CATALOGO!A:B, 2, FALSE) * C177+I177)),""))</f>
        <v>128000</v>
      </c>
      <c r="K177" s="127">
        <v>13000.0</v>
      </c>
      <c r="L177" s="135"/>
      <c r="M177" s="129" t="s">
        <v>587</v>
      </c>
      <c r="N177" s="130"/>
    </row>
    <row r="178" ht="22.5" hidden="1" customHeight="1">
      <c r="A178" s="131" t="s">
        <v>692</v>
      </c>
      <c r="B178" s="110">
        <v>46032.0</v>
      </c>
      <c r="C178" s="111">
        <v>1.0</v>
      </c>
      <c r="D178" s="112" t="s">
        <v>554</v>
      </c>
      <c r="E178" s="138"/>
      <c r="F178" s="139"/>
      <c r="G178" s="114" t="s">
        <v>35</v>
      </c>
      <c r="H178" s="139"/>
      <c r="I178" s="140"/>
      <c r="J178" s="117">
        <f>IF(A178="RAPPI",(VLOOKUP(TRIM(D178), CATALOGO!F:G, 2, FALSE) * C178)+I178,IFERROR(IF(COUNTIF('RESTAURANTESDESCUENTOS 2026'!A:A,TRIM(A178))&gt;0,((VLOOKUP(TRIM(D178), CATALOGO!A:B, 2, FALSE) * C178)*(1-VALUE(SUBSTITUTE(VLOOKUP(TRIM(A178),'RESTAURANTESDESCUENTOS 2026'!A:B,2,FALSE),"%",""))/100)+I178),(VLOOKUP(TRIM(D178), CATALOGO!A:B, 2, FALSE) * C178+I178)),""))</f>
        <v>53000</v>
      </c>
      <c r="K178" s="140"/>
      <c r="L178" s="132"/>
      <c r="M178" s="120" t="s">
        <v>587</v>
      </c>
      <c r="N178" s="121"/>
    </row>
    <row r="179" ht="22.5" hidden="1" customHeight="1">
      <c r="A179" s="122" t="s">
        <v>693</v>
      </c>
      <c r="B179" s="123">
        <v>46032.0</v>
      </c>
      <c r="C179" s="124">
        <v>2.0</v>
      </c>
      <c r="D179" s="155" t="s">
        <v>182</v>
      </c>
      <c r="E179" s="133"/>
      <c r="F179" s="134"/>
      <c r="G179" s="114" t="s">
        <v>35</v>
      </c>
      <c r="H179" s="134"/>
      <c r="I179" s="146"/>
      <c r="J179" s="117">
        <f>IF(A179="RAPPI",(VLOOKUP(TRIM(D179), CATALOGO!F:G, 2, FALSE) * C179)+I179,IFERROR(IF(COUNTIF('RESTAURANTESDESCUENTOS 2026'!A:A,TRIM(A179))&gt;0,((VLOOKUP(TRIM(D179), CATALOGO!A:B, 2, FALSE) * C179)*(1-VALUE(SUBSTITUTE(VLOOKUP(TRIM(A179),'RESTAURANTESDESCUENTOS 2026'!A:B,2,FALSE),"%",""))/100)+I179),(VLOOKUP(TRIM(D179), CATALOGO!A:B, 2, FALSE) * C179+I179)),""))</f>
        <v>74000</v>
      </c>
      <c r="K179" s="146"/>
      <c r="L179" s="135"/>
      <c r="M179" s="129" t="s">
        <v>587</v>
      </c>
      <c r="N179" s="130"/>
    </row>
    <row r="180" ht="22.5" hidden="1" customHeight="1">
      <c r="A180" s="131" t="s">
        <v>693</v>
      </c>
      <c r="B180" s="110">
        <v>46032.0</v>
      </c>
      <c r="C180" s="111">
        <v>4.0</v>
      </c>
      <c r="D180" s="112" t="s">
        <v>236</v>
      </c>
      <c r="E180" s="138"/>
      <c r="F180" s="139"/>
      <c r="G180" s="114" t="s">
        <v>35</v>
      </c>
      <c r="H180" s="139"/>
      <c r="I180" s="140"/>
      <c r="J180" s="117">
        <f>IF(A180="RAPPI",(VLOOKUP(TRIM(D180), CATALOGO!F:G, 2, FALSE) * C180)+I180,IFERROR(IF(COUNTIF('RESTAURANTESDESCUENTOS 2026'!A:A,TRIM(A180))&gt;0,((VLOOKUP(TRIM(D180), CATALOGO!A:B, 2, FALSE) * C180)*(1-VALUE(SUBSTITUTE(VLOOKUP(TRIM(A180),'RESTAURANTESDESCUENTOS 2026'!A:B,2,FALSE),"%",""))/100)+I180),(VLOOKUP(TRIM(D180), CATALOGO!A:B, 2, FALSE) * C180+I180)),""))</f>
        <v>0</v>
      </c>
      <c r="K180" s="140"/>
      <c r="L180" s="132"/>
      <c r="M180" s="120" t="s">
        <v>587</v>
      </c>
      <c r="N180" s="121"/>
    </row>
    <row r="181" ht="22.5" hidden="1" customHeight="1">
      <c r="A181" s="122" t="s">
        <v>693</v>
      </c>
      <c r="B181" s="123">
        <v>46032.0</v>
      </c>
      <c r="C181" s="124">
        <v>4.0</v>
      </c>
      <c r="D181" s="125" t="s">
        <v>621</v>
      </c>
      <c r="E181" s="133"/>
      <c r="F181" s="134"/>
      <c r="G181" s="114" t="s">
        <v>35</v>
      </c>
      <c r="H181" s="134"/>
      <c r="I181" s="146"/>
      <c r="J181" s="117">
        <f>IF(A181="RAPPI",(VLOOKUP(TRIM(D181), CATALOGO!F:G, 2, FALSE) * C181)+I181,IFERROR(IF(COUNTIF('RESTAURANTESDESCUENTOS 2026'!A:A,TRIM(A181))&gt;0,((VLOOKUP(TRIM(D181), CATALOGO!A:B, 2, FALSE) * C181)*(1-VALUE(SUBSTITUTE(VLOOKUP(TRIM(A181),'RESTAURANTESDESCUENTOS 2026'!A:B,2,FALSE),"%",""))/100)+I181),(VLOOKUP(TRIM(D181), CATALOGO!A:B, 2, FALSE) * C181+I181)),""))</f>
        <v>0</v>
      </c>
      <c r="K181" s="146"/>
      <c r="L181" s="135"/>
      <c r="M181" s="129" t="s">
        <v>587</v>
      </c>
      <c r="N181" s="130"/>
    </row>
    <row r="182" ht="22.5" hidden="1" customHeight="1">
      <c r="A182" s="131" t="s">
        <v>694</v>
      </c>
      <c r="B182" s="110">
        <v>46032.0</v>
      </c>
      <c r="C182" s="111">
        <v>1.0</v>
      </c>
      <c r="D182" s="112" t="s">
        <v>177</v>
      </c>
      <c r="E182" s="138"/>
      <c r="F182" s="139"/>
      <c r="G182" s="114" t="s">
        <v>587</v>
      </c>
      <c r="H182" s="153" t="s">
        <v>632</v>
      </c>
      <c r="I182" s="116">
        <v>13000.0</v>
      </c>
      <c r="J182" s="117">
        <f>IF(A182="RAPPI",(VLOOKUP(TRIM(D182), CATALOGO!F:G, 2, FALSE) * C182)+I182,IFERROR(IF(COUNTIF('RESTAURANTESDESCUENTOS 2026'!A:A,TRIM(A182))&gt;0,((VLOOKUP(TRIM(D182), CATALOGO!A:B, 2, FALSE) * C182)*(1-VALUE(SUBSTITUTE(VLOOKUP(TRIM(A182),'RESTAURANTESDESCUENTOS 2026'!A:B,2,FALSE),"%",""))/100)+I182),(VLOOKUP(TRIM(D182), CATALOGO!A:B, 2, FALSE) * C182+I182)),""))</f>
        <v>128000</v>
      </c>
      <c r="K182" s="118">
        <v>14000.0</v>
      </c>
      <c r="L182" s="132"/>
      <c r="M182" s="120" t="s">
        <v>587</v>
      </c>
      <c r="N182" s="121"/>
    </row>
    <row r="183" ht="22.5" hidden="1" customHeight="1">
      <c r="A183" s="122" t="s">
        <v>688</v>
      </c>
      <c r="B183" s="123">
        <v>46032.0</v>
      </c>
      <c r="C183" s="124">
        <v>1.0</v>
      </c>
      <c r="D183" s="125" t="s">
        <v>654</v>
      </c>
      <c r="E183" s="133"/>
      <c r="F183" s="134"/>
      <c r="G183" s="114" t="s">
        <v>587</v>
      </c>
      <c r="H183" s="126" t="s">
        <v>588</v>
      </c>
      <c r="I183" s="127">
        <v>0.0</v>
      </c>
      <c r="J183" s="117">
        <f>IF(A183="RAPPI",(VLOOKUP(TRIM(D183), CATALOGO!F:G, 2, FALSE) * C183)+I183,IFERROR(IF(COUNTIF('RESTAURANTESDESCUENTOS 2026'!A:A,TRIM(A183))&gt;0,((VLOOKUP(TRIM(D183), CATALOGO!A:B, 2, FALSE) * C183)*(1-VALUE(SUBSTITUTE(VLOOKUP(TRIM(A183),'RESTAURANTESDESCUENTOS 2026'!A:B,2,FALSE),"%",""))/100)+I183),(VLOOKUP(TRIM(D183), CATALOGO!A:B, 2, FALSE) * C183+I183)),""))</f>
        <v>4000</v>
      </c>
      <c r="K183" s="127">
        <v>0.0</v>
      </c>
      <c r="L183" s="135"/>
      <c r="M183" s="129" t="s">
        <v>587</v>
      </c>
      <c r="N183" s="130"/>
    </row>
    <row r="184" ht="22.5" hidden="1" customHeight="1">
      <c r="A184" s="131" t="s">
        <v>603</v>
      </c>
      <c r="B184" s="110">
        <v>46032.0</v>
      </c>
      <c r="C184" s="111">
        <v>1.0</v>
      </c>
      <c r="D184" s="112" t="s">
        <v>176</v>
      </c>
      <c r="E184" s="111">
        <v>8621.0</v>
      </c>
      <c r="F184" s="112"/>
      <c r="G184" s="114" t="s">
        <v>587</v>
      </c>
      <c r="H184" s="144" t="s">
        <v>603</v>
      </c>
      <c r="I184" s="140"/>
      <c r="J184" s="117">
        <f>IF(A184="RAPPI",(VLOOKUP(TRIM(D184), CATALOGO!F:G, 2, FALSE) * C184)+I184,IFERROR(IF(COUNTIF('RESTAURANTESDESCUENTOS 2026'!A:A,TRIM(A184))&gt;0,((VLOOKUP(TRIM(D184), CATALOGO!A:B, 2, FALSE) * C184)*(1-VALUE(SUBSTITUTE(VLOOKUP(TRIM(A184),'RESTAURANTESDESCUENTOS 2026'!A:B,2,FALSE),"%",""))/100)+I184),(VLOOKUP(TRIM(D184), CATALOGO!A:B, 2, FALSE) * C184+I184)),""))</f>
        <v>50000</v>
      </c>
      <c r="K184" s="140"/>
      <c r="L184" s="132"/>
      <c r="M184" s="120" t="s">
        <v>587</v>
      </c>
      <c r="N184" s="121"/>
    </row>
    <row r="185" ht="22.5" hidden="1" customHeight="1">
      <c r="A185" s="122" t="s">
        <v>695</v>
      </c>
      <c r="B185" s="123">
        <v>46032.0</v>
      </c>
      <c r="C185" s="124">
        <v>1.0</v>
      </c>
      <c r="D185" s="125" t="s">
        <v>177</v>
      </c>
      <c r="E185" s="133"/>
      <c r="F185" s="134"/>
      <c r="G185" s="114" t="s">
        <v>587</v>
      </c>
      <c r="H185" s="126" t="s">
        <v>588</v>
      </c>
      <c r="I185" s="127">
        <v>12000.0</v>
      </c>
      <c r="J185" s="117">
        <f>IF(A185="RAPPI",(VLOOKUP(TRIM(D185), CATALOGO!F:G, 2, FALSE) * C185)+I185,IFERROR(IF(COUNTIF('RESTAURANTESDESCUENTOS 2026'!A:A,TRIM(A185))&gt;0,((VLOOKUP(TRIM(D185), CATALOGO!A:B, 2, FALSE) * C185)*(1-VALUE(SUBSTITUTE(VLOOKUP(TRIM(A185),'RESTAURANTESDESCUENTOS 2026'!A:B,2,FALSE),"%",""))/100)+I185),(VLOOKUP(TRIM(D185), CATALOGO!A:B, 2, FALSE) * C185+I185)),""))</f>
        <v>127000</v>
      </c>
      <c r="K185" s="127">
        <v>12000.0</v>
      </c>
      <c r="L185" s="135"/>
      <c r="M185" s="129" t="s">
        <v>587</v>
      </c>
      <c r="N185" s="130"/>
    </row>
    <row r="186" ht="22.5" hidden="1" customHeight="1">
      <c r="A186" s="131" t="s">
        <v>689</v>
      </c>
      <c r="B186" s="110">
        <v>46032.0</v>
      </c>
      <c r="C186" s="111">
        <v>1.0</v>
      </c>
      <c r="D186" s="112" t="s">
        <v>696</v>
      </c>
      <c r="E186" s="138"/>
      <c r="F186" s="139"/>
      <c r="G186" s="114" t="s">
        <v>587</v>
      </c>
      <c r="H186" s="115" t="s">
        <v>588</v>
      </c>
      <c r="I186" s="116">
        <v>0.0</v>
      </c>
      <c r="J186" s="117">
        <f>IF(A186="RAPPI",(VLOOKUP(TRIM(D186), CATALOGO!F:G, 2, FALSE) * C186)+I186,IFERROR(IF(COUNTIF('RESTAURANTESDESCUENTOS 2026'!A:A,TRIM(A186))&gt;0,((VLOOKUP(TRIM(D186), CATALOGO!A:B, 2, FALSE) * C186)*(1-VALUE(SUBSTITUTE(VLOOKUP(TRIM(A186),'RESTAURANTESDESCUENTOS 2026'!A:B,2,FALSE),"%",""))/100)+I186),(VLOOKUP(TRIM(D186), CATALOGO!A:B, 2, FALSE) * C186+I186)),""))</f>
        <v>4000</v>
      </c>
      <c r="K186" s="116">
        <v>0.0</v>
      </c>
      <c r="L186" s="132"/>
      <c r="M186" s="120" t="s">
        <v>587</v>
      </c>
      <c r="N186" s="121"/>
    </row>
    <row r="187" ht="22.5" hidden="1" customHeight="1">
      <c r="A187" s="131" t="s">
        <v>603</v>
      </c>
      <c r="B187" s="110">
        <v>46032.0</v>
      </c>
      <c r="C187" s="111">
        <v>1.0</v>
      </c>
      <c r="D187" s="112" t="s">
        <v>554</v>
      </c>
      <c r="E187" s="111">
        <v>9545.0</v>
      </c>
      <c r="F187" s="112"/>
      <c r="G187" s="114" t="s">
        <v>587</v>
      </c>
      <c r="H187" s="144" t="s">
        <v>603</v>
      </c>
      <c r="I187" s="140"/>
      <c r="J187" s="117">
        <f>IF(A187="RAPPI",(VLOOKUP(TRIM(D187), CATALOGO!F:G, 2, FALSE) * C187)+I187,IFERROR(IF(COUNTIF('RESTAURANTESDESCUENTOS 2026'!A:A,TRIM(A187))&gt;0,((VLOOKUP(TRIM(D187), CATALOGO!A:B, 2, FALSE) * C187)*(1-VALUE(SUBSTITUTE(VLOOKUP(TRIM(A187),'RESTAURANTESDESCUENTOS 2026'!A:B,2,FALSE),"%",""))/100)+I187),(VLOOKUP(TRIM(D187), CATALOGO!A:B, 2, FALSE) * C187+I187)),""))</f>
        <v>53000</v>
      </c>
      <c r="K187" s="140"/>
      <c r="L187" s="132"/>
      <c r="M187" s="120" t="s">
        <v>587</v>
      </c>
      <c r="N187" s="121"/>
    </row>
    <row r="188" ht="22.5" hidden="1" customHeight="1">
      <c r="A188" s="122" t="s">
        <v>605</v>
      </c>
      <c r="B188" s="123">
        <v>46032.0</v>
      </c>
      <c r="C188" s="124">
        <v>1.0</v>
      </c>
      <c r="D188" s="125" t="s">
        <v>176</v>
      </c>
      <c r="E188" s="124" t="s">
        <v>606</v>
      </c>
      <c r="F188" s="125"/>
      <c r="G188" s="114" t="s">
        <v>35</v>
      </c>
      <c r="H188" s="134"/>
      <c r="I188" s="146"/>
      <c r="J188" s="117">
        <f>IF(A188="RAPPI",(VLOOKUP(TRIM(D188), CATALOGO!F:G, 2, FALSE) * C188)+I188,IFERROR(IF(COUNTIF('RESTAURANTESDESCUENTOS 2026'!A:A,TRIM(A188))&gt;0,((VLOOKUP(TRIM(D188), CATALOGO!A:B, 2, FALSE) * C188)*(1-VALUE(SUBSTITUTE(VLOOKUP(TRIM(A188),'RESTAURANTESDESCUENTOS 2026'!A:B,2,FALSE),"%",""))/100)+I188),(VLOOKUP(TRIM(D188), CATALOGO!A:B, 2, FALSE) * C188+I188)),""))</f>
        <v>50000</v>
      </c>
      <c r="K188" s="146"/>
      <c r="L188" s="135"/>
      <c r="M188" s="129" t="s">
        <v>587</v>
      </c>
      <c r="N188" s="130"/>
    </row>
    <row r="189" ht="22.5" hidden="1" customHeight="1">
      <c r="A189" s="131" t="s">
        <v>605</v>
      </c>
      <c r="B189" s="110">
        <v>46032.0</v>
      </c>
      <c r="C189" s="111">
        <v>2.0</v>
      </c>
      <c r="D189" s="112" t="s">
        <v>697</v>
      </c>
      <c r="E189" s="111" t="s">
        <v>606</v>
      </c>
      <c r="F189" s="112"/>
      <c r="G189" s="114" t="s">
        <v>35</v>
      </c>
      <c r="H189" s="139"/>
      <c r="I189" s="140"/>
      <c r="J189" s="117">
        <f>IF(A189="RAPPI",(VLOOKUP(TRIM(D189), CATALOGO!F:G, 2, FALSE) * C189)+I189,IFERROR(IF(COUNTIF('RESTAURANTESDESCUENTOS 2026'!A:A,TRIM(A189))&gt;0,((VLOOKUP(TRIM(D189), CATALOGO!A:B, 2, FALSE) * C189)*(1-VALUE(SUBSTITUTE(VLOOKUP(TRIM(A189),'RESTAURANTESDESCUENTOS 2026'!A:B,2,FALSE),"%",""))/100)+I189),(VLOOKUP(TRIM(D189), CATALOGO!A:B, 2, FALSE) * C189+I189)),""))</f>
        <v>326000</v>
      </c>
      <c r="K189" s="140"/>
      <c r="L189" s="132"/>
      <c r="M189" s="120" t="s">
        <v>587</v>
      </c>
      <c r="N189" s="121"/>
    </row>
    <row r="190" ht="22.5" hidden="1" customHeight="1">
      <c r="A190" s="122" t="s">
        <v>605</v>
      </c>
      <c r="B190" s="123">
        <v>46032.0</v>
      </c>
      <c r="C190" s="124">
        <v>1.0</v>
      </c>
      <c r="D190" s="125" t="s">
        <v>554</v>
      </c>
      <c r="E190" s="124" t="s">
        <v>606</v>
      </c>
      <c r="F190" s="125"/>
      <c r="G190" s="114" t="s">
        <v>35</v>
      </c>
      <c r="H190" s="134"/>
      <c r="I190" s="146"/>
      <c r="J190" s="117">
        <f>IF(A190="RAPPI",(VLOOKUP(TRIM(D190), CATALOGO!F:G, 2, FALSE) * C190)+I190,IFERROR(IF(COUNTIF('RESTAURANTESDESCUENTOS 2026'!A:A,TRIM(A190))&gt;0,((VLOOKUP(TRIM(D190), CATALOGO!A:B, 2, FALSE) * C190)*(1-VALUE(SUBSTITUTE(VLOOKUP(TRIM(A190),'RESTAURANTESDESCUENTOS 2026'!A:B,2,FALSE),"%",""))/100)+I190),(VLOOKUP(TRIM(D190), CATALOGO!A:B, 2, FALSE) * C190+I190)),""))</f>
        <v>53000</v>
      </c>
      <c r="K190" s="146"/>
      <c r="L190" s="135"/>
      <c r="M190" s="129" t="s">
        <v>587</v>
      </c>
      <c r="N190" s="130"/>
    </row>
    <row r="191" ht="22.5" hidden="1" customHeight="1">
      <c r="A191" s="131" t="s">
        <v>603</v>
      </c>
      <c r="B191" s="110">
        <v>46032.0</v>
      </c>
      <c r="C191" s="111">
        <v>1.0</v>
      </c>
      <c r="D191" s="112" t="s">
        <v>640</v>
      </c>
      <c r="E191" s="111">
        <v>732.0</v>
      </c>
      <c r="F191" s="112"/>
      <c r="G191" s="114" t="s">
        <v>587</v>
      </c>
      <c r="H191" s="144" t="s">
        <v>603</v>
      </c>
      <c r="I191" s="140"/>
      <c r="J191" s="117">
        <f>IF(A191="RAPPI",(VLOOKUP(TRIM(D191), CATALOGO!F:G, 2, FALSE) * C191)+I191,IFERROR(IF(COUNTIF('RESTAURANTESDESCUENTOS 2026'!A:A,TRIM(A191))&gt;0,((VLOOKUP(TRIM(D191), CATALOGO!A:B, 2, FALSE) * C191)*(1-VALUE(SUBSTITUTE(VLOOKUP(TRIM(A191),'RESTAURANTESDESCUENTOS 2026'!A:B,2,FALSE),"%",""))/100)+I191),(VLOOKUP(TRIM(D191), CATALOGO!A:B, 2, FALSE) * C191+I191)),""))</f>
        <v>53000</v>
      </c>
      <c r="K191" s="140"/>
      <c r="L191" s="132"/>
      <c r="M191" s="120" t="s">
        <v>587</v>
      </c>
      <c r="N191" s="121"/>
    </row>
    <row r="192" ht="22.5" hidden="1" customHeight="1">
      <c r="A192" s="122" t="s">
        <v>603</v>
      </c>
      <c r="B192" s="123">
        <v>46032.0</v>
      </c>
      <c r="C192" s="124">
        <v>1.0</v>
      </c>
      <c r="D192" s="155" t="s">
        <v>182</v>
      </c>
      <c r="E192" s="124">
        <v>9528.0</v>
      </c>
      <c r="F192" s="125"/>
      <c r="G192" s="114" t="s">
        <v>587</v>
      </c>
      <c r="H192" s="145" t="s">
        <v>603</v>
      </c>
      <c r="I192" s="146"/>
      <c r="J192" s="117">
        <f>IF(A192="RAPPI",(VLOOKUP(TRIM(D192), CATALOGO!F:G, 2, FALSE) * C192)+I192,IFERROR(IF(COUNTIF('RESTAURANTESDESCUENTOS 2026'!A:A,TRIM(A192))&gt;0,((VLOOKUP(TRIM(D192), CATALOGO!A:B, 2, FALSE) * C192)*(1-VALUE(SUBSTITUTE(VLOOKUP(TRIM(A192),'RESTAURANTESDESCUENTOS 2026'!A:B,2,FALSE),"%",""))/100)+I192),(VLOOKUP(TRIM(D192), CATALOGO!A:B, 2, FALSE) * C192+I192)),""))</f>
        <v>37000</v>
      </c>
      <c r="K192" s="146"/>
      <c r="L192" s="135"/>
      <c r="M192" s="129" t="s">
        <v>587</v>
      </c>
      <c r="N192" s="130"/>
    </row>
    <row r="193" ht="22.5" hidden="1" customHeight="1">
      <c r="A193" s="131" t="s">
        <v>603</v>
      </c>
      <c r="B193" s="110">
        <v>46032.0</v>
      </c>
      <c r="C193" s="111">
        <v>4.0</v>
      </c>
      <c r="D193" s="112" t="s">
        <v>620</v>
      </c>
      <c r="E193" s="111">
        <v>9528.0</v>
      </c>
      <c r="F193" s="112"/>
      <c r="G193" s="114" t="s">
        <v>587</v>
      </c>
      <c r="H193" s="144" t="s">
        <v>603</v>
      </c>
      <c r="I193" s="140"/>
      <c r="J193" s="142">
        <v>0.0</v>
      </c>
      <c r="K193" s="140"/>
      <c r="L193" s="132"/>
      <c r="M193" s="120" t="s">
        <v>587</v>
      </c>
      <c r="N193" s="121"/>
    </row>
    <row r="194" ht="22.5" hidden="1" customHeight="1">
      <c r="A194" s="122" t="s">
        <v>603</v>
      </c>
      <c r="B194" s="123">
        <v>46032.0</v>
      </c>
      <c r="C194" s="124">
        <v>1.0</v>
      </c>
      <c r="D194" s="155" t="s">
        <v>182</v>
      </c>
      <c r="E194" s="124">
        <v>1455.0</v>
      </c>
      <c r="F194" s="125"/>
      <c r="G194" s="114" t="s">
        <v>587</v>
      </c>
      <c r="H194" s="145" t="s">
        <v>603</v>
      </c>
      <c r="I194" s="146"/>
      <c r="J194" s="117">
        <f>IF(A194="RAPPI",(VLOOKUP(TRIM(D194), CATALOGO!F:G, 2, FALSE) * C194)+I194,IFERROR(IF(COUNTIF('RESTAURANTESDESCUENTOS 2026'!A:A,TRIM(A194))&gt;0,((VLOOKUP(TRIM(D194), CATALOGO!A:B, 2, FALSE) * C194)*(1-VALUE(SUBSTITUTE(VLOOKUP(TRIM(A194),'RESTAURANTESDESCUENTOS 2026'!A:B,2,FALSE),"%",""))/100)+I194),(VLOOKUP(TRIM(D194), CATALOGO!A:B, 2, FALSE) * C194+I194)),""))</f>
        <v>37000</v>
      </c>
      <c r="K194" s="146"/>
      <c r="L194" s="135"/>
      <c r="M194" s="129" t="s">
        <v>587</v>
      </c>
      <c r="N194" s="130"/>
    </row>
    <row r="195" ht="22.5" hidden="1" customHeight="1">
      <c r="A195" s="131" t="s">
        <v>603</v>
      </c>
      <c r="B195" s="110">
        <v>46032.0</v>
      </c>
      <c r="C195" s="111">
        <v>2.0</v>
      </c>
      <c r="D195" s="112" t="s">
        <v>236</v>
      </c>
      <c r="E195" s="111">
        <v>1455.0</v>
      </c>
      <c r="F195" s="112"/>
      <c r="G195" s="114" t="s">
        <v>587</v>
      </c>
      <c r="H195" s="144" t="s">
        <v>603</v>
      </c>
      <c r="I195" s="140"/>
      <c r="J195" s="142">
        <v>0.0</v>
      </c>
      <c r="K195" s="140"/>
      <c r="L195" s="132"/>
      <c r="M195" s="120" t="s">
        <v>587</v>
      </c>
      <c r="N195" s="121"/>
    </row>
    <row r="196" ht="22.5" hidden="1" customHeight="1">
      <c r="A196" s="122" t="s">
        <v>603</v>
      </c>
      <c r="B196" s="123">
        <v>46032.0</v>
      </c>
      <c r="C196" s="124">
        <v>2.0</v>
      </c>
      <c r="D196" s="125" t="s">
        <v>620</v>
      </c>
      <c r="E196" s="124">
        <v>1455.0</v>
      </c>
      <c r="F196" s="125"/>
      <c r="G196" s="114" t="s">
        <v>587</v>
      </c>
      <c r="H196" s="145" t="s">
        <v>603</v>
      </c>
      <c r="I196" s="146"/>
      <c r="J196" s="117">
        <v>0.0</v>
      </c>
      <c r="K196" s="146"/>
      <c r="L196" s="135"/>
      <c r="M196" s="129" t="s">
        <v>587</v>
      </c>
      <c r="N196" s="130"/>
    </row>
    <row r="197" ht="22.5" hidden="1" customHeight="1">
      <c r="A197" s="131" t="s">
        <v>603</v>
      </c>
      <c r="B197" s="110">
        <v>46032.0</v>
      </c>
      <c r="C197" s="111">
        <v>1.0</v>
      </c>
      <c r="D197" s="112" t="s">
        <v>176</v>
      </c>
      <c r="E197" s="111">
        <v>1937.0</v>
      </c>
      <c r="F197" s="112"/>
      <c r="G197" s="114" t="s">
        <v>587</v>
      </c>
      <c r="H197" s="144" t="s">
        <v>603</v>
      </c>
      <c r="I197" s="140"/>
      <c r="J197" s="117">
        <f>IF(A197="RAPPI",(VLOOKUP(TRIM(D197), CATALOGO!F:G, 2, FALSE) * C197)+I197,IFERROR(IF(COUNTIF('RESTAURANTESDESCUENTOS 2026'!A:A,TRIM(A197))&gt;0,((VLOOKUP(TRIM(D197), CATALOGO!A:B, 2, FALSE) * C197)*(1-VALUE(SUBSTITUTE(VLOOKUP(TRIM(A197),'RESTAURANTESDESCUENTOS 2026'!A:B,2,FALSE),"%",""))/100)+I197),(VLOOKUP(TRIM(D197), CATALOGO!A:B, 2, FALSE) * C197+I197)),""))</f>
        <v>50000</v>
      </c>
      <c r="K197" s="140"/>
      <c r="L197" s="132"/>
      <c r="M197" s="120" t="s">
        <v>587</v>
      </c>
      <c r="N197" s="121"/>
    </row>
    <row r="198" ht="22.5" hidden="1" customHeight="1">
      <c r="A198" s="122" t="s">
        <v>603</v>
      </c>
      <c r="B198" s="123">
        <v>46032.0</v>
      </c>
      <c r="C198" s="124">
        <v>1.0</v>
      </c>
      <c r="D198" s="125" t="s">
        <v>601</v>
      </c>
      <c r="E198" s="124">
        <v>4747.0</v>
      </c>
      <c r="F198" s="125"/>
      <c r="G198" s="114" t="s">
        <v>587</v>
      </c>
      <c r="H198" s="145" t="s">
        <v>603</v>
      </c>
      <c r="I198" s="146"/>
      <c r="J198" s="117">
        <f>IF(A198="RAPPI",(VLOOKUP(TRIM(D198), CATALOGO!F:G, 2, FALSE) * C198)+I198,IFERROR(IF(COUNTIF('RESTAURANTESDESCUENTOS 2026'!A:A,TRIM(A198))&gt;0,((VLOOKUP(TRIM(D198), CATALOGO!A:B, 2, FALSE) * C198)*(1-VALUE(SUBSTITUTE(VLOOKUP(TRIM(A198),'RESTAURANTESDESCUENTOS 2026'!A:B,2,FALSE),"%",""))/100)+I198),(VLOOKUP(TRIM(D198), CATALOGO!A:B, 2, FALSE) * C198+I198)),""))</f>
        <v>53000</v>
      </c>
      <c r="K198" s="146"/>
      <c r="L198" s="135"/>
      <c r="M198" s="129" t="s">
        <v>587</v>
      </c>
      <c r="N198" s="130"/>
    </row>
    <row r="199" ht="22.5" hidden="1" customHeight="1">
      <c r="A199" s="131" t="s">
        <v>605</v>
      </c>
      <c r="B199" s="110">
        <v>46032.0</v>
      </c>
      <c r="C199" s="111">
        <v>1.0</v>
      </c>
      <c r="D199" s="112" t="s">
        <v>176</v>
      </c>
      <c r="E199" s="111" t="s">
        <v>606</v>
      </c>
      <c r="F199" s="112"/>
      <c r="G199" s="114" t="s">
        <v>35</v>
      </c>
      <c r="H199" s="139"/>
      <c r="I199" s="140"/>
      <c r="J199" s="117">
        <f>IF(A199="RAPPI",(VLOOKUP(TRIM(D199), CATALOGO!F:G, 2, FALSE) * C199)+I199,IFERROR(IF(COUNTIF('RESTAURANTESDESCUENTOS 2026'!A:A,TRIM(A199))&gt;0,((VLOOKUP(TRIM(D199), CATALOGO!A:B, 2, FALSE) * C199)*(1-VALUE(SUBSTITUTE(VLOOKUP(TRIM(A199),'RESTAURANTESDESCUENTOS 2026'!A:B,2,FALSE),"%",""))/100)+I199),(VLOOKUP(TRIM(D199), CATALOGO!A:B, 2, FALSE) * C199+I199)),""))</f>
        <v>50000</v>
      </c>
      <c r="K199" s="140"/>
      <c r="L199" s="132"/>
      <c r="M199" s="120" t="s">
        <v>587</v>
      </c>
      <c r="N199" s="121"/>
    </row>
    <row r="200" ht="22.5" hidden="1" customHeight="1">
      <c r="A200" s="122" t="s">
        <v>698</v>
      </c>
      <c r="B200" s="123">
        <v>46035.0</v>
      </c>
      <c r="C200" s="124">
        <v>1.0</v>
      </c>
      <c r="D200" s="125" t="s">
        <v>555</v>
      </c>
      <c r="E200" s="111" t="s">
        <v>699</v>
      </c>
      <c r="F200" s="112"/>
      <c r="G200" s="114" t="s">
        <v>587</v>
      </c>
      <c r="H200" s="151" t="s">
        <v>632</v>
      </c>
      <c r="I200" s="127">
        <v>12000.0</v>
      </c>
      <c r="J200" s="117">
        <f>IF(A200="RAPPI",(VLOOKUP(TRIM(D200), CATALOGO!F:G, 2, FALSE) * C200)+I200,IFERROR(IF(COUNTIF('RESTAURANTESDESCUENTOS 2026'!A:A,TRIM(A200))&gt;0,((VLOOKUP(TRIM(D200), CATALOGO!A:B, 2, FALSE) * C200)*(1-VALUE(SUBSTITUTE(VLOOKUP(TRIM(A200),'RESTAURANTESDESCUENTOS 2026'!A:B,2,FALSE),"%",""))/100)+I200),(VLOOKUP(TRIM(D200), CATALOGO!A:B, 2, FALSE) * C200+I200)),""))</f>
        <v>135000</v>
      </c>
      <c r="K200" s="127">
        <v>12000.0</v>
      </c>
      <c r="L200" s="135"/>
      <c r="M200" s="129" t="s">
        <v>587</v>
      </c>
      <c r="N200" s="130"/>
    </row>
    <row r="201" ht="22.5" hidden="1" customHeight="1">
      <c r="A201" s="131" t="s">
        <v>589</v>
      </c>
      <c r="B201" s="110">
        <v>46035.0</v>
      </c>
      <c r="C201" s="111">
        <v>1.0</v>
      </c>
      <c r="D201" s="112" t="s">
        <v>178</v>
      </c>
      <c r="E201" s="111" t="s">
        <v>552</v>
      </c>
      <c r="F201" s="112"/>
      <c r="G201" s="114" t="s">
        <v>587</v>
      </c>
      <c r="H201" s="153" t="s">
        <v>632</v>
      </c>
      <c r="I201" s="116">
        <v>0.0</v>
      </c>
      <c r="J201" s="117">
        <f>IF(A201="RAPPI",(VLOOKUP(TRIM(D201), CATALOGO!F:G, 2, FALSE) * C201)+I201,IFERROR(IF(COUNTIF('RESTAURANTESDESCUENTOS 2026'!A:A,TRIM(A201))&gt;0,((VLOOKUP(TRIM(D201), CATALOGO!A:B, 2, FALSE) * C201)*(1-VALUE(SUBSTITUTE(VLOOKUP(TRIM(A201),'RESTAURANTESDESCUENTOS 2026'!A:B,2,FALSE),"%",""))/100)+I201),(VLOOKUP(TRIM(D201), CATALOGO!A:B, 2, FALSE) * C201+I201)),""))</f>
        <v>112500</v>
      </c>
      <c r="K201" s="118">
        <v>10000.0</v>
      </c>
      <c r="L201" s="136" t="s">
        <v>587</v>
      </c>
      <c r="M201" s="120" t="s">
        <v>587</v>
      </c>
      <c r="N201" s="121"/>
    </row>
    <row r="202" ht="22.5" hidden="1" customHeight="1">
      <c r="A202" s="131" t="s">
        <v>131</v>
      </c>
      <c r="B202" s="110">
        <v>46035.0</v>
      </c>
      <c r="C202" s="111">
        <v>1.0</v>
      </c>
      <c r="D202" s="112" t="s">
        <v>178</v>
      </c>
      <c r="E202" s="111" t="s">
        <v>700</v>
      </c>
      <c r="F202" s="112"/>
      <c r="G202" s="114" t="s">
        <v>587</v>
      </c>
      <c r="H202" s="153" t="s">
        <v>632</v>
      </c>
      <c r="I202" s="116">
        <v>5000.0</v>
      </c>
      <c r="J202" s="117">
        <f>IF(A202="RAPPI",(VLOOKUP(TRIM(D202), CATALOGO!F:G, 2, FALSE) * C202)+I202,IFERROR(IF(COUNTIF('RESTAURANTESDESCUENTOS 2026'!A:A,TRIM(A202))&gt;0,((VLOOKUP(TRIM(D202), CATALOGO!A:B, 2, FALSE) * C202)*(1-VALUE(SUBSTITUTE(VLOOKUP(TRIM(A202),'RESTAURANTESDESCUENTOS 2026'!A:B,2,FALSE),"%",""))/100)+I202),(VLOOKUP(TRIM(D202), CATALOGO!A:B, 2, FALSE) * C202+I202)),""))</f>
        <v>110000</v>
      </c>
      <c r="K202" s="118">
        <v>10000.0</v>
      </c>
      <c r="L202" s="136" t="s">
        <v>587</v>
      </c>
      <c r="M202" s="120" t="s">
        <v>587</v>
      </c>
      <c r="N202" s="121"/>
    </row>
    <row r="203" ht="22.5" hidden="1" customHeight="1">
      <c r="A203" s="122" t="s">
        <v>92</v>
      </c>
      <c r="B203" s="123">
        <v>46035.0</v>
      </c>
      <c r="C203" s="124">
        <v>1.0</v>
      </c>
      <c r="D203" s="125" t="s">
        <v>178</v>
      </c>
      <c r="E203" s="124" t="s">
        <v>610</v>
      </c>
      <c r="F203" s="125"/>
      <c r="G203" s="114" t="s">
        <v>587</v>
      </c>
      <c r="H203" s="151" t="s">
        <v>632</v>
      </c>
      <c r="I203" s="127">
        <v>5000.0</v>
      </c>
      <c r="J203" s="117">
        <f>IF(A203="RAPPI",(VLOOKUP(TRIM(D203), CATALOGO!F:G, 2, FALSE) * C203)+I203,IFERROR(IF(COUNTIF('RESTAURANTESDESCUENTOS 2026'!A:A,TRIM(A203))&gt;0,((VLOOKUP(TRIM(D203), CATALOGO!A:B, 2, FALSE) * C203)*(1-VALUE(SUBSTITUTE(VLOOKUP(TRIM(A203),'RESTAURANTESDESCUENTOS 2026'!A:B,2,FALSE),"%",""))/100)+I203),(VLOOKUP(TRIM(D203), CATALOGO!A:B, 2, FALSE) * C203+I203)),""))</f>
        <v>110000</v>
      </c>
      <c r="K203" s="118">
        <v>10000.0</v>
      </c>
      <c r="L203" s="128" t="s">
        <v>587</v>
      </c>
      <c r="M203" s="129" t="s">
        <v>587</v>
      </c>
      <c r="N203" s="130"/>
    </row>
    <row r="204" ht="22.5" hidden="1" customHeight="1">
      <c r="A204" s="148" t="s">
        <v>38</v>
      </c>
      <c r="B204" s="123">
        <v>46035.0</v>
      </c>
      <c r="C204" s="124">
        <v>2.0</v>
      </c>
      <c r="D204" s="125" t="s">
        <v>177</v>
      </c>
      <c r="E204" s="124" t="s">
        <v>624</v>
      </c>
      <c r="F204" s="125"/>
      <c r="G204" s="114" t="s">
        <v>587</v>
      </c>
      <c r="H204" s="151" t="s">
        <v>632</v>
      </c>
      <c r="I204" s="127">
        <v>0.0</v>
      </c>
      <c r="J204" s="117">
        <f>IF(A204="RAPPI",(VLOOKUP(TRIM(D204), CATALOGO!F:G, 2, FALSE) * C204)+I204,IFERROR(IF(COUNTIF('RESTAURANTESDESCUENTOS 2026'!A:A,TRIM(A204))&gt;0,((VLOOKUP(TRIM(D204), CATALOGO!A:B, 2, FALSE) * C204)*(1-VALUE(SUBSTITUTE(VLOOKUP(TRIM(A204),'RESTAURANTESDESCUENTOS 2026'!A:B,2,FALSE),"%",""))/100)+I204),(VLOOKUP(TRIM(D204), CATALOGO!A:B, 2, FALSE) * C204+I204)),""))</f>
        <v>172500</v>
      </c>
      <c r="K204" s="118">
        <v>15000.0</v>
      </c>
      <c r="L204" s="128" t="s">
        <v>587</v>
      </c>
      <c r="M204" s="129" t="s">
        <v>587</v>
      </c>
      <c r="N204" s="130"/>
    </row>
    <row r="205" ht="22.5" hidden="1" customHeight="1">
      <c r="A205" s="148" t="s">
        <v>52</v>
      </c>
      <c r="B205" s="110">
        <v>46035.0</v>
      </c>
      <c r="C205" s="111">
        <v>1.0</v>
      </c>
      <c r="D205" s="112" t="s">
        <v>177</v>
      </c>
      <c r="E205" s="111" t="s">
        <v>701</v>
      </c>
      <c r="F205" s="112"/>
      <c r="G205" s="114" t="s">
        <v>587</v>
      </c>
      <c r="H205" s="153" t="s">
        <v>632</v>
      </c>
      <c r="I205" s="116">
        <v>0.0</v>
      </c>
      <c r="J205" s="117">
        <f>IF(A205="RAPPI",(VLOOKUP(TRIM(D205), CATALOGO!F:G, 2, FALSE) * C205)+I205,IFERROR(IF(COUNTIF('RESTAURANTESDESCUENTOS 2026'!A:A,TRIM(A205))&gt;0,((VLOOKUP(TRIM(D205), CATALOGO!A:B, 2, FALSE) * C205)*(1-VALUE(SUBSTITUTE(VLOOKUP(TRIM(A205),'RESTAURANTESDESCUENTOS 2026'!A:B,2,FALSE),"%",""))/100)+I205),(VLOOKUP(TRIM(D205), CATALOGO!A:B, 2, FALSE) * C205+I205)),""))</f>
        <v>86250</v>
      </c>
      <c r="K205" s="118">
        <v>12000.0</v>
      </c>
      <c r="L205" s="136" t="s">
        <v>587</v>
      </c>
      <c r="M205" s="120" t="s">
        <v>587</v>
      </c>
      <c r="N205" s="121"/>
    </row>
    <row r="206" ht="22.5" hidden="1" customHeight="1">
      <c r="A206" s="131" t="s">
        <v>92</v>
      </c>
      <c r="B206" s="110">
        <v>46035.0</v>
      </c>
      <c r="C206" s="111">
        <v>150.0</v>
      </c>
      <c r="D206" s="112" t="s">
        <v>236</v>
      </c>
      <c r="E206" s="138"/>
      <c r="F206" s="139"/>
      <c r="G206" s="114" t="s">
        <v>587</v>
      </c>
      <c r="H206" s="153" t="s">
        <v>632</v>
      </c>
      <c r="I206" s="116">
        <v>0.0</v>
      </c>
      <c r="J206" s="142">
        <v>16500.0</v>
      </c>
      <c r="K206" s="116">
        <v>0.0</v>
      </c>
      <c r="L206" s="136" t="s">
        <v>587</v>
      </c>
      <c r="M206" s="120" t="s">
        <v>587</v>
      </c>
      <c r="N206" s="121"/>
    </row>
    <row r="207" ht="22.5" hidden="1" customHeight="1">
      <c r="A207" s="147" t="s">
        <v>99</v>
      </c>
      <c r="B207" s="123">
        <v>46035.0</v>
      </c>
      <c r="C207" s="124">
        <v>2.0</v>
      </c>
      <c r="D207" s="125" t="s">
        <v>178</v>
      </c>
      <c r="E207" s="124" t="s">
        <v>702</v>
      </c>
      <c r="F207" s="125"/>
      <c r="G207" s="114" t="s">
        <v>587</v>
      </c>
      <c r="H207" s="151" t="s">
        <v>632</v>
      </c>
      <c r="I207" s="127">
        <v>5000.0</v>
      </c>
      <c r="J207" s="117">
        <f>IF(A207="RAPPI",(VLOOKUP(TRIM(D207), CATALOGO!F:G, 2, FALSE) * C207)+I207,IFERROR(IF(COUNTIF('RESTAURANTESDESCUENTOS 2026'!A:A,TRIM(A207))&gt;0,((VLOOKUP(TRIM(D207), CATALOGO!A:B, 2, FALSE) * C207)*(1-VALUE(SUBSTITUTE(VLOOKUP(TRIM(A207),'RESTAURANTESDESCUENTOS 2026'!A:B,2,FALSE),"%",""))/100)+I207),(VLOOKUP(TRIM(D207), CATALOGO!A:B, 2, FALSE) * C207+I207)),""))</f>
        <v>215000</v>
      </c>
      <c r="K207" s="118">
        <v>10000.0</v>
      </c>
      <c r="L207" s="128" t="s">
        <v>587</v>
      </c>
      <c r="M207" s="129" t="s">
        <v>587</v>
      </c>
      <c r="N207" s="130"/>
    </row>
    <row r="208" ht="22.5" hidden="1" customHeight="1">
      <c r="A208" s="137" t="s">
        <v>43</v>
      </c>
      <c r="B208" s="110">
        <v>46035.0</v>
      </c>
      <c r="C208" s="111">
        <v>2.0</v>
      </c>
      <c r="D208" s="112" t="s">
        <v>177</v>
      </c>
      <c r="E208" s="111" t="s">
        <v>703</v>
      </c>
      <c r="F208" s="112"/>
      <c r="G208" s="114" t="s">
        <v>587</v>
      </c>
      <c r="H208" s="153" t="s">
        <v>632</v>
      </c>
      <c r="I208" s="116">
        <v>0.0</v>
      </c>
      <c r="J208" s="117">
        <f>IF(A208="RAPPI",(VLOOKUP(TRIM(D208), CATALOGO!F:G, 2, FALSE) * C208)+I208,IFERROR(IF(COUNTIF('RESTAURANTESDESCUENTOS 2026'!A:A,TRIM(A208))&gt;0,((VLOOKUP(TRIM(D208), CATALOGO!A:B, 2, FALSE) * C208)*(1-VALUE(SUBSTITUTE(VLOOKUP(TRIM(A208),'RESTAURANTESDESCUENTOS 2026'!A:B,2,FALSE),"%",""))/100)+I208),(VLOOKUP(TRIM(D208), CATALOGO!A:B, 2, FALSE) * C208+I208)),""))</f>
        <v>172500</v>
      </c>
      <c r="K208" s="118">
        <v>10000.0</v>
      </c>
      <c r="L208" s="136" t="s">
        <v>587</v>
      </c>
      <c r="M208" s="120" t="s">
        <v>587</v>
      </c>
      <c r="N208" s="121"/>
    </row>
    <row r="209" ht="22.5" hidden="1" customHeight="1">
      <c r="A209" s="109" t="s">
        <v>106</v>
      </c>
      <c r="B209" s="123">
        <v>46035.0</v>
      </c>
      <c r="C209" s="124">
        <v>1.0</v>
      </c>
      <c r="D209" s="125" t="s">
        <v>178</v>
      </c>
      <c r="E209" s="124" t="s">
        <v>610</v>
      </c>
      <c r="F209" s="125"/>
      <c r="G209" s="114" t="s">
        <v>587</v>
      </c>
      <c r="H209" s="151" t="s">
        <v>632</v>
      </c>
      <c r="I209" s="127">
        <v>11000.0</v>
      </c>
      <c r="J209" s="117">
        <f>IF(A209="RAPPI",(VLOOKUP(TRIM(D209), CATALOGO!F:G, 2, FALSE) * C209)+I209,IFERROR(IF(COUNTIF('RESTAURANTESDESCUENTOS 2026'!A:A,TRIM(A209))&gt;0,((VLOOKUP(TRIM(D209), CATALOGO!A:B, 2, FALSE) * C209)*(1-VALUE(SUBSTITUTE(VLOOKUP(TRIM(A209),'RESTAURANTESDESCUENTOS 2026'!A:B,2,FALSE),"%",""))/100)+I209),(VLOOKUP(TRIM(D209), CATALOGO!A:B, 2, FALSE) * C209+I209)),""))</f>
        <v>108125</v>
      </c>
      <c r="K209" s="118">
        <v>10000.0</v>
      </c>
      <c r="L209" s="128" t="s">
        <v>587</v>
      </c>
      <c r="M209" s="129" t="s">
        <v>587</v>
      </c>
      <c r="N209" s="130"/>
    </row>
    <row r="210" ht="22.5" hidden="1" customHeight="1">
      <c r="A210" s="141" t="s">
        <v>704</v>
      </c>
      <c r="B210" s="110">
        <v>46035.0</v>
      </c>
      <c r="C210" s="111">
        <v>1.0</v>
      </c>
      <c r="D210" s="112" t="s">
        <v>176</v>
      </c>
      <c r="E210" s="111" t="s">
        <v>705</v>
      </c>
      <c r="F210" s="112"/>
      <c r="G210" s="114" t="s">
        <v>587</v>
      </c>
      <c r="H210" s="115" t="s">
        <v>588</v>
      </c>
      <c r="I210" s="116">
        <v>12000.0</v>
      </c>
      <c r="J210" s="117">
        <f>IF(A210="RAPPI",(VLOOKUP(TRIM(D210), CATALOGO!F:G, 2, FALSE) * C210)+I210,IFERROR(IF(COUNTIF('RESTAURANTESDESCUENTOS 2026'!A:A,TRIM(A210))&gt;0,((VLOOKUP(TRIM(D210), CATALOGO!A:B, 2, FALSE) * C210)*(1-VALUE(SUBSTITUTE(VLOOKUP(TRIM(A210),'RESTAURANTESDESCUENTOS 2026'!A:B,2,FALSE),"%",""))/100)+I210),(VLOOKUP(TRIM(D210), CATALOGO!A:B, 2, FALSE) * C210+I210)),""))</f>
        <v>62000</v>
      </c>
      <c r="K210" s="116">
        <v>12000.0</v>
      </c>
      <c r="L210" s="132"/>
      <c r="M210" s="120" t="s">
        <v>587</v>
      </c>
      <c r="N210" s="121"/>
    </row>
    <row r="211" ht="22.5" hidden="1" customHeight="1">
      <c r="A211" s="122" t="s">
        <v>605</v>
      </c>
      <c r="B211" s="123">
        <v>46035.0</v>
      </c>
      <c r="C211" s="124">
        <v>1.0</v>
      </c>
      <c r="D211" s="125" t="s">
        <v>176</v>
      </c>
      <c r="E211" s="124" t="s">
        <v>607</v>
      </c>
      <c r="F211" s="125"/>
      <c r="G211" s="114" t="s">
        <v>35</v>
      </c>
      <c r="H211" s="134"/>
      <c r="I211" s="146"/>
      <c r="J211" s="117">
        <f>IF(A211="RAPPI",(VLOOKUP(TRIM(D211), CATALOGO!F:G, 2, FALSE) * C211)+I211,IFERROR(IF(COUNTIF('RESTAURANTESDESCUENTOS 2026'!A:A,TRIM(A211))&gt;0,((VLOOKUP(TRIM(D211), CATALOGO!A:B, 2, FALSE) * C211)*(1-VALUE(SUBSTITUTE(VLOOKUP(TRIM(A211),'RESTAURANTESDESCUENTOS 2026'!A:B,2,FALSE),"%",""))/100)+I211),(VLOOKUP(TRIM(D211), CATALOGO!A:B, 2, FALSE) * C211+I211)),""))</f>
        <v>50000</v>
      </c>
      <c r="K211" s="146"/>
      <c r="L211" s="135"/>
      <c r="M211" s="129" t="s">
        <v>587</v>
      </c>
      <c r="N211" s="130"/>
    </row>
    <row r="212" ht="22.5" hidden="1" customHeight="1">
      <c r="A212" s="131" t="s">
        <v>603</v>
      </c>
      <c r="B212" s="110">
        <v>46035.0</v>
      </c>
      <c r="C212" s="143">
        <v>1.0</v>
      </c>
      <c r="D212" s="112" t="s">
        <v>602</v>
      </c>
      <c r="E212" s="111">
        <v>1104.0</v>
      </c>
      <c r="F212" s="112"/>
      <c r="G212" s="114" t="s">
        <v>587</v>
      </c>
      <c r="H212" s="144" t="s">
        <v>603</v>
      </c>
      <c r="I212" s="140"/>
      <c r="J212" s="117">
        <f>IF(A212="RAPPI",(VLOOKUP(TRIM(D212), CATALOGO!F:G, 2, FALSE) * C212)+I212,IFERROR(IF(COUNTIF('RESTAURANTESDESCUENTOS 2026'!A:A,TRIM(A212))&gt;0,((VLOOKUP(TRIM(D212), CATALOGO!A:B, 2, FALSE) * C212)*(1-VALUE(SUBSTITUTE(VLOOKUP(TRIM(A212),'RESTAURANTESDESCUENTOS 2026'!A:B,2,FALSE),"%",""))/100)+I212),(VLOOKUP(TRIM(D212), CATALOGO!A:B, 2, FALSE) * C212+I212)),""))</f>
        <v>22000</v>
      </c>
      <c r="K212" s="140"/>
      <c r="L212" s="132"/>
      <c r="M212" s="120" t="s">
        <v>587</v>
      </c>
      <c r="N212" s="121"/>
    </row>
    <row r="213" ht="22.5" hidden="1" customHeight="1">
      <c r="A213" s="147" t="s">
        <v>706</v>
      </c>
      <c r="B213" s="123">
        <v>46035.0</v>
      </c>
      <c r="C213" s="124">
        <v>1.0</v>
      </c>
      <c r="D213" s="125" t="s">
        <v>177</v>
      </c>
      <c r="E213" s="133"/>
      <c r="F213" s="134"/>
      <c r="G213" s="114" t="s">
        <v>587</v>
      </c>
      <c r="H213" s="126" t="s">
        <v>588</v>
      </c>
      <c r="I213" s="127">
        <v>10000.0</v>
      </c>
      <c r="J213" s="117">
        <f>IF(A213="RAPPI",(VLOOKUP(TRIM(D213), CATALOGO!F:G, 2, FALSE) * C213)+I213,IFERROR(IF(COUNTIF('RESTAURANTESDESCUENTOS 2026'!A:A,TRIM(A213))&gt;0,((VLOOKUP(TRIM(D213), CATALOGO!A:B, 2, FALSE) * C213)*(1-VALUE(SUBSTITUTE(VLOOKUP(TRIM(A213),'RESTAURANTESDESCUENTOS 2026'!A:B,2,FALSE),"%",""))/100)+I213),(VLOOKUP(TRIM(D213), CATALOGO!A:B, 2, FALSE) * C213+I213)),""))</f>
        <v>125000</v>
      </c>
      <c r="K213" s="127">
        <v>10000.0</v>
      </c>
      <c r="L213" s="135"/>
      <c r="M213" s="129" t="s">
        <v>587</v>
      </c>
      <c r="N213" s="130"/>
    </row>
    <row r="214" ht="22.5" hidden="1" customHeight="1">
      <c r="A214" s="131" t="s">
        <v>707</v>
      </c>
      <c r="B214" s="110">
        <v>46035.0</v>
      </c>
      <c r="C214" s="111">
        <v>1.0</v>
      </c>
      <c r="D214" s="112" t="s">
        <v>177</v>
      </c>
      <c r="E214" s="138"/>
      <c r="F214" s="139"/>
      <c r="G214" s="114" t="s">
        <v>587</v>
      </c>
      <c r="H214" s="115" t="s">
        <v>588</v>
      </c>
      <c r="I214" s="116">
        <v>10000.0</v>
      </c>
      <c r="J214" s="117">
        <f>IF(A214="RAPPI",(VLOOKUP(TRIM(D214), CATALOGO!F:G, 2, FALSE) * C214)+I214,IFERROR(IF(COUNTIF('RESTAURANTESDESCUENTOS 2026'!A:A,TRIM(A214))&gt;0,((VLOOKUP(TRIM(D214), CATALOGO!A:B, 2, FALSE) * C214)*(1-VALUE(SUBSTITUTE(VLOOKUP(TRIM(A214),'RESTAURANTESDESCUENTOS 2026'!A:B,2,FALSE),"%",""))/100)+I214),(VLOOKUP(TRIM(D214), CATALOGO!A:B, 2, FALSE) * C214+I214)),""))</f>
        <v>125000</v>
      </c>
      <c r="K214" s="116">
        <v>10000.0</v>
      </c>
      <c r="L214" s="132"/>
      <c r="M214" s="120" t="s">
        <v>587</v>
      </c>
      <c r="N214" s="121"/>
    </row>
    <row r="215" ht="22.5" hidden="1" customHeight="1">
      <c r="A215" s="122" t="s">
        <v>603</v>
      </c>
      <c r="B215" s="123">
        <v>46035.0</v>
      </c>
      <c r="C215" s="124">
        <v>1.0</v>
      </c>
      <c r="D215" s="125" t="s">
        <v>640</v>
      </c>
      <c r="E215" s="124">
        <v>4885.0</v>
      </c>
      <c r="F215" s="125"/>
      <c r="G215" s="114" t="s">
        <v>587</v>
      </c>
      <c r="H215" s="145" t="s">
        <v>603</v>
      </c>
      <c r="I215" s="146"/>
      <c r="J215" s="117">
        <f>IF(A215="RAPPI",(VLOOKUP(TRIM(D215), CATALOGO!F:G, 2, FALSE) * C215)+I215,IFERROR(IF(COUNTIF('RESTAURANTESDESCUENTOS 2026'!A:A,TRIM(A215))&gt;0,((VLOOKUP(TRIM(D215), CATALOGO!A:B, 2, FALSE) * C215)*(1-VALUE(SUBSTITUTE(VLOOKUP(TRIM(A215),'RESTAURANTESDESCUENTOS 2026'!A:B,2,FALSE),"%",""))/100)+I215),(VLOOKUP(TRIM(D215), CATALOGO!A:B, 2, FALSE) * C215+I215)),""))</f>
        <v>53000</v>
      </c>
      <c r="K215" s="146"/>
      <c r="L215" s="135"/>
      <c r="M215" s="129" t="s">
        <v>587</v>
      </c>
      <c r="N215" s="130"/>
    </row>
    <row r="216" ht="22.5" hidden="1" customHeight="1">
      <c r="A216" s="131" t="s">
        <v>603</v>
      </c>
      <c r="B216" s="110">
        <v>46035.0</v>
      </c>
      <c r="C216" s="143">
        <v>1.0</v>
      </c>
      <c r="D216" s="112" t="s">
        <v>628</v>
      </c>
      <c r="E216" s="111">
        <v>4885.0</v>
      </c>
      <c r="F216" s="112"/>
      <c r="G216" s="114" t="s">
        <v>587</v>
      </c>
      <c r="H216" s="144" t="s">
        <v>603</v>
      </c>
      <c r="I216" s="140"/>
      <c r="J216" s="117">
        <f>IF(A216="RAPPI",(VLOOKUP(TRIM(D216), CATALOGO!F:G, 2, FALSE) * C216)+I216,IFERROR(IF(COUNTIF('RESTAURANTESDESCUENTOS 2026'!A:A,TRIM(A216))&gt;0,((VLOOKUP(TRIM(D216), CATALOGO!A:B, 2, FALSE) * C216)*(1-VALUE(SUBSTITUTE(VLOOKUP(TRIM(A216),'RESTAURANTESDESCUENTOS 2026'!A:B,2,FALSE),"%",""))/100)+I216),(VLOOKUP(TRIM(D216), CATALOGO!A:B, 2, FALSE) * C216+I216)),""))</f>
        <v>22000</v>
      </c>
      <c r="K216" s="140"/>
      <c r="L216" s="132"/>
      <c r="M216" s="120" t="s">
        <v>587</v>
      </c>
      <c r="N216" s="121"/>
    </row>
    <row r="217" ht="22.5" hidden="1" customHeight="1">
      <c r="A217" s="122" t="s">
        <v>603</v>
      </c>
      <c r="B217" s="123">
        <v>46035.0</v>
      </c>
      <c r="C217" s="124">
        <v>1.0</v>
      </c>
      <c r="D217" s="125" t="s">
        <v>654</v>
      </c>
      <c r="E217" s="124">
        <v>4885.0</v>
      </c>
      <c r="F217" s="125"/>
      <c r="G217" s="114" t="s">
        <v>587</v>
      </c>
      <c r="H217" s="145" t="s">
        <v>603</v>
      </c>
      <c r="I217" s="146"/>
      <c r="J217" s="117">
        <f>IF(A217="RAPPI",(VLOOKUP(TRIM(D217), CATALOGO!F:G, 2, FALSE) * C217)+I217,IFERROR(IF(COUNTIF('RESTAURANTESDESCUENTOS 2026'!A:A,TRIM(A217))&gt;0,((VLOOKUP(TRIM(D217), CATALOGO!A:B, 2, FALSE) * C217)*(1-VALUE(SUBSTITUTE(VLOOKUP(TRIM(A217),'RESTAURANTESDESCUENTOS 2026'!A:B,2,FALSE),"%",""))/100)+I217),(VLOOKUP(TRIM(D217), CATALOGO!A:B, 2, FALSE) * C217+I217)),""))</f>
        <v>4000</v>
      </c>
      <c r="K217" s="146"/>
      <c r="L217" s="135"/>
      <c r="M217" s="129" t="s">
        <v>587</v>
      </c>
      <c r="N217" s="130"/>
    </row>
    <row r="218" ht="22.5" hidden="1" customHeight="1">
      <c r="A218" s="131" t="s">
        <v>603</v>
      </c>
      <c r="B218" s="110">
        <v>46035.0</v>
      </c>
      <c r="C218" s="111">
        <v>1.0</v>
      </c>
      <c r="D218" s="112" t="s">
        <v>554</v>
      </c>
      <c r="E218" s="111">
        <v>1946.0</v>
      </c>
      <c r="F218" s="112"/>
      <c r="G218" s="114" t="s">
        <v>587</v>
      </c>
      <c r="H218" s="144" t="s">
        <v>603</v>
      </c>
      <c r="I218" s="140"/>
      <c r="J218" s="117">
        <f>IF(A218="RAPPI",(VLOOKUP(TRIM(D218), CATALOGO!F:G, 2, FALSE) * C218)+I218,IFERROR(IF(COUNTIF('RESTAURANTESDESCUENTOS 2026'!A:A,TRIM(A218))&gt;0,((VLOOKUP(TRIM(D218), CATALOGO!A:B, 2, FALSE) * C218)*(1-VALUE(SUBSTITUTE(VLOOKUP(TRIM(A218),'RESTAURANTESDESCUENTOS 2026'!A:B,2,FALSE),"%",""))/100)+I218),(VLOOKUP(TRIM(D218), CATALOGO!A:B, 2, FALSE) * C218+I218)),""))</f>
        <v>53000</v>
      </c>
      <c r="K218" s="140"/>
      <c r="L218" s="132"/>
      <c r="M218" s="120" t="s">
        <v>587</v>
      </c>
      <c r="N218" s="121"/>
    </row>
    <row r="219" ht="22.5" hidden="1" customHeight="1">
      <c r="A219" s="122" t="s">
        <v>603</v>
      </c>
      <c r="B219" s="123">
        <v>46035.0</v>
      </c>
      <c r="C219" s="124">
        <v>1.0</v>
      </c>
      <c r="D219" s="125" t="s">
        <v>176</v>
      </c>
      <c r="E219" s="124">
        <v>1946.0</v>
      </c>
      <c r="F219" s="125"/>
      <c r="G219" s="114" t="s">
        <v>587</v>
      </c>
      <c r="H219" s="145" t="s">
        <v>603</v>
      </c>
      <c r="I219" s="146"/>
      <c r="J219" s="117">
        <f>IF(A219="RAPPI",(VLOOKUP(TRIM(D219), CATALOGO!F:G, 2, FALSE) * C219)+I219,IFERROR(IF(COUNTIF('RESTAURANTESDESCUENTOS 2026'!A:A,TRIM(A219))&gt;0,((VLOOKUP(TRIM(D219), CATALOGO!A:B, 2, FALSE) * C219)*(1-VALUE(SUBSTITUTE(VLOOKUP(TRIM(A219),'RESTAURANTESDESCUENTOS 2026'!A:B,2,FALSE),"%",""))/100)+I219),(VLOOKUP(TRIM(D219), CATALOGO!A:B, 2, FALSE) * C219+I219)),""))</f>
        <v>50000</v>
      </c>
      <c r="K219" s="146"/>
      <c r="L219" s="135"/>
      <c r="M219" s="129" t="s">
        <v>587</v>
      </c>
      <c r="N219" s="130"/>
    </row>
    <row r="220" ht="22.5" hidden="1" customHeight="1">
      <c r="A220" s="131" t="s">
        <v>605</v>
      </c>
      <c r="B220" s="110">
        <v>46035.0</v>
      </c>
      <c r="C220" s="111">
        <v>1.0</v>
      </c>
      <c r="D220" s="112" t="s">
        <v>176</v>
      </c>
      <c r="E220" s="111" t="s">
        <v>606</v>
      </c>
      <c r="F220" s="112"/>
      <c r="G220" s="114" t="s">
        <v>35</v>
      </c>
      <c r="H220" s="139"/>
      <c r="I220" s="140"/>
      <c r="J220" s="117">
        <f>IF(A220="RAPPI",(VLOOKUP(TRIM(D220), CATALOGO!F:G, 2, FALSE) * C220)+I220,IFERROR(IF(COUNTIF('RESTAURANTESDESCUENTOS 2026'!A:A,TRIM(A220))&gt;0,((VLOOKUP(TRIM(D220), CATALOGO!A:B, 2, FALSE) * C220)*(1-VALUE(SUBSTITUTE(VLOOKUP(TRIM(A220),'RESTAURANTESDESCUENTOS 2026'!A:B,2,FALSE),"%",""))/100)+I220),(VLOOKUP(TRIM(D220), CATALOGO!A:B, 2, FALSE) * C220+I220)),""))</f>
        <v>50000</v>
      </c>
      <c r="K220" s="140"/>
      <c r="L220" s="132"/>
      <c r="M220" s="120" t="s">
        <v>587</v>
      </c>
      <c r="N220" s="121"/>
    </row>
    <row r="221" ht="22.5" hidden="1" customHeight="1">
      <c r="A221" s="122" t="s">
        <v>605</v>
      </c>
      <c r="B221" s="123">
        <v>46035.0</v>
      </c>
      <c r="C221" s="124">
        <v>1.0</v>
      </c>
      <c r="D221" s="125" t="s">
        <v>177</v>
      </c>
      <c r="E221" s="124" t="s">
        <v>607</v>
      </c>
      <c r="F221" s="125"/>
      <c r="G221" s="114" t="s">
        <v>35</v>
      </c>
      <c r="H221" s="134"/>
      <c r="I221" s="146"/>
      <c r="J221" s="117">
        <f>IF(A221="RAPPI",(VLOOKUP(TRIM(D221), CATALOGO!F:G, 2, FALSE) * C221)+I221,IFERROR(IF(COUNTIF('RESTAURANTESDESCUENTOS 2026'!A:A,TRIM(A221))&gt;0,((VLOOKUP(TRIM(D221), CATALOGO!A:B, 2, FALSE) * C221)*(1-VALUE(SUBSTITUTE(VLOOKUP(TRIM(A221),'RESTAURANTESDESCUENTOS 2026'!A:B,2,FALSE),"%",""))/100)+I221),(VLOOKUP(TRIM(D221), CATALOGO!A:B, 2, FALSE) * C221+I221)),""))</f>
        <v>115000</v>
      </c>
      <c r="K221" s="146"/>
      <c r="L221" s="135"/>
      <c r="M221" s="129" t="s">
        <v>587</v>
      </c>
      <c r="N221" s="130"/>
    </row>
    <row r="222" ht="22.5" hidden="1" customHeight="1">
      <c r="A222" s="141" t="s">
        <v>603</v>
      </c>
      <c r="B222" s="110">
        <v>46035.0</v>
      </c>
      <c r="C222" s="111">
        <v>1.0</v>
      </c>
      <c r="D222" s="112" t="s">
        <v>708</v>
      </c>
      <c r="E222" s="111">
        <v>7612.0</v>
      </c>
      <c r="F222" s="112"/>
      <c r="G222" s="114" t="s">
        <v>587</v>
      </c>
      <c r="H222" s="144" t="s">
        <v>603</v>
      </c>
      <c r="I222" s="140"/>
      <c r="J222" s="117">
        <f>IF(A222="RAPPI",(VLOOKUP(TRIM(D222), CATALOGO!F:G, 2, FALSE) * C222)+I222,IFERROR(IF(COUNTIF('RESTAURANTESDESCUENTOS 2026'!A:A,TRIM(A222))&gt;0,((VLOOKUP(TRIM(D222), CATALOGO!A:B, 2, FALSE) * C222)*(1-VALUE(SUBSTITUTE(VLOOKUP(TRIM(A222),'RESTAURANTESDESCUENTOS 2026'!A:B,2,FALSE),"%",""))/100)+I222),(VLOOKUP(TRIM(D222), CATALOGO!A:B, 2, FALSE) * C222+I222)),""))</f>
        <v>53000</v>
      </c>
      <c r="K222" s="140"/>
      <c r="L222" s="132"/>
      <c r="M222" s="120" t="s">
        <v>587</v>
      </c>
      <c r="N222" s="121"/>
    </row>
    <row r="223" ht="22.5" hidden="1" customHeight="1">
      <c r="A223" s="131" t="s">
        <v>593</v>
      </c>
      <c r="B223" s="110">
        <v>46036.0</v>
      </c>
      <c r="C223" s="111">
        <v>1.0</v>
      </c>
      <c r="D223" s="112" t="s">
        <v>178</v>
      </c>
      <c r="E223" s="111" t="s">
        <v>552</v>
      </c>
      <c r="F223" s="112"/>
      <c r="G223" s="114" t="s">
        <v>35</v>
      </c>
      <c r="H223" s="139"/>
      <c r="I223" s="140"/>
      <c r="J223" s="117">
        <f>IF(A223="RAPPI",(VLOOKUP(TRIM(D223), CATALOGO!F:G, 2, FALSE) * C223)+I223,IFERROR(IF(COUNTIF('RESTAURANTESDESCUENTOS 2026'!A:A,TRIM(A223))&gt;0,((VLOOKUP(TRIM(D223), CATALOGO!A:B, 2, FALSE) * C223)*(1-VALUE(SUBSTITUTE(VLOOKUP(TRIM(A223),'RESTAURANTESDESCUENTOS 2026'!A:B,2,FALSE),"%",""))/100)+I223),(VLOOKUP(TRIM(D223), CATALOGO!A:B, 2, FALSE) * C223+I223)),""))</f>
        <v>105000</v>
      </c>
      <c r="K223" s="140"/>
      <c r="L223" s="136" t="s">
        <v>587</v>
      </c>
      <c r="M223" s="120" t="s">
        <v>587</v>
      </c>
      <c r="N223" s="121"/>
    </row>
    <row r="224" ht="22.5" hidden="1" customHeight="1">
      <c r="A224" s="122" t="s">
        <v>25</v>
      </c>
      <c r="B224" s="123">
        <v>46036.0</v>
      </c>
      <c r="C224" s="124">
        <v>2.0</v>
      </c>
      <c r="D224" s="125" t="s">
        <v>178</v>
      </c>
      <c r="E224" s="124" t="s">
        <v>552</v>
      </c>
      <c r="F224" s="125"/>
      <c r="G224" s="114" t="s">
        <v>35</v>
      </c>
      <c r="H224" s="134"/>
      <c r="I224" s="127">
        <v>0.0</v>
      </c>
      <c r="J224" s="117">
        <f>IF(A224="RAPPI",(VLOOKUP(TRIM(D224), CATALOGO!F:G, 2, FALSE) * C224)+I224,IFERROR(IF(COUNTIF('RESTAURANTESDESCUENTOS 2026'!A:A,TRIM(A224))&gt;0,((VLOOKUP(TRIM(D224), CATALOGO!A:B, 2, FALSE) * C224)*(1-VALUE(SUBSTITUTE(VLOOKUP(TRIM(A224),'RESTAURANTESDESCUENTOS 2026'!A:B,2,FALSE),"%",""))/100)+I224),(VLOOKUP(TRIM(D224), CATALOGO!A:B, 2, FALSE) * C224+I224)),""))</f>
        <v>225000</v>
      </c>
      <c r="K224" s="146"/>
      <c r="L224" s="128" t="s">
        <v>587</v>
      </c>
      <c r="M224" s="129" t="s">
        <v>587</v>
      </c>
      <c r="N224" s="130"/>
    </row>
    <row r="225" ht="22.5" hidden="1" customHeight="1">
      <c r="A225" s="148" t="s">
        <v>23</v>
      </c>
      <c r="B225" s="110">
        <v>46036.0</v>
      </c>
      <c r="C225" s="111">
        <v>2.0</v>
      </c>
      <c r="D225" s="112" t="s">
        <v>178</v>
      </c>
      <c r="E225" s="111" t="s">
        <v>655</v>
      </c>
      <c r="F225" s="112"/>
      <c r="G225" s="114" t="s">
        <v>35</v>
      </c>
      <c r="H225" s="139"/>
      <c r="I225" s="116">
        <v>25000.0</v>
      </c>
      <c r="J225" s="117">
        <f>IF(A225="RAPPI",(VLOOKUP(TRIM(D225), CATALOGO!F:G, 2, FALSE) * C225)+I225,IFERROR(IF(COUNTIF('RESTAURANTESDESCUENTOS 2026'!A:A,TRIM(A225))&gt;0,((VLOOKUP(TRIM(D225), CATALOGO!A:B, 2, FALSE) * C225)*(1-VALUE(SUBSTITUTE(VLOOKUP(TRIM(A225),'RESTAURANTESDESCUENTOS 2026'!A:B,2,FALSE),"%",""))/100)+I225),(VLOOKUP(TRIM(D225), CATALOGO!A:B, 2, FALSE) * C225+I225)),""))</f>
        <v>250000</v>
      </c>
      <c r="K225" s="156"/>
      <c r="L225" s="136" t="s">
        <v>587</v>
      </c>
      <c r="M225" s="120" t="s">
        <v>587</v>
      </c>
      <c r="N225" s="121"/>
    </row>
    <row r="226" ht="22.5" hidden="1" customHeight="1">
      <c r="A226" s="122" t="s">
        <v>623</v>
      </c>
      <c r="B226" s="123">
        <v>46036.0</v>
      </c>
      <c r="C226" s="124">
        <v>1.0</v>
      </c>
      <c r="D226" s="125" t="s">
        <v>189</v>
      </c>
      <c r="E226" s="133"/>
      <c r="F226" s="134"/>
      <c r="G226" s="114" t="s">
        <v>587</v>
      </c>
      <c r="H226" s="151" t="s">
        <v>632</v>
      </c>
      <c r="I226" s="127">
        <v>10000.0</v>
      </c>
      <c r="J226" s="117">
        <f>IF(A226="RAPPI",(VLOOKUP(TRIM(D226), CATALOGO!F:G, 2, FALSE) * C226)+I226,IFERROR(IF(COUNTIF('RESTAURANTESDESCUENTOS 2026'!A:A,TRIM(A226))&gt;0,((VLOOKUP(TRIM(D226), CATALOGO!A:B, 2, FALSE) * C226)*(1-VALUE(SUBSTITUTE(VLOOKUP(TRIM(A226),'RESTAURANTESDESCUENTOS 2026'!A:B,2,FALSE),"%",""))/100)+I226),(VLOOKUP(TRIM(D226), CATALOGO!A:B, 2, FALSE) * C226+I226)),""))</f>
        <v>155000</v>
      </c>
      <c r="K226" s="127">
        <v>10000.0</v>
      </c>
      <c r="L226" s="135"/>
      <c r="M226" s="129" t="s">
        <v>587</v>
      </c>
      <c r="N226" s="130"/>
    </row>
    <row r="227" ht="22.5" hidden="1" customHeight="1">
      <c r="A227" s="122" t="s">
        <v>709</v>
      </c>
      <c r="B227" s="123">
        <v>46036.0</v>
      </c>
      <c r="C227" s="124">
        <v>1.0</v>
      </c>
      <c r="D227" s="125" t="s">
        <v>617</v>
      </c>
      <c r="E227" s="124" t="s">
        <v>645</v>
      </c>
      <c r="F227" s="125"/>
      <c r="G227" s="114" t="s">
        <v>587</v>
      </c>
      <c r="H227" s="151" t="s">
        <v>632</v>
      </c>
      <c r="I227" s="127">
        <v>10000.0</v>
      </c>
      <c r="J227" s="117">
        <f>IF(A227="RAPPI",(VLOOKUP(TRIM(D227), CATALOGO!F:G, 2, FALSE) * C227)+I227,IFERROR(IF(COUNTIF('RESTAURANTESDESCUENTOS 2026'!A:A,TRIM(A227))&gt;0,((VLOOKUP(TRIM(D227), CATALOGO!A:B, 2, FALSE) * C227)*(1-VALUE(SUBSTITUTE(VLOOKUP(TRIM(A227),'RESTAURANTESDESCUENTOS 2026'!A:B,2,FALSE),"%",""))/100)+I227),(VLOOKUP(TRIM(D227), CATALOGO!A:B, 2, FALSE) * C227+I227)),""))</f>
        <v>133000</v>
      </c>
      <c r="K227" s="127">
        <v>10000.0</v>
      </c>
      <c r="L227" s="128" t="s">
        <v>587</v>
      </c>
      <c r="M227" s="129" t="s">
        <v>587</v>
      </c>
      <c r="N227" s="130"/>
    </row>
    <row r="228" ht="22.5" hidden="1" customHeight="1">
      <c r="A228" s="122" t="s">
        <v>10</v>
      </c>
      <c r="B228" s="123">
        <v>46036.0</v>
      </c>
      <c r="C228" s="124">
        <v>1.0</v>
      </c>
      <c r="D228" s="125" t="s">
        <v>178</v>
      </c>
      <c r="E228" s="124" t="s">
        <v>610</v>
      </c>
      <c r="F228" s="125"/>
      <c r="G228" s="114" t="s">
        <v>587</v>
      </c>
      <c r="H228" s="151" t="s">
        <v>632</v>
      </c>
      <c r="I228" s="127">
        <v>10000.0</v>
      </c>
      <c r="J228" s="117">
        <f>IF(A228="RAPPI",(VLOOKUP(TRIM(D228), CATALOGO!F:G, 2, FALSE) * C228)+I228,IFERROR(IF(COUNTIF('RESTAURANTESDESCUENTOS 2026'!A:A,TRIM(A228))&gt;0,((VLOOKUP(TRIM(D228), CATALOGO!A:B, 2, FALSE) * C228)*(1-VALUE(SUBSTITUTE(VLOOKUP(TRIM(A228),'RESTAURANTESDESCUENTOS 2026'!A:B,2,FALSE),"%",""))/100)+I228),(VLOOKUP(TRIM(D228), CATALOGO!A:B, 2, FALSE) * C228+I228)),""))</f>
        <v>122500</v>
      </c>
      <c r="K228" s="127">
        <v>10000.0</v>
      </c>
      <c r="L228" s="128" t="s">
        <v>587</v>
      </c>
      <c r="M228" s="129" t="s">
        <v>587</v>
      </c>
      <c r="N228" s="130"/>
    </row>
    <row r="229" ht="22.5" hidden="1" customHeight="1">
      <c r="A229" s="148" t="s">
        <v>21</v>
      </c>
      <c r="B229" s="110">
        <v>46036.0</v>
      </c>
      <c r="C229" s="111">
        <v>1.0</v>
      </c>
      <c r="D229" s="112" t="s">
        <v>178</v>
      </c>
      <c r="E229" s="111" t="s">
        <v>624</v>
      </c>
      <c r="F229" s="112"/>
      <c r="G229" s="114" t="s">
        <v>587</v>
      </c>
      <c r="H229" s="153" t="s">
        <v>632</v>
      </c>
      <c r="I229" s="116">
        <v>15000.0</v>
      </c>
      <c r="J229" s="117">
        <f>IF(A229="RAPPI",(VLOOKUP(TRIM(D229), CATALOGO!F:G, 2, FALSE) * C229)+I229,IFERROR(IF(COUNTIF('RESTAURANTESDESCUENTOS 2026'!A:A,TRIM(A229))&gt;0,((VLOOKUP(TRIM(D229), CATALOGO!A:B, 2, FALSE) * C229)*(1-VALUE(SUBSTITUTE(VLOOKUP(TRIM(A229),'RESTAURANTESDESCUENTOS 2026'!A:B,2,FALSE),"%",""))/100)+I229),(VLOOKUP(TRIM(D229), CATALOGO!A:B, 2, FALSE) * C229+I229)),""))</f>
        <v>127500</v>
      </c>
      <c r="K229" s="116">
        <v>15000.0</v>
      </c>
      <c r="L229" s="136" t="s">
        <v>587</v>
      </c>
      <c r="M229" s="120" t="s">
        <v>587</v>
      </c>
      <c r="N229" s="121"/>
    </row>
    <row r="230" ht="22.5" hidden="1" customHeight="1">
      <c r="A230" s="131" t="s">
        <v>709</v>
      </c>
      <c r="B230" s="110">
        <v>46036.0</v>
      </c>
      <c r="C230" s="111">
        <v>1.0</v>
      </c>
      <c r="D230" s="139"/>
      <c r="E230" s="111" t="s">
        <v>710</v>
      </c>
      <c r="F230" s="112"/>
      <c r="G230" s="114" t="s">
        <v>587</v>
      </c>
      <c r="H230" s="153" t="s">
        <v>632</v>
      </c>
      <c r="I230" s="116">
        <v>0.0</v>
      </c>
      <c r="J230" s="142">
        <v>30000.0</v>
      </c>
      <c r="K230" s="116">
        <v>0.0</v>
      </c>
      <c r="L230" s="136" t="s">
        <v>587</v>
      </c>
      <c r="M230" s="120" t="s">
        <v>587</v>
      </c>
      <c r="N230" s="121"/>
    </row>
    <row r="231" ht="22.5" hidden="1" customHeight="1">
      <c r="A231" s="131" t="s">
        <v>711</v>
      </c>
      <c r="B231" s="110">
        <v>46036.0</v>
      </c>
      <c r="C231" s="111">
        <v>1.0</v>
      </c>
      <c r="D231" s="112" t="s">
        <v>619</v>
      </c>
      <c r="E231" s="111" t="s">
        <v>712</v>
      </c>
      <c r="F231" s="112"/>
      <c r="G231" s="114" t="s">
        <v>587</v>
      </c>
      <c r="H231" s="153" t="s">
        <v>632</v>
      </c>
      <c r="I231" s="116">
        <v>14000.0</v>
      </c>
      <c r="J231" s="117" t="str">
        <f>IF(A231="RAPPI",(VLOOKUP(TRIM(D231), CATALOGO!F:G, 2, FALSE) * C231)+I231,IFERROR(IF(COUNTIF('RESTAURANTESDESCUENTOS 2026'!A:A,TRIM(A231))&gt;0,((VLOOKUP(TRIM(D231), CATALOGO!A:B, 2, FALSE) * C231)*(1-VALUE(SUBSTITUTE(VLOOKUP(TRIM(A231),'RESTAURANTESDESCUENTOS 2026'!A:B,2,FALSE),"%",""))/100)+I231),(VLOOKUP(TRIM(D231), CATALOGO!A:B, 2, FALSE) * C231+I231)),""))</f>
        <v/>
      </c>
      <c r="K231" s="116">
        <v>14000.0</v>
      </c>
      <c r="L231" s="132"/>
      <c r="M231" s="120" t="s">
        <v>587</v>
      </c>
      <c r="N231" s="121"/>
    </row>
    <row r="232" ht="22.5" hidden="1" customHeight="1">
      <c r="A232" s="147" t="s">
        <v>713</v>
      </c>
      <c r="B232" s="123">
        <v>46036.0</v>
      </c>
      <c r="C232" s="124">
        <v>1.0</v>
      </c>
      <c r="D232" s="125" t="s">
        <v>555</v>
      </c>
      <c r="E232" s="124" t="s">
        <v>637</v>
      </c>
      <c r="F232" s="125"/>
      <c r="G232" s="114" t="s">
        <v>587</v>
      </c>
      <c r="H232" s="151" t="s">
        <v>632</v>
      </c>
      <c r="I232" s="127">
        <v>12000.0</v>
      </c>
      <c r="J232" s="117">
        <f>IF(A232="RAPPI",(VLOOKUP(TRIM(D232), CATALOGO!F:G, 2, FALSE) * C232)+I232,IFERROR(IF(COUNTIF('RESTAURANTESDESCUENTOS 2026'!A:A,TRIM(A232))&gt;0,((VLOOKUP(TRIM(D232), CATALOGO!A:B, 2, FALSE) * C232)*(1-VALUE(SUBSTITUTE(VLOOKUP(TRIM(A232),'RESTAURANTESDESCUENTOS 2026'!A:B,2,FALSE),"%",""))/100)+I232),(VLOOKUP(TRIM(D232), CATALOGO!A:B, 2, FALSE) * C232+I232)),""))</f>
        <v>135000</v>
      </c>
      <c r="K232" s="127">
        <v>12000.0</v>
      </c>
      <c r="L232" s="135"/>
      <c r="M232" s="129" t="s">
        <v>587</v>
      </c>
      <c r="N232" s="130"/>
    </row>
    <row r="233" ht="22.5" hidden="1" customHeight="1">
      <c r="A233" s="122" t="s">
        <v>603</v>
      </c>
      <c r="B233" s="123">
        <v>46036.0</v>
      </c>
      <c r="C233" s="124">
        <v>1.0</v>
      </c>
      <c r="D233" s="125" t="s">
        <v>176</v>
      </c>
      <c r="E233" s="124">
        <v>189.0</v>
      </c>
      <c r="F233" s="125"/>
      <c r="G233" s="114" t="s">
        <v>587</v>
      </c>
      <c r="H233" s="145" t="s">
        <v>603</v>
      </c>
      <c r="I233" s="146"/>
      <c r="J233" s="117">
        <f>IF(A233="RAPPI",(VLOOKUP(TRIM(D233), CATALOGO!F:G, 2, FALSE) * C233)+I233,IFERROR(IF(COUNTIF('RESTAURANTESDESCUENTOS 2026'!A:A,TRIM(A233))&gt;0,((VLOOKUP(TRIM(D233), CATALOGO!A:B, 2, FALSE) * C233)*(1-VALUE(SUBSTITUTE(VLOOKUP(TRIM(A233),'RESTAURANTESDESCUENTOS 2026'!A:B,2,FALSE),"%",""))/100)+I233),(VLOOKUP(TRIM(D233), CATALOGO!A:B, 2, FALSE) * C233+I233)),""))</f>
        <v>50000</v>
      </c>
      <c r="K233" s="146"/>
      <c r="L233" s="135"/>
      <c r="M233" s="129" t="s">
        <v>587</v>
      </c>
      <c r="N233" s="130"/>
    </row>
    <row r="234" ht="22.5" hidden="1" customHeight="1">
      <c r="A234" s="131" t="s">
        <v>714</v>
      </c>
      <c r="B234" s="110">
        <v>46036.0</v>
      </c>
      <c r="C234" s="111">
        <v>1.0</v>
      </c>
      <c r="D234" s="112" t="s">
        <v>555</v>
      </c>
      <c r="E234" s="111" t="s">
        <v>715</v>
      </c>
      <c r="F234" s="112"/>
      <c r="G234" s="114" t="s">
        <v>587</v>
      </c>
      <c r="H234" s="115" t="s">
        <v>588</v>
      </c>
      <c r="I234" s="116">
        <v>10000.0</v>
      </c>
      <c r="J234" s="117">
        <f>IF(A234="RAPPI",(VLOOKUP(TRIM(D234), CATALOGO!F:G, 2, FALSE) * C234)+I234,IFERROR(IF(COUNTIF('RESTAURANTESDESCUENTOS 2026'!A:A,TRIM(A234))&gt;0,((VLOOKUP(TRIM(D234), CATALOGO!A:B, 2, FALSE) * C234)*(1-VALUE(SUBSTITUTE(VLOOKUP(TRIM(A234),'RESTAURANTESDESCUENTOS 2026'!A:B,2,FALSE),"%",""))/100)+I234),(VLOOKUP(TRIM(D234), CATALOGO!A:B, 2, FALSE) * C234+I234)),""))</f>
        <v>133000</v>
      </c>
      <c r="K234" s="116">
        <v>10000.0</v>
      </c>
      <c r="L234" s="132"/>
      <c r="M234" s="120" t="s">
        <v>587</v>
      </c>
      <c r="N234" s="121"/>
    </row>
    <row r="235" ht="22.5" hidden="1" customHeight="1">
      <c r="A235" s="122" t="s">
        <v>711</v>
      </c>
      <c r="B235" s="123">
        <v>46036.0</v>
      </c>
      <c r="C235" s="124">
        <v>1.0</v>
      </c>
      <c r="D235" s="125" t="s">
        <v>639</v>
      </c>
      <c r="E235" s="133"/>
      <c r="F235" s="134"/>
      <c r="G235" s="114" t="s">
        <v>587</v>
      </c>
      <c r="H235" s="151" t="s">
        <v>632</v>
      </c>
      <c r="I235" s="127">
        <v>0.0</v>
      </c>
      <c r="J235" s="117">
        <f>IF(A235="RAPPI",(VLOOKUP(TRIM(D235), CATALOGO!F:G, 2, FALSE) * C235)+I235,IFERROR(IF(COUNTIF('RESTAURANTESDESCUENTOS 2026'!A:A,TRIM(A235))&gt;0,((VLOOKUP(TRIM(D235), CATALOGO!A:B, 2, FALSE) * C235)*(1-VALUE(SUBSTITUTE(VLOOKUP(TRIM(A235),'RESTAURANTESDESCUENTOS 2026'!A:B,2,FALSE),"%",""))/100)+I235),(VLOOKUP(TRIM(D235), CATALOGO!A:B, 2, FALSE) * C235+I235)),""))</f>
        <v>0</v>
      </c>
      <c r="K235" s="127">
        <v>0.0</v>
      </c>
      <c r="L235" s="135"/>
      <c r="M235" s="129" t="s">
        <v>587</v>
      </c>
      <c r="N235" s="130"/>
    </row>
    <row r="236" ht="22.5" hidden="1" customHeight="1">
      <c r="A236" s="131" t="s">
        <v>711</v>
      </c>
      <c r="B236" s="110">
        <v>46036.0</v>
      </c>
      <c r="C236" s="111">
        <v>1.0</v>
      </c>
      <c r="D236" s="112" t="s">
        <v>620</v>
      </c>
      <c r="E236" s="138"/>
      <c r="F236" s="139"/>
      <c r="G236" s="114" t="s">
        <v>587</v>
      </c>
      <c r="H236" s="153" t="s">
        <v>632</v>
      </c>
      <c r="I236" s="116">
        <v>0.0</v>
      </c>
      <c r="J236" s="117">
        <f>IF(A236="RAPPI",(VLOOKUP(TRIM(D236), CATALOGO!F:G, 2, FALSE) * C236)+I236,IFERROR(IF(COUNTIF('RESTAURANTESDESCUENTOS 2026'!A:A,TRIM(A236))&gt;0,((VLOOKUP(TRIM(D236), CATALOGO!A:B, 2, FALSE) * C236)*(1-VALUE(SUBSTITUTE(VLOOKUP(TRIM(A236),'RESTAURANTESDESCUENTOS 2026'!A:B,2,FALSE),"%",""))/100)+I236),(VLOOKUP(TRIM(D236), CATALOGO!A:B, 2, FALSE) * C236+I236)),""))</f>
        <v>0</v>
      </c>
      <c r="K236" s="116">
        <v>0.0</v>
      </c>
      <c r="L236" s="132"/>
      <c r="M236" s="120" t="s">
        <v>587</v>
      </c>
      <c r="N236" s="121"/>
    </row>
    <row r="237" ht="22.5" hidden="1" customHeight="1">
      <c r="A237" s="122" t="s">
        <v>711</v>
      </c>
      <c r="B237" s="123">
        <v>46036.0</v>
      </c>
      <c r="C237" s="124">
        <v>1.0</v>
      </c>
      <c r="D237" s="125" t="s">
        <v>669</v>
      </c>
      <c r="E237" s="133"/>
      <c r="F237" s="134"/>
      <c r="G237" s="114" t="s">
        <v>587</v>
      </c>
      <c r="H237" s="151" t="s">
        <v>632</v>
      </c>
      <c r="I237" s="127">
        <v>0.0</v>
      </c>
      <c r="J237" s="117">
        <f>IF(A237="RAPPI",(VLOOKUP(TRIM(D237), CATALOGO!F:G, 2, FALSE) * C237)+I237,IFERROR(IF(COUNTIF('RESTAURANTESDESCUENTOS 2026'!A:A,TRIM(A237))&gt;0,((VLOOKUP(TRIM(D237), CATALOGO!A:B, 2, FALSE) * C237)*(1-VALUE(SUBSTITUTE(VLOOKUP(TRIM(A237),'RESTAURANTESDESCUENTOS 2026'!A:B,2,FALSE),"%",""))/100)+I237),(VLOOKUP(TRIM(D237), CATALOGO!A:B, 2, FALSE) * C237+I237)),""))</f>
        <v>0</v>
      </c>
      <c r="K237" s="127">
        <v>0.0</v>
      </c>
      <c r="L237" s="135"/>
      <c r="M237" s="129" t="s">
        <v>587</v>
      </c>
      <c r="N237" s="130"/>
    </row>
    <row r="238" ht="22.5" hidden="1" customHeight="1">
      <c r="A238" s="131" t="s">
        <v>711</v>
      </c>
      <c r="B238" s="110">
        <v>46036.0</v>
      </c>
      <c r="C238" s="111">
        <v>1.0</v>
      </c>
      <c r="D238" s="112" t="s">
        <v>236</v>
      </c>
      <c r="E238" s="138"/>
      <c r="F238" s="139"/>
      <c r="G238" s="114" t="s">
        <v>587</v>
      </c>
      <c r="H238" s="153" t="s">
        <v>632</v>
      </c>
      <c r="I238" s="116">
        <v>0.0</v>
      </c>
      <c r="J238" s="117">
        <f>IF(A238="RAPPI",(VLOOKUP(TRIM(D238), CATALOGO!F:G, 2, FALSE) * C238)+I238,IFERROR(IF(COUNTIF('RESTAURANTESDESCUENTOS 2026'!A:A,TRIM(A238))&gt;0,((VLOOKUP(TRIM(D238), CATALOGO!A:B, 2, FALSE) * C238)*(1-VALUE(SUBSTITUTE(VLOOKUP(TRIM(A238),'RESTAURANTESDESCUENTOS 2026'!A:B,2,FALSE),"%",""))/100)+I238),(VLOOKUP(TRIM(D238), CATALOGO!A:B, 2, FALSE) * C238+I238)),""))</f>
        <v>0</v>
      </c>
      <c r="K238" s="116">
        <v>0.0</v>
      </c>
      <c r="L238" s="132"/>
      <c r="M238" s="120" t="s">
        <v>587</v>
      </c>
      <c r="N238" s="121"/>
    </row>
    <row r="239" ht="22.5" hidden="1" customHeight="1">
      <c r="A239" s="147" t="s">
        <v>716</v>
      </c>
      <c r="B239" s="123">
        <v>46036.0</v>
      </c>
      <c r="C239" s="124">
        <v>1.0</v>
      </c>
      <c r="D239" s="125" t="s">
        <v>176</v>
      </c>
      <c r="E239" s="133"/>
      <c r="F239" s="134"/>
      <c r="G239" s="114" t="s">
        <v>587</v>
      </c>
      <c r="H239" s="151" t="s">
        <v>632</v>
      </c>
      <c r="I239" s="127">
        <v>12000.0</v>
      </c>
      <c r="J239" s="117">
        <f>IF(A239="RAPPI",(VLOOKUP(TRIM(D239), CATALOGO!F:G, 2, FALSE) * C239)+I239,IFERROR(IF(COUNTIF('RESTAURANTESDESCUENTOS 2026'!A:A,TRIM(A239))&gt;0,((VLOOKUP(TRIM(D239), CATALOGO!A:B, 2, FALSE) * C239)*(1-VALUE(SUBSTITUTE(VLOOKUP(TRIM(A239),'RESTAURANTESDESCUENTOS 2026'!A:B,2,FALSE),"%",""))/100)+I239),(VLOOKUP(TRIM(D239), CATALOGO!A:B, 2, FALSE) * C239+I239)),""))</f>
        <v>62000</v>
      </c>
      <c r="K239" s="127">
        <v>12000.0</v>
      </c>
      <c r="L239" s="135"/>
      <c r="M239" s="129" t="s">
        <v>587</v>
      </c>
      <c r="N239" s="130"/>
    </row>
    <row r="240" ht="22.5" hidden="1" customHeight="1">
      <c r="A240" s="131" t="s">
        <v>30</v>
      </c>
      <c r="B240" s="110">
        <v>46036.0</v>
      </c>
      <c r="C240" s="111">
        <v>2.0</v>
      </c>
      <c r="D240" s="112" t="s">
        <v>178</v>
      </c>
      <c r="E240" s="111" t="s">
        <v>610</v>
      </c>
      <c r="F240" s="112"/>
      <c r="G240" s="114" t="s">
        <v>35</v>
      </c>
      <c r="H240" s="139"/>
      <c r="I240" s="116">
        <v>25000.0</v>
      </c>
      <c r="J240" s="117">
        <f>IF(A240="RAPPI",(VLOOKUP(TRIM(D240), CATALOGO!F:G, 2, FALSE) * C240)+I240,IFERROR(IF(COUNTIF('RESTAURANTESDESCUENTOS 2026'!A:A,TRIM(A240))&gt;0,((VLOOKUP(TRIM(D240), CATALOGO!A:B, 2, FALSE) * C240)*(1-VALUE(SUBSTITUTE(VLOOKUP(TRIM(A240),'RESTAURANTESDESCUENTOS 2026'!A:B,2,FALSE),"%",""))/100)+I240),(VLOOKUP(TRIM(D240), CATALOGO!A:B, 2, FALSE) * C240+I240)),""))</f>
        <v>250000</v>
      </c>
      <c r="K240" s="156"/>
      <c r="L240" s="136" t="s">
        <v>587</v>
      </c>
      <c r="M240" s="120" t="s">
        <v>587</v>
      </c>
      <c r="N240" s="121"/>
    </row>
    <row r="241" ht="22.5" hidden="1" customHeight="1">
      <c r="A241" s="131" t="s">
        <v>717</v>
      </c>
      <c r="B241" s="110">
        <v>46036.0</v>
      </c>
      <c r="C241" s="111">
        <v>1.0</v>
      </c>
      <c r="D241" s="112" t="s">
        <v>618</v>
      </c>
      <c r="E241" s="111" t="s">
        <v>645</v>
      </c>
      <c r="F241" s="112"/>
      <c r="G241" s="114" t="s">
        <v>587</v>
      </c>
      <c r="H241" s="153" t="s">
        <v>632</v>
      </c>
      <c r="I241" s="116">
        <v>10000.0</v>
      </c>
      <c r="J241" s="117">
        <f>IF(A241="RAPPI",(VLOOKUP(TRIM(D241), CATALOGO!F:G, 2, FALSE) * C241)+I241,IFERROR(IF(COUNTIF('RESTAURANTESDESCUENTOS 2026'!A:A,TRIM(A241))&gt;0,((VLOOKUP(TRIM(D241), CATALOGO!A:B, 2, FALSE) * C241)*(1-VALUE(SUBSTITUTE(VLOOKUP(TRIM(A241),'RESTAURANTESDESCUENTOS 2026'!A:B,2,FALSE),"%",""))/100)+I241),(VLOOKUP(TRIM(D241), CATALOGO!A:B, 2, FALSE) * C241+I241)),""))</f>
        <v>63000</v>
      </c>
      <c r="K241" s="116">
        <v>10000.0</v>
      </c>
      <c r="L241" s="157"/>
      <c r="M241" s="120" t="s">
        <v>587</v>
      </c>
      <c r="N241" s="121"/>
    </row>
    <row r="242" ht="22.5" hidden="1" customHeight="1">
      <c r="A242" s="131" t="s">
        <v>718</v>
      </c>
      <c r="B242" s="110">
        <v>46036.0</v>
      </c>
      <c r="C242" s="111">
        <v>1.0</v>
      </c>
      <c r="D242" s="112" t="s">
        <v>176</v>
      </c>
      <c r="E242" s="138"/>
      <c r="F242" s="139"/>
      <c r="G242" s="114" t="s">
        <v>587</v>
      </c>
      <c r="H242" s="115" t="s">
        <v>588</v>
      </c>
      <c r="I242" s="116">
        <v>16000.0</v>
      </c>
      <c r="J242" s="117">
        <f>IF(A242="RAPPI",(VLOOKUP(TRIM(D242), CATALOGO!F:G, 2, FALSE) * C242)+I242,IFERROR(IF(COUNTIF('RESTAURANTESDESCUENTOS 2026'!A:A,TRIM(A242))&gt;0,((VLOOKUP(TRIM(D242), CATALOGO!A:B, 2, FALSE) * C242)*(1-VALUE(SUBSTITUTE(VLOOKUP(TRIM(A242),'RESTAURANTESDESCUENTOS 2026'!A:B,2,FALSE),"%",""))/100)+I242),(VLOOKUP(TRIM(D242), CATALOGO!A:B, 2, FALSE) * C242+I242)),""))</f>
        <v>66000</v>
      </c>
      <c r="K242" s="116">
        <v>16000.0</v>
      </c>
      <c r="L242" s="157"/>
      <c r="M242" s="120" t="s">
        <v>587</v>
      </c>
      <c r="N242" s="121"/>
    </row>
    <row r="243" ht="22.5" hidden="1" customHeight="1">
      <c r="A243" s="122" t="s">
        <v>719</v>
      </c>
      <c r="B243" s="123">
        <v>46036.0</v>
      </c>
      <c r="C243" s="124">
        <v>1.0</v>
      </c>
      <c r="D243" s="125" t="s">
        <v>554</v>
      </c>
      <c r="E243" s="133"/>
      <c r="F243" s="134"/>
      <c r="G243" s="114" t="s">
        <v>587</v>
      </c>
      <c r="H243" s="126" t="s">
        <v>588</v>
      </c>
      <c r="I243" s="127">
        <v>12000.0</v>
      </c>
      <c r="J243" s="117">
        <f>IF(A243="RAPPI",(VLOOKUP(TRIM(D243), CATALOGO!F:G, 2, FALSE) * C243)+I243,IFERROR(IF(COUNTIF('RESTAURANTESDESCUENTOS 2026'!A:A,TRIM(A243))&gt;0,((VLOOKUP(TRIM(D243), CATALOGO!A:B, 2, FALSE) * C243)*(1-VALUE(SUBSTITUTE(VLOOKUP(TRIM(A243),'RESTAURANTESDESCUENTOS 2026'!A:B,2,FALSE),"%",""))/100)+I243),(VLOOKUP(TRIM(D243), CATALOGO!A:B, 2, FALSE) * C243+I243)),""))</f>
        <v>65000</v>
      </c>
      <c r="K243" s="127">
        <v>12000.0</v>
      </c>
      <c r="L243" s="158"/>
      <c r="M243" s="129" t="s">
        <v>587</v>
      </c>
      <c r="N243" s="130"/>
    </row>
    <row r="244" ht="22.5" hidden="1" customHeight="1">
      <c r="A244" s="122" t="s">
        <v>605</v>
      </c>
      <c r="B244" s="123">
        <v>46036.0</v>
      </c>
      <c r="C244" s="124">
        <v>1.0</v>
      </c>
      <c r="D244" s="125" t="s">
        <v>176</v>
      </c>
      <c r="E244" s="124" t="s">
        <v>606</v>
      </c>
      <c r="F244" s="125"/>
      <c r="G244" s="114" t="s">
        <v>35</v>
      </c>
      <c r="H244" s="134"/>
      <c r="I244" s="146"/>
      <c r="J244" s="117">
        <f>IF(A244="RAPPI",(VLOOKUP(TRIM(D244), CATALOGO!F:G, 2, FALSE) * C244)+I244,IFERROR(IF(COUNTIF('RESTAURANTESDESCUENTOS 2026'!A:A,TRIM(A244))&gt;0,((VLOOKUP(TRIM(D244), CATALOGO!A:B, 2, FALSE) * C244)*(1-VALUE(SUBSTITUTE(VLOOKUP(TRIM(A244),'RESTAURANTESDESCUENTOS 2026'!A:B,2,FALSE),"%",""))/100)+I244),(VLOOKUP(TRIM(D244), CATALOGO!A:B, 2, FALSE) * C244+I244)),""))</f>
        <v>50000</v>
      </c>
      <c r="K244" s="146"/>
      <c r="L244" s="158"/>
      <c r="M244" s="129" t="s">
        <v>587</v>
      </c>
      <c r="N244" s="130"/>
    </row>
    <row r="245" ht="22.5" hidden="1" customHeight="1">
      <c r="A245" s="122" t="s">
        <v>603</v>
      </c>
      <c r="B245" s="123">
        <v>46036.0</v>
      </c>
      <c r="C245" s="124">
        <v>1.0</v>
      </c>
      <c r="D245" s="125" t="s">
        <v>177</v>
      </c>
      <c r="E245" s="124">
        <v>5896.0</v>
      </c>
      <c r="F245" s="125"/>
      <c r="G245" s="114" t="s">
        <v>587</v>
      </c>
      <c r="H245" s="145" t="s">
        <v>603</v>
      </c>
      <c r="I245" s="146"/>
      <c r="J245" s="117">
        <f>IF(A245="RAPPI",(VLOOKUP(TRIM(D245), CATALOGO!F:G, 2, FALSE) * C245)+I245,IFERROR(IF(COUNTIF('RESTAURANTESDESCUENTOS 2026'!A:A,TRIM(A245))&gt;0,((VLOOKUP(TRIM(D245), CATALOGO!A:B, 2, FALSE) * C245)*(1-VALUE(SUBSTITUTE(VLOOKUP(TRIM(A245),'RESTAURANTESDESCUENTOS 2026'!A:B,2,FALSE),"%",""))/100)+I245),(VLOOKUP(TRIM(D245), CATALOGO!A:B, 2, FALSE) * C245+I245)),""))</f>
        <v>115000</v>
      </c>
      <c r="K245" s="146"/>
      <c r="L245" s="158"/>
      <c r="M245" s="129" t="s">
        <v>587</v>
      </c>
      <c r="N245" s="130"/>
    </row>
    <row r="246" ht="22.5" hidden="1" customHeight="1">
      <c r="A246" s="122" t="s">
        <v>605</v>
      </c>
      <c r="B246" s="123">
        <v>46036.0</v>
      </c>
      <c r="C246" s="143">
        <v>1.0</v>
      </c>
      <c r="D246" s="125" t="s">
        <v>602</v>
      </c>
      <c r="E246" s="124" t="s">
        <v>606</v>
      </c>
      <c r="F246" s="125"/>
      <c r="G246" s="114" t="s">
        <v>35</v>
      </c>
      <c r="H246" s="134"/>
      <c r="I246" s="146"/>
      <c r="J246" s="117">
        <f>IF(A246="RAPPI",(VLOOKUP(TRIM(D246), CATALOGO!F:G, 2, FALSE) * C246)+I246,IFERROR(IF(COUNTIF('RESTAURANTESDESCUENTOS 2026'!A:A,TRIM(A246))&gt;0,((VLOOKUP(TRIM(D246), CATALOGO!A:B, 2, FALSE) * C246)*(1-VALUE(SUBSTITUTE(VLOOKUP(TRIM(A246),'RESTAURANTESDESCUENTOS 2026'!A:B,2,FALSE),"%",""))/100)+I246),(VLOOKUP(TRIM(D246), CATALOGO!A:B, 2, FALSE) * C246+I246)),""))</f>
        <v>22000</v>
      </c>
      <c r="K246" s="146"/>
      <c r="L246" s="158"/>
      <c r="M246" s="129" t="s">
        <v>587</v>
      </c>
      <c r="N246" s="130"/>
    </row>
    <row r="247" ht="22.5" hidden="1" customHeight="1">
      <c r="A247" s="131" t="s">
        <v>605</v>
      </c>
      <c r="B247" s="110">
        <v>46036.0</v>
      </c>
      <c r="C247" s="111">
        <v>1.0</v>
      </c>
      <c r="D247" s="112" t="s">
        <v>176</v>
      </c>
      <c r="E247" s="111" t="s">
        <v>606</v>
      </c>
      <c r="F247" s="112"/>
      <c r="G247" s="114" t="s">
        <v>35</v>
      </c>
      <c r="H247" s="139"/>
      <c r="I247" s="140"/>
      <c r="J247" s="117">
        <f>IF(A247="RAPPI",(VLOOKUP(TRIM(D247), CATALOGO!F:G, 2, FALSE) * C247)+I247,IFERROR(IF(COUNTIF('RESTAURANTESDESCUENTOS 2026'!A:A,TRIM(A247))&gt;0,((VLOOKUP(TRIM(D247), CATALOGO!A:B, 2, FALSE) * C247)*(1-VALUE(SUBSTITUTE(VLOOKUP(TRIM(A247),'RESTAURANTESDESCUENTOS 2026'!A:B,2,FALSE),"%",""))/100)+I247),(VLOOKUP(TRIM(D247), CATALOGO!A:B, 2, FALSE) * C247+I247)),""))</f>
        <v>50000</v>
      </c>
      <c r="K247" s="140"/>
      <c r="L247" s="157"/>
      <c r="M247" s="120" t="s">
        <v>587</v>
      </c>
      <c r="N247" s="121"/>
    </row>
    <row r="248" ht="22.5" hidden="1" customHeight="1">
      <c r="A248" s="131" t="s">
        <v>605</v>
      </c>
      <c r="B248" s="110">
        <v>46036.0</v>
      </c>
      <c r="C248" s="111">
        <v>1.0</v>
      </c>
      <c r="D248" s="112" t="s">
        <v>176</v>
      </c>
      <c r="E248" s="111" t="s">
        <v>606</v>
      </c>
      <c r="F248" s="112"/>
      <c r="G248" s="114" t="s">
        <v>35</v>
      </c>
      <c r="H248" s="139"/>
      <c r="I248" s="140"/>
      <c r="J248" s="117">
        <f>IF(A248="RAPPI",(VLOOKUP(TRIM(D248), CATALOGO!F:G, 2, FALSE) * C248)+I248,IFERROR(IF(COUNTIF('RESTAURANTESDESCUENTOS 2026'!A:A,TRIM(A248))&gt;0,((VLOOKUP(TRIM(D248), CATALOGO!A:B, 2, FALSE) * C248)*(1-VALUE(SUBSTITUTE(VLOOKUP(TRIM(A248),'RESTAURANTESDESCUENTOS 2026'!A:B,2,FALSE),"%",""))/100)+I248),(VLOOKUP(TRIM(D248), CATALOGO!A:B, 2, FALSE) * C248+I248)),""))</f>
        <v>50000</v>
      </c>
      <c r="K248" s="140"/>
      <c r="L248" s="157"/>
      <c r="M248" s="120" t="s">
        <v>587</v>
      </c>
      <c r="N248" s="121"/>
    </row>
    <row r="249" ht="22.5" hidden="1" customHeight="1">
      <c r="A249" s="122" t="s">
        <v>605</v>
      </c>
      <c r="B249" s="123">
        <v>46036.0</v>
      </c>
      <c r="C249" s="124">
        <v>1.0</v>
      </c>
      <c r="D249" s="125" t="s">
        <v>177</v>
      </c>
      <c r="E249" s="124" t="s">
        <v>606</v>
      </c>
      <c r="F249" s="125"/>
      <c r="G249" s="114" t="s">
        <v>35</v>
      </c>
      <c r="H249" s="134"/>
      <c r="I249" s="146"/>
      <c r="J249" s="117">
        <f>IF(A249="RAPPI",(VLOOKUP(TRIM(D249), CATALOGO!F:G, 2, FALSE) * C249)+I249,IFERROR(IF(COUNTIF('RESTAURANTESDESCUENTOS 2026'!A:A,TRIM(A249))&gt;0,((VLOOKUP(TRIM(D249), CATALOGO!A:B, 2, FALSE) * C249)*(1-VALUE(SUBSTITUTE(VLOOKUP(TRIM(A249),'RESTAURANTESDESCUENTOS 2026'!A:B,2,FALSE),"%",""))/100)+I249),(VLOOKUP(TRIM(D249), CATALOGO!A:B, 2, FALSE) * C249+I249)),""))</f>
        <v>115000</v>
      </c>
      <c r="K249" s="146"/>
      <c r="L249" s="135"/>
      <c r="M249" s="129" t="s">
        <v>587</v>
      </c>
      <c r="N249" s="130"/>
    </row>
    <row r="250" ht="22.5" hidden="1" customHeight="1">
      <c r="A250" s="131" t="s">
        <v>603</v>
      </c>
      <c r="B250" s="110">
        <v>46036.0</v>
      </c>
      <c r="C250" s="111">
        <v>1.0</v>
      </c>
      <c r="D250" s="112" t="s">
        <v>601</v>
      </c>
      <c r="E250" s="111">
        <v>1550.0</v>
      </c>
      <c r="F250" s="112"/>
      <c r="G250" s="114" t="s">
        <v>587</v>
      </c>
      <c r="H250" s="144" t="s">
        <v>603</v>
      </c>
      <c r="I250" s="140"/>
      <c r="J250" s="117">
        <f>IF(A250="RAPPI",(VLOOKUP(TRIM(D250), CATALOGO!F:G, 2, FALSE) * C250)+I250,IFERROR(IF(COUNTIF('RESTAURANTESDESCUENTOS 2026'!A:A,TRIM(A250))&gt;0,((VLOOKUP(TRIM(D250), CATALOGO!A:B, 2, FALSE) * C250)*(1-VALUE(SUBSTITUTE(VLOOKUP(TRIM(A250),'RESTAURANTESDESCUENTOS 2026'!A:B,2,FALSE),"%",""))/100)+I250),(VLOOKUP(TRIM(D250), CATALOGO!A:B, 2, FALSE) * C250+I250)),""))</f>
        <v>53000</v>
      </c>
      <c r="K250" s="140"/>
      <c r="L250" s="132"/>
      <c r="M250" s="120" t="s">
        <v>587</v>
      </c>
      <c r="N250" s="121"/>
    </row>
    <row r="251" ht="22.5" hidden="1" customHeight="1">
      <c r="A251" s="122" t="s">
        <v>603</v>
      </c>
      <c r="B251" s="123">
        <v>46036.0</v>
      </c>
      <c r="C251" s="124">
        <v>1.0</v>
      </c>
      <c r="D251" s="125" t="s">
        <v>554</v>
      </c>
      <c r="E251" s="124">
        <v>1550.0</v>
      </c>
      <c r="F251" s="125"/>
      <c r="G251" s="114" t="s">
        <v>587</v>
      </c>
      <c r="H251" s="145" t="s">
        <v>603</v>
      </c>
      <c r="I251" s="146"/>
      <c r="J251" s="117">
        <f>IF(A251="RAPPI",(VLOOKUP(TRIM(D251), CATALOGO!F:G, 2, FALSE) * C251)+I251,IFERROR(IF(COUNTIF('RESTAURANTESDESCUENTOS 2026'!A:A,TRIM(A251))&gt;0,((VLOOKUP(TRIM(D251), CATALOGO!A:B, 2, FALSE) * C251)*(1-VALUE(SUBSTITUTE(VLOOKUP(TRIM(A251),'RESTAURANTESDESCUENTOS 2026'!A:B,2,FALSE),"%",""))/100)+I251),(VLOOKUP(TRIM(D251), CATALOGO!A:B, 2, FALSE) * C251+I251)),""))</f>
        <v>53000</v>
      </c>
      <c r="K251" s="146"/>
      <c r="L251" s="135"/>
      <c r="M251" s="129" t="s">
        <v>587</v>
      </c>
      <c r="N251" s="130"/>
    </row>
    <row r="252" ht="22.5" hidden="1" customHeight="1">
      <c r="A252" s="148" t="s">
        <v>33</v>
      </c>
      <c r="B252" s="123">
        <v>46037.0</v>
      </c>
      <c r="C252" s="124">
        <v>1.0</v>
      </c>
      <c r="D252" s="125" t="s">
        <v>177</v>
      </c>
      <c r="E252" s="124" t="s">
        <v>612</v>
      </c>
      <c r="F252" s="125"/>
      <c r="G252" s="114" t="s">
        <v>587</v>
      </c>
      <c r="H252" s="151" t="s">
        <v>632</v>
      </c>
      <c r="I252" s="127">
        <v>0.0</v>
      </c>
      <c r="J252" s="117">
        <f>IF(A252="RAPPI",(VLOOKUP(TRIM(D252), CATALOGO!F:G, 2, FALSE) * C252)+I252,IFERROR(IF(COUNTIF('RESTAURANTESDESCUENTOS 2026'!A:A,TRIM(A252))&gt;0,((VLOOKUP(TRIM(D252), CATALOGO!A:B, 2, FALSE) * C252)*(1-VALUE(SUBSTITUTE(VLOOKUP(TRIM(A252),'RESTAURANTESDESCUENTOS 2026'!A:B,2,FALSE),"%",""))/100)+I252),(VLOOKUP(TRIM(D252), CATALOGO!A:B, 2, FALSE) * C252+I252)),""))</f>
        <v>86250</v>
      </c>
      <c r="K252" s="118">
        <v>18000.0</v>
      </c>
      <c r="L252" s="128" t="s">
        <v>587</v>
      </c>
      <c r="M252" s="129" t="s">
        <v>587</v>
      </c>
      <c r="N252" s="130"/>
    </row>
    <row r="253" ht="22.5" hidden="1" customHeight="1">
      <c r="A253" s="122" t="s">
        <v>720</v>
      </c>
      <c r="B253" s="123">
        <v>46037.0</v>
      </c>
      <c r="C253" s="124">
        <v>1.0</v>
      </c>
      <c r="D253" s="125" t="s">
        <v>178</v>
      </c>
      <c r="E253" s="124" t="s">
        <v>721</v>
      </c>
      <c r="F253" s="125"/>
      <c r="G253" s="114" t="s">
        <v>587</v>
      </c>
      <c r="H253" s="151" t="s">
        <v>632</v>
      </c>
      <c r="I253" s="127">
        <v>13000.0</v>
      </c>
      <c r="J253" s="117">
        <f>IF(A253="RAPPI",(VLOOKUP(TRIM(D253), CATALOGO!F:G, 2, FALSE) * C253)+I253,IFERROR(IF(COUNTIF('RESTAURANTESDESCUENTOS 2026'!A:A,TRIM(A253))&gt;0,((VLOOKUP(TRIM(D253), CATALOGO!A:B, 2, FALSE) * C253)*(1-VALUE(SUBSTITUTE(VLOOKUP(TRIM(A253),'RESTAURANTESDESCUENTOS 2026'!A:B,2,FALSE),"%",""))/100)+I253),(VLOOKUP(TRIM(D253), CATALOGO!A:B, 2, FALSE) * C253+I253)),""))</f>
        <v>163000</v>
      </c>
      <c r="K253" s="127">
        <v>13000.0</v>
      </c>
      <c r="L253" s="135"/>
      <c r="M253" s="129" t="s">
        <v>587</v>
      </c>
      <c r="N253" s="130"/>
    </row>
    <row r="254" ht="22.5" hidden="1" customHeight="1">
      <c r="A254" s="131" t="s">
        <v>88</v>
      </c>
      <c r="B254" s="110">
        <v>46037.0</v>
      </c>
      <c r="C254" s="111">
        <v>1.0</v>
      </c>
      <c r="D254" s="112" t="s">
        <v>177</v>
      </c>
      <c r="E254" s="111" t="s">
        <v>610</v>
      </c>
      <c r="F254" s="112"/>
      <c r="G254" s="114" t="s">
        <v>587</v>
      </c>
      <c r="H254" s="153" t="s">
        <v>632</v>
      </c>
      <c r="I254" s="116">
        <v>10000.0</v>
      </c>
      <c r="J254" s="117">
        <f>IF(A254="RAPPI",(VLOOKUP(TRIM(D254), CATALOGO!F:G, 2, FALSE) * C254)+I254,IFERROR(IF(COUNTIF('RESTAURANTESDESCUENTOS 2026'!A:A,TRIM(A254))&gt;0,((VLOOKUP(TRIM(D254), CATALOGO!A:B, 2, FALSE) * C254)*(1-VALUE(SUBSTITUTE(VLOOKUP(TRIM(A254),'RESTAURANTESDESCUENTOS 2026'!A:B,2,FALSE),"%",""))/100)+I254),(VLOOKUP(TRIM(D254), CATALOGO!A:B, 2, FALSE) * C254+I254)),""))</f>
        <v>96250</v>
      </c>
      <c r="K254" s="118">
        <v>23000.0</v>
      </c>
      <c r="L254" s="136" t="s">
        <v>587</v>
      </c>
      <c r="M254" s="120" t="s">
        <v>587</v>
      </c>
      <c r="N254" s="121"/>
    </row>
    <row r="255" ht="22.5" hidden="1" customHeight="1">
      <c r="A255" s="131" t="s">
        <v>722</v>
      </c>
      <c r="B255" s="110">
        <v>46037.0</v>
      </c>
      <c r="C255" s="111">
        <v>1.0</v>
      </c>
      <c r="D255" s="112" t="s">
        <v>192</v>
      </c>
      <c r="E255" s="138"/>
      <c r="F255" s="139"/>
      <c r="G255" s="114" t="s">
        <v>35</v>
      </c>
      <c r="H255" s="139"/>
      <c r="I255" s="140"/>
      <c r="J255" s="117">
        <f>IF(A255="RAPPI",(VLOOKUP(TRIM(D255), CATALOGO!F:G, 2, FALSE) * C255)+I255,IFERROR(IF(COUNTIF('RESTAURANTESDESCUENTOS 2026'!A:A,TRIM(A255))&gt;0,((VLOOKUP(TRIM(D255), CATALOGO!A:B, 2, FALSE) * C255)*(1-VALUE(SUBSTITUTE(VLOOKUP(TRIM(A255),'RESTAURANTESDESCUENTOS 2026'!A:B,2,FALSE),"%",""))/100)+I255),(VLOOKUP(TRIM(D255), CATALOGO!A:B, 2, FALSE) * C255+I255)),""))</f>
        <v>55000</v>
      </c>
      <c r="K255" s="140"/>
      <c r="L255" s="132"/>
      <c r="M255" s="120" t="s">
        <v>587</v>
      </c>
      <c r="N255" s="121"/>
    </row>
    <row r="256" ht="22.5" hidden="1" customHeight="1">
      <c r="A256" s="148" t="s">
        <v>40</v>
      </c>
      <c r="B256" s="110">
        <v>46037.0</v>
      </c>
      <c r="C256" s="111">
        <v>2.0</v>
      </c>
      <c r="D256" s="112" t="s">
        <v>177</v>
      </c>
      <c r="E256" s="111" t="s">
        <v>660</v>
      </c>
      <c r="F256" s="112"/>
      <c r="G256" s="114" t="s">
        <v>587</v>
      </c>
      <c r="H256" s="153" t="s">
        <v>632</v>
      </c>
      <c r="I256" s="116">
        <v>0.0</v>
      </c>
      <c r="J256" s="117">
        <f>IF(A256="RAPPI",(VLOOKUP(TRIM(D256), CATALOGO!F:G, 2, FALSE) * C256)+I256,IFERROR(IF(COUNTIF('RESTAURANTESDESCUENTOS 2026'!A:A,TRIM(A256))&gt;0,((VLOOKUP(TRIM(D256), CATALOGO!A:B, 2, FALSE) * C256)*(1-VALUE(SUBSTITUTE(VLOOKUP(TRIM(A256),'RESTAURANTESDESCUENTOS 2026'!A:B,2,FALSE),"%",""))/100)+I256),(VLOOKUP(TRIM(D256), CATALOGO!A:B, 2, FALSE) * C256+I256)),""))</f>
        <v>172500</v>
      </c>
      <c r="K256" s="118">
        <v>10000.0</v>
      </c>
      <c r="L256" s="136" t="s">
        <v>587</v>
      </c>
      <c r="M256" s="120" t="s">
        <v>587</v>
      </c>
      <c r="N256" s="121"/>
    </row>
    <row r="257" ht="22.5" hidden="1" customHeight="1">
      <c r="A257" s="131" t="s">
        <v>723</v>
      </c>
      <c r="B257" s="110">
        <v>46037.0</v>
      </c>
      <c r="C257" s="111">
        <v>1.0</v>
      </c>
      <c r="D257" s="112" t="s">
        <v>177</v>
      </c>
      <c r="E257" s="138"/>
      <c r="F257" s="139"/>
      <c r="G257" s="114" t="s">
        <v>587</v>
      </c>
      <c r="H257" s="153" t="s">
        <v>632</v>
      </c>
      <c r="I257" s="116">
        <v>12000.0</v>
      </c>
      <c r="J257" s="117">
        <f>IF(A257="RAPPI",(VLOOKUP(TRIM(D257), CATALOGO!F:G, 2, FALSE) * C257)+I257,IFERROR(IF(COUNTIF('RESTAURANTESDESCUENTOS 2026'!A:A,TRIM(A257))&gt;0,((VLOOKUP(TRIM(D257), CATALOGO!A:B, 2, FALSE) * C257)*(1-VALUE(SUBSTITUTE(VLOOKUP(TRIM(A257),'RESTAURANTESDESCUENTOS 2026'!A:B,2,FALSE),"%",""))/100)+I257),(VLOOKUP(TRIM(D257), CATALOGO!A:B, 2, FALSE) * C257+I257)),""))</f>
        <v>127000</v>
      </c>
      <c r="K257" s="116">
        <v>12000.0</v>
      </c>
      <c r="L257" s="132"/>
      <c r="M257" s="120" t="s">
        <v>587</v>
      </c>
      <c r="N257" s="121"/>
    </row>
    <row r="258" ht="22.5" hidden="1" customHeight="1">
      <c r="A258" s="131" t="s">
        <v>724</v>
      </c>
      <c r="B258" s="110">
        <v>46037.0</v>
      </c>
      <c r="C258" s="111">
        <v>1.0</v>
      </c>
      <c r="D258" s="112" t="s">
        <v>555</v>
      </c>
      <c r="E258" s="138"/>
      <c r="F258" s="139"/>
      <c r="G258" s="114" t="s">
        <v>587</v>
      </c>
      <c r="H258" s="153" t="s">
        <v>632</v>
      </c>
      <c r="I258" s="116">
        <v>10000.0</v>
      </c>
      <c r="J258" s="117">
        <f>IF(A258="RAPPI",(VLOOKUP(TRIM(D258), CATALOGO!F:G, 2, FALSE) * C258)+I258,IFERROR(IF(COUNTIF('RESTAURANTESDESCUENTOS 2026'!A:A,TRIM(A258))&gt;0,((VLOOKUP(TRIM(D258), CATALOGO!A:B, 2, FALSE) * C258)*(1-VALUE(SUBSTITUTE(VLOOKUP(TRIM(A258),'RESTAURANTESDESCUENTOS 2026'!A:B,2,FALSE),"%",""))/100)+I258),(VLOOKUP(TRIM(D258), CATALOGO!A:B, 2, FALSE) * C258+I258)),""))</f>
        <v>133000</v>
      </c>
      <c r="K258" s="116">
        <v>10000.0</v>
      </c>
      <c r="L258" s="136" t="s">
        <v>587</v>
      </c>
      <c r="M258" s="120" t="s">
        <v>587</v>
      </c>
      <c r="N258" s="121"/>
    </row>
    <row r="259" ht="22.5" hidden="1" customHeight="1">
      <c r="A259" s="122" t="s">
        <v>725</v>
      </c>
      <c r="B259" s="123">
        <v>46037.0</v>
      </c>
      <c r="C259" s="124">
        <v>1.0</v>
      </c>
      <c r="D259" s="125" t="s">
        <v>555</v>
      </c>
      <c r="E259" s="133"/>
      <c r="F259" s="134"/>
      <c r="G259" s="114" t="s">
        <v>35</v>
      </c>
      <c r="H259" s="134"/>
      <c r="I259" s="146"/>
      <c r="J259" s="117">
        <f>IF(A259="RAPPI",(VLOOKUP(TRIM(D259), CATALOGO!F:G, 2, FALSE) * C259)+I259,IFERROR(IF(COUNTIF('RESTAURANTESDESCUENTOS 2026'!A:A,TRIM(A259))&gt;0,((VLOOKUP(TRIM(D259), CATALOGO!A:B, 2, FALSE) * C259)*(1-VALUE(SUBSTITUTE(VLOOKUP(TRIM(A259),'RESTAURANTESDESCUENTOS 2026'!A:B,2,FALSE),"%",""))/100)+I259),(VLOOKUP(TRIM(D259), CATALOGO!A:B, 2, FALSE) * C259+I259)),""))</f>
        <v>123000</v>
      </c>
      <c r="K259" s="146"/>
      <c r="L259" s="135"/>
      <c r="M259" s="129" t="s">
        <v>587</v>
      </c>
      <c r="N259" s="130"/>
    </row>
    <row r="260" ht="22.5" hidden="1" customHeight="1">
      <c r="A260" s="122" t="s">
        <v>726</v>
      </c>
      <c r="B260" s="123">
        <v>46037.0</v>
      </c>
      <c r="C260" s="124">
        <v>1.0</v>
      </c>
      <c r="D260" s="125" t="s">
        <v>555</v>
      </c>
      <c r="E260" s="133"/>
      <c r="F260" s="134"/>
      <c r="G260" s="114" t="s">
        <v>587</v>
      </c>
      <c r="H260" s="151" t="s">
        <v>632</v>
      </c>
      <c r="I260" s="127">
        <v>14000.0</v>
      </c>
      <c r="J260" s="117">
        <f>IF(A260="RAPPI",(VLOOKUP(TRIM(D260), CATALOGO!F:G, 2, FALSE) * C260)+I260,IFERROR(IF(COUNTIF('RESTAURANTESDESCUENTOS 2026'!A:A,TRIM(A260))&gt;0,((VLOOKUP(TRIM(D260), CATALOGO!A:B, 2, FALSE) * C260)*(1-VALUE(SUBSTITUTE(VLOOKUP(TRIM(A260),'RESTAURANTESDESCUENTOS 2026'!A:B,2,FALSE),"%",""))/100)+I260),(VLOOKUP(TRIM(D260), CATALOGO!A:B, 2, FALSE) * C260+I260)),""))</f>
        <v>137000</v>
      </c>
      <c r="K260" s="127">
        <v>14000.0</v>
      </c>
      <c r="L260" s="135"/>
      <c r="M260" s="129" t="s">
        <v>587</v>
      </c>
      <c r="N260" s="130"/>
    </row>
    <row r="261" ht="22.5" hidden="1" customHeight="1">
      <c r="A261" s="122" t="s">
        <v>725</v>
      </c>
      <c r="B261" s="123">
        <v>46037.0</v>
      </c>
      <c r="C261" s="124">
        <v>1.0</v>
      </c>
      <c r="D261" s="125" t="s">
        <v>676</v>
      </c>
      <c r="E261" s="133"/>
      <c r="F261" s="134"/>
      <c r="G261" s="114" t="s">
        <v>35</v>
      </c>
      <c r="H261" s="134"/>
      <c r="I261" s="146"/>
      <c r="J261" s="117">
        <f>IF(A261="RAPPI",(VLOOKUP(TRIM(D261), CATALOGO!F:G, 2, FALSE) * C261)+I261,IFERROR(IF(COUNTIF('RESTAURANTESDESCUENTOS 2026'!A:A,TRIM(A261))&gt;0,((VLOOKUP(TRIM(D261), CATALOGO!A:B, 2, FALSE) * C261)*(1-VALUE(SUBSTITUTE(VLOOKUP(TRIM(A261),'RESTAURANTESDESCUENTOS 2026'!A:B,2,FALSE),"%",""))/100)+I261),(VLOOKUP(TRIM(D261), CATALOGO!A:B, 2, FALSE) * C261+I261)),""))</f>
        <v>8000</v>
      </c>
      <c r="K261" s="146"/>
      <c r="L261" s="135"/>
      <c r="M261" s="129" t="s">
        <v>587</v>
      </c>
      <c r="N261" s="130"/>
    </row>
    <row r="262" ht="22.5" hidden="1" customHeight="1">
      <c r="A262" s="131" t="s">
        <v>727</v>
      </c>
      <c r="B262" s="110">
        <v>46037.0</v>
      </c>
      <c r="C262" s="111">
        <v>1.0</v>
      </c>
      <c r="D262" s="112" t="s">
        <v>177</v>
      </c>
      <c r="E262" s="138"/>
      <c r="F262" s="139"/>
      <c r="G262" s="114" t="s">
        <v>587</v>
      </c>
      <c r="H262" s="115" t="s">
        <v>588</v>
      </c>
      <c r="I262" s="116">
        <v>12000.0</v>
      </c>
      <c r="J262" s="117">
        <f>IF(A262="RAPPI",(VLOOKUP(TRIM(D262), CATALOGO!F:G, 2, FALSE) * C262)+I262,IFERROR(IF(COUNTIF('RESTAURANTESDESCUENTOS 2026'!A:A,TRIM(A262))&gt;0,((VLOOKUP(TRIM(D262), CATALOGO!A:B, 2, FALSE) * C262)*(1-VALUE(SUBSTITUTE(VLOOKUP(TRIM(A262),'RESTAURANTESDESCUENTOS 2026'!A:B,2,FALSE),"%",""))/100)+I262),(VLOOKUP(TRIM(D262), CATALOGO!A:B, 2, FALSE) * C262+I262)),""))</f>
        <v>127000</v>
      </c>
      <c r="K262" s="116">
        <v>12000.0</v>
      </c>
      <c r="L262" s="132"/>
      <c r="M262" s="120" t="s">
        <v>587</v>
      </c>
      <c r="N262" s="121"/>
    </row>
    <row r="263" ht="22.5" hidden="1" customHeight="1">
      <c r="A263" s="122" t="s">
        <v>603</v>
      </c>
      <c r="B263" s="123">
        <v>46037.0</v>
      </c>
      <c r="C263" s="124">
        <v>1.0</v>
      </c>
      <c r="D263" s="125" t="s">
        <v>640</v>
      </c>
      <c r="E263" s="124">
        <v>7289.0</v>
      </c>
      <c r="F263" s="125"/>
      <c r="G263" s="114" t="s">
        <v>587</v>
      </c>
      <c r="H263" s="145" t="s">
        <v>603</v>
      </c>
      <c r="I263" s="146"/>
      <c r="J263" s="117">
        <f>IF(A263="RAPPI",(VLOOKUP(TRIM(D263), CATALOGO!F:G, 2, FALSE) * C263)+I263,IFERROR(IF(COUNTIF('RESTAURANTESDESCUENTOS 2026'!A:A,TRIM(A263))&gt;0,((VLOOKUP(TRIM(D263), CATALOGO!A:B, 2, FALSE) * C263)*(1-VALUE(SUBSTITUTE(VLOOKUP(TRIM(A263),'RESTAURANTESDESCUENTOS 2026'!A:B,2,FALSE),"%",""))/100)+I263),(VLOOKUP(TRIM(D263), CATALOGO!A:B, 2, FALSE) * C263+I263)),""))</f>
        <v>53000</v>
      </c>
      <c r="K263" s="146"/>
      <c r="L263" s="135"/>
      <c r="M263" s="129" t="s">
        <v>587</v>
      </c>
      <c r="N263" s="130"/>
    </row>
    <row r="264" ht="22.5" hidden="1" customHeight="1">
      <c r="A264" s="122" t="s">
        <v>603</v>
      </c>
      <c r="B264" s="123">
        <v>46037.0</v>
      </c>
      <c r="C264" s="124">
        <v>1.0</v>
      </c>
      <c r="D264" s="125" t="s">
        <v>601</v>
      </c>
      <c r="E264" s="124">
        <v>4362.0</v>
      </c>
      <c r="F264" s="125"/>
      <c r="G264" s="114" t="s">
        <v>587</v>
      </c>
      <c r="H264" s="145" t="s">
        <v>603</v>
      </c>
      <c r="I264" s="146"/>
      <c r="J264" s="117">
        <f>IF(A264="RAPPI",(VLOOKUP(TRIM(D264), CATALOGO!F:G, 2, FALSE) * C264)+I264,IFERROR(IF(COUNTIF('RESTAURANTESDESCUENTOS 2026'!A:A,TRIM(A264))&gt;0,((VLOOKUP(TRIM(D264), CATALOGO!A:B, 2, FALSE) * C264)*(1-VALUE(SUBSTITUTE(VLOOKUP(TRIM(A264),'RESTAURANTESDESCUENTOS 2026'!A:B,2,FALSE),"%",""))/100)+I264),(VLOOKUP(TRIM(D264), CATALOGO!A:B, 2, FALSE) * C264+I264)),""))</f>
        <v>53000</v>
      </c>
      <c r="K264" s="146"/>
      <c r="L264" s="135"/>
      <c r="M264" s="129" t="s">
        <v>587</v>
      </c>
      <c r="N264" s="130"/>
    </row>
    <row r="265" ht="22.5" hidden="1" customHeight="1">
      <c r="A265" s="148" t="s">
        <v>46</v>
      </c>
      <c r="B265" s="110">
        <v>46037.0</v>
      </c>
      <c r="C265" s="111">
        <v>1.0</v>
      </c>
      <c r="D265" s="112" t="s">
        <v>177</v>
      </c>
      <c r="E265" s="111" t="s">
        <v>612</v>
      </c>
      <c r="F265" s="112"/>
      <c r="G265" s="114" t="s">
        <v>587</v>
      </c>
      <c r="H265" s="153" t="s">
        <v>632</v>
      </c>
      <c r="I265" s="116">
        <v>0.0</v>
      </c>
      <c r="J265" s="117">
        <f>IF(A265="RAPPI",(VLOOKUP(TRIM(D265), CATALOGO!F:G, 2, FALSE) * C265)+I265,IFERROR(IF(COUNTIF('RESTAURANTESDESCUENTOS 2026'!A:A,TRIM(A265))&gt;0,((VLOOKUP(TRIM(D265), CATALOGO!A:B, 2, FALSE) * C265)*(1-VALUE(SUBSTITUTE(VLOOKUP(TRIM(A265),'RESTAURANTESDESCUENTOS 2026'!A:B,2,FALSE),"%",""))/100)+I265),(VLOOKUP(TRIM(D265), CATALOGO!A:B, 2, FALSE) * C265+I265)),""))</f>
        <v>86250</v>
      </c>
      <c r="K265" s="116">
        <v>0.0</v>
      </c>
      <c r="L265" s="136" t="s">
        <v>587</v>
      </c>
      <c r="M265" s="120" t="s">
        <v>587</v>
      </c>
      <c r="N265" s="121"/>
    </row>
    <row r="266" ht="22.5" hidden="1" customHeight="1">
      <c r="A266" s="131" t="s">
        <v>622</v>
      </c>
      <c r="B266" s="110">
        <v>46037.0</v>
      </c>
      <c r="C266" s="111">
        <v>1.0</v>
      </c>
      <c r="D266" s="112" t="s">
        <v>178</v>
      </c>
      <c r="E266" s="111" t="s">
        <v>656</v>
      </c>
      <c r="F266" s="112"/>
      <c r="G266" s="114" t="s">
        <v>35</v>
      </c>
      <c r="H266" s="139"/>
      <c r="I266" s="140"/>
      <c r="J266" s="142">
        <v>0.0</v>
      </c>
      <c r="K266" s="140"/>
      <c r="L266" s="132"/>
      <c r="M266" s="120" t="s">
        <v>587</v>
      </c>
      <c r="N266" s="121"/>
    </row>
    <row r="267" ht="22.5" hidden="1" customHeight="1">
      <c r="A267" s="122" t="s">
        <v>605</v>
      </c>
      <c r="B267" s="123">
        <v>46037.0</v>
      </c>
      <c r="C267" s="143">
        <v>1.0</v>
      </c>
      <c r="D267" s="125" t="s">
        <v>628</v>
      </c>
      <c r="E267" s="124" t="s">
        <v>606</v>
      </c>
      <c r="F267" s="125"/>
      <c r="G267" s="114" t="s">
        <v>35</v>
      </c>
      <c r="H267" s="134"/>
      <c r="I267" s="146"/>
      <c r="J267" s="117">
        <f>IF(A267="RAPPI",(VLOOKUP(TRIM(D267), CATALOGO!F:G, 2, FALSE) * C267)+I267,IFERROR(IF(COUNTIF('RESTAURANTESDESCUENTOS 2026'!A:A,TRIM(A267))&gt;0,((VLOOKUP(TRIM(D267), CATALOGO!A:B, 2, FALSE) * C267)*(1-VALUE(SUBSTITUTE(VLOOKUP(TRIM(A267),'RESTAURANTESDESCUENTOS 2026'!A:B,2,FALSE),"%",""))/100)+I267),(VLOOKUP(TRIM(D267), CATALOGO!A:B, 2, FALSE) * C267+I267)),""))</f>
        <v>22000</v>
      </c>
      <c r="K267" s="146"/>
      <c r="L267" s="135"/>
      <c r="M267" s="129" t="s">
        <v>587</v>
      </c>
      <c r="N267" s="130"/>
    </row>
    <row r="268" ht="22.5" hidden="1" customHeight="1">
      <c r="A268" s="141" t="s">
        <v>605</v>
      </c>
      <c r="B268" s="110">
        <v>46037.0</v>
      </c>
      <c r="C268" s="143">
        <v>1.0</v>
      </c>
      <c r="D268" s="112" t="s">
        <v>604</v>
      </c>
      <c r="E268" s="111" t="s">
        <v>606</v>
      </c>
      <c r="F268" s="112"/>
      <c r="G268" s="114" t="s">
        <v>35</v>
      </c>
      <c r="H268" s="139"/>
      <c r="I268" s="140"/>
      <c r="J268" s="117">
        <f>IF(A268="RAPPI",(VLOOKUP(TRIM(D268), CATALOGO!F:G, 2, FALSE) * C268)+I268,IFERROR(IF(COUNTIF('RESTAURANTESDESCUENTOS 2026'!A:A,TRIM(A268))&gt;0,((VLOOKUP(TRIM(D268), CATALOGO!A:B, 2, FALSE) * C268)*(1-VALUE(SUBSTITUTE(VLOOKUP(TRIM(A268),'RESTAURANTESDESCUENTOS 2026'!A:B,2,FALSE),"%",""))/100)+I268),(VLOOKUP(TRIM(D268), CATALOGO!A:B, 2, FALSE) * C268+I268)),""))</f>
        <v>22000</v>
      </c>
      <c r="K268" s="140"/>
      <c r="L268" s="132"/>
      <c r="M268" s="120" t="s">
        <v>587</v>
      </c>
      <c r="N268" s="121"/>
    </row>
    <row r="269" ht="22.5" hidden="1" customHeight="1">
      <c r="A269" s="122" t="s">
        <v>605</v>
      </c>
      <c r="B269" s="123">
        <v>46037.0</v>
      </c>
      <c r="C269" s="143">
        <v>1.0</v>
      </c>
      <c r="D269" s="125" t="s">
        <v>602</v>
      </c>
      <c r="E269" s="124" t="s">
        <v>606</v>
      </c>
      <c r="F269" s="125"/>
      <c r="G269" s="114" t="s">
        <v>35</v>
      </c>
      <c r="H269" s="134"/>
      <c r="I269" s="146"/>
      <c r="J269" s="117">
        <f>IF(A269="RAPPI",(VLOOKUP(TRIM(D269), CATALOGO!F:G, 2, FALSE) * C269)+I269,IFERROR(IF(COUNTIF('RESTAURANTESDESCUENTOS 2026'!A:A,TRIM(A269))&gt;0,((VLOOKUP(TRIM(D269), CATALOGO!A:B, 2, FALSE) * C269)*(1-VALUE(SUBSTITUTE(VLOOKUP(TRIM(A269),'RESTAURANTESDESCUENTOS 2026'!A:B,2,FALSE),"%",""))/100)+I269),(VLOOKUP(TRIM(D269), CATALOGO!A:B, 2, FALSE) * C269+I269)),""))</f>
        <v>22000</v>
      </c>
      <c r="K269" s="146"/>
      <c r="L269" s="135"/>
      <c r="M269" s="129" t="s">
        <v>587</v>
      </c>
      <c r="N269" s="130"/>
    </row>
    <row r="270" ht="22.5" hidden="1" customHeight="1">
      <c r="A270" s="131" t="s">
        <v>605</v>
      </c>
      <c r="B270" s="110">
        <v>46037.0</v>
      </c>
      <c r="C270" s="143">
        <v>2.0</v>
      </c>
      <c r="D270" s="112" t="s">
        <v>174</v>
      </c>
      <c r="E270" s="111" t="s">
        <v>606</v>
      </c>
      <c r="F270" s="112"/>
      <c r="G270" s="114" t="s">
        <v>35</v>
      </c>
      <c r="H270" s="139"/>
      <c r="I270" s="140"/>
      <c r="J270" s="117">
        <f>IF(A270="RAPPI",(VLOOKUP(TRIM(D270), CATALOGO!F:G, 2, FALSE) * C270)+I270,IFERROR(IF(COUNTIF('RESTAURANTESDESCUENTOS 2026'!A:A,TRIM(A270))&gt;0,((VLOOKUP(TRIM(D270), CATALOGO!A:B, 2, FALSE) * C270)*(1-VALUE(SUBSTITUTE(VLOOKUP(TRIM(A270),'RESTAURANTESDESCUENTOS 2026'!A:B,2,FALSE),"%",""))/100)+I270),(VLOOKUP(TRIM(D270), CATALOGO!A:B, 2, FALSE) * C270+I270)),""))</f>
        <v>36000</v>
      </c>
      <c r="K270" s="140"/>
      <c r="L270" s="132"/>
      <c r="M270" s="120" t="s">
        <v>587</v>
      </c>
      <c r="N270" s="121"/>
    </row>
    <row r="271" ht="22.5" hidden="1" customHeight="1">
      <c r="A271" s="122" t="s">
        <v>605</v>
      </c>
      <c r="B271" s="123">
        <v>46037.0</v>
      </c>
      <c r="C271" s="124">
        <v>2.0</v>
      </c>
      <c r="D271" s="125" t="s">
        <v>621</v>
      </c>
      <c r="E271" s="124" t="s">
        <v>606</v>
      </c>
      <c r="F271" s="125"/>
      <c r="G271" s="114" t="s">
        <v>35</v>
      </c>
      <c r="H271" s="134"/>
      <c r="I271" s="146"/>
      <c r="J271" s="117">
        <v>8000.0</v>
      </c>
      <c r="K271" s="146"/>
      <c r="L271" s="135"/>
      <c r="M271" s="129" t="s">
        <v>587</v>
      </c>
      <c r="N271" s="130"/>
    </row>
    <row r="272" ht="22.5" hidden="1" customHeight="1">
      <c r="A272" s="131" t="s">
        <v>603</v>
      </c>
      <c r="B272" s="110">
        <v>46037.0</v>
      </c>
      <c r="C272" s="111">
        <v>1.0</v>
      </c>
      <c r="D272" s="112" t="s">
        <v>553</v>
      </c>
      <c r="E272" s="111">
        <v>4426.0</v>
      </c>
      <c r="F272" s="112"/>
      <c r="G272" s="114" t="s">
        <v>587</v>
      </c>
      <c r="H272" s="144" t="s">
        <v>603</v>
      </c>
      <c r="I272" s="140"/>
      <c r="J272" s="117">
        <f>IF(A272="RAPPI",(VLOOKUP(TRIM(D272), CATALOGO!F:G, 2, FALSE) * C272)+I272,IFERROR(IF(COUNTIF('RESTAURANTESDESCUENTOS 2026'!A:A,TRIM(A272))&gt;0,((VLOOKUP(TRIM(D272), CATALOGO!A:B, 2, FALSE) * C272)*(1-VALUE(SUBSTITUTE(VLOOKUP(TRIM(A272),'RESTAURANTESDESCUENTOS 2026'!A:B,2,FALSE),"%",""))/100)+I272),(VLOOKUP(TRIM(D272), CATALOGO!A:B, 2, FALSE) * C272+I272)),""))</f>
        <v>163000</v>
      </c>
      <c r="K272" s="140"/>
      <c r="L272" s="132"/>
      <c r="M272" s="120" t="s">
        <v>587</v>
      </c>
      <c r="N272" s="121"/>
    </row>
    <row r="273" ht="22.5" hidden="1" customHeight="1">
      <c r="A273" s="131" t="s">
        <v>603</v>
      </c>
      <c r="B273" s="110">
        <v>46037.0</v>
      </c>
      <c r="C273" s="143">
        <v>2.0</v>
      </c>
      <c r="D273" s="112" t="s">
        <v>174</v>
      </c>
      <c r="E273" s="111">
        <v>8667.0</v>
      </c>
      <c r="F273" s="112"/>
      <c r="G273" s="114" t="s">
        <v>587</v>
      </c>
      <c r="H273" s="144" t="s">
        <v>603</v>
      </c>
      <c r="I273" s="140"/>
      <c r="J273" s="117">
        <f>IF(A273="RAPPI",(VLOOKUP(TRIM(D273), CATALOGO!F:G, 2, FALSE) * C273)+I273,IFERROR(IF(COUNTIF('RESTAURANTESDESCUENTOS 2026'!A:A,TRIM(A273))&gt;0,((VLOOKUP(TRIM(D273), CATALOGO!A:B, 2, FALSE) * C273)*(1-VALUE(SUBSTITUTE(VLOOKUP(TRIM(A273),'RESTAURANTESDESCUENTOS 2026'!A:B,2,FALSE),"%",""))/100)+I273),(VLOOKUP(TRIM(D273), CATALOGO!A:B, 2, FALSE) * C273+I273)),""))</f>
        <v>36000</v>
      </c>
      <c r="K273" s="140"/>
      <c r="L273" s="132"/>
      <c r="M273" s="120" t="s">
        <v>587</v>
      </c>
      <c r="N273" s="121"/>
    </row>
    <row r="274" ht="22.5" hidden="1" customHeight="1">
      <c r="A274" s="147" t="s">
        <v>603</v>
      </c>
      <c r="B274" s="123">
        <v>46037.0</v>
      </c>
      <c r="C274" s="143">
        <v>2.0</v>
      </c>
      <c r="D274" s="125" t="s">
        <v>628</v>
      </c>
      <c r="E274" s="124">
        <v>7115.0</v>
      </c>
      <c r="F274" s="125"/>
      <c r="G274" s="114" t="s">
        <v>587</v>
      </c>
      <c r="H274" s="145" t="s">
        <v>603</v>
      </c>
      <c r="I274" s="146"/>
      <c r="J274" s="117">
        <f>IF(A274="RAPPI",(VLOOKUP(TRIM(D274), CATALOGO!F:G, 2, FALSE) * C274)+I274,IFERROR(IF(COUNTIF('RESTAURANTESDESCUENTOS 2026'!A:A,TRIM(A274))&gt;0,((VLOOKUP(TRIM(D274), CATALOGO!A:B, 2, FALSE) * C274)*(1-VALUE(SUBSTITUTE(VLOOKUP(TRIM(A274),'RESTAURANTESDESCUENTOS 2026'!A:B,2,FALSE),"%",""))/100)+I274),(VLOOKUP(TRIM(D274), CATALOGO!A:B, 2, FALSE) * C274+I274)),""))</f>
        <v>44000</v>
      </c>
      <c r="K274" s="146"/>
      <c r="L274" s="135"/>
      <c r="M274" s="129" t="s">
        <v>587</v>
      </c>
      <c r="N274" s="130"/>
    </row>
    <row r="275" ht="22.5" hidden="1" customHeight="1">
      <c r="A275" s="131" t="s">
        <v>603</v>
      </c>
      <c r="B275" s="110">
        <v>46037.0</v>
      </c>
      <c r="C275" s="111">
        <v>1.0</v>
      </c>
      <c r="D275" s="112" t="s">
        <v>176</v>
      </c>
      <c r="E275" s="111">
        <v>2441.0</v>
      </c>
      <c r="F275" s="112"/>
      <c r="G275" s="114" t="s">
        <v>587</v>
      </c>
      <c r="H275" s="144" t="s">
        <v>603</v>
      </c>
      <c r="I275" s="140"/>
      <c r="J275" s="117">
        <f>IF(A275="RAPPI",(VLOOKUP(TRIM(D275), CATALOGO!F:G, 2, FALSE) * C275)+I275,IFERROR(IF(COUNTIF('RESTAURANTESDESCUENTOS 2026'!A:A,TRIM(A275))&gt;0,((VLOOKUP(TRIM(D275), CATALOGO!A:B, 2, FALSE) * C275)*(1-VALUE(SUBSTITUTE(VLOOKUP(TRIM(A275),'RESTAURANTESDESCUENTOS 2026'!A:B,2,FALSE),"%",""))/100)+I275),(VLOOKUP(TRIM(D275), CATALOGO!A:B, 2, FALSE) * C275+I275)),""))</f>
        <v>50000</v>
      </c>
      <c r="K275" s="140"/>
      <c r="L275" s="132"/>
      <c r="M275" s="120" t="s">
        <v>587</v>
      </c>
      <c r="N275" s="121"/>
    </row>
    <row r="276" ht="22.5" hidden="1" customHeight="1">
      <c r="A276" s="131" t="s">
        <v>603</v>
      </c>
      <c r="B276" s="110">
        <v>46037.0</v>
      </c>
      <c r="C276" s="111">
        <v>1.0</v>
      </c>
      <c r="D276" s="112" t="s">
        <v>697</v>
      </c>
      <c r="E276" s="111">
        <v>9033.0</v>
      </c>
      <c r="F276" s="112"/>
      <c r="G276" s="114" t="s">
        <v>587</v>
      </c>
      <c r="H276" s="144" t="s">
        <v>603</v>
      </c>
      <c r="I276" s="140"/>
      <c r="J276" s="117">
        <f>IF(A276="RAPPI",(VLOOKUP(TRIM(D276), CATALOGO!F:G, 2, FALSE) * C276)+I276,IFERROR(IF(COUNTIF('RESTAURANTESDESCUENTOS 2026'!A:A,TRIM(A276))&gt;0,((VLOOKUP(TRIM(D276), CATALOGO!A:B, 2, FALSE) * C276)*(1-VALUE(SUBSTITUTE(VLOOKUP(TRIM(A276),'RESTAURANTESDESCUENTOS 2026'!A:B,2,FALSE),"%",""))/100)+I276),(VLOOKUP(TRIM(D276), CATALOGO!A:B, 2, FALSE) * C276+I276)),""))</f>
        <v>163000</v>
      </c>
      <c r="K276" s="140"/>
      <c r="L276" s="132"/>
      <c r="M276" s="120" t="s">
        <v>587</v>
      </c>
      <c r="N276" s="121"/>
    </row>
    <row r="277" ht="22.5" hidden="1" customHeight="1">
      <c r="A277" s="122" t="s">
        <v>597</v>
      </c>
      <c r="B277" s="123">
        <v>46037.0</v>
      </c>
      <c r="C277" s="124">
        <v>4.0</v>
      </c>
      <c r="D277" s="125" t="s">
        <v>178</v>
      </c>
      <c r="E277" s="124" t="s">
        <v>728</v>
      </c>
      <c r="F277" s="125"/>
      <c r="G277" s="114" t="s">
        <v>35</v>
      </c>
      <c r="H277" s="134"/>
      <c r="I277" s="146"/>
      <c r="J277" s="117">
        <v>0.0</v>
      </c>
      <c r="K277" s="146"/>
      <c r="L277" s="135"/>
      <c r="M277" s="129" t="s">
        <v>587</v>
      </c>
      <c r="N277" s="130"/>
    </row>
    <row r="278" ht="22.5" hidden="1" customHeight="1">
      <c r="A278" s="131" t="s">
        <v>597</v>
      </c>
      <c r="B278" s="110">
        <v>46037.0</v>
      </c>
      <c r="C278" s="111">
        <v>4.0</v>
      </c>
      <c r="D278" s="112" t="s">
        <v>177</v>
      </c>
      <c r="E278" s="138"/>
      <c r="F278" s="139"/>
      <c r="G278" s="114" t="s">
        <v>35</v>
      </c>
      <c r="H278" s="139"/>
      <c r="I278" s="140"/>
      <c r="J278" s="142">
        <v>0.0</v>
      </c>
      <c r="K278" s="140"/>
      <c r="L278" s="132"/>
      <c r="M278" s="120" t="s">
        <v>587</v>
      </c>
      <c r="N278" s="121"/>
    </row>
    <row r="279" ht="22.5" hidden="1" customHeight="1">
      <c r="A279" s="122" t="s">
        <v>597</v>
      </c>
      <c r="B279" s="123">
        <v>46037.0</v>
      </c>
      <c r="C279" s="124">
        <v>6.0</v>
      </c>
      <c r="D279" s="125" t="s">
        <v>176</v>
      </c>
      <c r="E279" s="133"/>
      <c r="F279" s="134"/>
      <c r="G279" s="114" t="s">
        <v>35</v>
      </c>
      <c r="H279" s="134"/>
      <c r="I279" s="146"/>
      <c r="J279" s="117">
        <v>0.0</v>
      </c>
      <c r="K279" s="146"/>
      <c r="L279" s="135"/>
      <c r="M279" s="129" t="s">
        <v>587</v>
      </c>
      <c r="N279" s="130"/>
    </row>
    <row r="280" ht="22.5" hidden="1" customHeight="1">
      <c r="A280" s="122" t="s">
        <v>729</v>
      </c>
      <c r="B280" s="123">
        <v>46038.0</v>
      </c>
      <c r="C280" s="124">
        <v>1.0</v>
      </c>
      <c r="D280" s="125" t="s">
        <v>203</v>
      </c>
      <c r="E280" s="124" t="s">
        <v>645</v>
      </c>
      <c r="F280" s="125"/>
      <c r="G280" s="114" t="s">
        <v>587</v>
      </c>
      <c r="H280" s="151" t="s">
        <v>632</v>
      </c>
      <c r="I280" s="127">
        <v>12000.0</v>
      </c>
      <c r="J280" s="117">
        <f>IF(A280="RAPPI",(VLOOKUP(TRIM(D280), CATALOGO!F:G, 2, FALSE) * C280)+I280,IFERROR(IF(COUNTIF('RESTAURANTESDESCUENTOS 2026'!A:A,TRIM(A280))&gt;0,((VLOOKUP(TRIM(D280), CATALOGO!A:B, 2, FALSE) * C280)*(1-VALUE(SUBSTITUTE(VLOOKUP(TRIM(A280),'RESTAURANTESDESCUENTOS 2026'!A:B,2,FALSE),"%",""))/100)+I280),(VLOOKUP(TRIM(D280), CATALOGO!A:B, 2, FALSE) * C280+I280)),""))</f>
        <v>166000</v>
      </c>
      <c r="K280" s="127">
        <v>12000.0</v>
      </c>
      <c r="L280" s="135"/>
      <c r="M280" s="129" t="s">
        <v>587</v>
      </c>
      <c r="N280" s="130"/>
    </row>
    <row r="281" ht="22.5" hidden="1" customHeight="1">
      <c r="A281" s="148" t="s">
        <v>17</v>
      </c>
      <c r="B281" s="110">
        <v>46038.0</v>
      </c>
      <c r="C281" s="111">
        <v>1.0</v>
      </c>
      <c r="D281" s="112" t="s">
        <v>178</v>
      </c>
      <c r="E281" s="111" t="s">
        <v>662</v>
      </c>
      <c r="F281" s="112"/>
      <c r="G281" s="114" t="s">
        <v>587</v>
      </c>
      <c r="H281" s="153" t="s">
        <v>632</v>
      </c>
      <c r="I281" s="116">
        <v>10000.0</v>
      </c>
      <c r="J281" s="117">
        <f>IF(A281="RAPPI",(VLOOKUP(TRIM(D281), CATALOGO!F:G, 2, FALSE) * C281)+I281,IFERROR(IF(COUNTIF('RESTAURANTESDESCUENTOS 2026'!A:A,TRIM(A281))&gt;0,((VLOOKUP(TRIM(D281), CATALOGO!A:B, 2, FALSE) * C281)*(1-VALUE(SUBSTITUTE(VLOOKUP(TRIM(A281),'RESTAURANTESDESCUENTOS 2026'!A:B,2,FALSE),"%",""))/100)+I281),(VLOOKUP(TRIM(D281), CATALOGO!A:B, 2, FALSE) * C281+I281)),""))</f>
        <v>122500</v>
      </c>
      <c r="K281" s="116">
        <v>10000.0</v>
      </c>
      <c r="L281" s="136" t="s">
        <v>587</v>
      </c>
      <c r="M281" s="120" t="s">
        <v>587</v>
      </c>
      <c r="N281" s="121"/>
    </row>
    <row r="282" ht="22.5" hidden="1" customHeight="1">
      <c r="A282" s="122" t="s">
        <v>730</v>
      </c>
      <c r="B282" s="123">
        <v>46038.0</v>
      </c>
      <c r="C282" s="124">
        <v>1.0</v>
      </c>
      <c r="D282" s="125" t="s">
        <v>618</v>
      </c>
      <c r="E282" s="133"/>
      <c r="F282" s="134"/>
      <c r="G282" s="114" t="s">
        <v>587</v>
      </c>
      <c r="H282" s="151" t="s">
        <v>632</v>
      </c>
      <c r="I282" s="127">
        <v>14000.0</v>
      </c>
      <c r="J282" s="117">
        <f>IF(A282="RAPPI",(VLOOKUP(TRIM(D282), CATALOGO!F:G, 2, FALSE) * C282)+I282,IFERROR(IF(COUNTIF('RESTAURANTESDESCUENTOS 2026'!A:A,TRIM(A282))&gt;0,((VLOOKUP(TRIM(D282), CATALOGO!A:B, 2, FALSE) * C282)*(1-VALUE(SUBSTITUTE(VLOOKUP(TRIM(A282),'RESTAURANTESDESCUENTOS 2026'!A:B,2,FALSE),"%",""))/100)+I282),(VLOOKUP(TRIM(D282), CATALOGO!A:B, 2, FALSE) * C282+I282)),""))</f>
        <v>67000</v>
      </c>
      <c r="K282" s="127">
        <v>14000.0</v>
      </c>
      <c r="L282" s="135"/>
      <c r="M282" s="129" t="s">
        <v>587</v>
      </c>
      <c r="N282" s="130"/>
    </row>
    <row r="283" ht="22.5" hidden="1" customHeight="1">
      <c r="A283" s="122" t="s">
        <v>128</v>
      </c>
      <c r="B283" s="123">
        <v>46038.0</v>
      </c>
      <c r="C283" s="124">
        <v>2.0</v>
      </c>
      <c r="D283" s="125" t="s">
        <v>178</v>
      </c>
      <c r="E283" s="124" t="s">
        <v>610</v>
      </c>
      <c r="F283" s="125"/>
      <c r="G283" s="114" t="s">
        <v>587</v>
      </c>
      <c r="H283" s="154" t="s">
        <v>632</v>
      </c>
      <c r="I283" s="127">
        <v>10000.0</v>
      </c>
      <c r="J283" s="117">
        <f>IF(A283="RAPPI",(VLOOKUP(TRIM(D283), CATALOGO!F:G, 2, FALSE) * C283)+I283,IFERROR(IF(COUNTIF('RESTAURANTESDESCUENTOS 2026'!A:A,TRIM(A283))&gt;0,((VLOOKUP(TRIM(D283), CATALOGO!A:B, 2, FALSE) * C283)*(1-VALUE(SUBSTITUTE(VLOOKUP(TRIM(A283),'RESTAURANTESDESCUENTOS 2026'!A:B,2,FALSE),"%",""))/100)+I283),(VLOOKUP(TRIM(D283), CATALOGO!A:B, 2, FALSE) * C283+I283)),""))</f>
        <v>220000</v>
      </c>
      <c r="K283" s="159">
        <v>14000.0</v>
      </c>
      <c r="L283" s="128" t="s">
        <v>587</v>
      </c>
      <c r="M283" s="160" t="s">
        <v>587</v>
      </c>
      <c r="N283" s="161"/>
    </row>
    <row r="284" ht="22.5" hidden="1" customHeight="1">
      <c r="A284" s="131" t="s">
        <v>55</v>
      </c>
      <c r="B284" s="110">
        <v>46038.0</v>
      </c>
      <c r="C284" s="111">
        <v>3.0</v>
      </c>
      <c r="D284" s="112" t="s">
        <v>178</v>
      </c>
      <c r="E284" s="111" t="s">
        <v>686</v>
      </c>
      <c r="F284" s="112"/>
      <c r="G284" s="114" t="s">
        <v>587</v>
      </c>
      <c r="H284" s="153" t="s">
        <v>632</v>
      </c>
      <c r="I284" s="116">
        <v>10000.0</v>
      </c>
      <c r="J284" s="117">
        <f>IF(A284="RAPPI",(VLOOKUP(TRIM(D284), CATALOGO!F:G, 2, FALSE) * C284)+I284,IFERROR(IF(COUNTIF('RESTAURANTESDESCUENTOS 2026'!A:A,TRIM(A284))&gt;0,((VLOOKUP(TRIM(D284), CATALOGO!A:B, 2, FALSE) * C284)*(1-VALUE(SUBSTITUTE(VLOOKUP(TRIM(A284),'RESTAURANTESDESCUENTOS 2026'!A:B,2,FALSE),"%",""))/100)+I284),(VLOOKUP(TRIM(D284), CATALOGO!A:B, 2, FALSE) * C284+I284)),""))</f>
        <v>347500</v>
      </c>
      <c r="K284" s="116">
        <v>10000.0</v>
      </c>
      <c r="L284" s="136" t="s">
        <v>587</v>
      </c>
      <c r="M284" s="120" t="s">
        <v>587</v>
      </c>
      <c r="N284" s="121"/>
    </row>
    <row r="285" ht="22.5" hidden="1" customHeight="1">
      <c r="A285" s="131" t="s">
        <v>731</v>
      </c>
      <c r="B285" s="110">
        <v>46038.0</v>
      </c>
      <c r="C285" s="111">
        <v>1.0</v>
      </c>
      <c r="D285" s="112" t="s">
        <v>176</v>
      </c>
      <c r="E285" s="138"/>
      <c r="F285" s="139"/>
      <c r="G285" s="114" t="s">
        <v>587</v>
      </c>
      <c r="H285" s="115" t="s">
        <v>588</v>
      </c>
      <c r="I285" s="116">
        <v>14000.0</v>
      </c>
      <c r="J285" s="117">
        <f>IF(A285="RAPPI",(VLOOKUP(TRIM(D285), CATALOGO!F:G, 2, FALSE) * C285)+I285,IFERROR(IF(COUNTIF('RESTAURANTESDESCUENTOS 2026'!A:A,TRIM(A285))&gt;0,((VLOOKUP(TRIM(D285), CATALOGO!A:B, 2, FALSE) * C285)*(1-VALUE(SUBSTITUTE(VLOOKUP(TRIM(A285),'RESTAURANTESDESCUENTOS 2026'!A:B,2,FALSE),"%",""))/100)+I285),(VLOOKUP(TRIM(D285), CATALOGO!A:B, 2, FALSE) * C285+I285)),""))</f>
        <v>64000</v>
      </c>
      <c r="K285" s="116">
        <v>14000.0</v>
      </c>
      <c r="L285" s="132"/>
      <c r="M285" s="120" t="s">
        <v>587</v>
      </c>
      <c r="N285" s="121"/>
    </row>
    <row r="286" ht="22.5" hidden="1" customHeight="1">
      <c r="A286" s="122" t="s">
        <v>88</v>
      </c>
      <c r="B286" s="123">
        <v>46038.0</v>
      </c>
      <c r="C286" s="124">
        <v>1.0</v>
      </c>
      <c r="D286" s="125" t="s">
        <v>177</v>
      </c>
      <c r="E286" s="124" t="s">
        <v>610</v>
      </c>
      <c r="F286" s="125"/>
      <c r="G286" s="114" t="s">
        <v>587</v>
      </c>
      <c r="H286" s="151" t="s">
        <v>632</v>
      </c>
      <c r="I286" s="127">
        <v>10000.0</v>
      </c>
      <c r="J286" s="117">
        <f>IF(A286="RAPPI",(VLOOKUP(TRIM(D286), CATALOGO!F:G, 2, FALSE) * C286)+I286,IFERROR(IF(COUNTIF('RESTAURANTESDESCUENTOS 2026'!A:A,TRIM(A286))&gt;0,((VLOOKUP(TRIM(D286), CATALOGO!A:B, 2, FALSE) * C286)*(1-VALUE(SUBSTITUTE(VLOOKUP(TRIM(A286),'RESTAURANTESDESCUENTOS 2026'!A:B,2,FALSE),"%",""))/100)+I286),(VLOOKUP(TRIM(D286), CATALOGO!A:B, 2, FALSE) * C286+I286)),""))</f>
        <v>96250</v>
      </c>
      <c r="K286" s="118">
        <v>23000.0</v>
      </c>
      <c r="L286" s="128" t="s">
        <v>587</v>
      </c>
      <c r="M286" s="129" t="s">
        <v>587</v>
      </c>
      <c r="N286" s="130"/>
    </row>
    <row r="287" ht="22.5" hidden="1" customHeight="1">
      <c r="A287" s="109" t="s">
        <v>106</v>
      </c>
      <c r="B287" s="110">
        <v>46038.0</v>
      </c>
      <c r="C287" s="111">
        <v>1.0</v>
      </c>
      <c r="D287" s="112" t="s">
        <v>178</v>
      </c>
      <c r="E287" s="111" t="s">
        <v>610</v>
      </c>
      <c r="F287" s="112"/>
      <c r="G287" s="114" t="s">
        <v>587</v>
      </c>
      <c r="H287" s="153" t="s">
        <v>632</v>
      </c>
      <c r="I287" s="116">
        <v>8000.0</v>
      </c>
      <c r="J287" s="117">
        <f>IF(A287="RAPPI",(VLOOKUP(TRIM(D287), CATALOGO!F:G, 2, FALSE) * C287)+I287,IFERROR(IF(COUNTIF('RESTAURANTESDESCUENTOS 2026'!A:A,TRIM(A287))&gt;0,((VLOOKUP(TRIM(D287), CATALOGO!A:B, 2, FALSE) * C287)*(1-VALUE(SUBSTITUTE(VLOOKUP(TRIM(A287),'RESTAURANTESDESCUENTOS 2026'!A:B,2,FALSE),"%",""))/100)+I287),(VLOOKUP(TRIM(D287), CATALOGO!A:B, 2, FALSE) * C287+I287)),""))</f>
        <v>105125</v>
      </c>
      <c r="K287" s="118">
        <v>10000.0</v>
      </c>
      <c r="L287" s="136" t="s">
        <v>587</v>
      </c>
      <c r="M287" s="120" t="s">
        <v>587</v>
      </c>
      <c r="N287" s="121"/>
    </row>
    <row r="288" ht="22.5" hidden="1" customHeight="1">
      <c r="A288" s="162" t="s">
        <v>732</v>
      </c>
      <c r="B288" s="110">
        <v>46038.0</v>
      </c>
      <c r="C288" s="60">
        <v>1.0</v>
      </c>
      <c r="D288" s="152" t="s">
        <v>601</v>
      </c>
      <c r="E288" s="60"/>
      <c r="F288" s="163"/>
      <c r="G288" s="164" t="s">
        <v>587</v>
      </c>
      <c r="H288" s="165" t="s">
        <v>632</v>
      </c>
      <c r="I288" s="166">
        <v>13000.0</v>
      </c>
      <c r="J288" s="117">
        <f>IF(A288="RAPPI",(VLOOKUP(TRIM(D288), CATALOGO!F:G, 2, FALSE) * C288)+I288,IFERROR(IF(COUNTIF('RESTAURANTESDESCUENTOS 2026'!A:A,TRIM(A288))&gt;0,((VLOOKUP(TRIM(D288), CATALOGO!A:B, 2, FALSE) * C288)*(1-VALUE(SUBSTITUTE(VLOOKUP(TRIM(A288),'RESTAURANTESDESCUENTOS 2026'!A:B,2,FALSE),"%",""))/100)+I288),(VLOOKUP(TRIM(D288), CATALOGO!A:B, 2, FALSE) * C288+I288)),""))</f>
        <v>66000</v>
      </c>
      <c r="K288" s="166">
        <v>13000.0</v>
      </c>
      <c r="L288" s="132"/>
      <c r="M288" s="167" t="s">
        <v>587</v>
      </c>
      <c r="N288" s="168"/>
    </row>
    <row r="289" ht="22.5" hidden="1" customHeight="1">
      <c r="A289" s="122" t="s">
        <v>603</v>
      </c>
      <c r="B289" s="123">
        <v>46038.0</v>
      </c>
      <c r="C289" s="124">
        <v>1.0</v>
      </c>
      <c r="D289" s="125" t="s">
        <v>177</v>
      </c>
      <c r="E289" s="124">
        <v>2269.0</v>
      </c>
      <c r="F289" s="125"/>
      <c r="G289" s="114" t="s">
        <v>587</v>
      </c>
      <c r="H289" s="145" t="s">
        <v>603</v>
      </c>
      <c r="I289" s="146"/>
      <c r="J289" s="117">
        <f>IF(A289="RAPPI",(VLOOKUP(TRIM(D289), CATALOGO!F:G, 2, FALSE) * C289)+I289,IFERROR(IF(COUNTIF('RESTAURANTESDESCUENTOS 2026'!A:A,TRIM(A289))&gt;0,((VLOOKUP(TRIM(D289), CATALOGO!A:B, 2, FALSE) * C289)*(1-VALUE(SUBSTITUTE(VLOOKUP(TRIM(A289),'RESTAURANTESDESCUENTOS 2026'!A:B,2,FALSE),"%",""))/100)+I289),(VLOOKUP(TRIM(D289), CATALOGO!A:B, 2, FALSE) * C289+I289)),""))</f>
        <v>115000</v>
      </c>
      <c r="K289" s="146"/>
      <c r="L289" s="135"/>
      <c r="M289" s="129" t="s">
        <v>587</v>
      </c>
      <c r="N289" s="130"/>
    </row>
    <row r="290" ht="22.5" hidden="1" customHeight="1">
      <c r="A290" s="122" t="s">
        <v>603</v>
      </c>
      <c r="B290" s="123">
        <v>46038.0</v>
      </c>
      <c r="C290" s="124">
        <v>1.0</v>
      </c>
      <c r="D290" s="125" t="s">
        <v>176</v>
      </c>
      <c r="E290" s="124">
        <v>6335.0</v>
      </c>
      <c r="F290" s="125"/>
      <c r="G290" s="114" t="s">
        <v>587</v>
      </c>
      <c r="H290" s="145" t="s">
        <v>603</v>
      </c>
      <c r="I290" s="146"/>
      <c r="J290" s="117">
        <f>IF(A290="RAPPI",(VLOOKUP(TRIM(D290), CATALOGO!F:G, 2, FALSE) * C290)+I290,IFERROR(IF(COUNTIF('RESTAURANTESDESCUENTOS 2026'!A:A,TRIM(A290))&gt;0,((VLOOKUP(TRIM(D290), CATALOGO!A:B, 2, FALSE) * C290)*(1-VALUE(SUBSTITUTE(VLOOKUP(TRIM(A290),'RESTAURANTESDESCUENTOS 2026'!A:B,2,FALSE),"%",""))/100)+I290),(VLOOKUP(TRIM(D290), CATALOGO!A:B, 2, FALSE) * C290+I290)),""))</f>
        <v>50000</v>
      </c>
      <c r="K290" s="146"/>
      <c r="L290" s="135"/>
      <c r="M290" s="129" t="s">
        <v>587</v>
      </c>
      <c r="N290" s="130"/>
    </row>
    <row r="291" ht="22.5" hidden="1" customHeight="1">
      <c r="A291" s="131" t="s">
        <v>603</v>
      </c>
      <c r="B291" s="110">
        <v>46038.0</v>
      </c>
      <c r="C291" s="111">
        <v>1.0</v>
      </c>
      <c r="D291" s="112" t="s">
        <v>182</v>
      </c>
      <c r="E291" s="111">
        <v>475.0</v>
      </c>
      <c r="F291" s="112"/>
      <c r="G291" s="114" t="s">
        <v>587</v>
      </c>
      <c r="H291" s="144" t="s">
        <v>603</v>
      </c>
      <c r="I291" s="140"/>
      <c r="J291" s="117">
        <f>IF(A291="RAPPI",(VLOOKUP(TRIM(D291), CATALOGO!F:G, 2, FALSE) * C291)+I291,IFERROR(IF(COUNTIF('RESTAURANTESDESCUENTOS 2026'!A:A,TRIM(A291))&gt;0,((VLOOKUP(TRIM(D291), CATALOGO!A:B, 2, FALSE) * C291)*(1-VALUE(SUBSTITUTE(VLOOKUP(TRIM(A291),'RESTAURANTESDESCUENTOS 2026'!A:B,2,FALSE),"%",""))/100)+I291),(VLOOKUP(TRIM(D291), CATALOGO!A:B, 2, FALSE) * C291+I291)),""))</f>
        <v>37000</v>
      </c>
      <c r="K291" s="140"/>
      <c r="L291" s="132"/>
      <c r="M291" s="120" t="s">
        <v>587</v>
      </c>
      <c r="N291" s="121"/>
    </row>
    <row r="292" ht="22.5" hidden="1" customHeight="1">
      <c r="A292" s="147" t="s">
        <v>603</v>
      </c>
      <c r="B292" s="123">
        <v>46038.0</v>
      </c>
      <c r="C292" s="124">
        <v>1.0</v>
      </c>
      <c r="D292" s="125" t="s">
        <v>669</v>
      </c>
      <c r="E292" s="124">
        <v>475.0</v>
      </c>
      <c r="F292" s="125"/>
      <c r="G292" s="114" t="s">
        <v>587</v>
      </c>
      <c r="H292" s="145" t="s">
        <v>603</v>
      </c>
      <c r="I292" s="146"/>
      <c r="J292" s="117">
        <v>0.0</v>
      </c>
      <c r="K292" s="146"/>
      <c r="L292" s="135"/>
      <c r="M292" s="129" t="s">
        <v>587</v>
      </c>
      <c r="N292" s="130"/>
    </row>
    <row r="293" ht="22.5" hidden="1" customHeight="1">
      <c r="A293" s="131" t="s">
        <v>603</v>
      </c>
      <c r="B293" s="110">
        <v>46038.0</v>
      </c>
      <c r="C293" s="111">
        <v>1.0</v>
      </c>
      <c r="D293" s="112" t="s">
        <v>620</v>
      </c>
      <c r="E293" s="111">
        <v>475.0</v>
      </c>
      <c r="F293" s="112"/>
      <c r="G293" s="114" t="s">
        <v>587</v>
      </c>
      <c r="H293" s="144" t="s">
        <v>603</v>
      </c>
      <c r="I293" s="140"/>
      <c r="J293" s="142">
        <v>0.0</v>
      </c>
      <c r="K293" s="140"/>
      <c r="L293" s="132"/>
      <c r="M293" s="120" t="s">
        <v>587</v>
      </c>
      <c r="N293" s="121"/>
    </row>
    <row r="294" ht="22.5" hidden="1" customHeight="1">
      <c r="A294" s="122" t="s">
        <v>603</v>
      </c>
      <c r="B294" s="123">
        <v>46038.0</v>
      </c>
      <c r="C294" s="124">
        <v>1.0</v>
      </c>
      <c r="D294" s="125" t="s">
        <v>639</v>
      </c>
      <c r="E294" s="124">
        <v>475.0</v>
      </c>
      <c r="F294" s="125"/>
      <c r="G294" s="114" t="s">
        <v>587</v>
      </c>
      <c r="H294" s="145" t="s">
        <v>603</v>
      </c>
      <c r="I294" s="146"/>
      <c r="J294" s="117">
        <v>0.0</v>
      </c>
      <c r="K294" s="146"/>
      <c r="L294" s="135"/>
      <c r="M294" s="129" t="s">
        <v>587</v>
      </c>
      <c r="N294" s="130"/>
    </row>
    <row r="295" ht="22.5" hidden="1" customHeight="1">
      <c r="A295" s="131" t="s">
        <v>603</v>
      </c>
      <c r="B295" s="110">
        <v>46038.0</v>
      </c>
      <c r="C295" s="111">
        <v>1.0</v>
      </c>
      <c r="D295" s="112" t="s">
        <v>236</v>
      </c>
      <c r="E295" s="111">
        <v>475.0</v>
      </c>
      <c r="F295" s="112"/>
      <c r="G295" s="114" t="s">
        <v>587</v>
      </c>
      <c r="H295" s="144" t="s">
        <v>603</v>
      </c>
      <c r="I295" s="140"/>
      <c r="J295" s="142">
        <v>0.0</v>
      </c>
      <c r="K295" s="140"/>
      <c r="L295" s="132"/>
      <c r="M295" s="120" t="s">
        <v>587</v>
      </c>
      <c r="N295" s="121"/>
    </row>
    <row r="296" ht="22.5" hidden="1" customHeight="1">
      <c r="A296" s="122" t="s">
        <v>603</v>
      </c>
      <c r="B296" s="123">
        <v>46038.0</v>
      </c>
      <c r="C296" s="124">
        <v>1.0</v>
      </c>
      <c r="D296" s="125" t="s">
        <v>177</v>
      </c>
      <c r="E296" s="124">
        <v>165.0</v>
      </c>
      <c r="F296" s="125"/>
      <c r="G296" s="114" t="s">
        <v>587</v>
      </c>
      <c r="H296" s="145" t="s">
        <v>603</v>
      </c>
      <c r="I296" s="146"/>
      <c r="J296" s="117">
        <f>IF(A296="RAPPI",(VLOOKUP(TRIM(D296), CATALOGO!F:G, 2, FALSE) * C296)+I296,IFERROR(IF(COUNTIF('RESTAURANTESDESCUENTOS 2026'!A:A,TRIM(A296))&gt;0,((VLOOKUP(TRIM(D296), CATALOGO!A:B, 2, FALSE) * C296)*(1-VALUE(SUBSTITUTE(VLOOKUP(TRIM(A296),'RESTAURANTESDESCUENTOS 2026'!A:B,2,FALSE),"%",""))/100)+I296),(VLOOKUP(TRIM(D296), CATALOGO!A:B, 2, FALSE) * C296+I296)),""))</f>
        <v>115000</v>
      </c>
      <c r="K296" s="146"/>
      <c r="L296" s="135"/>
      <c r="M296" s="129" t="s">
        <v>587</v>
      </c>
      <c r="N296" s="130"/>
    </row>
    <row r="297" ht="22.5" hidden="1" customHeight="1">
      <c r="A297" s="131" t="s">
        <v>603</v>
      </c>
      <c r="B297" s="110">
        <v>46038.0</v>
      </c>
      <c r="C297" s="143">
        <v>1.0</v>
      </c>
      <c r="D297" s="112" t="s">
        <v>174</v>
      </c>
      <c r="E297" s="111">
        <v>165.0</v>
      </c>
      <c r="F297" s="112"/>
      <c r="G297" s="114" t="s">
        <v>587</v>
      </c>
      <c r="H297" s="144" t="s">
        <v>603</v>
      </c>
      <c r="I297" s="140"/>
      <c r="J297" s="117">
        <f>IF(A297="RAPPI",(VLOOKUP(TRIM(D297), CATALOGO!F:G, 2, FALSE) * C297)+I297,IFERROR(IF(COUNTIF('RESTAURANTESDESCUENTOS 2026'!A:A,TRIM(A297))&gt;0,((VLOOKUP(TRIM(D297), CATALOGO!A:B, 2, FALSE) * C297)*(1-VALUE(SUBSTITUTE(VLOOKUP(TRIM(A297),'RESTAURANTESDESCUENTOS 2026'!A:B,2,FALSE),"%",""))/100)+I297),(VLOOKUP(TRIM(D297), CATALOGO!A:B, 2, FALSE) * C297+I297)),""))</f>
        <v>18000</v>
      </c>
      <c r="K297" s="140"/>
      <c r="L297" s="132"/>
      <c r="M297" s="120" t="s">
        <v>587</v>
      </c>
      <c r="N297" s="121"/>
    </row>
    <row r="298" ht="22.5" hidden="1" customHeight="1">
      <c r="A298" s="131" t="s">
        <v>603</v>
      </c>
      <c r="B298" s="110">
        <v>46038.0</v>
      </c>
      <c r="C298" s="111">
        <v>1.0</v>
      </c>
      <c r="D298" s="152" t="s">
        <v>177</v>
      </c>
      <c r="E298" s="60">
        <v>9005.0</v>
      </c>
      <c r="F298" s="163"/>
      <c r="G298" s="164" t="s">
        <v>587</v>
      </c>
      <c r="H298" s="165" t="s">
        <v>603</v>
      </c>
      <c r="I298" s="140"/>
      <c r="J298" s="117">
        <f>IF(A298="RAPPI",(VLOOKUP(TRIM(D298), CATALOGO!F:G, 2, FALSE) * C298)+I298,IFERROR(IF(COUNTIF('RESTAURANTESDESCUENTOS 2026'!A:A,TRIM(A298))&gt;0,((VLOOKUP(TRIM(D298), CATALOGO!A:B, 2, FALSE) * C298)*(1-VALUE(SUBSTITUTE(VLOOKUP(TRIM(A298),'RESTAURANTESDESCUENTOS 2026'!A:B,2,FALSE),"%",""))/100)+I298),(VLOOKUP(TRIM(D298), CATALOGO!A:B, 2, FALSE) * C298+I298)),""))</f>
        <v>115000</v>
      </c>
      <c r="K298" s="140"/>
      <c r="L298" s="132"/>
      <c r="M298" s="167" t="s">
        <v>587</v>
      </c>
      <c r="N298" s="168"/>
    </row>
    <row r="299" ht="22.5" hidden="1" customHeight="1">
      <c r="A299" s="162" t="s">
        <v>732</v>
      </c>
      <c r="B299" s="110">
        <v>46038.0</v>
      </c>
      <c r="C299" s="60">
        <v>1.0</v>
      </c>
      <c r="D299" s="152" t="s">
        <v>640</v>
      </c>
      <c r="E299" s="60"/>
      <c r="F299" s="163"/>
      <c r="G299" s="164" t="s">
        <v>587</v>
      </c>
      <c r="H299" s="165" t="s">
        <v>632</v>
      </c>
      <c r="I299" s="166">
        <v>0.0</v>
      </c>
      <c r="J299" s="117">
        <f>IF(A299="RAPPI",(VLOOKUP(TRIM(D299), CATALOGO!F:G, 2, FALSE) * C299)+I299,IFERROR(IF(COUNTIF('RESTAURANTESDESCUENTOS 2026'!A:A,TRIM(A299))&gt;0,((VLOOKUP(TRIM(D299), CATALOGO!A:B, 2, FALSE) * C299)*(1-VALUE(SUBSTITUTE(VLOOKUP(TRIM(A299),'RESTAURANTESDESCUENTOS 2026'!A:B,2,FALSE),"%",""))/100)+I299),(VLOOKUP(TRIM(D299), CATALOGO!A:B, 2, FALSE) * C299+I299)),""))</f>
        <v>53000</v>
      </c>
      <c r="K299" s="166">
        <v>0.0</v>
      </c>
      <c r="L299" s="132"/>
      <c r="M299" s="167" t="s">
        <v>587</v>
      </c>
      <c r="N299" s="168"/>
    </row>
    <row r="300" ht="22.5" hidden="1" customHeight="1">
      <c r="A300" s="141" t="s">
        <v>603</v>
      </c>
      <c r="B300" s="110">
        <v>46038.0</v>
      </c>
      <c r="C300" s="111">
        <v>1.0</v>
      </c>
      <c r="D300" s="152" t="s">
        <v>176</v>
      </c>
      <c r="E300" s="60">
        <v>8886.0</v>
      </c>
      <c r="F300" s="163"/>
      <c r="G300" s="164" t="s">
        <v>587</v>
      </c>
      <c r="H300" s="165" t="s">
        <v>603</v>
      </c>
      <c r="I300" s="166"/>
      <c r="J300" s="117">
        <f>IF(A300="RAPPI",(VLOOKUP(TRIM(D300), CATALOGO!F:G, 2, FALSE) * C300)+I300,IFERROR(IF(COUNTIF('RESTAURANTESDESCUENTOS 2026'!A:A,TRIM(A300))&gt;0,((VLOOKUP(TRIM(D300), CATALOGO!A:B, 2, FALSE) * C300)*(1-VALUE(SUBSTITUTE(VLOOKUP(TRIM(A300),'RESTAURANTESDESCUENTOS 2026'!A:B,2,FALSE),"%",""))/100)+I300),(VLOOKUP(TRIM(D300), CATALOGO!A:B, 2, FALSE) * C300+I300)),""))</f>
        <v>50000</v>
      </c>
      <c r="K300" s="166"/>
      <c r="L300" s="132"/>
      <c r="M300" s="167" t="s">
        <v>587</v>
      </c>
      <c r="N300" s="168"/>
    </row>
    <row r="301" ht="22.5" hidden="1" customHeight="1">
      <c r="A301" s="131" t="s">
        <v>603</v>
      </c>
      <c r="B301" s="110">
        <v>46038.0</v>
      </c>
      <c r="C301" s="143">
        <v>1.0</v>
      </c>
      <c r="D301" s="152" t="s">
        <v>628</v>
      </c>
      <c r="E301" s="60">
        <v>9153.0</v>
      </c>
      <c r="F301" s="163"/>
      <c r="G301" s="164" t="s">
        <v>587</v>
      </c>
      <c r="H301" s="165" t="s">
        <v>603</v>
      </c>
      <c r="I301" s="166"/>
      <c r="J301" s="117">
        <f>IF(A301="RAPPI",(VLOOKUP(TRIM(D301), CATALOGO!F:G, 2, FALSE) * C301)+I301,IFERROR(IF(COUNTIF('RESTAURANTESDESCUENTOS 2026'!A:A,TRIM(A301))&gt;0,((VLOOKUP(TRIM(D301), CATALOGO!A:B, 2, FALSE) * C301)*(1-VALUE(SUBSTITUTE(VLOOKUP(TRIM(A301),'RESTAURANTESDESCUENTOS 2026'!A:B,2,FALSE),"%",""))/100)+I301),(VLOOKUP(TRIM(D301), CATALOGO!A:B, 2, FALSE) * C301+I301)),""))</f>
        <v>22000</v>
      </c>
      <c r="K301" s="166"/>
      <c r="L301" s="132"/>
      <c r="M301" s="167" t="s">
        <v>587</v>
      </c>
      <c r="N301" s="168"/>
    </row>
    <row r="302" ht="22.5" hidden="1" customHeight="1">
      <c r="A302" s="162" t="s">
        <v>605</v>
      </c>
      <c r="B302" s="110">
        <v>46038.0</v>
      </c>
      <c r="C302" s="60">
        <v>1.0</v>
      </c>
      <c r="D302" s="152" t="s">
        <v>640</v>
      </c>
      <c r="E302" s="60" t="s">
        <v>606</v>
      </c>
      <c r="F302" s="163"/>
      <c r="G302" s="164" t="s">
        <v>35</v>
      </c>
      <c r="H302" s="169"/>
      <c r="I302" s="166"/>
      <c r="J302" s="117">
        <f>IF(A302="RAPPI",(VLOOKUP(TRIM(D302), CATALOGO!F:G, 2, FALSE) * C302)+I302,IFERROR(IF(COUNTIF('RESTAURANTESDESCUENTOS 2026'!A:A,TRIM(A302))&gt;0,((VLOOKUP(TRIM(D302), CATALOGO!A:B, 2, FALSE) * C302)*(1-VALUE(SUBSTITUTE(VLOOKUP(TRIM(A302),'RESTAURANTESDESCUENTOS 2026'!A:B,2,FALSE),"%",""))/100)+I302),(VLOOKUP(TRIM(D302), CATALOGO!A:B, 2, FALSE) * C302+I302)),""))</f>
        <v>53000</v>
      </c>
      <c r="K302" s="166"/>
      <c r="L302" s="132"/>
      <c r="M302" s="167" t="s">
        <v>587</v>
      </c>
      <c r="N302" s="168"/>
    </row>
    <row r="303" ht="22.5" hidden="1" customHeight="1">
      <c r="A303" s="122" t="s">
        <v>733</v>
      </c>
      <c r="B303" s="123">
        <v>46039.0</v>
      </c>
      <c r="C303" s="62">
        <v>4.0</v>
      </c>
      <c r="D303" s="155" t="s">
        <v>218</v>
      </c>
      <c r="E303" s="124" t="s">
        <v>219</v>
      </c>
      <c r="F303" s="125"/>
      <c r="G303" s="114" t="s">
        <v>35</v>
      </c>
      <c r="H303" s="134"/>
      <c r="I303" s="170">
        <v>0.0</v>
      </c>
      <c r="J303" s="117">
        <f>IF(A303="RAPPI",(VLOOKUP(TRIM(D303), CATALOGO!F:G, 2, FALSE) * C303)+I303,IFERROR(IF(COUNTIF('RESTAURANTESDESCUENTOS 2026'!A:A,TRIM(A303))&gt;0,((VLOOKUP(TRIM(D303), CATALOGO!A:B, 2, FALSE) * C303)*(1-VALUE(SUBSTITUTE(VLOOKUP(TRIM(A303),'RESTAURANTESDESCUENTOS 2026'!A:B,2,FALSE),"%",""))/100)+I303),(VLOOKUP(TRIM(D303), CATALOGO!A:B, 2, FALSE) * C303+I303)),""))</f>
        <v>148000</v>
      </c>
      <c r="K303" s="170">
        <v>0.0</v>
      </c>
      <c r="L303" s="85" t="s">
        <v>587</v>
      </c>
      <c r="M303" s="171" t="s">
        <v>587</v>
      </c>
      <c r="N303" s="172"/>
    </row>
    <row r="304" ht="22.5" hidden="1" customHeight="1">
      <c r="A304" s="131" t="s">
        <v>733</v>
      </c>
      <c r="B304" s="110">
        <v>46039.0</v>
      </c>
      <c r="C304" s="60">
        <v>4.0</v>
      </c>
      <c r="D304" s="152" t="s">
        <v>220</v>
      </c>
      <c r="E304" s="111" t="s">
        <v>221</v>
      </c>
      <c r="F304" s="112"/>
      <c r="G304" s="114" t="s">
        <v>35</v>
      </c>
      <c r="H304" s="139"/>
      <c r="I304" s="116">
        <v>0.0</v>
      </c>
      <c r="J304" s="117">
        <f>IF(A304="RAPPI",(VLOOKUP(TRIM(D304), CATALOGO!F:G, 2, FALSE) * C304)+I304,IFERROR(IF(COUNTIF('RESTAURANTESDESCUENTOS 2026'!A:A,TRIM(A304))&gt;0,((VLOOKUP(TRIM(D304), CATALOGO!A:B, 2, FALSE) * C304)*(1-VALUE(SUBSTITUTE(VLOOKUP(TRIM(A304),'RESTAURANTESDESCUENTOS 2026'!A:B,2,FALSE),"%",""))/100)+I304),(VLOOKUP(TRIM(D304), CATALOGO!A:B, 2, FALSE) * C304+I304)),""))</f>
        <v>148000</v>
      </c>
      <c r="K304" s="116">
        <v>0.0</v>
      </c>
      <c r="L304" s="85" t="s">
        <v>587</v>
      </c>
      <c r="M304" s="171" t="s">
        <v>587</v>
      </c>
      <c r="N304" s="172"/>
    </row>
    <row r="305" ht="22.5" hidden="1" customHeight="1">
      <c r="A305" s="122" t="s">
        <v>733</v>
      </c>
      <c r="B305" s="123">
        <v>46039.0</v>
      </c>
      <c r="C305" s="62">
        <v>4.0</v>
      </c>
      <c r="D305" s="155" t="s">
        <v>182</v>
      </c>
      <c r="E305" s="124" t="s">
        <v>222</v>
      </c>
      <c r="F305" s="125"/>
      <c r="G305" s="114" t="s">
        <v>35</v>
      </c>
      <c r="H305" s="134"/>
      <c r="I305" s="127">
        <v>0.0</v>
      </c>
      <c r="J305" s="117">
        <f>IF(A305="RAPPI",(VLOOKUP(TRIM(D305), CATALOGO!F:G, 2, FALSE) * C305)+I305,IFERROR(IF(COUNTIF('RESTAURANTESDESCUENTOS 2026'!A:A,TRIM(A305))&gt;0,((VLOOKUP(TRIM(D305), CATALOGO!A:B, 2, FALSE) * C305)*(1-VALUE(SUBSTITUTE(VLOOKUP(TRIM(A305),'RESTAURANTESDESCUENTOS 2026'!A:B,2,FALSE),"%",""))/100)+I305),(VLOOKUP(TRIM(D305), CATALOGO!A:B, 2, FALSE) * C305+I305)),""))</f>
        <v>148000</v>
      </c>
      <c r="K305" s="127">
        <v>0.0</v>
      </c>
      <c r="L305" s="85" t="s">
        <v>587</v>
      </c>
      <c r="M305" s="171" t="s">
        <v>587</v>
      </c>
      <c r="N305" s="172"/>
    </row>
    <row r="306" ht="22.5" hidden="1" customHeight="1">
      <c r="A306" s="131" t="s">
        <v>733</v>
      </c>
      <c r="B306" s="110">
        <v>46039.0</v>
      </c>
      <c r="C306" s="60">
        <v>4.0</v>
      </c>
      <c r="D306" s="152" t="s">
        <v>223</v>
      </c>
      <c r="E306" s="111" t="s">
        <v>224</v>
      </c>
      <c r="F306" s="112"/>
      <c r="G306" s="114" t="s">
        <v>35</v>
      </c>
      <c r="H306" s="139"/>
      <c r="I306" s="116">
        <v>0.0</v>
      </c>
      <c r="J306" s="117">
        <f>IF(A306="RAPPI",(VLOOKUP(TRIM(D306), CATALOGO!F:G, 2, FALSE) * C306)+I306,IFERROR(IF(COUNTIF('RESTAURANTESDESCUENTOS 2026'!A:A,TRIM(A306))&gt;0,((VLOOKUP(TRIM(D306), CATALOGO!A:B, 2, FALSE) * C306)*(1-VALUE(SUBSTITUTE(VLOOKUP(TRIM(A306),'RESTAURANTESDESCUENTOS 2026'!A:B,2,FALSE),"%",""))/100)+I306),(VLOOKUP(TRIM(D306), CATALOGO!A:B, 2, FALSE) * C306+I306)),""))</f>
        <v>148000</v>
      </c>
      <c r="K306" s="116">
        <v>0.0</v>
      </c>
      <c r="L306" s="85" t="s">
        <v>587</v>
      </c>
      <c r="M306" s="171" t="s">
        <v>587</v>
      </c>
      <c r="N306" s="172"/>
    </row>
    <row r="307" ht="22.5" hidden="1" customHeight="1">
      <c r="A307" s="122" t="s">
        <v>733</v>
      </c>
      <c r="B307" s="123">
        <v>46039.0</v>
      </c>
      <c r="C307" s="62">
        <v>4.0</v>
      </c>
      <c r="D307" s="155" t="s">
        <v>225</v>
      </c>
      <c r="E307" s="124" t="s">
        <v>226</v>
      </c>
      <c r="F307" s="125"/>
      <c r="G307" s="114" t="s">
        <v>35</v>
      </c>
      <c r="H307" s="134"/>
      <c r="I307" s="127">
        <v>0.0</v>
      </c>
      <c r="J307" s="117">
        <f>IF(A307="RAPPI",(VLOOKUP(TRIM(D307), CATALOGO!F:G, 2, FALSE) * C307)+I307,IFERROR(IF(COUNTIF('RESTAURANTESDESCUENTOS 2026'!A:A,TRIM(A307))&gt;0,((VLOOKUP(TRIM(D307), CATALOGO!A:B, 2, FALSE) * C307)*(1-VALUE(SUBSTITUTE(VLOOKUP(TRIM(A307),'RESTAURANTESDESCUENTOS 2026'!A:B,2,FALSE),"%",""))/100)+I307),(VLOOKUP(TRIM(D307), CATALOGO!A:B, 2, FALSE) * C307+I307)),""))</f>
        <v>148000</v>
      </c>
      <c r="K307" s="127">
        <v>0.0</v>
      </c>
      <c r="L307" s="85" t="s">
        <v>587</v>
      </c>
      <c r="M307" s="171" t="s">
        <v>587</v>
      </c>
      <c r="N307" s="172"/>
    </row>
    <row r="308" ht="22.5" hidden="1" customHeight="1">
      <c r="A308" s="131" t="s">
        <v>733</v>
      </c>
      <c r="B308" s="110">
        <v>46039.0</v>
      </c>
      <c r="C308" s="60">
        <v>4.0</v>
      </c>
      <c r="D308" s="152" t="s">
        <v>182</v>
      </c>
      <c r="E308" s="111" t="s">
        <v>227</v>
      </c>
      <c r="F308" s="112"/>
      <c r="G308" s="114" t="s">
        <v>35</v>
      </c>
      <c r="H308" s="139"/>
      <c r="I308" s="116">
        <v>0.0</v>
      </c>
      <c r="J308" s="117">
        <f>IF(A308="RAPPI",(VLOOKUP(TRIM(D308), CATALOGO!F:G, 2, FALSE) * C308)+I308,IFERROR(IF(COUNTIF('RESTAURANTESDESCUENTOS 2026'!A:A,TRIM(A308))&gt;0,((VLOOKUP(TRIM(D308), CATALOGO!A:B, 2, FALSE) * C308)*(1-VALUE(SUBSTITUTE(VLOOKUP(TRIM(A308),'RESTAURANTESDESCUENTOS 2026'!A:B,2,FALSE),"%",""))/100)+I308),(VLOOKUP(TRIM(D308), CATALOGO!A:B, 2, FALSE) * C308+I308)),""))</f>
        <v>148000</v>
      </c>
      <c r="K308" s="116">
        <v>0.0</v>
      </c>
      <c r="L308" s="85" t="s">
        <v>587</v>
      </c>
      <c r="M308" s="171" t="s">
        <v>587</v>
      </c>
      <c r="N308" s="172"/>
    </row>
    <row r="309" ht="22.5" hidden="1" customHeight="1">
      <c r="A309" s="122" t="s">
        <v>733</v>
      </c>
      <c r="B309" s="123">
        <v>46039.0</v>
      </c>
      <c r="C309" s="62">
        <v>1.0</v>
      </c>
      <c r="D309" s="173" t="s">
        <v>228</v>
      </c>
      <c r="E309" s="174" t="s">
        <v>734</v>
      </c>
      <c r="F309" s="175"/>
      <c r="G309" s="176" t="s">
        <v>35</v>
      </c>
      <c r="H309" s="177"/>
      <c r="I309" s="178">
        <v>0.0</v>
      </c>
      <c r="J309" s="179">
        <f>IF(A309="RAPPI",(VLOOKUP(TRIM(D309), CATALOGO!F:G, 2, FALSE) * C309)+I309,IFERROR(IF(COUNTIF('RESTAURANTESDESCUENTOS 2026'!A:A,TRIM(A309))&gt;0,((VLOOKUP(TRIM(D309), CATALOGO!A:B, 2, FALSE) * C309)*(1-VALUE(SUBSTITUTE(VLOOKUP(TRIM(A309),'RESTAURANTESDESCUENTOS 2026'!A:B,2,FALSE),"%",""))/100)+I309),(VLOOKUP(TRIM(D309), CATALOGO!A:B, 2, FALSE) * C309+I309)),""))</f>
        <v>105000</v>
      </c>
      <c r="K309" s="178">
        <v>0.0</v>
      </c>
      <c r="L309" s="87" t="s">
        <v>587</v>
      </c>
      <c r="M309" s="180" t="s">
        <v>587</v>
      </c>
      <c r="N309" s="172"/>
    </row>
    <row r="310" ht="22.5" hidden="1" customHeight="1">
      <c r="A310" s="141" t="s">
        <v>733</v>
      </c>
      <c r="B310" s="181">
        <v>46039.0</v>
      </c>
      <c r="C310" s="55">
        <v>1.0</v>
      </c>
      <c r="D310" s="182" t="s">
        <v>229</v>
      </c>
      <c r="E310" s="183" t="s">
        <v>735</v>
      </c>
      <c r="F310" s="184"/>
      <c r="G310" s="176" t="s">
        <v>35</v>
      </c>
      <c r="H310" s="185"/>
      <c r="I310" s="186">
        <v>0.0</v>
      </c>
      <c r="J310" s="179">
        <f>IF(A310="RAPPI",(VLOOKUP(TRIM(D310), CATALOGO!F:G, 2, FALSE) * C310)+I310,IFERROR(IF(COUNTIF('RESTAURANTESDESCUENTOS 2026'!A:A,TRIM(A310))&gt;0,((VLOOKUP(TRIM(D310), CATALOGO!A:B, 2, FALSE) * C310)*(1-VALUE(SUBSTITUTE(VLOOKUP(TRIM(A310),'RESTAURANTESDESCUENTOS 2026'!A:B,2,FALSE),"%",""))/100)+I310),(VLOOKUP(TRIM(D310), CATALOGO!A:B, 2, FALSE) * C310+I310)),""))</f>
        <v>105000</v>
      </c>
      <c r="K310" s="186">
        <v>0.0</v>
      </c>
      <c r="L310" s="87" t="s">
        <v>587</v>
      </c>
      <c r="M310" s="180" t="s">
        <v>587</v>
      </c>
      <c r="N310" s="172"/>
    </row>
    <row r="311" ht="22.5" hidden="1" customHeight="1">
      <c r="A311" s="141" t="s">
        <v>736</v>
      </c>
      <c r="B311" s="110">
        <v>46039.0</v>
      </c>
      <c r="C311" s="174">
        <v>1.0</v>
      </c>
      <c r="D311" s="175" t="s">
        <v>188</v>
      </c>
      <c r="E311" s="187" t="s">
        <v>699</v>
      </c>
      <c r="F311" s="188"/>
      <c r="G311" s="176" t="s">
        <v>587</v>
      </c>
      <c r="H311" s="182" t="s">
        <v>588</v>
      </c>
      <c r="I311" s="186">
        <v>14000.0</v>
      </c>
      <c r="J311" s="179">
        <f>IF(A311="RAPPI",(VLOOKUP(TRIM(D311), CATALOGO!F:G, 2, FALSE) * C311)+I311,IFERROR(IF(COUNTIF('RESTAURANTESDESCUENTOS 2026'!A:A,TRIM(A311))&gt;0,((VLOOKUP(TRIM(D311), CATALOGO!A:B, 2, FALSE) * C311)*(1-VALUE(SUBSTITUTE(VLOOKUP(TRIM(A311),'RESTAURANTESDESCUENTOS 2026'!A:B,2,FALSE),"%",""))/100)+I311),(VLOOKUP(TRIM(D311), CATALOGO!A:B, 2, FALSE) * C311+I311)),""))</f>
        <v>177000</v>
      </c>
      <c r="K311" s="189">
        <v>16000.0</v>
      </c>
      <c r="L311" s="190"/>
      <c r="M311" s="180" t="s">
        <v>587</v>
      </c>
      <c r="N311" s="172"/>
    </row>
    <row r="312" ht="22.5" hidden="1" customHeight="1">
      <c r="A312" s="191" t="s">
        <v>86</v>
      </c>
      <c r="B312" s="192">
        <v>46039.0</v>
      </c>
      <c r="C312" s="55">
        <v>1.0</v>
      </c>
      <c r="D312" s="97" t="s">
        <v>177</v>
      </c>
      <c r="E312" s="55" t="s">
        <v>610</v>
      </c>
      <c r="F312" s="193"/>
      <c r="G312" s="194" t="s">
        <v>587</v>
      </c>
      <c r="H312" s="195" t="s">
        <v>632</v>
      </c>
      <c r="I312" s="196">
        <v>0.0</v>
      </c>
      <c r="J312" s="179">
        <f>IF(A312="RAPPI",(VLOOKUP(TRIM(D312), CATALOGO!F:G, 2, FALSE) * C312)+I312,IFERROR(IF(COUNTIF('RESTAURANTESDESCUENTOS 2026'!A:A,TRIM(A312))&gt;0,((VLOOKUP(TRIM(D312), CATALOGO!A:B, 2, FALSE) * C312)*(1-VALUE(SUBSTITUTE(VLOOKUP(TRIM(A312),'RESTAURANTESDESCUENTOS 2026'!A:B,2,FALSE),"%",""))/100)+I312),(VLOOKUP(TRIM(D312), CATALOGO!A:B, 2, FALSE) * C312+I312)),""))</f>
        <v>86250</v>
      </c>
      <c r="K312" s="196">
        <v>15000.0</v>
      </c>
      <c r="L312" s="87" t="s">
        <v>587</v>
      </c>
      <c r="M312" s="197" t="s">
        <v>587</v>
      </c>
      <c r="N312" s="168"/>
    </row>
    <row r="313" ht="22.5" hidden="1" customHeight="1">
      <c r="A313" s="191" t="s">
        <v>623</v>
      </c>
      <c r="B313" s="192">
        <v>46039.0</v>
      </c>
      <c r="C313" s="55">
        <v>1.0</v>
      </c>
      <c r="D313" s="97" t="s">
        <v>189</v>
      </c>
      <c r="E313" s="111"/>
      <c r="F313" s="175"/>
      <c r="G313" s="194" t="s">
        <v>587</v>
      </c>
      <c r="H313" s="195" t="s">
        <v>632</v>
      </c>
      <c r="I313" s="196">
        <v>10000.0</v>
      </c>
      <c r="J313" s="179">
        <f>IF(A313="RAPPI",(VLOOKUP(TRIM(D313), CATALOGO!F:G, 2, FALSE) * C313)+I313,IFERROR(IF(COUNTIF('RESTAURANTESDESCUENTOS 2026'!A:A,TRIM(A313))&gt;0,((VLOOKUP(TRIM(D313), CATALOGO!A:B, 2, FALSE) * C313)*(1-VALUE(SUBSTITUTE(VLOOKUP(TRIM(A313),'RESTAURANTESDESCUENTOS 2026'!A:B,2,FALSE),"%",""))/100)+I313),(VLOOKUP(TRIM(D313), CATALOGO!A:B, 2, FALSE) * C313+I313)),""))</f>
        <v>155000</v>
      </c>
      <c r="K313" s="196">
        <v>10000.0</v>
      </c>
      <c r="L313" s="190"/>
      <c r="M313" s="197" t="s">
        <v>587</v>
      </c>
      <c r="N313" s="168"/>
    </row>
    <row r="314" ht="22.5" hidden="1" customHeight="1">
      <c r="A314" s="162" t="s">
        <v>10</v>
      </c>
      <c r="B314" s="192">
        <v>46039.0</v>
      </c>
      <c r="C314" s="60">
        <v>1.0</v>
      </c>
      <c r="D314" s="97" t="s">
        <v>178</v>
      </c>
      <c r="E314" s="55" t="s">
        <v>610</v>
      </c>
      <c r="F314" s="193"/>
      <c r="G314" s="194" t="s">
        <v>587</v>
      </c>
      <c r="H314" s="195" t="s">
        <v>632</v>
      </c>
      <c r="I314" s="196">
        <v>10000.0</v>
      </c>
      <c r="J314" s="179">
        <f>IF(A314="RAPPI",(VLOOKUP(TRIM(D314), CATALOGO!F:G, 2, FALSE) * C314)+I314,IFERROR(IF(COUNTIF('RESTAURANTESDESCUENTOS 2026'!A:A,TRIM(A314))&gt;0,((VLOOKUP(TRIM(D314), CATALOGO!A:B, 2, FALSE) * C314)*(1-VALUE(SUBSTITUTE(VLOOKUP(TRIM(A314),'RESTAURANTESDESCUENTOS 2026'!A:B,2,FALSE),"%",""))/100)+I314),(VLOOKUP(TRIM(D314), CATALOGO!A:B, 2, FALSE) * C314+I314)),""))</f>
        <v>122500</v>
      </c>
      <c r="K314" s="196">
        <v>10000.0</v>
      </c>
      <c r="L314" s="87" t="s">
        <v>587</v>
      </c>
      <c r="M314" s="197" t="s">
        <v>587</v>
      </c>
      <c r="N314" s="168"/>
    </row>
    <row r="315" ht="22.5" hidden="1" customHeight="1">
      <c r="A315" s="162" t="s">
        <v>737</v>
      </c>
      <c r="B315" s="192">
        <v>46039.0</v>
      </c>
      <c r="C315" s="60">
        <v>1.0</v>
      </c>
      <c r="D315" s="97" t="s">
        <v>618</v>
      </c>
      <c r="E315" s="55"/>
      <c r="F315" s="193"/>
      <c r="G315" s="194" t="s">
        <v>587</v>
      </c>
      <c r="H315" s="195" t="s">
        <v>632</v>
      </c>
      <c r="I315" s="196">
        <v>10000.0</v>
      </c>
      <c r="J315" s="179">
        <f>IF(A315="RAPPI",(VLOOKUP(TRIM(D315), CATALOGO!F:G, 2, FALSE) * C315)+I315,IFERROR(IF(COUNTIF('RESTAURANTESDESCUENTOS 2026'!A:A,TRIM(A315))&gt;0,((VLOOKUP(TRIM(D315), CATALOGO!A:B, 2, FALSE) * C315)*(1-VALUE(SUBSTITUTE(VLOOKUP(TRIM(A315),'RESTAURANTESDESCUENTOS 2026'!A:B,2,FALSE),"%",""))/100)+I315),(VLOOKUP(TRIM(D315), CATALOGO!A:B, 2, FALSE) * C315+I315)),""))</f>
        <v>63000</v>
      </c>
      <c r="K315" s="196">
        <v>10000.0</v>
      </c>
      <c r="L315" s="87"/>
      <c r="M315" s="197" t="s">
        <v>587</v>
      </c>
      <c r="N315" s="168"/>
    </row>
    <row r="316" ht="22.5" hidden="1" customHeight="1">
      <c r="A316" s="191" t="s">
        <v>738</v>
      </c>
      <c r="B316" s="192">
        <v>46039.0</v>
      </c>
      <c r="C316" s="55">
        <v>1.0</v>
      </c>
      <c r="D316" s="97" t="s">
        <v>739</v>
      </c>
      <c r="E316" s="55"/>
      <c r="F316" s="193"/>
      <c r="G316" s="194" t="s">
        <v>587</v>
      </c>
      <c r="H316" s="195" t="s">
        <v>632</v>
      </c>
      <c r="I316" s="196">
        <v>13000.0</v>
      </c>
      <c r="J316" s="179">
        <f>IF(A316="RAPPI",(VLOOKUP(TRIM(D316), CATALOGO!F:G, 2, FALSE) * C316)+I316,IFERROR(IF(COUNTIF('RESTAURANTESDESCUENTOS 2026'!A:A,TRIM(A316))&gt;0,((VLOOKUP(TRIM(D316), CATALOGO!A:B, 2, FALSE) * C316)*(1-VALUE(SUBSTITUTE(VLOOKUP(TRIM(A316),'RESTAURANTESDESCUENTOS 2026'!A:B,2,FALSE),"%",""))/100)+I316),(VLOOKUP(TRIM(D316), CATALOGO!A:B, 2, FALSE) * C316+I316)),""))</f>
        <v>176000</v>
      </c>
      <c r="K316" s="196">
        <v>13000.0</v>
      </c>
      <c r="L316" s="87"/>
      <c r="M316" s="197" t="s">
        <v>587</v>
      </c>
      <c r="N316" s="168"/>
    </row>
    <row r="317" ht="22.5" hidden="1" customHeight="1">
      <c r="A317" s="191" t="s">
        <v>597</v>
      </c>
      <c r="B317" s="192">
        <v>46039.0</v>
      </c>
      <c r="C317" s="55">
        <v>4.0</v>
      </c>
      <c r="D317" s="97" t="s">
        <v>176</v>
      </c>
      <c r="E317" s="55"/>
      <c r="F317" s="193"/>
      <c r="G317" s="194" t="s">
        <v>35</v>
      </c>
      <c r="H317" s="198"/>
      <c r="I317" s="196"/>
      <c r="J317" s="199">
        <v>0.0</v>
      </c>
      <c r="K317" s="196"/>
      <c r="L317" s="190"/>
      <c r="M317" s="197" t="s">
        <v>587</v>
      </c>
      <c r="N317" s="168"/>
    </row>
    <row r="318" ht="22.5" hidden="1" customHeight="1">
      <c r="A318" s="191" t="s">
        <v>597</v>
      </c>
      <c r="B318" s="192">
        <v>46039.0</v>
      </c>
      <c r="C318" s="55">
        <v>8.0</v>
      </c>
      <c r="D318" s="97" t="s">
        <v>178</v>
      </c>
      <c r="E318" s="55" t="s">
        <v>552</v>
      </c>
      <c r="F318" s="193"/>
      <c r="G318" s="194" t="s">
        <v>35</v>
      </c>
      <c r="H318" s="198"/>
      <c r="I318" s="196"/>
      <c r="J318" s="199">
        <v>0.0</v>
      </c>
      <c r="K318" s="196"/>
      <c r="L318" s="190"/>
      <c r="M318" s="197" t="s">
        <v>587</v>
      </c>
      <c r="N318" s="168"/>
    </row>
    <row r="319" ht="22.5" hidden="1" customHeight="1">
      <c r="A319" s="191" t="s">
        <v>156</v>
      </c>
      <c r="B319" s="192">
        <v>46039.0</v>
      </c>
      <c r="C319" s="55">
        <v>1.0</v>
      </c>
      <c r="D319" s="97" t="s">
        <v>178</v>
      </c>
      <c r="E319" s="55" t="s">
        <v>648</v>
      </c>
      <c r="F319" s="193"/>
      <c r="G319" s="194" t="s">
        <v>587</v>
      </c>
      <c r="H319" s="195" t="s">
        <v>588</v>
      </c>
      <c r="I319" s="196">
        <v>10000.0</v>
      </c>
      <c r="J319" s="179">
        <f>IF(A319="RAPPI",(VLOOKUP(TRIM(D319), CATALOGO!F:G, 2, FALSE) * C319)+I319,IFERROR(IF(COUNTIF('RESTAURANTESDESCUENTOS 2026'!A:A,TRIM(A319))&gt;0,((VLOOKUP(TRIM(D319), CATALOGO!A:B, 2, FALSE) * C319)*(1-VALUE(SUBSTITUTE(VLOOKUP(TRIM(A319),'RESTAURANTESDESCUENTOS 2026'!A:B,2,FALSE),"%",""))/100)+I319),(VLOOKUP(TRIM(D319), CATALOGO!A:B, 2, FALSE) * C319+I319)),""))</f>
        <v>122500</v>
      </c>
      <c r="K319" s="196">
        <v>10000.0</v>
      </c>
      <c r="L319" s="87"/>
      <c r="M319" s="197" t="s">
        <v>587</v>
      </c>
      <c r="N319" s="168"/>
    </row>
    <row r="320" ht="22.5" hidden="1" customHeight="1">
      <c r="A320" s="191" t="s">
        <v>55</v>
      </c>
      <c r="B320" s="192">
        <v>46039.0</v>
      </c>
      <c r="C320" s="55">
        <v>1.0</v>
      </c>
      <c r="D320" s="97" t="s">
        <v>178</v>
      </c>
      <c r="E320" s="55" t="s">
        <v>552</v>
      </c>
      <c r="F320" s="193"/>
      <c r="G320" s="194" t="s">
        <v>587</v>
      </c>
      <c r="H320" s="195" t="s">
        <v>632</v>
      </c>
      <c r="I320" s="196">
        <v>10000.0</v>
      </c>
      <c r="J320" s="179">
        <f>IF(A320="RAPPI",(VLOOKUP(TRIM(D320), CATALOGO!F:G, 2, FALSE) * C320)+I320,IFERROR(IF(COUNTIF('RESTAURANTESDESCUENTOS 2026'!A:A,TRIM(A320))&gt;0,((VLOOKUP(TRIM(D320), CATALOGO!A:B, 2, FALSE) * C320)*(1-VALUE(SUBSTITUTE(VLOOKUP(TRIM(A320),'RESTAURANTESDESCUENTOS 2026'!A:B,2,FALSE),"%",""))/100)+I320),(VLOOKUP(TRIM(D320), CATALOGO!A:B, 2, FALSE) * C320+I320)),""))</f>
        <v>122500</v>
      </c>
      <c r="K320" s="196">
        <v>10000.0</v>
      </c>
      <c r="L320" s="87" t="s">
        <v>587</v>
      </c>
      <c r="M320" s="197" t="s">
        <v>587</v>
      </c>
      <c r="N320" s="168"/>
    </row>
    <row r="321" ht="22.5" hidden="1" customHeight="1">
      <c r="A321" s="191" t="s">
        <v>740</v>
      </c>
      <c r="B321" s="192">
        <v>46039.0</v>
      </c>
      <c r="C321" s="55">
        <v>1.0</v>
      </c>
      <c r="D321" s="97" t="s">
        <v>177</v>
      </c>
      <c r="E321" s="55"/>
      <c r="F321" s="193"/>
      <c r="G321" s="194" t="s">
        <v>587</v>
      </c>
      <c r="H321" s="195" t="s">
        <v>632</v>
      </c>
      <c r="I321" s="196">
        <v>14000.0</v>
      </c>
      <c r="J321" s="179">
        <f>IF(A321="RAPPI",(VLOOKUP(TRIM(D321), CATALOGO!F:G, 2, FALSE) * C321)+I321,IFERROR(IF(COUNTIF('RESTAURANTESDESCUENTOS 2026'!A:A,TRIM(A321))&gt;0,((VLOOKUP(TRIM(D321), CATALOGO!A:B, 2, FALSE) * C321)*(1-VALUE(SUBSTITUTE(VLOOKUP(TRIM(A321),'RESTAURANTESDESCUENTOS 2026'!A:B,2,FALSE),"%",""))/100)+I321),(VLOOKUP(TRIM(D321), CATALOGO!A:B, 2, FALSE) * C321+I321)),""))</f>
        <v>129000</v>
      </c>
      <c r="K321" s="196">
        <v>14000.0</v>
      </c>
      <c r="L321" s="87"/>
      <c r="M321" s="197" t="s">
        <v>587</v>
      </c>
      <c r="N321" s="168"/>
    </row>
    <row r="322" ht="22.5" hidden="1" customHeight="1">
      <c r="A322" s="191" t="s">
        <v>603</v>
      </c>
      <c r="B322" s="192">
        <v>46039.0</v>
      </c>
      <c r="C322" s="55">
        <v>1.0</v>
      </c>
      <c r="D322" s="97" t="s">
        <v>177</v>
      </c>
      <c r="E322" s="55">
        <v>6773.0</v>
      </c>
      <c r="F322" s="193"/>
      <c r="G322" s="194" t="s">
        <v>587</v>
      </c>
      <c r="H322" s="195" t="s">
        <v>603</v>
      </c>
      <c r="I322" s="196"/>
      <c r="J322" s="179">
        <f>IF(A322="RAPPI",(VLOOKUP(TRIM(D322), CATALOGO!F:G, 2, FALSE) * C322)+I322,IFERROR(IF(COUNTIF('RESTAURANTESDESCUENTOS 2026'!A:A,TRIM(A322))&gt;0,((VLOOKUP(TRIM(D322), CATALOGO!A:B, 2, FALSE) * C322)*(1-VALUE(SUBSTITUTE(VLOOKUP(TRIM(A322),'RESTAURANTESDESCUENTOS 2026'!A:B,2,FALSE),"%",""))/100)+I322),(VLOOKUP(TRIM(D322), CATALOGO!A:B, 2, FALSE) * C322+I322)),""))</f>
        <v>115000</v>
      </c>
      <c r="K322" s="196"/>
      <c r="L322" s="87"/>
      <c r="M322" s="197" t="s">
        <v>587</v>
      </c>
      <c r="N322" s="168"/>
    </row>
    <row r="323" ht="22.5" hidden="1" customHeight="1">
      <c r="A323" s="191" t="s">
        <v>605</v>
      </c>
      <c r="B323" s="192">
        <v>46039.0</v>
      </c>
      <c r="C323" s="55">
        <v>1.0</v>
      </c>
      <c r="D323" s="97" t="s">
        <v>601</v>
      </c>
      <c r="E323" s="55" t="s">
        <v>606</v>
      </c>
      <c r="F323" s="193"/>
      <c r="G323" s="194" t="s">
        <v>35</v>
      </c>
      <c r="H323" s="198"/>
      <c r="I323" s="196"/>
      <c r="J323" s="179">
        <f>IF(A323="RAPPI",(VLOOKUP(TRIM(D323), CATALOGO!F:G, 2, FALSE) * C323)+I323,IFERROR(IF(COUNTIF('RESTAURANTESDESCUENTOS 2026'!A:A,TRIM(A323))&gt;0,((VLOOKUP(TRIM(D323), CATALOGO!A:B, 2, FALSE) * C323)*(1-VALUE(SUBSTITUTE(VLOOKUP(TRIM(A323),'RESTAURANTESDESCUENTOS 2026'!A:B,2,FALSE),"%",""))/100)+I323),(VLOOKUP(TRIM(D323), CATALOGO!A:B, 2, FALSE) * C323+I323)),""))</f>
        <v>53000</v>
      </c>
      <c r="K323" s="196"/>
      <c r="L323" s="87"/>
      <c r="M323" s="197" t="s">
        <v>587</v>
      </c>
      <c r="N323" s="168"/>
    </row>
    <row r="324" ht="22.5" hidden="1" customHeight="1">
      <c r="A324" s="191" t="s">
        <v>605</v>
      </c>
      <c r="B324" s="192">
        <v>46039.0</v>
      </c>
      <c r="C324" s="55">
        <v>1.0</v>
      </c>
      <c r="D324" s="97" t="s">
        <v>186</v>
      </c>
      <c r="E324" s="55" t="s">
        <v>606</v>
      </c>
      <c r="F324" s="193"/>
      <c r="G324" s="194" t="s">
        <v>35</v>
      </c>
      <c r="H324" s="198"/>
      <c r="I324" s="196"/>
      <c r="J324" s="179">
        <f>IF(A324="RAPPI",(VLOOKUP(TRIM(D324), CATALOGO!F:G, 2, FALSE) * C324)+I324,IFERROR(IF(COUNTIF('RESTAURANTESDESCUENTOS 2026'!A:A,TRIM(A324))&gt;0,((VLOOKUP(TRIM(D324), CATALOGO!A:B, 2, FALSE) * C324)*(1-VALUE(SUBSTITUTE(VLOOKUP(TRIM(A324),'RESTAURANTESDESCUENTOS 2026'!A:B,2,FALSE),"%",""))/100)+I324),(VLOOKUP(TRIM(D324), CATALOGO!A:B, 2, FALSE) * C324+I324)),""))</f>
        <v>55000</v>
      </c>
      <c r="K324" s="196"/>
      <c r="L324" s="87"/>
      <c r="M324" s="197" t="s">
        <v>587</v>
      </c>
      <c r="N324" s="168"/>
    </row>
    <row r="325" ht="22.5" hidden="1" customHeight="1">
      <c r="A325" s="191" t="s">
        <v>167</v>
      </c>
      <c r="B325" s="192">
        <v>46039.0</v>
      </c>
      <c r="C325" s="55">
        <v>1.0</v>
      </c>
      <c r="D325" s="97" t="s">
        <v>678</v>
      </c>
      <c r="E325" s="55" t="s">
        <v>741</v>
      </c>
      <c r="F325" s="193"/>
      <c r="G325" s="194" t="s">
        <v>35</v>
      </c>
      <c r="H325" s="198"/>
      <c r="I325" s="196"/>
      <c r="J325" s="199">
        <v>0.0</v>
      </c>
      <c r="K325" s="196"/>
      <c r="L325" s="87"/>
      <c r="M325" s="197" t="s">
        <v>587</v>
      </c>
      <c r="N325" s="168"/>
    </row>
    <row r="326" ht="22.5" hidden="1" customHeight="1">
      <c r="A326" s="191" t="s">
        <v>605</v>
      </c>
      <c r="B326" s="192">
        <v>46039.0</v>
      </c>
      <c r="C326" s="55">
        <v>1.0</v>
      </c>
      <c r="D326" s="97" t="s">
        <v>177</v>
      </c>
      <c r="E326" s="55" t="s">
        <v>607</v>
      </c>
      <c r="F326" s="193"/>
      <c r="G326" s="194" t="s">
        <v>35</v>
      </c>
      <c r="H326" s="198"/>
      <c r="I326" s="196"/>
      <c r="J326" s="179">
        <f>IF(A326="RAPPI",(VLOOKUP(TRIM(D326), CATALOGO!F:G, 2, FALSE) * C326)+I326,IFERROR(IF(COUNTIF('RESTAURANTESDESCUENTOS 2026'!A:A,TRIM(A326))&gt;0,((VLOOKUP(TRIM(D326), CATALOGO!A:B, 2, FALSE) * C326)*(1-VALUE(SUBSTITUTE(VLOOKUP(TRIM(A326),'RESTAURANTESDESCUENTOS 2026'!A:B,2,FALSE),"%",""))/100)+I326),(VLOOKUP(TRIM(D326), CATALOGO!A:B, 2, FALSE) * C326+I326)),""))</f>
        <v>115000</v>
      </c>
      <c r="K326" s="196"/>
      <c r="L326" s="87"/>
      <c r="M326" s="197" t="s">
        <v>587</v>
      </c>
      <c r="N326" s="168"/>
    </row>
    <row r="327" ht="22.5" hidden="1" customHeight="1">
      <c r="A327" s="191" t="s">
        <v>603</v>
      </c>
      <c r="B327" s="192">
        <v>46039.0</v>
      </c>
      <c r="C327" s="55">
        <v>1.0</v>
      </c>
      <c r="D327" s="97" t="s">
        <v>186</v>
      </c>
      <c r="E327" s="55">
        <v>3225.0</v>
      </c>
      <c r="F327" s="193"/>
      <c r="G327" s="194" t="s">
        <v>587</v>
      </c>
      <c r="H327" s="195" t="s">
        <v>603</v>
      </c>
      <c r="I327" s="196"/>
      <c r="J327" s="179">
        <f>IF(A327="RAPPI",(VLOOKUP(TRIM(D327), CATALOGO!F:G, 2, FALSE) * C327)+I327,IFERROR(IF(COUNTIF('RESTAURANTESDESCUENTOS 2026'!A:A,TRIM(A327))&gt;0,((VLOOKUP(TRIM(D327), CATALOGO!A:B, 2, FALSE) * C327)*(1-VALUE(SUBSTITUTE(VLOOKUP(TRIM(A327),'RESTAURANTESDESCUENTOS 2026'!A:B,2,FALSE),"%",""))/100)+I327),(VLOOKUP(TRIM(D327), CATALOGO!A:B, 2, FALSE) * C327+I327)),""))</f>
        <v>55000</v>
      </c>
      <c r="K327" s="196"/>
      <c r="L327" s="87"/>
      <c r="M327" s="197" t="s">
        <v>587</v>
      </c>
      <c r="N327" s="168"/>
    </row>
    <row r="328" ht="22.5" hidden="1" customHeight="1">
      <c r="A328" s="191" t="s">
        <v>742</v>
      </c>
      <c r="B328" s="192">
        <v>46039.0</v>
      </c>
      <c r="C328" s="55">
        <v>1.0</v>
      </c>
      <c r="D328" s="97" t="s">
        <v>678</v>
      </c>
      <c r="E328" s="55"/>
      <c r="F328" s="193"/>
      <c r="G328" s="194" t="s">
        <v>35</v>
      </c>
      <c r="H328" s="198"/>
      <c r="I328" s="196"/>
      <c r="J328" s="179">
        <f>IF(A328="RAPPI",(VLOOKUP(TRIM(D328), CATALOGO!F:G, 2, FALSE) * C328)+I328,IFERROR(IF(COUNTIF('RESTAURANTESDESCUENTOS 2026'!A:A,TRIM(A328))&gt;0,((VLOOKUP(TRIM(D328), CATALOGO!A:B, 2, FALSE) * C328)*(1-VALUE(SUBSTITUTE(VLOOKUP(TRIM(A328),'RESTAURANTESDESCUENTOS 2026'!A:B,2,FALSE),"%",""))/100)+I328),(VLOOKUP(TRIM(D328), CATALOGO!A:B, 2, FALSE) * C328+I328)),""))</f>
        <v>123000</v>
      </c>
      <c r="K328" s="196"/>
      <c r="L328" s="87"/>
      <c r="M328" s="197" t="s">
        <v>587</v>
      </c>
      <c r="N328" s="168"/>
    </row>
    <row r="329" ht="22.5" hidden="1" customHeight="1">
      <c r="A329" s="191" t="s">
        <v>603</v>
      </c>
      <c r="B329" s="192">
        <v>46039.0</v>
      </c>
      <c r="C329" s="55">
        <v>1.0</v>
      </c>
      <c r="D329" s="97" t="s">
        <v>187</v>
      </c>
      <c r="E329" s="55">
        <v>4274.0</v>
      </c>
      <c r="F329" s="193"/>
      <c r="G329" s="194" t="s">
        <v>587</v>
      </c>
      <c r="H329" s="195" t="s">
        <v>603</v>
      </c>
      <c r="I329" s="196"/>
      <c r="J329" s="179">
        <f>IF(A329="RAPPI",(VLOOKUP(TRIM(D329), CATALOGO!F:G, 2, FALSE) * C329)+I329,IFERROR(IF(COUNTIF('RESTAURANTESDESCUENTOS 2026'!A:A,TRIM(A329))&gt;0,((VLOOKUP(TRIM(D329), CATALOGO!A:B, 2, FALSE) * C329)*(1-VALUE(SUBSTITUTE(VLOOKUP(TRIM(A329),'RESTAURANTESDESCUENTOS 2026'!A:B,2,FALSE),"%",""))/100)+I329),(VLOOKUP(TRIM(D329), CATALOGO!A:B, 2, FALSE) * C329+I329)),""))</f>
        <v>55000</v>
      </c>
      <c r="K329" s="196"/>
      <c r="L329" s="87"/>
      <c r="M329" s="197" t="s">
        <v>587</v>
      </c>
      <c r="N329" s="168"/>
    </row>
    <row r="330" ht="22.5" hidden="1" customHeight="1">
      <c r="A330" s="191" t="s">
        <v>605</v>
      </c>
      <c r="B330" s="192">
        <v>46039.0</v>
      </c>
      <c r="C330" s="55">
        <v>1.0</v>
      </c>
      <c r="D330" s="97" t="s">
        <v>601</v>
      </c>
      <c r="E330" s="55" t="s">
        <v>607</v>
      </c>
      <c r="F330" s="193"/>
      <c r="G330" s="194" t="s">
        <v>35</v>
      </c>
      <c r="H330" s="198"/>
      <c r="I330" s="196"/>
      <c r="J330" s="179">
        <f>IF(A330="RAPPI",(VLOOKUP(TRIM(D330), CATALOGO!F:G, 2, FALSE) * C330)+I330,IFERROR(IF(COUNTIF('RESTAURANTESDESCUENTOS 2026'!A:A,TRIM(A330))&gt;0,((VLOOKUP(TRIM(D330), CATALOGO!A:B, 2, FALSE) * C330)*(1-VALUE(SUBSTITUTE(VLOOKUP(TRIM(A330),'RESTAURANTESDESCUENTOS 2026'!A:B,2,FALSE),"%",""))/100)+I330),(VLOOKUP(TRIM(D330), CATALOGO!A:B, 2, FALSE) * C330+I330)),""))</f>
        <v>53000</v>
      </c>
      <c r="K330" s="196"/>
      <c r="L330" s="87"/>
      <c r="M330" s="197" t="s">
        <v>587</v>
      </c>
      <c r="N330" s="168"/>
    </row>
    <row r="331" ht="22.5" hidden="1" customHeight="1">
      <c r="A331" s="191" t="s">
        <v>603</v>
      </c>
      <c r="B331" s="192">
        <v>46039.0</v>
      </c>
      <c r="C331" s="55">
        <v>1.0</v>
      </c>
      <c r="D331" s="97" t="s">
        <v>697</v>
      </c>
      <c r="E331" s="55">
        <v>5827.0</v>
      </c>
      <c r="F331" s="193"/>
      <c r="G331" s="194" t="s">
        <v>587</v>
      </c>
      <c r="H331" s="195" t="s">
        <v>603</v>
      </c>
      <c r="I331" s="196"/>
      <c r="J331" s="179">
        <f>IF(A331="RAPPI",(VLOOKUP(TRIM(D331), CATALOGO!F:G, 2, FALSE) * C331)+I331,IFERROR(IF(COUNTIF('RESTAURANTESDESCUENTOS 2026'!A:A,TRIM(A331))&gt;0,((VLOOKUP(TRIM(D331), CATALOGO!A:B, 2, FALSE) * C331)*(1-VALUE(SUBSTITUTE(VLOOKUP(TRIM(A331),'RESTAURANTESDESCUENTOS 2026'!A:B,2,FALSE),"%",""))/100)+I331),(VLOOKUP(TRIM(D331), CATALOGO!A:B, 2, FALSE) * C331+I331)),""))</f>
        <v>163000</v>
      </c>
      <c r="K331" s="196"/>
      <c r="L331" s="87"/>
      <c r="M331" s="197" t="s">
        <v>587</v>
      </c>
      <c r="N331" s="168"/>
    </row>
    <row r="332" ht="22.5" hidden="1" customHeight="1">
      <c r="A332" s="191" t="s">
        <v>603</v>
      </c>
      <c r="B332" s="192">
        <v>46039.0</v>
      </c>
      <c r="C332" s="55">
        <v>1.0</v>
      </c>
      <c r="D332" s="97" t="s">
        <v>708</v>
      </c>
      <c r="E332" s="55">
        <v>5442.0</v>
      </c>
      <c r="F332" s="193"/>
      <c r="G332" s="194" t="s">
        <v>587</v>
      </c>
      <c r="H332" s="195" t="s">
        <v>603</v>
      </c>
      <c r="I332" s="196"/>
      <c r="J332" s="179">
        <f>IF(A332="RAPPI",(VLOOKUP(TRIM(D332), CATALOGO!F:G, 2, FALSE) * C332)+I332,IFERROR(IF(COUNTIF('RESTAURANTESDESCUENTOS 2026'!A:A,TRIM(A332))&gt;0,((VLOOKUP(TRIM(D332), CATALOGO!A:B, 2, FALSE) * C332)*(1-VALUE(SUBSTITUTE(VLOOKUP(TRIM(A332),'RESTAURANTESDESCUENTOS 2026'!A:B,2,FALSE),"%",""))/100)+I332),(VLOOKUP(TRIM(D332), CATALOGO!A:B, 2, FALSE) * C332+I332)),""))</f>
        <v>53000</v>
      </c>
      <c r="K332" s="196"/>
      <c r="L332" s="87"/>
      <c r="M332" s="197" t="s">
        <v>587</v>
      </c>
      <c r="N332" s="168"/>
    </row>
    <row r="333" ht="22.5" hidden="1" customHeight="1">
      <c r="A333" s="191" t="s">
        <v>603</v>
      </c>
      <c r="B333" s="192">
        <v>46039.0</v>
      </c>
      <c r="C333" s="55">
        <v>1.0</v>
      </c>
      <c r="D333" s="97" t="s">
        <v>187</v>
      </c>
      <c r="E333" s="55">
        <v>2123.0</v>
      </c>
      <c r="F333" s="193"/>
      <c r="G333" s="194" t="s">
        <v>587</v>
      </c>
      <c r="H333" s="195" t="s">
        <v>603</v>
      </c>
      <c r="I333" s="196"/>
      <c r="J333" s="179">
        <f>IF(A333="RAPPI",(VLOOKUP(TRIM(D333), CATALOGO!F:G, 2, FALSE) * C333)+I333,IFERROR(IF(COUNTIF('RESTAURANTESDESCUENTOS 2026'!A:A,TRIM(A333))&gt;0,((VLOOKUP(TRIM(D333), CATALOGO!A:B, 2, FALSE) * C333)*(1-VALUE(SUBSTITUTE(VLOOKUP(TRIM(A333),'RESTAURANTESDESCUENTOS 2026'!A:B,2,FALSE),"%",""))/100)+I333),(VLOOKUP(TRIM(D333), CATALOGO!A:B, 2, FALSE) * C333+I333)),""))</f>
        <v>55000</v>
      </c>
      <c r="K333" s="196"/>
      <c r="L333" s="87"/>
      <c r="M333" s="197" t="s">
        <v>587</v>
      </c>
      <c r="N333" s="168"/>
    </row>
    <row r="334" ht="22.5" hidden="1" customHeight="1">
      <c r="A334" s="191" t="s">
        <v>603</v>
      </c>
      <c r="B334" s="192">
        <v>46039.0</v>
      </c>
      <c r="C334" s="55">
        <v>1.0</v>
      </c>
      <c r="D334" s="97" t="s">
        <v>176</v>
      </c>
      <c r="E334" s="55">
        <v>2103.0</v>
      </c>
      <c r="F334" s="193"/>
      <c r="G334" s="194" t="s">
        <v>587</v>
      </c>
      <c r="H334" s="195" t="s">
        <v>603</v>
      </c>
      <c r="I334" s="196"/>
      <c r="J334" s="179">
        <f>IF(A334="RAPPI",(VLOOKUP(TRIM(D334), CATALOGO!F:G, 2, FALSE) * C334)+I334,IFERROR(IF(COUNTIF('RESTAURANTESDESCUENTOS 2026'!A:A,TRIM(A334))&gt;0,((VLOOKUP(TRIM(D334), CATALOGO!A:B, 2, FALSE) * C334)*(1-VALUE(SUBSTITUTE(VLOOKUP(TRIM(A334),'RESTAURANTESDESCUENTOS 2026'!A:B,2,FALSE),"%",""))/100)+I334),(VLOOKUP(TRIM(D334), CATALOGO!A:B, 2, FALSE) * C334+I334)),""))</f>
        <v>50000</v>
      </c>
      <c r="K334" s="196"/>
      <c r="L334" s="87"/>
      <c r="M334" s="197" t="s">
        <v>587</v>
      </c>
      <c r="N334" s="168"/>
    </row>
    <row r="335" ht="22.5" hidden="1" customHeight="1">
      <c r="A335" s="191" t="s">
        <v>603</v>
      </c>
      <c r="B335" s="192">
        <v>46039.0</v>
      </c>
      <c r="C335" s="55">
        <v>1.0</v>
      </c>
      <c r="D335" s="97" t="s">
        <v>708</v>
      </c>
      <c r="E335" s="55">
        <v>9237.0</v>
      </c>
      <c r="F335" s="193"/>
      <c r="G335" s="194" t="s">
        <v>587</v>
      </c>
      <c r="H335" s="195" t="s">
        <v>603</v>
      </c>
      <c r="I335" s="196"/>
      <c r="J335" s="179">
        <f>IF(A335="RAPPI",(VLOOKUP(TRIM(D335), CATALOGO!F:G, 2, FALSE) * C335)+I335,IFERROR(IF(COUNTIF('RESTAURANTESDESCUENTOS 2026'!A:A,TRIM(A335))&gt;0,((VLOOKUP(TRIM(D335), CATALOGO!A:B, 2, FALSE) * C335)*(1-VALUE(SUBSTITUTE(VLOOKUP(TRIM(A335),'RESTAURANTESDESCUENTOS 2026'!A:B,2,FALSE),"%",""))/100)+I335),(VLOOKUP(TRIM(D335), CATALOGO!A:B, 2, FALSE) * C335+I335)),""))</f>
        <v>53000</v>
      </c>
      <c r="K335" s="196"/>
      <c r="L335" s="87"/>
      <c r="M335" s="197" t="s">
        <v>587</v>
      </c>
      <c r="N335" s="168"/>
    </row>
    <row r="336" ht="22.5" hidden="1" customHeight="1">
      <c r="A336" s="191" t="s">
        <v>605</v>
      </c>
      <c r="B336" s="192">
        <v>46039.0</v>
      </c>
      <c r="C336" s="200">
        <v>1.0</v>
      </c>
      <c r="D336" s="97" t="s">
        <v>174</v>
      </c>
      <c r="E336" s="55" t="s">
        <v>607</v>
      </c>
      <c r="F336" s="193"/>
      <c r="G336" s="194" t="s">
        <v>35</v>
      </c>
      <c r="H336" s="198"/>
      <c r="I336" s="196"/>
      <c r="J336" s="179">
        <f>IF(A336="RAPPI",(VLOOKUP(TRIM(D336), CATALOGO!F:G, 2, FALSE) * C336)+I336,IFERROR(IF(COUNTIF('RESTAURANTESDESCUENTOS 2026'!A:A,TRIM(A336))&gt;0,((VLOOKUP(TRIM(D336), CATALOGO!A:B, 2, FALSE) * C336)*(1-VALUE(SUBSTITUTE(VLOOKUP(TRIM(A336),'RESTAURANTESDESCUENTOS 2026'!A:B,2,FALSE),"%",""))/100)+I336),(VLOOKUP(TRIM(D336), CATALOGO!A:B, 2, FALSE) * C336+I336)),""))</f>
        <v>18000</v>
      </c>
      <c r="K336" s="196"/>
      <c r="L336" s="87"/>
      <c r="M336" s="197" t="s">
        <v>587</v>
      </c>
      <c r="N336" s="168"/>
    </row>
    <row r="337" ht="22.5" hidden="1" customHeight="1">
      <c r="A337" s="191" t="s">
        <v>603</v>
      </c>
      <c r="B337" s="192">
        <v>46039.0</v>
      </c>
      <c r="C337" s="55">
        <v>1.0</v>
      </c>
      <c r="D337" s="97" t="s">
        <v>708</v>
      </c>
      <c r="E337" s="55">
        <v>6984.0</v>
      </c>
      <c r="F337" s="193"/>
      <c r="G337" s="194" t="s">
        <v>587</v>
      </c>
      <c r="H337" s="195" t="s">
        <v>603</v>
      </c>
      <c r="I337" s="196"/>
      <c r="J337" s="179">
        <f>IF(A337="RAPPI",(VLOOKUP(TRIM(D337), CATALOGO!F:G, 2, FALSE) * C337)+I337,IFERROR(IF(COUNTIF('RESTAURANTESDESCUENTOS 2026'!A:A,TRIM(A337))&gt;0,((VLOOKUP(TRIM(D337), CATALOGO!A:B, 2, FALSE) * C337)*(1-VALUE(SUBSTITUTE(VLOOKUP(TRIM(A337),'RESTAURANTESDESCUENTOS 2026'!A:B,2,FALSE),"%",""))/100)+I337),(VLOOKUP(TRIM(D337), CATALOGO!A:B, 2, FALSE) * C337+I337)),""))</f>
        <v>53000</v>
      </c>
      <c r="K337" s="196"/>
      <c r="L337" s="87"/>
      <c r="M337" s="197" t="s">
        <v>587</v>
      </c>
      <c r="N337" s="168"/>
    </row>
    <row r="338" ht="22.5" hidden="1" customHeight="1">
      <c r="A338" s="191" t="s">
        <v>131</v>
      </c>
      <c r="B338" s="192">
        <v>46041.0</v>
      </c>
      <c r="C338" s="55">
        <v>1.0</v>
      </c>
      <c r="D338" s="97" t="s">
        <v>178</v>
      </c>
      <c r="E338" s="55" t="s">
        <v>610</v>
      </c>
      <c r="F338" s="193"/>
      <c r="G338" s="194" t="s">
        <v>587</v>
      </c>
      <c r="H338" s="195" t="s">
        <v>588</v>
      </c>
      <c r="I338" s="196">
        <v>5000.0</v>
      </c>
      <c r="J338" s="179">
        <f>IF(A338="RAPPI",(VLOOKUP(TRIM(D338), CATALOGO!F:G, 2, FALSE) * C338)+I338,IFERROR(IF(COUNTIF('RESTAURANTESDESCUENTOS 2026'!A:A,TRIM(A338))&gt;0,((VLOOKUP(TRIM(D338), CATALOGO!A:B, 2, FALSE) * C338)*(1-VALUE(SUBSTITUTE(VLOOKUP(TRIM(A338),'RESTAURANTESDESCUENTOS 2026'!A:B,2,FALSE),"%",""))/100)+I338),(VLOOKUP(TRIM(D338), CATALOGO!A:B, 2, FALSE) * C338+I338)),""))</f>
        <v>110000</v>
      </c>
      <c r="K338" s="196">
        <v>10000.0</v>
      </c>
      <c r="L338" s="87" t="s">
        <v>587</v>
      </c>
      <c r="M338" s="197" t="s">
        <v>587</v>
      </c>
      <c r="N338" s="168"/>
    </row>
    <row r="339" ht="22.5" hidden="1" customHeight="1">
      <c r="A339" s="191" t="s">
        <v>55</v>
      </c>
      <c r="B339" s="192">
        <v>46041.0</v>
      </c>
      <c r="C339" s="55">
        <v>2.0</v>
      </c>
      <c r="D339" s="97" t="s">
        <v>178</v>
      </c>
      <c r="E339" s="55" t="s">
        <v>552</v>
      </c>
      <c r="F339" s="193"/>
      <c r="G339" s="194" t="s">
        <v>587</v>
      </c>
      <c r="H339" s="195" t="s">
        <v>588</v>
      </c>
      <c r="I339" s="196">
        <v>10000.0</v>
      </c>
      <c r="J339" s="179">
        <f>IF(A339="RAPPI",(VLOOKUP(TRIM(D339), CATALOGO!F:G, 2, FALSE) * C339)+I339,IFERROR(IF(COUNTIF('RESTAURANTESDESCUENTOS 2026'!A:A,TRIM(A339))&gt;0,((VLOOKUP(TRIM(D339), CATALOGO!A:B, 2, FALSE) * C339)*(1-VALUE(SUBSTITUTE(VLOOKUP(TRIM(A339),'RESTAURANTESDESCUENTOS 2026'!A:B,2,FALSE),"%",""))/100)+I339),(VLOOKUP(TRIM(D339), CATALOGO!A:B, 2, FALSE) * C339+I339)),""))</f>
        <v>235000</v>
      </c>
      <c r="K339" s="196">
        <v>10000.0</v>
      </c>
      <c r="L339" s="87" t="s">
        <v>587</v>
      </c>
      <c r="M339" s="197" t="s">
        <v>587</v>
      </c>
      <c r="N339" s="168"/>
    </row>
    <row r="340" ht="22.5" hidden="1" customHeight="1">
      <c r="A340" s="191" t="s">
        <v>743</v>
      </c>
      <c r="B340" s="192">
        <v>46041.0</v>
      </c>
      <c r="C340" s="55">
        <v>1.0</v>
      </c>
      <c r="D340" s="97" t="s">
        <v>176</v>
      </c>
      <c r="E340" s="55"/>
      <c r="F340" s="193"/>
      <c r="G340" s="194" t="s">
        <v>35</v>
      </c>
      <c r="H340" s="198"/>
      <c r="I340" s="196"/>
      <c r="J340" s="179">
        <f>IF(A340="RAPPI",(VLOOKUP(TRIM(D340), CATALOGO!F:G, 2, FALSE) * C340)+I340,IFERROR(IF(COUNTIF('RESTAURANTESDESCUENTOS 2026'!A:A,TRIM(A340))&gt;0,((VLOOKUP(TRIM(D340), CATALOGO!A:B, 2, FALSE) * C340)*(1-VALUE(SUBSTITUTE(VLOOKUP(TRIM(A340),'RESTAURANTESDESCUENTOS 2026'!A:B,2,FALSE),"%",""))/100)+I340),(VLOOKUP(TRIM(D340), CATALOGO!A:B, 2, FALSE) * C340+I340)),""))</f>
        <v>50000</v>
      </c>
      <c r="K340" s="196"/>
      <c r="L340" s="87"/>
      <c r="M340" s="197" t="s">
        <v>587</v>
      </c>
      <c r="N340" s="168"/>
    </row>
    <row r="341" ht="22.5" hidden="1" customHeight="1">
      <c r="A341" s="191" t="s">
        <v>40</v>
      </c>
      <c r="B341" s="192">
        <v>46041.0</v>
      </c>
      <c r="C341" s="55">
        <v>1.0</v>
      </c>
      <c r="D341" s="97" t="s">
        <v>177</v>
      </c>
      <c r="E341" s="55" t="s">
        <v>610</v>
      </c>
      <c r="F341" s="193"/>
      <c r="G341" s="194" t="s">
        <v>587</v>
      </c>
      <c r="H341" s="195" t="s">
        <v>588</v>
      </c>
      <c r="I341" s="196">
        <v>0.0</v>
      </c>
      <c r="J341" s="179">
        <f>IF(A341="RAPPI",(VLOOKUP(TRIM(D341), CATALOGO!F:G, 2, FALSE) * C341)+I341,IFERROR(IF(COUNTIF('RESTAURANTESDESCUENTOS 2026'!A:A,TRIM(A341))&gt;0,((VLOOKUP(TRIM(D341), CATALOGO!A:B, 2, FALSE) * C341)*(1-VALUE(SUBSTITUTE(VLOOKUP(TRIM(A341),'RESTAURANTESDESCUENTOS 2026'!A:B,2,FALSE),"%",""))/100)+I341),(VLOOKUP(TRIM(D341), CATALOGO!A:B, 2, FALSE) * C341+I341)),""))</f>
        <v>86250</v>
      </c>
      <c r="K341" s="196">
        <v>10000.0</v>
      </c>
      <c r="L341" s="87" t="s">
        <v>587</v>
      </c>
      <c r="M341" s="197" t="s">
        <v>587</v>
      </c>
      <c r="N341" s="168"/>
    </row>
    <row r="342" ht="22.5" hidden="1" customHeight="1">
      <c r="A342" s="191" t="s">
        <v>99</v>
      </c>
      <c r="B342" s="192">
        <v>46041.0</v>
      </c>
      <c r="C342" s="55">
        <v>3.0</v>
      </c>
      <c r="D342" s="97" t="s">
        <v>178</v>
      </c>
      <c r="E342" s="55" t="s">
        <v>610</v>
      </c>
      <c r="F342" s="193"/>
      <c r="G342" s="194" t="s">
        <v>587</v>
      </c>
      <c r="H342" s="195" t="s">
        <v>588</v>
      </c>
      <c r="I342" s="196">
        <v>5000.0</v>
      </c>
      <c r="J342" s="179">
        <f>IF(A342="RAPPI",(VLOOKUP(TRIM(D342), CATALOGO!F:G, 2, FALSE) * C342)+I342,IFERROR(IF(COUNTIF('RESTAURANTESDESCUENTOS 2026'!A:A,TRIM(A342))&gt;0,((VLOOKUP(TRIM(D342), CATALOGO!A:B, 2, FALSE) * C342)*(1-VALUE(SUBSTITUTE(VLOOKUP(TRIM(A342),'RESTAURANTESDESCUENTOS 2026'!A:B,2,FALSE),"%",""))/100)+I342),(VLOOKUP(TRIM(D342), CATALOGO!A:B, 2, FALSE) * C342+I342)),""))</f>
        <v>320000</v>
      </c>
      <c r="K342" s="196">
        <v>10000.0</v>
      </c>
      <c r="L342" s="87" t="s">
        <v>587</v>
      </c>
      <c r="M342" s="197" t="s">
        <v>587</v>
      </c>
      <c r="N342" s="168"/>
    </row>
    <row r="343" ht="22.5" hidden="1" customHeight="1">
      <c r="A343" s="191" t="s">
        <v>96</v>
      </c>
      <c r="B343" s="192">
        <v>46041.0</v>
      </c>
      <c r="C343" s="55">
        <v>1.0</v>
      </c>
      <c r="D343" s="97" t="s">
        <v>178</v>
      </c>
      <c r="E343" s="55" t="s">
        <v>610</v>
      </c>
      <c r="F343" s="193"/>
      <c r="G343" s="194" t="s">
        <v>587</v>
      </c>
      <c r="H343" s="195" t="s">
        <v>588</v>
      </c>
      <c r="I343" s="196">
        <v>5000.0</v>
      </c>
      <c r="J343" s="179">
        <f>IF(A343="RAPPI",(VLOOKUP(TRIM(D343), CATALOGO!F:G, 2, FALSE) * C343)+I343,IFERROR(IF(COUNTIF('RESTAURANTESDESCUENTOS 2026'!A:A,TRIM(A343))&gt;0,((VLOOKUP(TRIM(D343), CATALOGO!A:B, 2, FALSE) * C343)*(1-VALUE(SUBSTITUTE(VLOOKUP(TRIM(A343),'RESTAURANTESDESCUENTOS 2026'!A:B,2,FALSE),"%",""))/100)+I343),(VLOOKUP(TRIM(D343), CATALOGO!A:B, 2, FALSE) * C343+I343)),""))</f>
        <v>110000</v>
      </c>
      <c r="K343" s="196">
        <v>10000.0</v>
      </c>
      <c r="L343" s="87" t="s">
        <v>587</v>
      </c>
      <c r="M343" s="197" t="s">
        <v>587</v>
      </c>
      <c r="N343" s="168"/>
    </row>
    <row r="344" ht="22.5" hidden="1" customHeight="1">
      <c r="A344" s="191" t="s">
        <v>46</v>
      </c>
      <c r="B344" s="192">
        <v>46041.0</v>
      </c>
      <c r="C344" s="55">
        <v>1.0</v>
      </c>
      <c r="D344" s="97" t="s">
        <v>177</v>
      </c>
      <c r="E344" s="55" t="s">
        <v>610</v>
      </c>
      <c r="F344" s="193"/>
      <c r="G344" s="194" t="s">
        <v>587</v>
      </c>
      <c r="H344" s="195" t="s">
        <v>588</v>
      </c>
      <c r="I344" s="196">
        <v>0.0</v>
      </c>
      <c r="J344" s="179">
        <f>IF(A344="RAPPI",(VLOOKUP(TRIM(D344), CATALOGO!F:G, 2, FALSE) * C344)+I344,IFERROR(IF(COUNTIF('RESTAURANTESDESCUENTOS 2026'!A:A,TRIM(A344))&gt;0,((VLOOKUP(TRIM(D344), CATALOGO!A:B, 2, FALSE) * C344)*(1-VALUE(SUBSTITUTE(VLOOKUP(TRIM(A344),'RESTAURANTESDESCUENTOS 2026'!A:B,2,FALSE),"%",""))/100)+I344),(VLOOKUP(TRIM(D344), CATALOGO!A:B, 2, FALSE) * C344+I344)),""))</f>
        <v>86250</v>
      </c>
      <c r="K344" s="196">
        <v>13000.0</v>
      </c>
      <c r="L344" s="87" t="s">
        <v>587</v>
      </c>
      <c r="M344" s="197" t="s">
        <v>587</v>
      </c>
      <c r="N344" s="168"/>
    </row>
    <row r="345" ht="22.5" hidden="1" customHeight="1">
      <c r="A345" s="191" t="s">
        <v>154</v>
      </c>
      <c r="B345" s="192">
        <v>46041.0</v>
      </c>
      <c r="C345" s="55">
        <v>1.0</v>
      </c>
      <c r="D345" s="97" t="s">
        <v>697</v>
      </c>
      <c r="E345" s="201" t="s">
        <v>744</v>
      </c>
      <c r="F345" s="202"/>
      <c r="G345" s="194" t="s">
        <v>587</v>
      </c>
      <c r="H345" s="195" t="s">
        <v>588</v>
      </c>
      <c r="I345" s="196">
        <v>10000.0</v>
      </c>
      <c r="J345" s="199">
        <v>160000.0</v>
      </c>
      <c r="K345" s="196">
        <v>14500.0</v>
      </c>
      <c r="L345" s="87"/>
      <c r="M345" s="197" t="s">
        <v>587</v>
      </c>
      <c r="N345" s="168"/>
    </row>
    <row r="346" ht="22.5" hidden="1" customHeight="1">
      <c r="A346" s="191" t="s">
        <v>745</v>
      </c>
      <c r="B346" s="192">
        <v>46041.0</v>
      </c>
      <c r="C346" s="55">
        <v>1.0</v>
      </c>
      <c r="D346" s="97" t="s">
        <v>178</v>
      </c>
      <c r="E346" s="55" t="s">
        <v>746</v>
      </c>
      <c r="F346" s="193"/>
      <c r="G346" s="194" t="s">
        <v>35</v>
      </c>
      <c r="H346" s="198"/>
      <c r="I346" s="196"/>
      <c r="J346" s="199">
        <v>0.0</v>
      </c>
      <c r="K346" s="196"/>
      <c r="L346" s="87"/>
      <c r="M346" s="197" t="s">
        <v>587</v>
      </c>
      <c r="N346" s="168"/>
    </row>
    <row r="347" ht="22.5" hidden="1" customHeight="1">
      <c r="A347" s="191" t="s">
        <v>593</v>
      </c>
      <c r="B347" s="192">
        <v>46041.0</v>
      </c>
      <c r="C347" s="55">
        <v>1.0</v>
      </c>
      <c r="D347" s="97" t="s">
        <v>178</v>
      </c>
      <c r="E347" s="55" t="s">
        <v>552</v>
      </c>
      <c r="F347" s="193"/>
      <c r="G347" s="194" t="s">
        <v>35</v>
      </c>
      <c r="H347" s="198"/>
      <c r="I347" s="196"/>
      <c r="J347" s="179">
        <f>IF(A347="RAPPI",(VLOOKUP(TRIM(D347), CATALOGO!F:G, 2, FALSE) * C347)+I347,IFERROR(IF(COUNTIF('RESTAURANTESDESCUENTOS 2026'!A:A,TRIM(A347))&gt;0,((VLOOKUP(TRIM(D347), CATALOGO!A:B, 2, FALSE) * C347)*(1-VALUE(SUBSTITUTE(VLOOKUP(TRIM(A347),'RESTAURANTESDESCUENTOS 2026'!A:B,2,FALSE),"%",""))/100)+I347),(VLOOKUP(TRIM(D347), CATALOGO!A:B, 2, FALSE) * C347+I347)),""))</f>
        <v>105000</v>
      </c>
      <c r="K347" s="196"/>
      <c r="L347" s="87" t="s">
        <v>587</v>
      </c>
      <c r="M347" s="197" t="s">
        <v>587</v>
      </c>
      <c r="N347" s="168"/>
    </row>
    <row r="348" ht="22.5" hidden="1" customHeight="1">
      <c r="A348" s="191" t="s">
        <v>603</v>
      </c>
      <c r="B348" s="192">
        <v>46041.0</v>
      </c>
      <c r="C348" s="200">
        <v>1.0</v>
      </c>
      <c r="D348" s="97" t="s">
        <v>628</v>
      </c>
      <c r="E348" s="55">
        <v>6545.0</v>
      </c>
      <c r="F348" s="193"/>
      <c r="G348" s="194" t="s">
        <v>587</v>
      </c>
      <c r="H348" s="195" t="s">
        <v>603</v>
      </c>
      <c r="I348" s="196"/>
      <c r="J348" s="179">
        <f>IF(A348="RAPPI",(VLOOKUP(TRIM(D348), CATALOGO!F:G, 2, FALSE) * C348)+I348,IFERROR(IF(COUNTIF('RESTAURANTESDESCUENTOS 2026'!A:A,TRIM(A348))&gt;0,((VLOOKUP(TRIM(D348), CATALOGO!A:B, 2, FALSE) * C348)*(1-VALUE(SUBSTITUTE(VLOOKUP(TRIM(A348),'RESTAURANTESDESCUENTOS 2026'!A:B,2,FALSE),"%",""))/100)+I348),(VLOOKUP(TRIM(D348), CATALOGO!A:B, 2, FALSE) * C348+I348)),""))</f>
        <v>22000</v>
      </c>
      <c r="K348" s="196"/>
      <c r="L348" s="87"/>
      <c r="M348" s="197" t="s">
        <v>587</v>
      </c>
      <c r="N348" s="168"/>
    </row>
    <row r="349" ht="22.5" hidden="1" customHeight="1">
      <c r="A349" s="191" t="s">
        <v>622</v>
      </c>
      <c r="B349" s="192">
        <v>46041.0</v>
      </c>
      <c r="C349" s="55">
        <v>1.0</v>
      </c>
      <c r="D349" s="97" t="s">
        <v>178</v>
      </c>
      <c r="E349" s="55" t="s">
        <v>747</v>
      </c>
      <c r="F349" s="193"/>
      <c r="G349" s="194" t="s">
        <v>35</v>
      </c>
      <c r="H349" s="198"/>
      <c r="I349" s="196"/>
      <c r="J349" s="199">
        <v>0.0</v>
      </c>
      <c r="K349" s="196"/>
      <c r="L349" s="87"/>
      <c r="M349" s="197" t="s">
        <v>587</v>
      </c>
      <c r="N349" s="168"/>
    </row>
    <row r="350" ht="22.5" hidden="1" customHeight="1">
      <c r="A350" s="191" t="s">
        <v>603</v>
      </c>
      <c r="B350" s="90">
        <v>46041.0</v>
      </c>
      <c r="C350" s="55">
        <v>1.0</v>
      </c>
      <c r="D350" s="97" t="s">
        <v>177</v>
      </c>
      <c r="E350" s="55">
        <v>5380.0</v>
      </c>
      <c r="F350" s="193"/>
      <c r="G350" s="194" t="s">
        <v>587</v>
      </c>
      <c r="H350" s="195" t="s">
        <v>603</v>
      </c>
      <c r="I350" s="196"/>
      <c r="J350" s="179">
        <f>IF(A350="RAPPI",(VLOOKUP(TRIM(D350), CATALOGO!F:G, 2, FALSE) * C350)+I350,IFERROR(IF(COUNTIF('RESTAURANTESDESCUENTOS 2026'!A:A,TRIM(A350))&gt;0,((VLOOKUP(TRIM(D350), CATALOGO!A:B, 2, FALSE) * C350)*(1-VALUE(SUBSTITUTE(VLOOKUP(TRIM(A350),'RESTAURANTESDESCUENTOS 2026'!A:B,2,FALSE),"%",""))/100)+I350),(VLOOKUP(TRIM(D350), CATALOGO!A:B, 2, FALSE) * C350+I350)),""))</f>
        <v>115000</v>
      </c>
      <c r="K350" s="196"/>
      <c r="L350" s="87"/>
      <c r="M350" s="197" t="s">
        <v>587</v>
      </c>
      <c r="N350" s="168"/>
    </row>
    <row r="351" ht="22.5" hidden="1" customHeight="1">
      <c r="A351" s="191" t="s">
        <v>603</v>
      </c>
      <c r="B351" s="192">
        <v>46041.0</v>
      </c>
      <c r="C351" s="200">
        <v>1.0</v>
      </c>
      <c r="D351" s="97" t="s">
        <v>602</v>
      </c>
      <c r="E351" s="201">
        <v>5792.0</v>
      </c>
      <c r="F351" s="202"/>
      <c r="G351" s="194" t="s">
        <v>587</v>
      </c>
      <c r="H351" s="195" t="s">
        <v>603</v>
      </c>
      <c r="I351" s="196"/>
      <c r="J351" s="179">
        <f>IF(A351="RAPPI",(VLOOKUP(TRIM(D351), CATALOGO!F:G, 2, FALSE) * C351)+I351,IFERROR(IF(COUNTIF('RESTAURANTESDESCUENTOS 2026'!A:A,TRIM(A351))&gt;0,((VLOOKUP(TRIM(D351), CATALOGO!A:B, 2, FALSE) * C351)*(1-VALUE(SUBSTITUTE(VLOOKUP(TRIM(A351),'RESTAURANTESDESCUENTOS 2026'!A:B,2,FALSE),"%",""))/100)+I351),(VLOOKUP(TRIM(D351), CATALOGO!A:B, 2, FALSE) * C351+I351)),""))</f>
        <v>22000</v>
      </c>
      <c r="K351" s="196"/>
      <c r="L351" s="87"/>
      <c r="M351" s="197" t="s">
        <v>587</v>
      </c>
      <c r="N351" s="168"/>
    </row>
    <row r="352" ht="22.5" hidden="1" customHeight="1">
      <c r="A352" s="191" t="s">
        <v>38</v>
      </c>
      <c r="B352" s="110">
        <v>46042.0</v>
      </c>
      <c r="C352" s="55">
        <v>2.0</v>
      </c>
      <c r="D352" s="97" t="s">
        <v>177</v>
      </c>
      <c r="E352" s="201" t="s">
        <v>610</v>
      </c>
      <c r="F352" s="202"/>
      <c r="G352" s="194" t="s">
        <v>587</v>
      </c>
      <c r="H352" s="195" t="s">
        <v>588</v>
      </c>
      <c r="I352" s="196">
        <v>0.0</v>
      </c>
      <c r="J352" s="179">
        <f>IF(A352="RAPPI",(VLOOKUP(TRIM(D352), CATALOGO!F:G, 2, FALSE) * C352)+I352,IFERROR(IF(COUNTIF('RESTAURANTESDESCUENTOS 2026'!A:A,TRIM(A352))&gt;0,((VLOOKUP(TRIM(D352), CATALOGO!A:B, 2, FALSE) * C352)*(1-VALUE(SUBSTITUTE(VLOOKUP(TRIM(A352),'RESTAURANTESDESCUENTOS 2026'!A:B,2,FALSE),"%",""))/100)+I352),(VLOOKUP(TRIM(D352), CATALOGO!A:B, 2, FALSE) * C352+I352)),""))</f>
        <v>172500</v>
      </c>
      <c r="K352" s="196">
        <v>19500.0</v>
      </c>
      <c r="L352" s="87" t="s">
        <v>587</v>
      </c>
      <c r="M352" s="197" t="s">
        <v>587</v>
      </c>
      <c r="N352" s="168"/>
    </row>
    <row r="353" ht="22.5" hidden="1" customHeight="1">
      <c r="A353" s="191" t="s">
        <v>748</v>
      </c>
      <c r="B353" s="110">
        <v>46042.0</v>
      </c>
      <c r="C353" s="55">
        <v>1.0</v>
      </c>
      <c r="D353" s="97" t="s">
        <v>176</v>
      </c>
      <c r="E353" s="201"/>
      <c r="F353" s="202"/>
      <c r="G353" s="194" t="s">
        <v>587</v>
      </c>
      <c r="H353" s="195" t="s">
        <v>588</v>
      </c>
      <c r="I353" s="196">
        <v>14000.0</v>
      </c>
      <c r="J353" s="179">
        <f>IF(A353="RAPPI",(VLOOKUP(TRIM(D353), CATALOGO!F:G, 2, FALSE) * C353)+I353,IFERROR(IF(COUNTIF('RESTAURANTESDESCUENTOS 2026'!A:A,TRIM(A353))&gt;0,((VLOOKUP(TRIM(D353), CATALOGO!A:B, 2, FALSE) * C353)*(1-VALUE(SUBSTITUTE(VLOOKUP(TRIM(A353),'RESTAURANTESDESCUENTOS 2026'!A:B,2,FALSE),"%",""))/100)+I353),(VLOOKUP(TRIM(D353), CATALOGO!A:B, 2, FALSE) * C353+I353)),""))</f>
        <v>64000</v>
      </c>
      <c r="K353" s="196">
        <v>14000.0</v>
      </c>
      <c r="L353" s="87"/>
      <c r="M353" s="197" t="s">
        <v>587</v>
      </c>
      <c r="N353" s="168"/>
    </row>
    <row r="354" ht="22.5" hidden="1" customHeight="1">
      <c r="A354" s="191" t="s">
        <v>749</v>
      </c>
      <c r="B354" s="181">
        <v>46042.0</v>
      </c>
      <c r="C354" s="55">
        <v>1.0</v>
      </c>
      <c r="D354" s="97" t="s">
        <v>177</v>
      </c>
      <c r="E354" s="201" t="s">
        <v>645</v>
      </c>
      <c r="F354" s="202"/>
      <c r="G354" s="194" t="s">
        <v>587</v>
      </c>
      <c r="H354" s="195" t="s">
        <v>588</v>
      </c>
      <c r="I354" s="196">
        <v>10000.0</v>
      </c>
      <c r="J354" s="179">
        <f>IF(A354="RAPPI",(VLOOKUP(TRIM(D354), CATALOGO!F:G, 2, FALSE) * C354)+I354,IFERROR(IF(COUNTIF('RESTAURANTESDESCUENTOS 2026'!A:A,TRIM(A354))&gt;0,((VLOOKUP(TRIM(D354), CATALOGO!A:B, 2, FALSE) * C354)*(1-VALUE(SUBSTITUTE(VLOOKUP(TRIM(A354),'RESTAURANTESDESCUENTOS 2026'!A:B,2,FALSE),"%",""))/100)+I354),(VLOOKUP(TRIM(D354), CATALOGO!A:B, 2, FALSE) * C354+I354)),""))</f>
        <v>125000</v>
      </c>
      <c r="K354" s="196">
        <v>13000.0</v>
      </c>
      <c r="L354" s="87"/>
      <c r="M354" s="197" t="s">
        <v>587</v>
      </c>
      <c r="N354" s="168"/>
    </row>
    <row r="355" ht="22.5" hidden="1" customHeight="1">
      <c r="A355" s="137" t="s">
        <v>750</v>
      </c>
      <c r="B355" s="110">
        <v>46042.0</v>
      </c>
      <c r="C355" s="55">
        <v>1.0</v>
      </c>
      <c r="D355" s="97" t="s">
        <v>177</v>
      </c>
      <c r="E355" s="201" t="s">
        <v>751</v>
      </c>
      <c r="F355" s="202"/>
      <c r="G355" s="194" t="s">
        <v>587</v>
      </c>
      <c r="H355" s="195" t="s">
        <v>588</v>
      </c>
      <c r="I355" s="196">
        <v>13000.0</v>
      </c>
      <c r="J355" s="179">
        <f>IF(A355="RAPPI",(VLOOKUP(TRIM(D355), CATALOGO!F:G, 2, FALSE) * C355)+I355,IFERROR(IF(COUNTIF('RESTAURANTESDESCUENTOS 2026'!A:A,TRIM(A355))&gt;0,((VLOOKUP(TRIM(D355), CATALOGO!A:B, 2, FALSE) * C355)*(1-VALUE(SUBSTITUTE(VLOOKUP(TRIM(A355),'RESTAURANTESDESCUENTOS 2026'!A:B,2,FALSE),"%",""))/100)+I355),(VLOOKUP(TRIM(D355), CATALOGO!A:B, 2, FALSE) * C355+I355)),""))</f>
        <v>128000</v>
      </c>
      <c r="K355" s="196">
        <v>21000.0</v>
      </c>
      <c r="L355" s="87" t="s">
        <v>587</v>
      </c>
      <c r="M355" s="197" t="s">
        <v>587</v>
      </c>
      <c r="N355" s="168"/>
    </row>
    <row r="356" ht="22.5" hidden="1" customHeight="1">
      <c r="A356" s="191" t="s">
        <v>603</v>
      </c>
      <c r="B356" s="203">
        <v>46042.0</v>
      </c>
      <c r="C356" s="55">
        <v>1.0</v>
      </c>
      <c r="D356" s="97" t="s">
        <v>697</v>
      </c>
      <c r="E356" s="201">
        <v>7534.0</v>
      </c>
      <c r="F356" s="202"/>
      <c r="G356" s="194" t="s">
        <v>587</v>
      </c>
      <c r="H356" s="195" t="s">
        <v>603</v>
      </c>
      <c r="I356" s="196"/>
      <c r="J356" s="179">
        <f>IF(A356="RAPPI",(VLOOKUP(TRIM(D356), CATALOGO!F:G, 2, FALSE) * C356)+I356,IFERROR(IF(COUNTIF('RESTAURANTESDESCUENTOS 2026'!A:A,TRIM(A356))&gt;0,((VLOOKUP(TRIM(D356), CATALOGO!A:B, 2, FALSE) * C356)*(1-VALUE(SUBSTITUTE(VLOOKUP(TRIM(A356),'RESTAURANTESDESCUENTOS 2026'!A:B,2,FALSE),"%",""))/100)+I356),(VLOOKUP(TRIM(D356), CATALOGO!A:B, 2, FALSE) * C356+I356)),""))</f>
        <v>163000</v>
      </c>
      <c r="K356" s="196"/>
      <c r="L356" s="87"/>
      <c r="M356" s="197" t="s">
        <v>587</v>
      </c>
      <c r="N356" s="168"/>
    </row>
    <row r="357" ht="22.5" hidden="1" customHeight="1">
      <c r="A357" s="191" t="s">
        <v>603</v>
      </c>
      <c r="B357" s="203">
        <v>46042.0</v>
      </c>
      <c r="C357" s="55">
        <v>1.0</v>
      </c>
      <c r="D357" s="97" t="s">
        <v>657</v>
      </c>
      <c r="E357" s="201">
        <v>7534.0</v>
      </c>
      <c r="F357" s="202"/>
      <c r="G357" s="194" t="s">
        <v>587</v>
      </c>
      <c r="H357" s="195" t="s">
        <v>603</v>
      </c>
      <c r="I357" s="196"/>
      <c r="J357" s="179">
        <f>IF(A357="RAPPI",(VLOOKUP(TRIM(D357), CATALOGO!F:G, 2, FALSE) * C357)+I357,IFERROR(IF(COUNTIF('RESTAURANTESDESCUENTOS 2026'!A:A,TRIM(A357))&gt;0,((VLOOKUP(TRIM(D357), CATALOGO!A:B, 2, FALSE) * C357)*(1-VALUE(SUBSTITUTE(VLOOKUP(TRIM(A357),'RESTAURANTESDESCUENTOS 2026'!A:B,2,FALSE),"%",""))/100)+I357),(VLOOKUP(TRIM(D357), CATALOGO!A:B, 2, FALSE) * C357+I357)),""))</f>
        <v>8000</v>
      </c>
      <c r="K357" s="196"/>
      <c r="L357" s="87"/>
      <c r="M357" s="197" t="s">
        <v>587</v>
      </c>
      <c r="N357" s="168"/>
    </row>
    <row r="358" ht="22.5" hidden="1" customHeight="1">
      <c r="A358" s="191" t="s">
        <v>603</v>
      </c>
      <c r="B358" s="203">
        <v>46042.0</v>
      </c>
      <c r="C358" s="55">
        <v>1.0</v>
      </c>
      <c r="D358" s="97" t="s">
        <v>640</v>
      </c>
      <c r="E358" s="201">
        <v>2552.0</v>
      </c>
      <c r="F358" s="202"/>
      <c r="G358" s="194" t="s">
        <v>587</v>
      </c>
      <c r="H358" s="195" t="s">
        <v>603</v>
      </c>
      <c r="I358" s="196"/>
      <c r="J358" s="179">
        <f>IF(A358="RAPPI",(VLOOKUP(TRIM(D358), CATALOGO!F:G, 2, FALSE) * C358)+I358,IFERROR(IF(COUNTIF('RESTAURANTESDESCUENTOS 2026'!A:A,TRIM(A358))&gt;0,((VLOOKUP(TRIM(D358), CATALOGO!A:B, 2, FALSE) * C358)*(1-VALUE(SUBSTITUTE(VLOOKUP(TRIM(A358),'RESTAURANTESDESCUENTOS 2026'!A:B,2,FALSE),"%",""))/100)+I358),(VLOOKUP(TRIM(D358), CATALOGO!A:B, 2, FALSE) * C358+I358)),""))</f>
        <v>53000</v>
      </c>
      <c r="K358" s="196"/>
      <c r="L358" s="87"/>
      <c r="M358" s="167" t="s">
        <v>587</v>
      </c>
      <c r="N358" s="168"/>
    </row>
    <row r="359" ht="22.5" hidden="1" customHeight="1">
      <c r="A359" s="191" t="s">
        <v>605</v>
      </c>
      <c r="B359" s="203">
        <v>46042.0</v>
      </c>
      <c r="C359" s="55">
        <v>1.0</v>
      </c>
      <c r="D359" s="97" t="s">
        <v>640</v>
      </c>
      <c r="E359" s="201" t="s">
        <v>606</v>
      </c>
      <c r="F359" s="202"/>
      <c r="G359" s="194" t="s">
        <v>35</v>
      </c>
      <c r="H359" s="198"/>
      <c r="I359" s="196"/>
      <c r="J359" s="179">
        <f>IF(A359="RAPPI",(VLOOKUP(TRIM(D359), CATALOGO!F:G, 2, FALSE) * C359)+I359,IFERROR(IF(COUNTIF('RESTAURANTESDESCUENTOS 2026'!A:A,TRIM(A359))&gt;0,((VLOOKUP(TRIM(D359), CATALOGO!A:B, 2, FALSE) * C359)*(1-VALUE(SUBSTITUTE(VLOOKUP(TRIM(A359),'RESTAURANTESDESCUENTOS 2026'!A:B,2,FALSE),"%",""))/100)+I359),(VLOOKUP(TRIM(D359), CATALOGO!A:B, 2, FALSE) * C359+I359)),""))</f>
        <v>53000</v>
      </c>
      <c r="K359" s="196"/>
      <c r="L359" s="87"/>
      <c r="M359" s="167" t="s">
        <v>587</v>
      </c>
      <c r="N359" s="168"/>
    </row>
    <row r="360" ht="22.5" hidden="1" customHeight="1">
      <c r="A360" s="191" t="s">
        <v>603</v>
      </c>
      <c r="B360" s="203">
        <v>46042.0</v>
      </c>
      <c r="C360" s="55">
        <v>1.0</v>
      </c>
      <c r="D360" s="97" t="s">
        <v>601</v>
      </c>
      <c r="E360" s="201">
        <v>5813.0</v>
      </c>
      <c r="F360" s="202"/>
      <c r="G360" s="194" t="s">
        <v>587</v>
      </c>
      <c r="H360" s="195" t="s">
        <v>603</v>
      </c>
      <c r="I360" s="196"/>
      <c r="J360" s="179">
        <f>IF(A360="RAPPI",(VLOOKUP(TRIM(D360), CATALOGO!F:G, 2, FALSE) * C360)+I360,IFERROR(IF(COUNTIF('RESTAURANTESDESCUENTOS 2026'!A:A,TRIM(A360))&gt;0,((VLOOKUP(TRIM(D360), CATALOGO!A:B, 2, FALSE) * C360)*(1-VALUE(SUBSTITUTE(VLOOKUP(TRIM(A360),'RESTAURANTESDESCUENTOS 2026'!A:B,2,FALSE),"%",""))/100)+I360),(VLOOKUP(TRIM(D360), CATALOGO!A:B, 2, FALSE) * C360+I360)),""))</f>
        <v>53000</v>
      </c>
      <c r="K360" s="196"/>
      <c r="L360" s="87"/>
      <c r="M360" s="167" t="s">
        <v>587</v>
      </c>
      <c r="N360" s="168"/>
    </row>
    <row r="361" ht="22.5" hidden="1" customHeight="1">
      <c r="A361" s="204" t="s">
        <v>603</v>
      </c>
      <c r="B361" s="110">
        <v>46042.0</v>
      </c>
      <c r="C361" s="205">
        <v>1.0</v>
      </c>
      <c r="D361" s="97" t="s">
        <v>182</v>
      </c>
      <c r="E361" s="201">
        <v>917.0</v>
      </c>
      <c r="F361" s="202"/>
      <c r="G361" s="194" t="s">
        <v>587</v>
      </c>
      <c r="H361" s="195" t="s">
        <v>603</v>
      </c>
      <c r="I361" s="196"/>
      <c r="J361" s="179">
        <f>IF(A361="RAPPI",(VLOOKUP(TRIM(D361), CATALOGO!F:G, 2, FALSE) * C361)+I361,IFERROR(IF(COUNTIF('RESTAURANTESDESCUENTOS 2026'!A:A,TRIM(A361))&gt;0,((VLOOKUP(TRIM(D361), CATALOGO!A:B, 2, FALSE) * C361)*(1-VALUE(SUBSTITUTE(VLOOKUP(TRIM(A361),'RESTAURANTESDESCUENTOS 2026'!A:B,2,FALSE),"%",""))/100)+I361),(VLOOKUP(TRIM(D361), CATALOGO!A:B, 2, FALSE) * C361+I361)),""))</f>
        <v>37000</v>
      </c>
      <c r="K361" s="196"/>
      <c r="L361" s="87"/>
      <c r="M361" s="167" t="s">
        <v>587</v>
      </c>
      <c r="N361" s="168"/>
    </row>
    <row r="362" ht="22.5" hidden="1" customHeight="1">
      <c r="A362" s="204" t="s">
        <v>603</v>
      </c>
      <c r="B362" s="110">
        <v>46042.0</v>
      </c>
      <c r="C362" s="205">
        <v>1.0</v>
      </c>
      <c r="D362" s="97" t="s">
        <v>620</v>
      </c>
      <c r="E362" s="201">
        <v>917.0</v>
      </c>
      <c r="F362" s="202"/>
      <c r="G362" s="194" t="s">
        <v>587</v>
      </c>
      <c r="H362" s="195" t="s">
        <v>603</v>
      </c>
      <c r="I362" s="196"/>
      <c r="J362" s="199">
        <v>0.0</v>
      </c>
      <c r="K362" s="196"/>
      <c r="L362" s="87"/>
      <c r="M362" s="167" t="s">
        <v>587</v>
      </c>
      <c r="N362" s="168"/>
    </row>
    <row r="363" ht="22.5" hidden="1" customHeight="1">
      <c r="A363" s="204" t="s">
        <v>603</v>
      </c>
      <c r="B363" s="110">
        <v>46042.0</v>
      </c>
      <c r="C363" s="205">
        <v>1.0</v>
      </c>
      <c r="D363" s="97" t="s">
        <v>639</v>
      </c>
      <c r="E363" s="201">
        <v>917.0</v>
      </c>
      <c r="F363" s="202"/>
      <c r="G363" s="194" t="s">
        <v>587</v>
      </c>
      <c r="H363" s="195" t="s">
        <v>603</v>
      </c>
      <c r="I363" s="196"/>
      <c r="J363" s="199">
        <v>0.0</v>
      </c>
      <c r="K363" s="196"/>
      <c r="L363" s="87"/>
      <c r="M363" s="167" t="s">
        <v>587</v>
      </c>
      <c r="N363" s="168"/>
    </row>
    <row r="364" ht="22.5" hidden="1" customHeight="1">
      <c r="A364" s="204" t="s">
        <v>603</v>
      </c>
      <c r="B364" s="181">
        <v>46042.0</v>
      </c>
      <c r="C364" s="205">
        <v>1.0</v>
      </c>
      <c r="D364" s="97" t="s">
        <v>236</v>
      </c>
      <c r="E364" s="201">
        <v>917.0</v>
      </c>
      <c r="F364" s="202"/>
      <c r="G364" s="194" t="s">
        <v>587</v>
      </c>
      <c r="H364" s="195" t="s">
        <v>603</v>
      </c>
      <c r="I364" s="196"/>
      <c r="J364" s="199">
        <v>0.0</v>
      </c>
      <c r="K364" s="196"/>
      <c r="L364" s="87"/>
      <c r="M364" s="197" t="s">
        <v>587</v>
      </c>
      <c r="N364" s="168"/>
    </row>
    <row r="365" ht="22.5" hidden="1" customHeight="1">
      <c r="A365" s="204" t="s">
        <v>603</v>
      </c>
      <c r="B365" s="181">
        <v>46042.0</v>
      </c>
      <c r="C365" s="205">
        <v>1.0</v>
      </c>
      <c r="D365" s="97" t="s">
        <v>669</v>
      </c>
      <c r="E365" s="201">
        <v>917.0</v>
      </c>
      <c r="F365" s="202"/>
      <c r="G365" s="194" t="s">
        <v>587</v>
      </c>
      <c r="H365" s="195" t="s">
        <v>603</v>
      </c>
      <c r="I365" s="196"/>
      <c r="J365" s="199">
        <v>0.0</v>
      </c>
      <c r="K365" s="196"/>
      <c r="L365" s="87"/>
      <c r="M365" s="197" t="s">
        <v>587</v>
      </c>
      <c r="N365" s="168"/>
    </row>
    <row r="366" ht="22.5" hidden="1" customHeight="1">
      <c r="A366" s="191" t="s">
        <v>605</v>
      </c>
      <c r="B366" s="181">
        <v>46042.0</v>
      </c>
      <c r="C366" s="55">
        <v>1.0</v>
      </c>
      <c r="D366" s="97" t="s">
        <v>176</v>
      </c>
      <c r="E366" s="201" t="s">
        <v>606</v>
      </c>
      <c r="F366" s="202"/>
      <c r="G366" s="194" t="s">
        <v>35</v>
      </c>
      <c r="H366" s="198"/>
      <c r="I366" s="196"/>
      <c r="J366" s="179">
        <f>IF(A366="RAPPI",(VLOOKUP(TRIM(D366), CATALOGO!F:G, 2, FALSE) * C366)+I366,IFERROR(IF(COUNTIF('RESTAURANTESDESCUENTOS 2026'!A:A,TRIM(A366))&gt;0,((VLOOKUP(TRIM(D366), CATALOGO!A:B, 2, FALSE) * C366)*(1-VALUE(SUBSTITUTE(VLOOKUP(TRIM(A366),'RESTAURANTESDESCUENTOS 2026'!A:B,2,FALSE),"%",""))/100)+I366),(VLOOKUP(TRIM(D366), CATALOGO!A:B, 2, FALSE) * C366+I366)),""))</f>
        <v>50000</v>
      </c>
      <c r="K366" s="196"/>
      <c r="L366" s="87"/>
      <c r="M366" s="197" t="s">
        <v>587</v>
      </c>
      <c r="N366" s="168"/>
    </row>
    <row r="367" ht="22.5" hidden="1" customHeight="1">
      <c r="A367" s="137" t="s">
        <v>605</v>
      </c>
      <c r="B367" s="181">
        <v>46042.0</v>
      </c>
      <c r="C367" s="55">
        <v>1.0</v>
      </c>
      <c r="D367" s="97" t="s">
        <v>176</v>
      </c>
      <c r="E367" s="201" t="s">
        <v>607</v>
      </c>
      <c r="F367" s="202"/>
      <c r="G367" s="194" t="s">
        <v>35</v>
      </c>
      <c r="H367" s="198"/>
      <c r="I367" s="196"/>
      <c r="J367" s="179">
        <f>IF(A367="RAPPI",(VLOOKUP(TRIM(D367), CATALOGO!F:G, 2, FALSE) * C367)+I367,IFERROR(IF(COUNTIF('RESTAURANTESDESCUENTOS 2026'!A:A,TRIM(A367))&gt;0,((VLOOKUP(TRIM(D367), CATALOGO!A:B, 2, FALSE) * C367)*(1-VALUE(SUBSTITUTE(VLOOKUP(TRIM(A367),'RESTAURANTESDESCUENTOS 2026'!A:B,2,FALSE),"%",""))/100)+I367),(VLOOKUP(TRIM(D367), CATALOGO!A:B, 2, FALSE) * C367+I367)),""))</f>
        <v>50000</v>
      </c>
      <c r="K367" s="196"/>
      <c r="L367" s="87"/>
      <c r="M367" s="197" t="s">
        <v>587</v>
      </c>
      <c r="N367" s="168"/>
    </row>
    <row r="368" ht="22.5" hidden="1" customHeight="1">
      <c r="A368" s="191" t="s">
        <v>752</v>
      </c>
      <c r="B368" s="206">
        <v>46043.0</v>
      </c>
      <c r="C368" s="55">
        <v>1.0</v>
      </c>
      <c r="D368" s="97" t="s">
        <v>176</v>
      </c>
      <c r="E368" s="201" t="s">
        <v>645</v>
      </c>
      <c r="F368" s="202"/>
      <c r="G368" s="194" t="s">
        <v>587</v>
      </c>
      <c r="H368" s="195" t="s">
        <v>753</v>
      </c>
      <c r="I368" s="196">
        <v>10000.0</v>
      </c>
      <c r="J368" s="179">
        <f>IF(A368="RAPPI",(VLOOKUP(TRIM(D368), CATALOGO!F:G, 2, FALSE) * C368)+I368,IFERROR(IF(COUNTIF('RESTAURANTESDESCUENTOS 2026'!A:A,TRIM(A368))&gt;0,((VLOOKUP(TRIM(D368), CATALOGO!A:B, 2, FALSE) * C368)*(1-VALUE(SUBSTITUTE(VLOOKUP(TRIM(A368),'RESTAURANTESDESCUENTOS 2026'!A:B,2,FALSE),"%",""))/100)+I368),(VLOOKUP(TRIM(D368), CATALOGO!A:B, 2, FALSE) * C368+I368)),""))</f>
        <v>60000</v>
      </c>
      <c r="K368" s="196">
        <v>10000.0</v>
      </c>
      <c r="L368" s="87" t="s">
        <v>587</v>
      </c>
      <c r="M368" s="197" t="s">
        <v>587</v>
      </c>
      <c r="N368" s="168"/>
    </row>
    <row r="369" ht="22.5" hidden="1" customHeight="1">
      <c r="A369" s="191" t="s">
        <v>623</v>
      </c>
      <c r="B369" s="206">
        <v>46043.0</v>
      </c>
      <c r="C369" s="55">
        <v>1.0</v>
      </c>
      <c r="D369" s="97" t="s">
        <v>189</v>
      </c>
      <c r="E369" s="201"/>
      <c r="F369" s="202"/>
      <c r="G369" s="194" t="s">
        <v>587</v>
      </c>
      <c r="H369" s="195" t="s">
        <v>753</v>
      </c>
      <c r="I369" s="196">
        <v>10000.0</v>
      </c>
      <c r="J369" s="179">
        <f>IF(A369="RAPPI",(VLOOKUP(TRIM(D369), CATALOGO!F:G, 2, FALSE) * C369)+I369,IFERROR(IF(COUNTIF('RESTAURANTESDESCUENTOS 2026'!A:A,TRIM(A369))&gt;0,((VLOOKUP(TRIM(D369), CATALOGO!A:B, 2, FALSE) * C369)*(1-VALUE(SUBSTITUTE(VLOOKUP(TRIM(A369),'RESTAURANTESDESCUENTOS 2026'!A:B,2,FALSE),"%",""))/100)+I369),(VLOOKUP(TRIM(D369), CATALOGO!A:B, 2, FALSE) * C369+I369)),""))</f>
        <v>155000</v>
      </c>
      <c r="K369" s="196">
        <v>10000.0</v>
      </c>
      <c r="L369" s="87"/>
      <c r="M369" s="197" t="s">
        <v>587</v>
      </c>
      <c r="N369" s="168"/>
    </row>
    <row r="370" ht="22.5" hidden="1" customHeight="1">
      <c r="A370" s="137" t="s">
        <v>10</v>
      </c>
      <c r="B370" s="206">
        <v>46043.0</v>
      </c>
      <c r="C370" s="55">
        <v>1.0</v>
      </c>
      <c r="D370" s="97" t="s">
        <v>178</v>
      </c>
      <c r="E370" s="201" t="s">
        <v>610</v>
      </c>
      <c r="F370" s="202"/>
      <c r="G370" s="194" t="s">
        <v>587</v>
      </c>
      <c r="H370" s="195" t="s">
        <v>632</v>
      </c>
      <c r="I370" s="196">
        <v>10000.0</v>
      </c>
      <c r="J370" s="179">
        <f>IF(A370="RAPPI",(VLOOKUP(TRIM(D370), CATALOGO!F:G, 2, FALSE) * C370)+I370,IFERROR(IF(COUNTIF('RESTAURANTESDESCUENTOS 2026'!A:A,TRIM(A370))&gt;0,((VLOOKUP(TRIM(D370), CATALOGO!A:B, 2, FALSE) * C370)*(1-VALUE(SUBSTITUTE(VLOOKUP(TRIM(A370),'RESTAURANTESDESCUENTOS 2026'!A:B,2,FALSE),"%",""))/100)+I370),(VLOOKUP(TRIM(D370), CATALOGO!A:B, 2, FALSE) * C370+I370)),""))</f>
        <v>122500</v>
      </c>
      <c r="K370" s="196">
        <v>10000.0</v>
      </c>
      <c r="L370" s="87" t="s">
        <v>587</v>
      </c>
      <c r="M370" s="197" t="s">
        <v>587</v>
      </c>
      <c r="N370" s="168"/>
    </row>
    <row r="371" ht="22.5" hidden="1" customHeight="1">
      <c r="A371" s="148" t="s">
        <v>754</v>
      </c>
      <c r="B371" s="203">
        <v>46043.0</v>
      </c>
      <c r="C371" s="60">
        <v>1.0</v>
      </c>
      <c r="D371" s="97" t="s">
        <v>177</v>
      </c>
      <c r="E371" s="201"/>
      <c r="F371" s="202"/>
      <c r="G371" s="194" t="s">
        <v>587</v>
      </c>
      <c r="H371" s="195" t="s">
        <v>588</v>
      </c>
      <c r="I371" s="196">
        <v>15000.0</v>
      </c>
      <c r="J371" s="179">
        <f>IF(A371="RAPPI",(VLOOKUP(TRIM(D371), CATALOGO!F:G, 2, FALSE) * C371)+I371,IFERROR(IF(COUNTIF('RESTAURANTESDESCUENTOS 2026'!A:A,TRIM(A371))&gt;0,((VLOOKUP(TRIM(D371), CATALOGO!A:B, 2, FALSE) * C371)*(1-VALUE(SUBSTITUTE(VLOOKUP(TRIM(A371),'RESTAURANTESDESCUENTOS 2026'!A:B,2,FALSE),"%",""))/100)+I371),(VLOOKUP(TRIM(D371), CATALOGO!A:B, 2, FALSE) * C371+I371)),""))</f>
        <v>130000</v>
      </c>
      <c r="K371" s="196">
        <v>16000.0</v>
      </c>
      <c r="L371" s="87"/>
      <c r="M371" s="197" t="s">
        <v>587</v>
      </c>
      <c r="N371" s="168"/>
    </row>
    <row r="372" ht="22.5" hidden="1" customHeight="1">
      <c r="A372" s="148" t="s">
        <v>21</v>
      </c>
      <c r="B372" s="203">
        <v>46043.0</v>
      </c>
      <c r="C372" s="60">
        <v>1.0</v>
      </c>
      <c r="D372" s="97" t="s">
        <v>178</v>
      </c>
      <c r="E372" s="201" t="s">
        <v>610</v>
      </c>
      <c r="F372" s="202"/>
      <c r="G372" s="194" t="s">
        <v>587</v>
      </c>
      <c r="H372" s="195" t="s">
        <v>632</v>
      </c>
      <c r="I372" s="196">
        <v>15000.0</v>
      </c>
      <c r="J372" s="179">
        <f>IF(A372="RAPPI",(VLOOKUP(TRIM(D372), CATALOGO!F:G, 2, FALSE) * C372)+I372,IFERROR(IF(COUNTIF('RESTAURANTESDESCUENTOS 2026'!A:A,TRIM(A372))&gt;0,((VLOOKUP(TRIM(D372), CATALOGO!A:B, 2, FALSE) * C372)*(1-VALUE(SUBSTITUTE(VLOOKUP(TRIM(A372),'RESTAURANTESDESCUENTOS 2026'!A:B,2,FALSE),"%",""))/100)+I372),(VLOOKUP(TRIM(D372), CATALOGO!A:B, 2, FALSE) * C372+I372)),""))</f>
        <v>127500</v>
      </c>
      <c r="K372" s="196">
        <v>15000.0</v>
      </c>
      <c r="L372" s="87" t="s">
        <v>587</v>
      </c>
      <c r="M372" s="197" t="s">
        <v>587</v>
      </c>
      <c r="N372" s="168"/>
    </row>
    <row r="373" ht="22.5" hidden="1" customHeight="1">
      <c r="A373" s="148" t="s">
        <v>106</v>
      </c>
      <c r="B373" s="203">
        <v>46043.0</v>
      </c>
      <c r="C373" s="60">
        <v>1.0</v>
      </c>
      <c r="D373" s="97" t="s">
        <v>178</v>
      </c>
      <c r="E373" s="201" t="s">
        <v>610</v>
      </c>
      <c r="F373" s="202"/>
      <c r="G373" s="194" t="s">
        <v>587</v>
      </c>
      <c r="H373" s="195" t="s">
        <v>632</v>
      </c>
      <c r="I373" s="196">
        <v>8000.0</v>
      </c>
      <c r="J373" s="179">
        <f>IF(A373="RAPPI",(VLOOKUP(TRIM(D373), CATALOGO!F:G, 2, FALSE) * C373)+I373,IFERROR(IF(COUNTIF('RESTAURANTESDESCUENTOS 2026'!A:A,TRIM(A373))&gt;0,((VLOOKUP(TRIM(D373), CATALOGO!A:B, 2, FALSE) * C373)*(1-VALUE(SUBSTITUTE(VLOOKUP(TRIM(A373),'RESTAURANTESDESCUENTOS 2026'!A:B,2,FALSE),"%",""))/100)+I373),(VLOOKUP(TRIM(D373), CATALOGO!A:B, 2, FALSE) * C373+I373)),""))</f>
        <v>105125</v>
      </c>
      <c r="K373" s="196">
        <v>10000.0</v>
      </c>
      <c r="L373" s="87" t="s">
        <v>587</v>
      </c>
      <c r="M373" s="197" t="s">
        <v>587</v>
      </c>
      <c r="N373" s="168"/>
    </row>
    <row r="374" ht="22.5" hidden="1" customHeight="1">
      <c r="A374" s="148" t="s">
        <v>755</v>
      </c>
      <c r="B374" s="203">
        <v>46043.0</v>
      </c>
      <c r="C374" s="207">
        <v>1.0</v>
      </c>
      <c r="D374" s="97" t="s">
        <v>174</v>
      </c>
      <c r="E374" s="201"/>
      <c r="F374" s="202"/>
      <c r="G374" s="194" t="s">
        <v>587</v>
      </c>
      <c r="H374" s="195" t="s">
        <v>632</v>
      </c>
      <c r="I374" s="196">
        <v>14000.0</v>
      </c>
      <c r="J374" s="179">
        <f>IF(A374="RAPPI",(VLOOKUP(TRIM(D374), CATALOGO!F:G, 2, FALSE) * C374)+I374,IFERROR(IF(COUNTIF('RESTAURANTESDESCUENTOS 2026'!A:A,TRIM(A374))&gt;0,((VLOOKUP(TRIM(D374), CATALOGO!A:B, 2, FALSE) * C374)*(1-VALUE(SUBSTITUTE(VLOOKUP(TRIM(A374),'RESTAURANTESDESCUENTOS 2026'!A:B,2,FALSE),"%",""))/100)+I374),(VLOOKUP(TRIM(D374), CATALOGO!A:B, 2, FALSE) * C374+I374)),""))</f>
        <v>32000</v>
      </c>
      <c r="K374" s="196">
        <v>14000.0</v>
      </c>
      <c r="L374" s="87"/>
      <c r="M374" s="197" t="s">
        <v>587</v>
      </c>
      <c r="N374" s="168"/>
    </row>
    <row r="375" ht="22.5" hidden="1" customHeight="1">
      <c r="A375" s="148" t="s">
        <v>756</v>
      </c>
      <c r="B375" s="203">
        <v>46043.0</v>
      </c>
      <c r="C375" s="207">
        <v>1.0</v>
      </c>
      <c r="D375" s="97" t="s">
        <v>628</v>
      </c>
      <c r="E375" s="201" t="s">
        <v>645</v>
      </c>
      <c r="F375" s="202"/>
      <c r="G375" s="194" t="s">
        <v>587</v>
      </c>
      <c r="H375" s="195" t="s">
        <v>632</v>
      </c>
      <c r="I375" s="196">
        <v>10000.0</v>
      </c>
      <c r="J375" s="179">
        <f>IF(A375="RAPPI",(VLOOKUP(TRIM(D375), CATALOGO!F:G, 2, FALSE) * C375)+I375,IFERROR(IF(COUNTIF('RESTAURANTESDESCUENTOS 2026'!A:A,TRIM(A375))&gt;0,((VLOOKUP(TRIM(D375), CATALOGO!A:B, 2, FALSE) * C375)*(1-VALUE(SUBSTITUTE(VLOOKUP(TRIM(A375),'RESTAURANTESDESCUENTOS 2026'!A:B,2,FALSE),"%",""))/100)+I375),(VLOOKUP(TRIM(D375), CATALOGO!A:B, 2, FALSE) * C375+I375)),""))</f>
        <v>32000</v>
      </c>
      <c r="K375" s="196">
        <v>10000.0</v>
      </c>
      <c r="L375" s="87"/>
      <c r="M375" s="197" t="s">
        <v>587</v>
      </c>
      <c r="N375" s="168"/>
    </row>
    <row r="376" ht="22.5" hidden="1" customHeight="1">
      <c r="A376" s="137" t="s">
        <v>603</v>
      </c>
      <c r="B376" s="203">
        <v>46043.0</v>
      </c>
      <c r="C376" s="55">
        <v>1.0</v>
      </c>
      <c r="D376" s="97" t="s">
        <v>601</v>
      </c>
      <c r="E376" s="201">
        <v>5777.0</v>
      </c>
      <c r="F376" s="202"/>
      <c r="G376" s="194" t="s">
        <v>587</v>
      </c>
      <c r="H376" s="195" t="s">
        <v>603</v>
      </c>
      <c r="I376" s="196"/>
      <c r="J376" s="179">
        <f>IF(A376="RAPPI",(VLOOKUP(TRIM(D376), CATALOGO!F:G, 2, FALSE) * C376)+I376,IFERROR(IF(COUNTIF('RESTAURANTESDESCUENTOS 2026'!A:A,TRIM(A376))&gt;0,((VLOOKUP(TRIM(D376), CATALOGO!A:B, 2, FALSE) * C376)*(1-VALUE(SUBSTITUTE(VLOOKUP(TRIM(A376),'RESTAURANTESDESCUENTOS 2026'!A:B,2,FALSE),"%",""))/100)+I376),(VLOOKUP(TRIM(D376), CATALOGO!A:B, 2, FALSE) * C376+I376)),""))</f>
        <v>53000</v>
      </c>
      <c r="K376" s="196"/>
      <c r="L376" s="87"/>
      <c r="M376" s="197" t="s">
        <v>587</v>
      </c>
      <c r="N376" s="168"/>
    </row>
    <row r="377" ht="22.5" hidden="1" customHeight="1">
      <c r="A377" s="137" t="s">
        <v>605</v>
      </c>
      <c r="B377" s="206">
        <v>46043.0</v>
      </c>
      <c r="C377" s="55">
        <v>1.0</v>
      </c>
      <c r="D377" s="97" t="s">
        <v>176</v>
      </c>
      <c r="E377" s="201" t="s">
        <v>606</v>
      </c>
      <c r="F377" s="202"/>
      <c r="G377" s="194" t="s">
        <v>35</v>
      </c>
      <c r="H377" s="198"/>
      <c r="I377" s="196"/>
      <c r="J377" s="179">
        <f>IF(A377="RAPPI",(VLOOKUP(TRIM(D377), CATALOGO!F:G, 2, FALSE) * C377)+I377,IFERROR(IF(COUNTIF('RESTAURANTESDESCUENTOS 2026'!A:A,TRIM(A377))&gt;0,((VLOOKUP(TRIM(D377), CATALOGO!A:B, 2, FALSE) * C377)*(1-VALUE(SUBSTITUTE(VLOOKUP(TRIM(A377),'RESTAURANTESDESCUENTOS 2026'!A:B,2,FALSE),"%",""))/100)+I377),(VLOOKUP(TRIM(D377), CATALOGO!A:B, 2, FALSE) * C377+I377)),""))</f>
        <v>50000</v>
      </c>
      <c r="K377" s="196"/>
      <c r="L377" s="87"/>
      <c r="M377" s="197" t="s">
        <v>587</v>
      </c>
      <c r="N377" s="168"/>
    </row>
    <row r="378" ht="22.5" hidden="1" customHeight="1">
      <c r="A378" s="137" t="s">
        <v>605</v>
      </c>
      <c r="B378" s="206">
        <v>46043.0</v>
      </c>
      <c r="C378" s="200">
        <v>1.0</v>
      </c>
      <c r="D378" s="97" t="s">
        <v>628</v>
      </c>
      <c r="E378" s="201" t="s">
        <v>630</v>
      </c>
      <c r="F378" s="202"/>
      <c r="G378" s="194" t="s">
        <v>35</v>
      </c>
      <c r="H378" s="198"/>
      <c r="I378" s="196"/>
      <c r="J378" s="179">
        <f>IF(A378="RAPPI",(VLOOKUP(TRIM(D378), CATALOGO!F:G, 2, FALSE) * C378)+I378,IFERROR(IF(COUNTIF('RESTAURANTESDESCUENTOS 2026'!A:A,TRIM(A378))&gt;0,((VLOOKUP(TRIM(D378), CATALOGO!A:B, 2, FALSE) * C378)*(1-VALUE(SUBSTITUTE(VLOOKUP(TRIM(A378),'RESTAURANTESDESCUENTOS 2026'!A:B,2,FALSE),"%",""))/100)+I378),(VLOOKUP(TRIM(D378), CATALOGO!A:B, 2, FALSE) * C378+I378)),""))</f>
        <v>22000</v>
      </c>
      <c r="K378" s="196"/>
      <c r="L378" s="87"/>
      <c r="M378" s="197" t="s">
        <v>587</v>
      </c>
      <c r="N378" s="168"/>
    </row>
    <row r="379" ht="22.5" hidden="1" customHeight="1">
      <c r="A379" s="137" t="s">
        <v>605</v>
      </c>
      <c r="B379" s="206">
        <v>46043.0</v>
      </c>
      <c r="C379" s="200">
        <v>1.0</v>
      </c>
      <c r="D379" s="97" t="s">
        <v>604</v>
      </c>
      <c r="E379" s="201" t="s">
        <v>630</v>
      </c>
      <c r="F379" s="202"/>
      <c r="G379" s="194" t="s">
        <v>35</v>
      </c>
      <c r="H379" s="198"/>
      <c r="I379" s="196"/>
      <c r="J379" s="179">
        <f>IF(A379="RAPPI",(VLOOKUP(TRIM(D379), CATALOGO!F:G, 2, FALSE) * C379)+I379,IFERROR(IF(COUNTIF('RESTAURANTESDESCUENTOS 2026'!A:A,TRIM(A379))&gt;0,((VLOOKUP(TRIM(D379), CATALOGO!A:B, 2, FALSE) * C379)*(1-VALUE(SUBSTITUTE(VLOOKUP(TRIM(A379),'RESTAURANTESDESCUENTOS 2026'!A:B,2,FALSE),"%",""))/100)+I379),(VLOOKUP(TRIM(D379), CATALOGO!A:B, 2, FALSE) * C379+I379)),""))</f>
        <v>22000</v>
      </c>
      <c r="K379" s="196"/>
      <c r="L379" s="87"/>
      <c r="M379" s="197" t="s">
        <v>587</v>
      </c>
      <c r="N379" s="168"/>
      <c r="O379" s="208"/>
      <c r="P379" s="208"/>
      <c r="Q379" s="208"/>
      <c r="R379" s="208"/>
      <c r="S379" s="208"/>
      <c r="T379" s="208"/>
      <c r="U379" s="208"/>
      <c r="V379" s="208"/>
      <c r="W379" s="208"/>
      <c r="X379" s="208"/>
      <c r="Y379" s="208"/>
    </row>
    <row r="380" ht="22.5" hidden="1" customHeight="1">
      <c r="A380" s="137" t="s">
        <v>755</v>
      </c>
      <c r="B380" s="203">
        <v>46043.0</v>
      </c>
      <c r="C380" s="200">
        <v>1.0</v>
      </c>
      <c r="D380" s="97" t="s">
        <v>628</v>
      </c>
      <c r="E380" s="201"/>
      <c r="F380" s="202"/>
      <c r="G380" s="194" t="s">
        <v>587</v>
      </c>
      <c r="H380" s="195" t="s">
        <v>632</v>
      </c>
      <c r="I380" s="196">
        <v>0.0</v>
      </c>
      <c r="J380" s="179">
        <f>IF(A380="RAPPI",(VLOOKUP(TRIM(D380), CATALOGO!F:G, 2, FALSE) * C380)+I380,IFERROR(IF(COUNTIF('RESTAURANTESDESCUENTOS 2026'!A:A,TRIM(A380))&gt;0,((VLOOKUP(TRIM(D380), CATALOGO!A:B, 2, FALSE) * C380)*(1-VALUE(SUBSTITUTE(VLOOKUP(TRIM(A380),'RESTAURANTESDESCUENTOS 2026'!A:B,2,FALSE),"%",""))/100)+I380),(VLOOKUP(TRIM(D380), CATALOGO!A:B, 2, FALSE) * C380+I380)),""))</f>
        <v>22000</v>
      </c>
      <c r="K380" s="196">
        <v>0.0</v>
      </c>
      <c r="L380" s="87"/>
      <c r="M380" s="197" t="s">
        <v>587</v>
      </c>
      <c r="N380" s="168"/>
    </row>
    <row r="381" ht="22.5" hidden="1" customHeight="1">
      <c r="A381" s="137" t="s">
        <v>755</v>
      </c>
      <c r="B381" s="203">
        <v>46043.0</v>
      </c>
      <c r="C381" s="200">
        <v>1.0</v>
      </c>
      <c r="D381" s="97" t="s">
        <v>604</v>
      </c>
      <c r="E381" s="201"/>
      <c r="F381" s="202"/>
      <c r="G381" s="194" t="s">
        <v>587</v>
      </c>
      <c r="H381" s="195" t="s">
        <v>632</v>
      </c>
      <c r="I381" s="196">
        <v>0.0</v>
      </c>
      <c r="J381" s="179">
        <f>IF(A381="RAPPI",(VLOOKUP(TRIM(D381), CATALOGO!F:G, 2, FALSE) * C381)+I381,IFERROR(IF(COUNTIF('RESTAURANTESDESCUENTOS 2026'!A:A,TRIM(A381))&gt;0,((VLOOKUP(TRIM(D381), CATALOGO!A:B, 2, FALSE) * C381)*(1-VALUE(SUBSTITUTE(VLOOKUP(TRIM(A381),'RESTAURANTESDESCUENTOS 2026'!A:B,2,FALSE),"%",""))/100)+I381),(VLOOKUP(TRIM(D381), CATALOGO!A:B, 2, FALSE) * C381+I381)),""))</f>
        <v>22000</v>
      </c>
      <c r="K381" s="196">
        <v>0.0</v>
      </c>
      <c r="L381" s="87"/>
      <c r="M381" s="197" t="s">
        <v>587</v>
      </c>
      <c r="N381" s="168"/>
    </row>
    <row r="382" ht="22.5" hidden="1" customHeight="1">
      <c r="A382" s="137" t="s">
        <v>755</v>
      </c>
      <c r="B382" s="203">
        <v>46043.0</v>
      </c>
      <c r="C382" s="200">
        <v>1.0</v>
      </c>
      <c r="D382" s="97" t="s">
        <v>757</v>
      </c>
      <c r="E382" s="201"/>
      <c r="F382" s="202"/>
      <c r="G382" s="194" t="s">
        <v>587</v>
      </c>
      <c r="H382" s="195" t="s">
        <v>632</v>
      </c>
      <c r="I382" s="196">
        <v>0.0</v>
      </c>
      <c r="J382" s="179">
        <f>IF(A382="RAPPI",(VLOOKUP(TRIM(D382), CATALOGO!F:G, 2, FALSE) * C382)+I382,IFERROR(IF(COUNTIF('RESTAURANTESDESCUENTOS 2026'!A:A,TRIM(A382))&gt;0,((VLOOKUP(TRIM(D382), CATALOGO!A:B, 2, FALSE) * C382)*(1-VALUE(SUBSTITUTE(VLOOKUP(TRIM(A382),'RESTAURANTESDESCUENTOS 2026'!A:B,2,FALSE),"%",""))/100)+I382),(VLOOKUP(TRIM(D382), CATALOGO!A:B, 2, FALSE) * C382+I382)),""))</f>
        <v>22000</v>
      </c>
      <c r="K382" s="196">
        <v>0.0</v>
      </c>
      <c r="L382" s="87"/>
      <c r="M382" s="197" t="s">
        <v>587</v>
      </c>
      <c r="N382" s="168"/>
    </row>
    <row r="383" ht="22.5" hidden="1" customHeight="1">
      <c r="A383" s="137" t="s">
        <v>755</v>
      </c>
      <c r="B383" s="206">
        <v>46043.0</v>
      </c>
      <c r="C383" s="200">
        <v>1.0</v>
      </c>
      <c r="D383" s="97" t="s">
        <v>602</v>
      </c>
      <c r="E383" s="201"/>
      <c r="F383" s="202"/>
      <c r="G383" s="194" t="s">
        <v>587</v>
      </c>
      <c r="H383" s="195" t="s">
        <v>632</v>
      </c>
      <c r="I383" s="196">
        <v>0.0</v>
      </c>
      <c r="J383" s="179">
        <f>IF(A383="RAPPI",(VLOOKUP(TRIM(D383), CATALOGO!F:G, 2, FALSE) * C383)+I383,IFERROR(IF(COUNTIF('RESTAURANTESDESCUENTOS 2026'!A:A,TRIM(A383))&gt;0,((VLOOKUP(TRIM(D383), CATALOGO!A:B, 2, FALSE) * C383)*(1-VALUE(SUBSTITUTE(VLOOKUP(TRIM(A383),'RESTAURANTESDESCUENTOS 2026'!A:B,2,FALSE),"%",""))/100)+I383),(VLOOKUP(TRIM(D383), CATALOGO!A:B, 2, FALSE) * C383+I383)),""))</f>
        <v>22000</v>
      </c>
      <c r="K383" s="196">
        <v>0.0</v>
      </c>
      <c r="L383" s="87"/>
      <c r="M383" s="197" t="s">
        <v>587</v>
      </c>
      <c r="N383" s="168"/>
    </row>
    <row r="384" ht="22.5" hidden="1" customHeight="1">
      <c r="A384" s="137" t="s">
        <v>603</v>
      </c>
      <c r="B384" s="206">
        <v>46043.0</v>
      </c>
      <c r="C384" s="200">
        <v>1.0</v>
      </c>
      <c r="D384" s="97" t="s">
        <v>628</v>
      </c>
      <c r="E384" s="201">
        <v>2505.0</v>
      </c>
      <c r="F384" s="202"/>
      <c r="G384" s="194" t="s">
        <v>587</v>
      </c>
      <c r="H384" s="195" t="s">
        <v>603</v>
      </c>
      <c r="I384" s="196"/>
      <c r="J384" s="179">
        <f>IF(A384="RAPPI",(VLOOKUP(TRIM(D384), CATALOGO!F:G, 2, FALSE) * C384)+I384,IFERROR(IF(COUNTIF('RESTAURANTESDESCUENTOS 2026'!A:A,TRIM(A384))&gt;0,((VLOOKUP(TRIM(D384), CATALOGO!A:B, 2, FALSE) * C384)*(1-VALUE(SUBSTITUTE(VLOOKUP(TRIM(A384),'RESTAURANTESDESCUENTOS 2026'!A:B,2,FALSE),"%",""))/100)+I384),(VLOOKUP(TRIM(D384), CATALOGO!A:B, 2, FALSE) * C384+I384)),""))</f>
        <v>22000</v>
      </c>
      <c r="K384" s="196"/>
      <c r="L384" s="87"/>
      <c r="M384" s="197" t="s">
        <v>587</v>
      </c>
      <c r="N384" s="168"/>
    </row>
    <row r="385" ht="22.5" hidden="1" customHeight="1">
      <c r="A385" s="137" t="s">
        <v>603</v>
      </c>
      <c r="B385" s="206">
        <v>46043.0</v>
      </c>
      <c r="C385" s="200">
        <v>1.0</v>
      </c>
      <c r="D385" s="97" t="s">
        <v>602</v>
      </c>
      <c r="E385" s="201">
        <v>2505.0</v>
      </c>
      <c r="F385" s="202"/>
      <c r="G385" s="194" t="s">
        <v>587</v>
      </c>
      <c r="H385" s="195" t="s">
        <v>603</v>
      </c>
      <c r="I385" s="196"/>
      <c r="J385" s="179">
        <f>IF(A385="RAPPI",(VLOOKUP(TRIM(D385), CATALOGO!F:G, 2, FALSE) * C385)+I385,IFERROR(IF(COUNTIF('RESTAURANTESDESCUENTOS 2026'!A:A,TRIM(A385))&gt;0,((VLOOKUP(TRIM(D385), CATALOGO!A:B, 2, FALSE) * C385)*(1-VALUE(SUBSTITUTE(VLOOKUP(TRIM(A385),'RESTAURANTESDESCUENTOS 2026'!A:B,2,FALSE),"%",""))/100)+I385),(VLOOKUP(TRIM(D385), CATALOGO!A:B, 2, FALSE) * C385+I385)),""))</f>
        <v>22000</v>
      </c>
      <c r="K385" s="196"/>
      <c r="L385" s="87"/>
      <c r="M385" s="197" t="s">
        <v>587</v>
      </c>
      <c r="N385" s="168"/>
    </row>
    <row r="386" ht="22.5" hidden="1" customHeight="1">
      <c r="A386" s="191" t="s">
        <v>69</v>
      </c>
      <c r="B386" s="209">
        <v>46044.0</v>
      </c>
      <c r="C386" s="55">
        <v>100.0</v>
      </c>
      <c r="D386" s="97" t="s">
        <v>620</v>
      </c>
      <c r="E386" s="201"/>
      <c r="F386" s="202"/>
      <c r="G386" s="194" t="s">
        <v>587</v>
      </c>
      <c r="H386" s="195" t="s">
        <v>632</v>
      </c>
      <c r="I386" s="196">
        <v>0.0</v>
      </c>
      <c r="J386" s="199">
        <v>11000.0</v>
      </c>
      <c r="K386" s="196">
        <v>0.0</v>
      </c>
      <c r="L386" s="87" t="s">
        <v>587</v>
      </c>
      <c r="M386" s="210" t="s">
        <v>587</v>
      </c>
      <c r="N386" s="161"/>
    </row>
    <row r="387" ht="22.5" hidden="1" customHeight="1">
      <c r="A387" s="191" t="s">
        <v>69</v>
      </c>
      <c r="B387" s="123">
        <v>46044.0</v>
      </c>
      <c r="C387" s="55">
        <v>100.0</v>
      </c>
      <c r="D387" s="97" t="s">
        <v>639</v>
      </c>
      <c r="E387" s="201"/>
      <c r="F387" s="202"/>
      <c r="G387" s="194" t="s">
        <v>587</v>
      </c>
      <c r="H387" s="195" t="s">
        <v>632</v>
      </c>
      <c r="I387" s="196">
        <v>0.0</v>
      </c>
      <c r="J387" s="199">
        <v>11000.0</v>
      </c>
      <c r="K387" s="196">
        <v>0.0</v>
      </c>
      <c r="L387" s="87" t="s">
        <v>587</v>
      </c>
      <c r="M387" s="210" t="s">
        <v>587</v>
      </c>
      <c r="N387" s="161"/>
    </row>
    <row r="388" ht="22.5" hidden="1" customHeight="1">
      <c r="A388" s="191" t="s">
        <v>59</v>
      </c>
      <c r="B388" s="123">
        <v>46044.0</v>
      </c>
      <c r="C388" s="55">
        <v>100.0</v>
      </c>
      <c r="D388" s="97" t="s">
        <v>620</v>
      </c>
      <c r="E388" s="201"/>
      <c r="F388" s="202"/>
      <c r="G388" s="194" t="s">
        <v>587</v>
      </c>
      <c r="H388" s="195" t="s">
        <v>632</v>
      </c>
      <c r="I388" s="196">
        <v>0.0</v>
      </c>
      <c r="J388" s="199">
        <v>11000.0</v>
      </c>
      <c r="K388" s="196">
        <v>0.0</v>
      </c>
      <c r="L388" s="87" t="s">
        <v>587</v>
      </c>
      <c r="M388" s="210" t="s">
        <v>587</v>
      </c>
      <c r="N388" s="161"/>
    </row>
    <row r="389" ht="22.5" hidden="1" customHeight="1">
      <c r="A389" s="191" t="s">
        <v>59</v>
      </c>
      <c r="B389" s="209">
        <v>46044.0</v>
      </c>
      <c r="C389" s="55">
        <v>100.0</v>
      </c>
      <c r="D389" s="97" t="s">
        <v>639</v>
      </c>
      <c r="E389" s="201"/>
      <c r="F389" s="202"/>
      <c r="G389" s="194" t="s">
        <v>587</v>
      </c>
      <c r="H389" s="195" t="s">
        <v>632</v>
      </c>
      <c r="I389" s="196">
        <v>0.0</v>
      </c>
      <c r="J389" s="199">
        <v>11000.0</v>
      </c>
      <c r="K389" s="196">
        <v>0.0</v>
      </c>
      <c r="L389" s="87" t="s">
        <v>587</v>
      </c>
      <c r="M389" s="210" t="s">
        <v>587</v>
      </c>
      <c r="N389" s="161"/>
    </row>
    <row r="390" ht="22.5" hidden="1" customHeight="1">
      <c r="A390" s="191" t="s">
        <v>758</v>
      </c>
      <c r="B390" s="90">
        <v>46044.0</v>
      </c>
      <c r="C390" s="55">
        <v>1.0</v>
      </c>
      <c r="D390" s="97" t="s">
        <v>696</v>
      </c>
      <c r="E390" s="201"/>
      <c r="F390" s="202"/>
      <c r="G390" s="194" t="s">
        <v>587</v>
      </c>
      <c r="H390" s="195" t="s">
        <v>632</v>
      </c>
      <c r="I390" s="196">
        <v>0.0</v>
      </c>
      <c r="J390" s="179">
        <f>IF(A390="RAPPI",(VLOOKUP(TRIM(D390), CATALOGO!F:G, 2, FALSE) * C390)+I390,IFERROR(IF(COUNTIF('RESTAURANTESDESCUENTOS 2026'!A:A,TRIM(A390))&gt;0,((VLOOKUP(TRIM(D390), CATALOGO!A:B, 2, FALSE) * C390)*(1-VALUE(SUBSTITUTE(VLOOKUP(TRIM(A390),'RESTAURANTESDESCUENTOS 2026'!A:B,2,FALSE),"%",""))/100)+I390),(VLOOKUP(TRIM(D390), CATALOGO!A:B, 2, FALSE) * C390+I390)),""))</f>
        <v>4000</v>
      </c>
      <c r="K390" s="196">
        <v>0.0</v>
      </c>
      <c r="L390" s="87" t="s">
        <v>587</v>
      </c>
      <c r="M390" s="197" t="s">
        <v>587</v>
      </c>
      <c r="N390" s="168"/>
    </row>
    <row r="391" ht="22.5" hidden="1" customHeight="1">
      <c r="A391" s="141" t="s">
        <v>759</v>
      </c>
      <c r="B391" s="181">
        <v>46044.0</v>
      </c>
      <c r="C391" s="174">
        <v>30.0</v>
      </c>
      <c r="D391" s="97" t="s">
        <v>182</v>
      </c>
      <c r="E391" s="55" t="s">
        <v>760</v>
      </c>
      <c r="F391" s="193"/>
      <c r="G391" s="176" t="s">
        <v>587</v>
      </c>
      <c r="H391" s="182" t="s">
        <v>632</v>
      </c>
      <c r="I391" s="186">
        <v>20000.0</v>
      </c>
      <c r="J391" s="211">
        <v>560000.0</v>
      </c>
      <c r="K391" s="189">
        <v>20000.0</v>
      </c>
      <c r="L391" s="87" t="s">
        <v>587</v>
      </c>
      <c r="M391" s="180" t="s">
        <v>587</v>
      </c>
      <c r="N391" s="172"/>
    </row>
    <row r="392" ht="22.5" hidden="1" customHeight="1">
      <c r="A392" s="147" t="s">
        <v>761</v>
      </c>
      <c r="B392" s="209">
        <v>46044.0</v>
      </c>
      <c r="C392" s="183">
        <v>1.0</v>
      </c>
      <c r="D392" s="184" t="s">
        <v>617</v>
      </c>
      <c r="E392" s="183" t="s">
        <v>645</v>
      </c>
      <c r="F392" s="184"/>
      <c r="G392" s="176" t="s">
        <v>587</v>
      </c>
      <c r="H392" s="173" t="s">
        <v>632</v>
      </c>
      <c r="I392" s="178">
        <v>10000.0</v>
      </c>
      <c r="J392" s="179">
        <f>IF(A392="RAPPI",(VLOOKUP(TRIM(D392), CATALOGO!F:G, 2, FALSE) * C392)+I392,IFERROR(IF(COUNTIF('RESTAURANTESDESCUENTOS 2026'!A:A,TRIM(A392))&gt;0,((VLOOKUP(TRIM(D392), CATALOGO!A:B, 2, FALSE) * C392)*(1-VALUE(SUBSTITUTE(VLOOKUP(TRIM(A392),'RESTAURANTESDESCUENTOS 2026'!A:B,2,FALSE),"%",""))/100)+I392),(VLOOKUP(TRIM(D392), CATALOGO!A:B, 2, FALSE) * C392+I392)),""))</f>
        <v>133000</v>
      </c>
      <c r="K392" s="189">
        <v>10000.0</v>
      </c>
      <c r="L392" s="158"/>
      <c r="M392" s="210" t="s">
        <v>587</v>
      </c>
      <c r="N392" s="161"/>
    </row>
    <row r="393" ht="22.5" hidden="1" customHeight="1">
      <c r="A393" s="191" t="s">
        <v>762</v>
      </c>
      <c r="B393" s="209">
        <v>46044.0</v>
      </c>
      <c r="C393" s="55">
        <v>1.0</v>
      </c>
      <c r="D393" s="97" t="s">
        <v>177</v>
      </c>
      <c r="E393" s="70" t="s">
        <v>763</v>
      </c>
      <c r="F393" s="212"/>
      <c r="G393" s="194" t="s">
        <v>587</v>
      </c>
      <c r="H393" s="195" t="s">
        <v>632</v>
      </c>
      <c r="I393" s="196">
        <v>13000.0</v>
      </c>
      <c r="J393" s="179">
        <f>IF(A393="RAPPI",(VLOOKUP(TRIM(D393), CATALOGO!F:G, 2, FALSE) * C393)+I393,IFERROR(IF(COUNTIF('RESTAURANTESDESCUENTOS 2026'!A:A,TRIM(A393))&gt;0,((VLOOKUP(TRIM(D393), CATALOGO!A:B, 2, FALSE) * C393)*(1-VALUE(SUBSTITUTE(VLOOKUP(TRIM(A393),'RESTAURANTESDESCUENTOS 2026'!A:B,2,FALSE),"%",""))/100)+I393),(VLOOKUP(TRIM(D393), CATALOGO!A:B, 2, FALSE) * C393+I393)),""))</f>
        <v>128000</v>
      </c>
      <c r="K393" s="196">
        <v>13000.0</v>
      </c>
      <c r="L393" s="87"/>
      <c r="M393" s="197" t="s">
        <v>587</v>
      </c>
      <c r="N393" s="168"/>
    </row>
    <row r="394" ht="22.5" hidden="1" customHeight="1">
      <c r="A394" s="191" t="s">
        <v>69</v>
      </c>
      <c r="B394" s="209">
        <v>46044.0</v>
      </c>
      <c r="C394" s="55">
        <v>1.0</v>
      </c>
      <c r="D394" s="97" t="s">
        <v>178</v>
      </c>
      <c r="E394" s="201" t="s">
        <v>610</v>
      </c>
      <c r="F394" s="202"/>
      <c r="G394" s="194" t="s">
        <v>587</v>
      </c>
      <c r="H394" s="195" t="s">
        <v>632</v>
      </c>
      <c r="I394" s="196">
        <v>0.0</v>
      </c>
      <c r="J394" s="179">
        <f>IF(A394="RAPPI",(VLOOKUP(TRIM(D394), CATALOGO!F:G, 2, FALSE) * C394)+I394,IFERROR(IF(COUNTIF('RESTAURANTESDESCUENTOS 2026'!A:A,TRIM(A394))&gt;0,((VLOOKUP(TRIM(D394), CATALOGO!A:B, 2, FALSE) * C394)*(1-VALUE(SUBSTITUTE(VLOOKUP(TRIM(A394),'RESTAURANTESDESCUENTOS 2026'!A:B,2,FALSE),"%",""))/100)+I394),(VLOOKUP(TRIM(D394), CATALOGO!A:B, 2, FALSE) * C394+I394)),""))</f>
        <v>112500</v>
      </c>
      <c r="K394" s="196">
        <v>10000.0</v>
      </c>
      <c r="L394" s="87" t="s">
        <v>587</v>
      </c>
      <c r="M394" s="210" t="s">
        <v>587</v>
      </c>
      <c r="N394" s="161"/>
    </row>
    <row r="395" ht="22.5" hidden="1" customHeight="1">
      <c r="A395" s="191" t="s">
        <v>59</v>
      </c>
      <c r="B395" s="209">
        <v>46044.0</v>
      </c>
      <c r="C395" s="55">
        <v>1.0</v>
      </c>
      <c r="D395" s="97" t="s">
        <v>178</v>
      </c>
      <c r="E395" s="201" t="s">
        <v>610</v>
      </c>
      <c r="F395" s="202"/>
      <c r="G395" s="194" t="s">
        <v>587</v>
      </c>
      <c r="H395" s="195" t="s">
        <v>632</v>
      </c>
      <c r="I395" s="196">
        <v>0.0</v>
      </c>
      <c r="J395" s="179">
        <f>IF(A395="RAPPI",(VLOOKUP(TRIM(D395), CATALOGO!F:G, 2, FALSE) * C395)+I395,IFERROR(IF(COUNTIF('RESTAURANTESDESCUENTOS 2026'!A:A,TRIM(A395))&gt;0,((VLOOKUP(TRIM(D395), CATALOGO!A:B, 2, FALSE) * C395)*(1-VALUE(SUBSTITUTE(VLOOKUP(TRIM(A395),'RESTAURANTESDESCUENTOS 2026'!A:B,2,FALSE),"%",""))/100)+I395),(VLOOKUP(TRIM(D395), CATALOGO!A:B, 2, FALSE) * C395+I395)),""))</f>
        <v>112500</v>
      </c>
      <c r="K395" s="196">
        <v>10000.0</v>
      </c>
      <c r="L395" s="87" t="s">
        <v>587</v>
      </c>
      <c r="M395" s="210" t="s">
        <v>587</v>
      </c>
      <c r="N395" s="161"/>
    </row>
    <row r="396" ht="22.5" hidden="1" customHeight="1">
      <c r="A396" s="191" t="s">
        <v>758</v>
      </c>
      <c r="B396" s="90">
        <v>46044.0</v>
      </c>
      <c r="C396" s="55">
        <v>1.0</v>
      </c>
      <c r="D396" s="97" t="s">
        <v>178</v>
      </c>
      <c r="E396" s="201" t="s">
        <v>645</v>
      </c>
      <c r="F396" s="202"/>
      <c r="G396" s="194" t="s">
        <v>587</v>
      </c>
      <c r="H396" s="195" t="s">
        <v>632</v>
      </c>
      <c r="I396" s="196">
        <v>10000.0</v>
      </c>
      <c r="J396" s="179">
        <f>IF(A396="RAPPI",(VLOOKUP(TRIM(D396), CATALOGO!F:G, 2, FALSE) * C396)+I396,IFERROR(IF(COUNTIF('RESTAURANTESDESCUENTOS 2026'!A:A,TRIM(A396))&gt;0,((VLOOKUP(TRIM(D396), CATALOGO!A:B, 2, FALSE) * C396)*(1-VALUE(SUBSTITUTE(VLOOKUP(TRIM(A396),'RESTAURANTESDESCUENTOS 2026'!A:B,2,FALSE),"%",""))/100)+I396),(VLOOKUP(TRIM(D396), CATALOGO!A:B, 2, FALSE) * C396+I396)),""))</f>
        <v>160000</v>
      </c>
      <c r="K396" s="196">
        <v>10000.0</v>
      </c>
      <c r="L396" s="87" t="s">
        <v>587</v>
      </c>
      <c r="M396" s="197" t="s">
        <v>587</v>
      </c>
      <c r="N396" s="168"/>
    </row>
    <row r="397" ht="22.5" hidden="1" customHeight="1">
      <c r="A397" s="213" t="s">
        <v>134</v>
      </c>
      <c r="B397" s="214">
        <v>46044.0</v>
      </c>
      <c r="C397" s="70">
        <v>1.0</v>
      </c>
      <c r="D397" s="215" t="s">
        <v>181</v>
      </c>
      <c r="E397" s="70" t="s">
        <v>610</v>
      </c>
      <c r="F397" s="212"/>
      <c r="G397" s="216" t="s">
        <v>587</v>
      </c>
      <c r="H397" s="217" t="s">
        <v>632</v>
      </c>
      <c r="I397" s="218">
        <v>0.0</v>
      </c>
      <c r="J397" s="219">
        <f>IF(A397="RAPPI",(VLOOKUP(TRIM(D397), CATALOGO!F:G, 2, FALSE) * C397)+I397,IFERROR(IF(COUNTIF('RESTAURANTESDESCUENTOS 2026'!A:A,TRIM(A397))&gt;0,((VLOOKUP(TRIM(D397), CATALOGO!A:B, 2, FALSE) * C397)*(1-VALUE(SUBSTITUTE(VLOOKUP(TRIM(A397),'RESTAURANTESDESCUENTOS 2026'!A:B,2,FALSE),"%",""))/100)+I397),(VLOOKUP(TRIM(D397), CATALOGO!A:B, 2, FALSE) * C397+I397)),""))</f>
        <v>121800</v>
      </c>
      <c r="K397" s="218">
        <v>10000.0</v>
      </c>
      <c r="L397" s="220" t="s">
        <v>587</v>
      </c>
      <c r="M397" s="221" t="s">
        <v>587</v>
      </c>
      <c r="N397" s="168"/>
    </row>
    <row r="398" ht="22.5" hidden="1" customHeight="1">
      <c r="A398" s="191" t="s">
        <v>33</v>
      </c>
      <c r="B398" s="90">
        <v>46044.0</v>
      </c>
      <c r="C398" s="55">
        <v>2.0</v>
      </c>
      <c r="D398" s="97" t="s">
        <v>177</v>
      </c>
      <c r="E398" s="201" t="s">
        <v>610</v>
      </c>
      <c r="F398" s="202"/>
      <c r="G398" s="194" t="s">
        <v>587</v>
      </c>
      <c r="H398" s="195" t="s">
        <v>632</v>
      </c>
      <c r="I398" s="196">
        <v>0.0</v>
      </c>
      <c r="J398" s="179">
        <f>IF(A398="RAPPI",(VLOOKUP(TRIM(D398), CATALOGO!F:G, 2, FALSE) * C398)+I398,IFERROR(IF(COUNTIF('RESTAURANTESDESCUENTOS 2026'!A:A,TRIM(A398))&gt;0,((VLOOKUP(TRIM(D398), CATALOGO!A:B, 2, FALSE) * C398)*(1-VALUE(SUBSTITUTE(VLOOKUP(TRIM(A398),'RESTAURANTESDESCUENTOS 2026'!A:B,2,FALSE),"%",""))/100)+I398),(VLOOKUP(TRIM(D398), CATALOGO!A:B, 2, FALSE) * C398+I398)),""))</f>
        <v>172500</v>
      </c>
      <c r="K398" s="196">
        <v>13000.0</v>
      </c>
      <c r="L398" s="87" t="s">
        <v>587</v>
      </c>
      <c r="M398" s="197" t="s">
        <v>587</v>
      </c>
      <c r="N398" s="168"/>
    </row>
    <row r="399" ht="22.5" hidden="1" customHeight="1">
      <c r="A399" s="137" t="s">
        <v>764</v>
      </c>
      <c r="B399" s="206">
        <v>46044.0</v>
      </c>
      <c r="C399" s="55">
        <v>1.0</v>
      </c>
      <c r="D399" s="97" t="s">
        <v>177</v>
      </c>
      <c r="E399" s="70" t="s">
        <v>721</v>
      </c>
      <c r="F399" s="212"/>
      <c r="G399" s="194" t="s">
        <v>587</v>
      </c>
      <c r="H399" s="195" t="s">
        <v>632</v>
      </c>
      <c r="I399" s="196">
        <v>10000.0</v>
      </c>
      <c r="J399" s="179">
        <f>IF(A399="RAPPI",(VLOOKUP(TRIM(D399), CATALOGO!F:G, 2, FALSE) * C399)+I399,IFERROR(IF(COUNTIF('RESTAURANTESDESCUENTOS 2026'!A:A,TRIM(A399))&gt;0,((VLOOKUP(TRIM(D399), CATALOGO!A:B, 2, FALSE) * C399)*(1-VALUE(SUBSTITUTE(VLOOKUP(TRIM(A399),'RESTAURANTESDESCUENTOS 2026'!A:B,2,FALSE),"%",""))/100)+I399),(VLOOKUP(TRIM(D399), CATALOGO!A:B, 2, FALSE) * C399+I399)),""))</f>
        <v>125000</v>
      </c>
      <c r="K399" s="196">
        <v>10000.0</v>
      </c>
      <c r="L399" s="87"/>
      <c r="M399" s="197" t="s">
        <v>587</v>
      </c>
      <c r="N399" s="168"/>
    </row>
    <row r="400" ht="22.5" hidden="1" customHeight="1">
      <c r="A400" s="137" t="s">
        <v>765</v>
      </c>
      <c r="B400" s="206">
        <v>46044.0</v>
      </c>
      <c r="C400" s="55">
        <v>1.0</v>
      </c>
      <c r="D400" s="97" t="s">
        <v>177</v>
      </c>
      <c r="E400" s="201"/>
      <c r="F400" s="202"/>
      <c r="G400" s="194" t="s">
        <v>587</v>
      </c>
      <c r="H400" s="195" t="s">
        <v>588</v>
      </c>
      <c r="I400" s="196">
        <v>13000.0</v>
      </c>
      <c r="J400" s="179">
        <f>IF(A400="RAPPI",(VLOOKUP(TRIM(D400), CATALOGO!F:G, 2, FALSE) * C400)+I400,IFERROR(IF(COUNTIF('RESTAURANTESDESCUENTOS 2026'!A:A,TRIM(A400))&gt;0,((VLOOKUP(TRIM(D400), CATALOGO!A:B, 2, FALSE) * C400)*(1-VALUE(SUBSTITUTE(VLOOKUP(TRIM(A400),'RESTAURANTESDESCUENTOS 2026'!A:B,2,FALSE),"%",""))/100)+I400),(VLOOKUP(TRIM(D400), CATALOGO!A:B, 2, FALSE) * C400+I400)),""))</f>
        <v>128000</v>
      </c>
      <c r="K400" s="196">
        <v>13000.0</v>
      </c>
      <c r="L400" s="87"/>
      <c r="M400" s="197" t="s">
        <v>587</v>
      </c>
      <c r="N400" s="168"/>
    </row>
    <row r="401" ht="22.5" hidden="1" customHeight="1">
      <c r="A401" s="137" t="s">
        <v>52</v>
      </c>
      <c r="B401" s="206">
        <v>46044.0</v>
      </c>
      <c r="C401" s="55">
        <v>1.0</v>
      </c>
      <c r="D401" s="97" t="s">
        <v>177</v>
      </c>
      <c r="E401" s="201" t="s">
        <v>610</v>
      </c>
      <c r="F401" s="202"/>
      <c r="G401" s="194" t="s">
        <v>587</v>
      </c>
      <c r="H401" s="195" t="s">
        <v>588</v>
      </c>
      <c r="I401" s="196">
        <v>0.0</v>
      </c>
      <c r="J401" s="179">
        <f>IF(A401="RAPPI",(VLOOKUP(TRIM(D401), CATALOGO!F:G, 2, FALSE) * C401)+I401,IFERROR(IF(COUNTIF('RESTAURANTESDESCUENTOS 2026'!A:A,TRIM(A401))&gt;0,((VLOOKUP(TRIM(D401), CATALOGO!A:B, 2, FALSE) * C401)*(1-VALUE(SUBSTITUTE(VLOOKUP(TRIM(A401),'RESTAURANTESDESCUENTOS 2026'!A:B,2,FALSE),"%",""))/100)+I401),(VLOOKUP(TRIM(D401), CATALOGO!A:B, 2, FALSE) * C401+I401)),""))</f>
        <v>86250</v>
      </c>
      <c r="K401" s="196">
        <v>12000.0</v>
      </c>
      <c r="L401" s="87" t="s">
        <v>587</v>
      </c>
      <c r="M401" s="197" t="s">
        <v>587</v>
      </c>
      <c r="N401" s="168"/>
    </row>
    <row r="402" ht="22.5" hidden="1" customHeight="1">
      <c r="A402" s="137" t="s">
        <v>597</v>
      </c>
      <c r="B402" s="206">
        <v>46044.0</v>
      </c>
      <c r="C402" s="55">
        <v>10.0</v>
      </c>
      <c r="D402" s="97" t="s">
        <v>178</v>
      </c>
      <c r="E402" s="201" t="s">
        <v>686</v>
      </c>
      <c r="F402" s="202"/>
      <c r="G402" s="194" t="s">
        <v>35</v>
      </c>
      <c r="H402" s="198"/>
      <c r="I402" s="218"/>
      <c r="J402" s="199">
        <v>0.0</v>
      </c>
      <c r="K402" s="196"/>
      <c r="L402" s="87"/>
      <c r="M402" s="197" t="s">
        <v>587</v>
      </c>
      <c r="N402" s="168"/>
    </row>
    <row r="403" ht="22.5" hidden="1" customHeight="1">
      <c r="A403" s="137" t="s">
        <v>597</v>
      </c>
      <c r="B403" s="206">
        <v>46044.0</v>
      </c>
      <c r="C403" s="55">
        <v>6.0</v>
      </c>
      <c r="D403" s="97" t="s">
        <v>177</v>
      </c>
      <c r="E403" s="201"/>
      <c r="F403" s="202"/>
      <c r="G403" s="194" t="s">
        <v>35</v>
      </c>
      <c r="H403" s="198"/>
      <c r="I403" s="218"/>
      <c r="J403" s="199">
        <v>0.0</v>
      </c>
      <c r="K403" s="196"/>
      <c r="L403" s="87"/>
      <c r="M403" s="197" t="s">
        <v>587</v>
      </c>
      <c r="N403" s="168"/>
    </row>
    <row r="404" ht="22.5" hidden="1" customHeight="1">
      <c r="A404" s="137" t="s">
        <v>597</v>
      </c>
      <c r="B404" s="206">
        <v>46044.0</v>
      </c>
      <c r="C404" s="55">
        <v>6.0</v>
      </c>
      <c r="D404" s="97" t="s">
        <v>176</v>
      </c>
      <c r="E404" s="201"/>
      <c r="F404" s="202"/>
      <c r="G404" s="194" t="s">
        <v>35</v>
      </c>
      <c r="H404" s="198"/>
      <c r="I404" s="218"/>
      <c r="J404" s="199">
        <v>0.0</v>
      </c>
      <c r="K404" s="196"/>
      <c r="L404" s="87"/>
      <c r="M404" s="197" t="s">
        <v>587</v>
      </c>
      <c r="N404" s="168"/>
    </row>
    <row r="405" ht="22.5" hidden="1" customHeight="1">
      <c r="A405" s="137" t="s">
        <v>597</v>
      </c>
      <c r="B405" s="206">
        <v>46044.0</v>
      </c>
      <c r="C405" s="55">
        <v>1.0</v>
      </c>
      <c r="D405" s="193"/>
      <c r="E405" s="201" t="s">
        <v>766</v>
      </c>
      <c r="F405" s="202"/>
      <c r="G405" s="194" t="s">
        <v>35</v>
      </c>
      <c r="H405" s="198"/>
      <c r="I405" s="218"/>
      <c r="J405" s="199">
        <v>0.0</v>
      </c>
      <c r="K405" s="196"/>
      <c r="L405" s="87"/>
      <c r="M405" s="197" t="s">
        <v>587</v>
      </c>
      <c r="N405" s="168"/>
    </row>
    <row r="406" ht="22.5" hidden="1" customHeight="1">
      <c r="A406" s="137" t="s">
        <v>597</v>
      </c>
      <c r="B406" s="206">
        <v>46044.0</v>
      </c>
      <c r="C406" s="55">
        <v>1.0</v>
      </c>
      <c r="D406" s="193"/>
      <c r="E406" s="201" t="s">
        <v>767</v>
      </c>
      <c r="F406" s="202"/>
      <c r="G406" s="194" t="s">
        <v>35</v>
      </c>
      <c r="H406" s="198"/>
      <c r="I406" s="218"/>
      <c r="J406" s="199">
        <v>0.0</v>
      </c>
      <c r="K406" s="196"/>
      <c r="L406" s="87"/>
      <c r="M406" s="197" t="s">
        <v>587</v>
      </c>
      <c r="N406" s="168"/>
    </row>
    <row r="407" ht="22.5" hidden="1" customHeight="1">
      <c r="A407" s="137" t="s">
        <v>603</v>
      </c>
      <c r="B407" s="206">
        <v>46044.0</v>
      </c>
      <c r="C407" s="200">
        <v>1.0</v>
      </c>
      <c r="D407" s="97" t="s">
        <v>174</v>
      </c>
      <c r="E407" s="201">
        <v>5632.0</v>
      </c>
      <c r="F407" s="202"/>
      <c r="G407" s="194" t="s">
        <v>587</v>
      </c>
      <c r="H407" s="195" t="s">
        <v>603</v>
      </c>
      <c r="I407" s="196"/>
      <c r="J407" s="179">
        <f>IF(A407="RAPPI",(VLOOKUP(TRIM(D407), CATALOGO!F:G, 2, FALSE) * C407)+I407,IFERROR(IF(COUNTIF('RESTAURANTESDESCUENTOS 2026'!A:A,TRIM(A407))&gt;0,((VLOOKUP(TRIM(D407), CATALOGO!A:B, 2, FALSE) * C407)*(1-VALUE(SUBSTITUTE(VLOOKUP(TRIM(A407),'RESTAURANTESDESCUENTOS 2026'!A:B,2,FALSE),"%",""))/100)+I407),(VLOOKUP(TRIM(D407), CATALOGO!A:B, 2, FALSE) * C407+I407)),""))</f>
        <v>18000</v>
      </c>
      <c r="K407" s="196"/>
      <c r="L407" s="87"/>
      <c r="M407" s="197" t="s">
        <v>587</v>
      </c>
      <c r="N407" s="168"/>
    </row>
    <row r="408" ht="22.5" hidden="1" customHeight="1">
      <c r="A408" s="137" t="s">
        <v>622</v>
      </c>
      <c r="B408" s="206">
        <v>46044.0</v>
      </c>
      <c r="C408" s="55">
        <v>1.0</v>
      </c>
      <c r="D408" s="97" t="s">
        <v>178</v>
      </c>
      <c r="E408" s="201" t="s">
        <v>656</v>
      </c>
      <c r="F408" s="202"/>
      <c r="G408" s="194" t="s">
        <v>35</v>
      </c>
      <c r="H408" s="198"/>
      <c r="I408" s="196"/>
      <c r="J408" s="199">
        <v>0.0</v>
      </c>
      <c r="K408" s="196"/>
      <c r="L408" s="87"/>
      <c r="M408" s="197" t="s">
        <v>587</v>
      </c>
      <c r="N408" s="168"/>
    </row>
    <row r="409" ht="22.5" hidden="1" customHeight="1">
      <c r="A409" s="137" t="s">
        <v>605</v>
      </c>
      <c r="B409" s="206">
        <v>46044.0</v>
      </c>
      <c r="C409" s="200">
        <v>1.0</v>
      </c>
      <c r="D409" s="97" t="s">
        <v>628</v>
      </c>
      <c r="E409" s="201" t="s">
        <v>630</v>
      </c>
      <c r="F409" s="202"/>
      <c r="G409" s="194" t="s">
        <v>35</v>
      </c>
      <c r="H409" s="198"/>
      <c r="I409" s="196"/>
      <c r="J409" s="179">
        <f>IF(A409="RAPPI",(VLOOKUP(TRIM(D409), CATALOGO!F:G, 2, FALSE) * C409)+I409,IFERROR(IF(COUNTIF('RESTAURANTESDESCUENTOS 2026'!A:A,TRIM(A409))&gt;0,((VLOOKUP(TRIM(D409), CATALOGO!A:B, 2, FALSE) * C409)*(1-VALUE(SUBSTITUTE(VLOOKUP(TRIM(A409),'RESTAURANTESDESCUENTOS 2026'!A:B,2,FALSE),"%",""))/100)+I409),(VLOOKUP(TRIM(D409), CATALOGO!A:B, 2, FALSE) * C409+I409)),""))</f>
        <v>22000</v>
      </c>
      <c r="K409" s="196"/>
      <c r="L409" s="87"/>
      <c r="M409" s="197" t="s">
        <v>587</v>
      </c>
      <c r="N409" s="168"/>
    </row>
    <row r="410" ht="22.5" hidden="1" customHeight="1">
      <c r="A410" s="137" t="s">
        <v>605</v>
      </c>
      <c r="B410" s="206">
        <v>46044.0</v>
      </c>
      <c r="C410" s="200">
        <v>1.0</v>
      </c>
      <c r="D410" s="97" t="s">
        <v>604</v>
      </c>
      <c r="E410" s="201" t="s">
        <v>630</v>
      </c>
      <c r="F410" s="202"/>
      <c r="G410" s="194" t="s">
        <v>35</v>
      </c>
      <c r="H410" s="198"/>
      <c r="I410" s="196"/>
      <c r="J410" s="179">
        <f>IF(A410="RAPPI",(VLOOKUP(TRIM(D410), CATALOGO!F:G, 2, FALSE) * C410)+I410,IFERROR(IF(COUNTIF('RESTAURANTESDESCUENTOS 2026'!A:A,TRIM(A410))&gt;0,((VLOOKUP(TRIM(D410), CATALOGO!A:B, 2, FALSE) * C410)*(1-VALUE(SUBSTITUTE(VLOOKUP(TRIM(A410),'RESTAURANTESDESCUENTOS 2026'!A:B,2,FALSE),"%",""))/100)+I410),(VLOOKUP(TRIM(D410), CATALOGO!A:B, 2, FALSE) * C410+I410)),""))</f>
        <v>22000</v>
      </c>
      <c r="K410" s="196"/>
      <c r="L410" s="87"/>
      <c r="M410" s="197" t="s">
        <v>587</v>
      </c>
      <c r="N410" s="168"/>
    </row>
    <row r="411" ht="22.5" hidden="1" customHeight="1">
      <c r="A411" s="137" t="s">
        <v>603</v>
      </c>
      <c r="B411" s="206">
        <v>46044.0</v>
      </c>
      <c r="C411" s="200">
        <v>1.0</v>
      </c>
      <c r="D411" s="97" t="s">
        <v>174</v>
      </c>
      <c r="E411" s="201">
        <v>8922.0</v>
      </c>
      <c r="F411" s="202"/>
      <c r="G411" s="194" t="s">
        <v>587</v>
      </c>
      <c r="H411" s="195" t="s">
        <v>603</v>
      </c>
      <c r="I411" s="196"/>
      <c r="J411" s="179">
        <f>IF(A411="RAPPI",(VLOOKUP(TRIM(D411), CATALOGO!F:G, 2, FALSE) * C411)+I411,IFERROR(IF(COUNTIF('RESTAURANTESDESCUENTOS 2026'!A:A,TRIM(A411))&gt;0,((VLOOKUP(TRIM(D411), CATALOGO!A:B, 2, FALSE) * C411)*(1-VALUE(SUBSTITUTE(VLOOKUP(TRIM(A411),'RESTAURANTESDESCUENTOS 2026'!A:B,2,FALSE),"%",""))/100)+I411),(VLOOKUP(TRIM(D411), CATALOGO!A:B, 2, FALSE) * C411+I411)),""))</f>
        <v>18000</v>
      </c>
      <c r="K411" s="196"/>
      <c r="L411" s="87"/>
      <c r="M411" s="197" t="s">
        <v>587</v>
      </c>
      <c r="N411" s="168"/>
    </row>
    <row r="412" ht="22.5" hidden="1" customHeight="1">
      <c r="A412" s="137" t="s">
        <v>603</v>
      </c>
      <c r="B412" s="206">
        <v>46044.0</v>
      </c>
      <c r="C412" s="200">
        <v>1.0</v>
      </c>
      <c r="D412" s="97" t="s">
        <v>602</v>
      </c>
      <c r="E412" s="201">
        <v>2012.0</v>
      </c>
      <c r="F412" s="202"/>
      <c r="G412" s="194" t="s">
        <v>587</v>
      </c>
      <c r="H412" s="195" t="s">
        <v>603</v>
      </c>
      <c r="I412" s="196"/>
      <c r="J412" s="179">
        <f>IF(A412="RAPPI",(VLOOKUP(TRIM(D412), CATALOGO!F:G, 2, FALSE) * C412)+I412,IFERROR(IF(COUNTIF('RESTAURANTESDESCUENTOS 2026'!A:A,TRIM(A412))&gt;0,((VLOOKUP(TRIM(D412), CATALOGO!A:B, 2, FALSE) * C412)*(1-VALUE(SUBSTITUTE(VLOOKUP(TRIM(A412),'RESTAURANTESDESCUENTOS 2026'!A:B,2,FALSE),"%",""))/100)+I412),(VLOOKUP(TRIM(D412), CATALOGO!A:B, 2, FALSE) * C412+I412)),""))</f>
        <v>22000</v>
      </c>
      <c r="K412" s="196"/>
      <c r="L412" s="87"/>
      <c r="M412" s="197" t="s">
        <v>587</v>
      </c>
      <c r="N412" s="168"/>
    </row>
    <row r="413" ht="22.5" hidden="1" customHeight="1">
      <c r="A413" s="137" t="s">
        <v>55</v>
      </c>
      <c r="B413" s="206">
        <v>46044.0</v>
      </c>
      <c r="C413" s="55">
        <v>1.0</v>
      </c>
      <c r="D413" s="97" t="s">
        <v>182</v>
      </c>
      <c r="E413" s="201"/>
      <c r="F413" s="202"/>
      <c r="G413" s="194" t="s">
        <v>587</v>
      </c>
      <c r="H413" s="195" t="s">
        <v>588</v>
      </c>
      <c r="I413" s="196">
        <v>10000.0</v>
      </c>
      <c r="J413" s="199">
        <v>10000.0</v>
      </c>
      <c r="K413" s="196">
        <v>14500.0</v>
      </c>
      <c r="L413" s="87" t="s">
        <v>587</v>
      </c>
      <c r="M413" s="197" t="s">
        <v>587</v>
      </c>
      <c r="N413" s="168"/>
    </row>
    <row r="414" ht="22.5" hidden="1" customHeight="1">
      <c r="A414" s="137" t="s">
        <v>30</v>
      </c>
      <c r="B414" s="206">
        <v>46044.0</v>
      </c>
      <c r="C414" s="55">
        <v>1.0</v>
      </c>
      <c r="D414" s="97" t="s">
        <v>178</v>
      </c>
      <c r="E414" s="201" t="s">
        <v>610</v>
      </c>
      <c r="F414" s="202"/>
      <c r="G414" s="194" t="s">
        <v>35</v>
      </c>
      <c r="H414" s="198"/>
      <c r="I414" s="196">
        <v>25000.0</v>
      </c>
      <c r="J414" s="179">
        <f>IF(A414="RAPPI",(VLOOKUP(TRIM(D414), CATALOGO!F:G, 2, FALSE) * C414)+I414,IFERROR(IF(COUNTIF('RESTAURANTESDESCUENTOS 2026'!A:A,TRIM(A414))&gt;0,((VLOOKUP(TRIM(D414), CATALOGO!A:B, 2, FALSE) * C414)*(1-VALUE(SUBSTITUTE(VLOOKUP(TRIM(A414),'RESTAURANTESDESCUENTOS 2026'!A:B,2,FALSE),"%",""))/100)+I414),(VLOOKUP(TRIM(D414), CATALOGO!A:B, 2, FALSE) * C414+I414)),""))</f>
        <v>137500</v>
      </c>
      <c r="K414" s="196">
        <v>0.0</v>
      </c>
      <c r="L414" s="87" t="s">
        <v>587</v>
      </c>
      <c r="M414" s="197" t="s">
        <v>587</v>
      </c>
      <c r="N414" s="168"/>
    </row>
    <row r="415" ht="22.5" hidden="1" customHeight="1">
      <c r="A415" s="137" t="s">
        <v>73</v>
      </c>
      <c r="B415" s="206">
        <v>46044.0</v>
      </c>
      <c r="C415" s="55">
        <v>1.0</v>
      </c>
      <c r="D415" s="97" t="s">
        <v>178</v>
      </c>
      <c r="E415" s="201" t="s">
        <v>552</v>
      </c>
      <c r="F415" s="202"/>
      <c r="G415" s="194" t="s">
        <v>587</v>
      </c>
      <c r="H415" s="195" t="s">
        <v>588</v>
      </c>
      <c r="I415" s="196">
        <v>0.0</v>
      </c>
      <c r="J415" s="179">
        <f>IF(A415="RAPPI",(VLOOKUP(TRIM(D415), CATALOGO!F:G, 2, FALSE) * C415)+I415,IFERROR(IF(COUNTIF('RESTAURANTESDESCUENTOS 2026'!A:A,TRIM(A415))&gt;0,((VLOOKUP(TRIM(D415), CATALOGO!A:B, 2, FALSE) * C415)*(1-VALUE(SUBSTITUTE(VLOOKUP(TRIM(A415),'RESTAURANTESDESCUENTOS 2026'!A:B,2,FALSE),"%",""))/100)+I415),(VLOOKUP(TRIM(D415), CATALOGO!A:B, 2, FALSE) * C415+I415)),""))</f>
        <v>112500</v>
      </c>
      <c r="K415" s="196">
        <v>10000.0</v>
      </c>
      <c r="L415" s="87" t="s">
        <v>587</v>
      </c>
      <c r="M415" s="197" t="s">
        <v>587</v>
      </c>
      <c r="N415" s="168"/>
    </row>
    <row r="416" ht="22.5" hidden="1" customHeight="1">
      <c r="A416" s="137" t="s">
        <v>605</v>
      </c>
      <c r="B416" s="206">
        <v>46044.0</v>
      </c>
      <c r="C416" s="200">
        <v>1.0</v>
      </c>
      <c r="D416" s="97" t="s">
        <v>628</v>
      </c>
      <c r="E416" s="201" t="s">
        <v>630</v>
      </c>
      <c r="F416" s="202"/>
      <c r="G416" s="194" t="s">
        <v>35</v>
      </c>
      <c r="H416" s="198"/>
      <c r="I416" s="196"/>
      <c r="J416" s="179">
        <f>IF(A416="RAPPI",(VLOOKUP(TRIM(D416), CATALOGO!F:G, 2, FALSE) * C416)+I416,IFERROR(IF(COUNTIF('RESTAURANTESDESCUENTOS 2026'!A:A,TRIM(A416))&gt;0,((VLOOKUP(TRIM(D416), CATALOGO!A:B, 2, FALSE) * C416)*(1-VALUE(SUBSTITUTE(VLOOKUP(TRIM(A416),'RESTAURANTESDESCUENTOS 2026'!A:B,2,FALSE),"%",""))/100)+I416),(VLOOKUP(TRIM(D416), CATALOGO!A:B, 2, FALSE) * C416+I416)),""))</f>
        <v>22000</v>
      </c>
      <c r="K416" s="196"/>
      <c r="L416" s="87"/>
      <c r="M416" s="197" t="s">
        <v>587</v>
      </c>
      <c r="N416" s="168"/>
    </row>
    <row r="417" ht="22.5" hidden="1" customHeight="1">
      <c r="A417" s="137" t="s">
        <v>55</v>
      </c>
      <c r="B417" s="206">
        <v>46044.0</v>
      </c>
      <c r="C417" s="55">
        <v>4.0</v>
      </c>
      <c r="D417" s="97" t="s">
        <v>669</v>
      </c>
      <c r="E417" s="201"/>
      <c r="F417" s="202"/>
      <c r="G417" s="194" t="s">
        <v>587</v>
      </c>
      <c r="H417" s="195" t="s">
        <v>588</v>
      </c>
      <c r="I417" s="196">
        <v>0.0</v>
      </c>
      <c r="J417" s="179">
        <f>IF(A417="RAPPI",(VLOOKUP(TRIM(D417), CATALOGO!F:G, 2, FALSE) * C417)+I417,IFERROR(IF(COUNTIF('RESTAURANTESDESCUENTOS 2026'!A:A,TRIM(A417))&gt;0,((VLOOKUP(TRIM(D417), CATALOGO!A:B, 2, FALSE) * C417)*(1-VALUE(SUBSTITUTE(VLOOKUP(TRIM(A417),'RESTAURANTESDESCUENTOS 2026'!A:B,2,FALSE),"%",""))/100)+I417),(VLOOKUP(TRIM(D417), CATALOGO!A:B, 2, FALSE) * C417+I417)),""))</f>
        <v>0</v>
      </c>
      <c r="K417" s="196">
        <v>0.0</v>
      </c>
      <c r="L417" s="87" t="s">
        <v>587</v>
      </c>
      <c r="M417" s="197" t="s">
        <v>587</v>
      </c>
      <c r="N417" s="168"/>
    </row>
    <row r="418" ht="22.5" hidden="1" customHeight="1">
      <c r="A418" s="137" t="s">
        <v>603</v>
      </c>
      <c r="B418" s="206">
        <v>46044.0</v>
      </c>
      <c r="C418" s="55">
        <v>1.0</v>
      </c>
      <c r="D418" s="97" t="s">
        <v>601</v>
      </c>
      <c r="E418" s="201">
        <v>404.0</v>
      </c>
      <c r="F418" s="202"/>
      <c r="G418" s="194" t="s">
        <v>587</v>
      </c>
      <c r="H418" s="195" t="s">
        <v>603</v>
      </c>
      <c r="I418" s="196"/>
      <c r="J418" s="179">
        <f>IF(A418="RAPPI",(VLOOKUP(TRIM(D418), CATALOGO!F:G, 2, FALSE) * C418)+I418,IFERROR(IF(COUNTIF('RESTAURANTESDESCUENTOS 2026'!A:A,TRIM(A418))&gt;0,((VLOOKUP(TRIM(D418), CATALOGO!A:B, 2, FALSE) * C418)*(1-VALUE(SUBSTITUTE(VLOOKUP(TRIM(A418),'RESTAURANTESDESCUENTOS 2026'!A:B,2,FALSE),"%",""))/100)+I418),(VLOOKUP(TRIM(D418), CATALOGO!A:B, 2, FALSE) * C418+I418)),""))</f>
        <v>53000</v>
      </c>
      <c r="K418" s="196"/>
      <c r="L418" s="87"/>
      <c r="M418" s="197" t="s">
        <v>587</v>
      </c>
      <c r="N418" s="168"/>
    </row>
    <row r="419" ht="22.5" hidden="1" customHeight="1">
      <c r="A419" s="137" t="s">
        <v>768</v>
      </c>
      <c r="B419" s="206">
        <v>46044.0</v>
      </c>
      <c r="C419" s="55">
        <v>1.0</v>
      </c>
      <c r="D419" s="97" t="s">
        <v>176</v>
      </c>
      <c r="E419" s="201"/>
      <c r="F419" s="202"/>
      <c r="G419" s="194" t="s">
        <v>35</v>
      </c>
      <c r="H419" s="198"/>
      <c r="I419" s="196"/>
      <c r="J419" s="179">
        <f>IF(A419="RAPPI",(VLOOKUP(TRIM(D419), CATALOGO!F:G, 2, FALSE) * C419)+I419,IFERROR(IF(COUNTIF('RESTAURANTESDESCUENTOS 2026'!A:A,TRIM(A419))&gt;0,((VLOOKUP(TRIM(D419), CATALOGO!A:B, 2, FALSE) * C419)*(1-VALUE(SUBSTITUTE(VLOOKUP(TRIM(A419),'RESTAURANTESDESCUENTOS 2026'!A:B,2,FALSE),"%",""))/100)+I419),(VLOOKUP(TRIM(D419), CATALOGO!A:B, 2, FALSE) * C419+I419)),""))</f>
        <v>50000</v>
      </c>
      <c r="K419" s="196"/>
      <c r="L419" s="87"/>
      <c r="M419" s="197" t="s">
        <v>587</v>
      </c>
      <c r="N419" s="168"/>
    </row>
    <row r="420" ht="22.5" hidden="1" customHeight="1">
      <c r="A420" s="137" t="s">
        <v>603</v>
      </c>
      <c r="B420" s="206">
        <v>46044.0</v>
      </c>
      <c r="C420" s="55">
        <v>1.0</v>
      </c>
      <c r="D420" s="97" t="s">
        <v>601</v>
      </c>
      <c r="E420" s="201">
        <v>1839.0</v>
      </c>
      <c r="F420" s="202"/>
      <c r="G420" s="194" t="s">
        <v>587</v>
      </c>
      <c r="H420" s="195" t="s">
        <v>603</v>
      </c>
      <c r="I420" s="196"/>
      <c r="J420" s="179">
        <f>IF(A420="RAPPI",(VLOOKUP(TRIM(D420), CATALOGO!F:G, 2, FALSE) * C420)+I420,IFERROR(IF(COUNTIF('RESTAURANTESDESCUENTOS 2026'!A:A,TRIM(A420))&gt;0,((VLOOKUP(TRIM(D420), CATALOGO!A:B, 2, FALSE) * C420)*(1-VALUE(SUBSTITUTE(VLOOKUP(TRIM(A420),'RESTAURANTESDESCUENTOS 2026'!A:B,2,FALSE),"%",""))/100)+I420),(VLOOKUP(TRIM(D420), CATALOGO!A:B, 2, FALSE) * C420+I420)),""))</f>
        <v>53000</v>
      </c>
      <c r="K420" s="196"/>
      <c r="L420" s="87"/>
      <c r="M420" s="197" t="s">
        <v>587</v>
      </c>
      <c r="N420" s="168"/>
    </row>
    <row r="421" ht="22.5" hidden="1" customHeight="1">
      <c r="A421" s="137" t="s">
        <v>605</v>
      </c>
      <c r="B421" s="206">
        <v>46044.0</v>
      </c>
      <c r="C421" s="55">
        <v>1.0</v>
      </c>
      <c r="D421" s="97" t="s">
        <v>177</v>
      </c>
      <c r="E421" s="201" t="s">
        <v>607</v>
      </c>
      <c r="F421" s="202"/>
      <c r="G421" s="194" t="s">
        <v>35</v>
      </c>
      <c r="H421" s="198"/>
      <c r="I421" s="196"/>
      <c r="J421" s="179">
        <f>IF(A421="RAPPI",(VLOOKUP(TRIM(D421), CATALOGO!F:G, 2, FALSE) * C421)+I421,IFERROR(IF(COUNTIF('RESTAURANTESDESCUENTOS 2026'!A:A,TRIM(A421))&gt;0,((VLOOKUP(TRIM(D421), CATALOGO!A:B, 2, FALSE) * C421)*(1-VALUE(SUBSTITUTE(VLOOKUP(TRIM(A421),'RESTAURANTESDESCUENTOS 2026'!A:B,2,FALSE),"%",""))/100)+I421),(VLOOKUP(TRIM(D421), CATALOGO!A:B, 2, FALSE) * C421+I421)),""))</f>
        <v>115000</v>
      </c>
      <c r="K421" s="196"/>
      <c r="L421" s="87"/>
      <c r="M421" s="197" t="s">
        <v>587</v>
      </c>
      <c r="N421" s="168"/>
    </row>
    <row r="422" ht="22.5" hidden="1" customHeight="1">
      <c r="A422" s="137" t="s">
        <v>605</v>
      </c>
      <c r="B422" s="206">
        <v>46044.0</v>
      </c>
      <c r="C422" s="200">
        <v>1.0</v>
      </c>
      <c r="D422" s="97" t="s">
        <v>174</v>
      </c>
      <c r="E422" s="201" t="s">
        <v>606</v>
      </c>
      <c r="F422" s="202"/>
      <c r="G422" s="194" t="s">
        <v>35</v>
      </c>
      <c r="H422" s="198"/>
      <c r="I422" s="196"/>
      <c r="J422" s="179">
        <f>IF(A422="RAPPI",(VLOOKUP(TRIM(D422), CATALOGO!F:G, 2, FALSE) * C422)+I422,IFERROR(IF(COUNTIF('RESTAURANTESDESCUENTOS 2026'!A:A,TRIM(A422))&gt;0,((VLOOKUP(TRIM(D422), CATALOGO!A:B, 2, FALSE) * C422)*(1-VALUE(SUBSTITUTE(VLOOKUP(TRIM(A422),'RESTAURANTESDESCUENTOS 2026'!A:B,2,FALSE),"%",""))/100)+I422),(VLOOKUP(TRIM(D422), CATALOGO!A:B, 2, FALSE) * C422+I422)),""))</f>
        <v>18000</v>
      </c>
      <c r="K422" s="196"/>
      <c r="L422" s="87"/>
      <c r="M422" s="197" t="s">
        <v>587</v>
      </c>
      <c r="N422" s="168"/>
    </row>
    <row r="423" ht="22.5" hidden="1" customHeight="1">
      <c r="A423" s="137" t="s">
        <v>769</v>
      </c>
      <c r="B423" s="90">
        <v>46045.0</v>
      </c>
      <c r="C423" s="55">
        <v>25.0</v>
      </c>
      <c r="D423" s="97" t="s">
        <v>176</v>
      </c>
      <c r="E423" s="201" t="s">
        <v>770</v>
      </c>
      <c r="F423" s="202"/>
      <c r="G423" s="194" t="s">
        <v>35</v>
      </c>
      <c r="H423" s="198"/>
      <c r="I423" s="196">
        <v>10000.0</v>
      </c>
      <c r="J423" s="179">
        <f>IF(A423="RAPPI",(VLOOKUP(TRIM(D423), CATALOGO!F:G, 2, FALSE) * C423)+I423,IFERROR(IF(COUNTIF('RESTAURANTESDESCUENTOS 2026'!A:A,TRIM(A423))&gt;0,((VLOOKUP(TRIM(D423), CATALOGO!A:B, 2, FALSE) * C423)*(1-VALUE(SUBSTITUTE(VLOOKUP(TRIM(A423),'RESTAURANTESDESCUENTOS 2026'!A:B,2,FALSE),"%",""))/100)+I423),(VLOOKUP(TRIM(D423), CATALOGO!A:B, 2, FALSE) * C423+I423)),""))</f>
        <v>1260000</v>
      </c>
      <c r="K423" s="196">
        <v>0.0</v>
      </c>
      <c r="L423" s="87" t="s">
        <v>587</v>
      </c>
      <c r="M423" s="197" t="s">
        <v>587</v>
      </c>
      <c r="N423" s="168"/>
    </row>
    <row r="424" ht="22.5" hidden="1" customHeight="1">
      <c r="A424" s="137" t="s">
        <v>769</v>
      </c>
      <c r="B424" s="90">
        <v>46045.0</v>
      </c>
      <c r="C424" s="55">
        <v>27.0</v>
      </c>
      <c r="D424" s="97" t="s">
        <v>187</v>
      </c>
      <c r="E424" s="201" t="s">
        <v>770</v>
      </c>
      <c r="F424" s="202"/>
      <c r="G424" s="194" t="s">
        <v>35</v>
      </c>
      <c r="H424" s="198"/>
      <c r="I424" s="196">
        <v>0.0</v>
      </c>
      <c r="J424" s="179">
        <f>IF(A424="RAPPI",(VLOOKUP(TRIM(D424), CATALOGO!F:G, 2, FALSE) * C424)+I424,IFERROR(IF(COUNTIF('RESTAURANTESDESCUENTOS 2026'!A:A,TRIM(A424))&gt;0,((VLOOKUP(TRIM(D424), CATALOGO!A:B, 2, FALSE) * C424)*(1-VALUE(SUBSTITUTE(VLOOKUP(TRIM(A424),'RESTAURANTESDESCUENTOS 2026'!A:B,2,FALSE),"%",""))/100)+I424),(VLOOKUP(TRIM(D424), CATALOGO!A:B, 2, FALSE) * C424+I424)),""))</f>
        <v>1485000</v>
      </c>
      <c r="K424" s="196">
        <v>0.0</v>
      </c>
      <c r="L424" s="87" t="s">
        <v>587</v>
      </c>
      <c r="M424" s="197" t="s">
        <v>587</v>
      </c>
      <c r="N424" s="168"/>
    </row>
    <row r="425" ht="22.5" hidden="1" customHeight="1">
      <c r="A425" s="137" t="s">
        <v>769</v>
      </c>
      <c r="B425" s="90">
        <v>46045.0</v>
      </c>
      <c r="C425" s="55">
        <v>3.0</v>
      </c>
      <c r="D425" s="97" t="s">
        <v>199</v>
      </c>
      <c r="E425" s="201" t="s">
        <v>770</v>
      </c>
      <c r="F425" s="202"/>
      <c r="G425" s="194" t="s">
        <v>35</v>
      </c>
      <c r="H425" s="198"/>
      <c r="I425" s="196">
        <v>0.0</v>
      </c>
      <c r="J425" s="179">
        <f>IF(A425="RAPPI",(VLOOKUP(TRIM(D425), CATALOGO!F:G, 2, FALSE) * C425)+I425,IFERROR(IF(COUNTIF('RESTAURANTESDESCUENTOS 2026'!A:A,TRIM(A425))&gt;0,((VLOOKUP(TRIM(D425), CATALOGO!A:B, 2, FALSE) * C425)*(1-VALUE(SUBSTITUTE(VLOOKUP(TRIM(A425),'RESTAURANTESDESCUENTOS 2026'!A:B,2,FALSE),"%",""))/100)+I425),(VLOOKUP(TRIM(D425), CATALOGO!A:B, 2, FALSE) * C425+I425)),""))</f>
        <v>165000</v>
      </c>
      <c r="K425" s="196">
        <v>0.0</v>
      </c>
      <c r="L425" s="87" t="s">
        <v>587</v>
      </c>
      <c r="M425" s="197" t="s">
        <v>587</v>
      </c>
      <c r="N425" s="168"/>
    </row>
    <row r="426" ht="22.5" hidden="1" customHeight="1">
      <c r="A426" s="191" t="s">
        <v>771</v>
      </c>
      <c r="B426" s="90">
        <v>46045.0</v>
      </c>
      <c r="C426" s="55">
        <v>1.0</v>
      </c>
      <c r="D426" s="97" t="s">
        <v>177</v>
      </c>
      <c r="E426" s="222" t="s">
        <v>705</v>
      </c>
      <c r="F426" s="223"/>
      <c r="G426" s="194" t="s">
        <v>587</v>
      </c>
      <c r="H426" s="195" t="s">
        <v>588</v>
      </c>
      <c r="I426" s="196">
        <v>13000.0</v>
      </c>
      <c r="J426" s="179">
        <f>IF(A426="RAPPI",(VLOOKUP(TRIM(D426), CATALOGO!F:G, 2, FALSE) * C426)+I426,IFERROR(IF(COUNTIF('RESTAURANTESDESCUENTOS 2026'!A:A,TRIM(A426))&gt;0,((VLOOKUP(TRIM(D426), CATALOGO!A:B, 2, FALSE) * C426)*(1-VALUE(SUBSTITUTE(VLOOKUP(TRIM(A426),'RESTAURANTESDESCUENTOS 2026'!A:B,2,FALSE),"%",""))/100)+I426),(VLOOKUP(TRIM(D426), CATALOGO!A:B, 2, FALSE) * C426+I426)),""))</f>
        <v>128000</v>
      </c>
      <c r="K426" s="196">
        <v>20000.0</v>
      </c>
      <c r="L426" s="87"/>
      <c r="M426" s="197" t="s">
        <v>587</v>
      </c>
      <c r="N426" s="168"/>
    </row>
    <row r="427" ht="22.5" hidden="1" customHeight="1">
      <c r="A427" s="137" t="s">
        <v>55</v>
      </c>
      <c r="B427" s="90">
        <v>46045.0</v>
      </c>
      <c r="C427" s="55">
        <v>3.0</v>
      </c>
      <c r="D427" s="97" t="s">
        <v>178</v>
      </c>
      <c r="E427" s="201" t="s">
        <v>772</v>
      </c>
      <c r="F427" s="202"/>
      <c r="G427" s="194" t="s">
        <v>587</v>
      </c>
      <c r="H427" s="195" t="s">
        <v>632</v>
      </c>
      <c r="I427" s="196">
        <v>10000.0</v>
      </c>
      <c r="J427" s="179">
        <f>IF(A427="RAPPI",(VLOOKUP(TRIM(D427), CATALOGO!F:G, 2, FALSE) * C427)+I427,IFERROR(IF(COUNTIF('RESTAURANTESDESCUENTOS 2026'!A:A,TRIM(A427))&gt;0,((VLOOKUP(TRIM(D427), CATALOGO!A:B, 2, FALSE) * C427)*(1-VALUE(SUBSTITUTE(VLOOKUP(TRIM(A427),'RESTAURANTESDESCUENTOS 2026'!A:B,2,FALSE),"%",""))/100)+I427),(VLOOKUP(TRIM(D427), CATALOGO!A:B, 2, FALSE) * C427+I427)),""))</f>
        <v>347500</v>
      </c>
      <c r="K427" s="196">
        <v>10000.0</v>
      </c>
      <c r="L427" s="87" t="s">
        <v>587</v>
      </c>
      <c r="M427" s="197" t="s">
        <v>587</v>
      </c>
      <c r="N427" s="168"/>
    </row>
    <row r="428" ht="22.5" hidden="1" customHeight="1">
      <c r="A428" s="137" t="s">
        <v>773</v>
      </c>
      <c r="B428" s="90">
        <v>46045.0</v>
      </c>
      <c r="C428" s="55">
        <v>1.0</v>
      </c>
      <c r="D428" s="97" t="s">
        <v>176</v>
      </c>
      <c r="E428" s="201" t="s">
        <v>648</v>
      </c>
      <c r="F428" s="202"/>
      <c r="G428" s="194" t="s">
        <v>35</v>
      </c>
      <c r="H428" s="198"/>
      <c r="I428" s="196"/>
      <c r="J428" s="179">
        <f>IF(A428="RAPPI",(VLOOKUP(TRIM(D428), CATALOGO!F:G, 2, FALSE) * C428)+I428,IFERROR(IF(COUNTIF('RESTAURANTESDESCUENTOS 2026'!A:A,TRIM(A428))&gt;0,((VLOOKUP(TRIM(D428), CATALOGO!A:B, 2, FALSE) * C428)*(1-VALUE(SUBSTITUTE(VLOOKUP(TRIM(A428),'RESTAURANTESDESCUENTOS 2026'!A:B,2,FALSE),"%",""))/100)+I428),(VLOOKUP(TRIM(D428), CATALOGO!A:B, 2, FALSE) * C428+I428)),""))</f>
        <v>37500</v>
      </c>
      <c r="K428" s="196"/>
      <c r="L428" s="87"/>
      <c r="M428" s="197" t="s">
        <v>587</v>
      </c>
      <c r="N428" s="168"/>
    </row>
    <row r="429" ht="22.5" hidden="1" customHeight="1">
      <c r="A429" s="137" t="s">
        <v>774</v>
      </c>
      <c r="B429" s="90">
        <v>46045.0</v>
      </c>
      <c r="C429" s="55">
        <v>1.0</v>
      </c>
      <c r="D429" s="97" t="s">
        <v>775</v>
      </c>
      <c r="E429" s="201"/>
      <c r="F429" s="202"/>
      <c r="G429" s="194" t="s">
        <v>587</v>
      </c>
      <c r="H429" s="195" t="s">
        <v>588</v>
      </c>
      <c r="I429" s="196">
        <v>12000.0</v>
      </c>
      <c r="J429" s="179">
        <f>IF(A429="RAPPI",(VLOOKUP(TRIM(D429), CATALOGO!F:G, 2, FALSE) * C429)+I429,IFERROR(IF(COUNTIF('RESTAURANTESDESCUENTOS 2026'!A:A,TRIM(A429))&gt;0,((VLOOKUP(TRIM(D429), CATALOGO!A:B, 2, FALSE) * C429)*(1-VALUE(SUBSTITUTE(VLOOKUP(TRIM(A429),'RESTAURANTESDESCUENTOS 2026'!A:B,2,FALSE),"%",""))/100)+I429),(VLOOKUP(TRIM(D429), CATALOGO!A:B, 2, FALSE) * C429+I429)),""))</f>
        <v>175000</v>
      </c>
      <c r="K429" s="196">
        <v>12000.0</v>
      </c>
      <c r="L429" s="87"/>
      <c r="M429" s="197" t="s">
        <v>587</v>
      </c>
      <c r="N429" s="168"/>
    </row>
    <row r="430" ht="22.5" hidden="1" customHeight="1">
      <c r="A430" s="137" t="s">
        <v>605</v>
      </c>
      <c r="B430" s="90">
        <v>46045.0</v>
      </c>
      <c r="C430" s="55">
        <v>1.0</v>
      </c>
      <c r="D430" s="97" t="s">
        <v>177</v>
      </c>
      <c r="E430" s="201" t="s">
        <v>607</v>
      </c>
      <c r="F430" s="202"/>
      <c r="G430" s="194" t="s">
        <v>35</v>
      </c>
      <c r="H430" s="198"/>
      <c r="I430" s="196"/>
      <c r="J430" s="179">
        <f>IF(A430="RAPPI",(VLOOKUP(TRIM(D430), CATALOGO!F:G, 2, FALSE) * C430)+I430,IFERROR(IF(COUNTIF('RESTAURANTESDESCUENTOS 2026'!A:A,TRIM(A430))&gt;0,((VLOOKUP(TRIM(D430), CATALOGO!A:B, 2, FALSE) * C430)*(1-VALUE(SUBSTITUTE(VLOOKUP(TRIM(A430),'RESTAURANTESDESCUENTOS 2026'!A:B,2,FALSE),"%",""))/100)+I430),(VLOOKUP(TRIM(D430), CATALOGO!A:B, 2, FALSE) * C430+I430)),""))</f>
        <v>115000</v>
      </c>
      <c r="K430" s="196"/>
      <c r="L430" s="87"/>
      <c r="M430" s="197" t="s">
        <v>587</v>
      </c>
      <c r="N430" s="168"/>
    </row>
    <row r="431" ht="22.5" hidden="1" customHeight="1">
      <c r="A431" s="137" t="s">
        <v>776</v>
      </c>
      <c r="B431" s="90">
        <v>46045.0</v>
      </c>
      <c r="C431" s="55">
        <v>1.0</v>
      </c>
      <c r="D431" s="97" t="s">
        <v>178</v>
      </c>
      <c r="E431" s="70" t="s">
        <v>777</v>
      </c>
      <c r="F431" s="212"/>
      <c r="G431" s="194" t="s">
        <v>587</v>
      </c>
      <c r="H431" s="195" t="s">
        <v>632</v>
      </c>
      <c r="I431" s="196">
        <v>12000.0</v>
      </c>
      <c r="J431" s="179">
        <f>IF(A431="RAPPI",(VLOOKUP(TRIM(D431), CATALOGO!F:G, 2, FALSE) * C431)+I431,IFERROR(IF(COUNTIF('RESTAURANTESDESCUENTOS 2026'!A:A,TRIM(A431))&gt;0,((VLOOKUP(TRIM(D431), CATALOGO!A:B, 2, FALSE) * C431)*(1-VALUE(SUBSTITUTE(VLOOKUP(TRIM(A431),'RESTAURANTESDESCUENTOS 2026'!A:B,2,FALSE),"%",""))/100)+I431),(VLOOKUP(TRIM(D431), CATALOGO!A:B, 2, FALSE) * C431+I431)),""))</f>
        <v>162000</v>
      </c>
      <c r="K431" s="196">
        <v>12000.0</v>
      </c>
      <c r="L431" s="87"/>
      <c r="M431" s="197" t="s">
        <v>587</v>
      </c>
      <c r="N431" s="168"/>
    </row>
    <row r="432" ht="22.5" hidden="1" customHeight="1">
      <c r="A432" s="137" t="s">
        <v>778</v>
      </c>
      <c r="B432" s="90">
        <v>46045.0</v>
      </c>
      <c r="C432" s="55">
        <v>1.0</v>
      </c>
      <c r="D432" s="97" t="s">
        <v>178</v>
      </c>
      <c r="E432" s="201"/>
      <c r="F432" s="202"/>
      <c r="G432" s="194" t="s">
        <v>587</v>
      </c>
      <c r="H432" s="195" t="s">
        <v>632</v>
      </c>
      <c r="I432" s="196">
        <v>10000.0</v>
      </c>
      <c r="J432" s="179">
        <f>IF(A432="RAPPI",(VLOOKUP(TRIM(D432), CATALOGO!F:G, 2, FALSE) * C432)+I432,IFERROR(IF(COUNTIF('RESTAURANTESDESCUENTOS 2026'!A:A,TRIM(A432))&gt;0,((VLOOKUP(TRIM(D432), CATALOGO!A:B, 2, FALSE) * C432)*(1-VALUE(SUBSTITUTE(VLOOKUP(TRIM(A432),'RESTAURANTESDESCUENTOS 2026'!A:B,2,FALSE),"%",""))/100)+I432),(VLOOKUP(TRIM(D432), CATALOGO!A:B, 2, FALSE) * C432+I432)),""))</f>
        <v>160000</v>
      </c>
      <c r="K432" s="196">
        <v>10000.0</v>
      </c>
      <c r="L432" s="87"/>
      <c r="M432" s="197" t="s">
        <v>587</v>
      </c>
      <c r="N432" s="168"/>
    </row>
    <row r="433" ht="22.5" hidden="1" customHeight="1">
      <c r="A433" s="137" t="s">
        <v>779</v>
      </c>
      <c r="B433" s="90">
        <v>46045.0</v>
      </c>
      <c r="C433" s="55">
        <v>1.0</v>
      </c>
      <c r="D433" s="97" t="s">
        <v>178</v>
      </c>
      <c r="E433" s="201"/>
      <c r="F433" s="202"/>
      <c r="G433" s="194" t="s">
        <v>587</v>
      </c>
      <c r="H433" s="195" t="s">
        <v>588</v>
      </c>
      <c r="I433" s="196">
        <v>13000.0</v>
      </c>
      <c r="J433" s="179">
        <f>IF(A433="RAPPI",(VLOOKUP(TRIM(D433), CATALOGO!F:G, 2, FALSE) * C433)+I433,IFERROR(IF(COUNTIF('RESTAURANTESDESCUENTOS 2026'!A:A,TRIM(A433))&gt;0,((VLOOKUP(TRIM(D433), CATALOGO!A:B, 2, FALSE) * C433)*(1-VALUE(SUBSTITUTE(VLOOKUP(TRIM(A433),'RESTAURANTESDESCUENTOS 2026'!A:B,2,FALSE),"%",""))/100)+I433),(VLOOKUP(TRIM(D433), CATALOGO!A:B, 2, FALSE) * C433+I433)),""))</f>
        <v>163000</v>
      </c>
      <c r="K433" s="196">
        <v>19500.0</v>
      </c>
      <c r="L433" s="87" t="s">
        <v>587</v>
      </c>
      <c r="M433" s="197" t="s">
        <v>587</v>
      </c>
      <c r="N433" s="168"/>
    </row>
    <row r="434" ht="22.5" hidden="1" customHeight="1">
      <c r="A434" s="137" t="s">
        <v>603</v>
      </c>
      <c r="B434" s="90">
        <v>46045.0</v>
      </c>
      <c r="C434" s="55">
        <v>1.0</v>
      </c>
      <c r="D434" s="97" t="s">
        <v>678</v>
      </c>
      <c r="E434" s="201">
        <v>5947.0</v>
      </c>
      <c r="F434" s="202"/>
      <c r="G434" s="194" t="s">
        <v>587</v>
      </c>
      <c r="H434" s="195" t="s">
        <v>603</v>
      </c>
      <c r="I434" s="196"/>
      <c r="J434" s="179">
        <f>IF(A434="RAPPI",(VLOOKUP(TRIM(D434), CATALOGO!F:G, 2, FALSE) * C434)+I434,IFERROR(IF(COUNTIF('RESTAURANTESDESCUENTOS 2026'!A:A,TRIM(A434))&gt;0,((VLOOKUP(TRIM(D434), CATALOGO!A:B, 2, FALSE) * C434)*(1-VALUE(SUBSTITUTE(VLOOKUP(TRIM(A434),'RESTAURANTESDESCUENTOS 2026'!A:B,2,FALSE),"%",""))/100)+I434),(VLOOKUP(TRIM(D434), CATALOGO!A:B, 2, FALSE) * C434+I434)),""))</f>
        <v>123000</v>
      </c>
      <c r="K434" s="196"/>
      <c r="L434" s="87"/>
      <c r="M434" s="197" t="s">
        <v>587</v>
      </c>
      <c r="N434" s="168"/>
    </row>
    <row r="435" ht="22.5" hidden="1" customHeight="1">
      <c r="A435" s="137" t="s">
        <v>603</v>
      </c>
      <c r="B435" s="90">
        <v>46045.0</v>
      </c>
      <c r="C435" s="55">
        <v>1.0</v>
      </c>
      <c r="D435" s="97" t="s">
        <v>177</v>
      </c>
      <c r="E435" s="201">
        <v>1794.0</v>
      </c>
      <c r="F435" s="202"/>
      <c r="G435" s="194" t="s">
        <v>587</v>
      </c>
      <c r="H435" s="195" t="s">
        <v>603</v>
      </c>
      <c r="I435" s="196"/>
      <c r="J435" s="179">
        <f>IF(A435="RAPPI",(VLOOKUP(TRIM(D435), CATALOGO!F:G, 2, FALSE) * C435)+I435,IFERROR(IF(COUNTIF('RESTAURANTESDESCUENTOS 2026'!A:A,TRIM(A435))&gt;0,((VLOOKUP(TRIM(D435), CATALOGO!A:B, 2, FALSE) * C435)*(1-VALUE(SUBSTITUTE(VLOOKUP(TRIM(A435),'RESTAURANTESDESCUENTOS 2026'!A:B,2,FALSE),"%",""))/100)+I435),(VLOOKUP(TRIM(D435), CATALOGO!A:B, 2, FALSE) * C435+I435)),""))</f>
        <v>115000</v>
      </c>
      <c r="K435" s="196"/>
      <c r="L435" s="87"/>
      <c r="M435" s="197" t="s">
        <v>587</v>
      </c>
      <c r="N435" s="168"/>
    </row>
    <row r="436" ht="22.5" hidden="1" customHeight="1">
      <c r="A436" s="137" t="s">
        <v>603</v>
      </c>
      <c r="B436" s="90">
        <v>46045.0</v>
      </c>
      <c r="C436" s="55">
        <v>1.0</v>
      </c>
      <c r="D436" s="97" t="s">
        <v>177</v>
      </c>
      <c r="E436" s="201">
        <v>9534.0</v>
      </c>
      <c r="F436" s="202"/>
      <c r="G436" s="194" t="s">
        <v>587</v>
      </c>
      <c r="H436" s="195" t="s">
        <v>603</v>
      </c>
      <c r="I436" s="196"/>
      <c r="J436" s="179">
        <f>IF(A436="RAPPI",(VLOOKUP(TRIM(D436), CATALOGO!F:G, 2, FALSE) * C436)+I436,IFERROR(IF(COUNTIF('RESTAURANTESDESCUENTOS 2026'!A:A,TRIM(A436))&gt;0,((VLOOKUP(TRIM(D436), CATALOGO!A:B, 2, FALSE) * C436)*(1-VALUE(SUBSTITUTE(VLOOKUP(TRIM(A436),'RESTAURANTESDESCUENTOS 2026'!A:B,2,FALSE),"%",""))/100)+I436),(VLOOKUP(TRIM(D436), CATALOGO!A:B, 2, FALSE) * C436+I436)),""))</f>
        <v>115000</v>
      </c>
      <c r="K436" s="196"/>
      <c r="L436" s="87"/>
      <c r="M436" s="197" t="s">
        <v>587</v>
      </c>
      <c r="N436" s="168"/>
    </row>
    <row r="437" ht="22.5" hidden="1" customHeight="1">
      <c r="A437" s="137" t="s">
        <v>605</v>
      </c>
      <c r="B437" s="90">
        <v>46045.0</v>
      </c>
      <c r="C437" s="200">
        <v>1.0</v>
      </c>
      <c r="D437" s="97" t="s">
        <v>174</v>
      </c>
      <c r="E437" s="201" t="s">
        <v>606</v>
      </c>
      <c r="F437" s="202"/>
      <c r="G437" s="194" t="s">
        <v>35</v>
      </c>
      <c r="H437" s="198"/>
      <c r="I437" s="196"/>
      <c r="J437" s="179">
        <f>IF(A437="RAPPI",(VLOOKUP(TRIM(D437), CATALOGO!F:G, 2, FALSE) * C437)+I437,IFERROR(IF(COUNTIF('RESTAURANTESDESCUENTOS 2026'!A:A,TRIM(A437))&gt;0,((VLOOKUP(TRIM(D437), CATALOGO!A:B, 2, FALSE) * C437)*(1-VALUE(SUBSTITUTE(VLOOKUP(TRIM(A437),'RESTAURANTESDESCUENTOS 2026'!A:B,2,FALSE),"%",""))/100)+I437),(VLOOKUP(TRIM(D437), CATALOGO!A:B, 2, FALSE) * C437+I437)),""))</f>
        <v>18000</v>
      </c>
      <c r="K437" s="196"/>
      <c r="L437" s="87"/>
      <c r="M437" s="197" t="s">
        <v>587</v>
      </c>
      <c r="N437" s="168"/>
    </row>
    <row r="438" ht="22.5" hidden="1" customHeight="1">
      <c r="A438" s="137" t="s">
        <v>605</v>
      </c>
      <c r="B438" s="90">
        <v>46045.0</v>
      </c>
      <c r="C438" s="200">
        <v>1.0</v>
      </c>
      <c r="D438" s="97" t="s">
        <v>174</v>
      </c>
      <c r="E438" s="201" t="s">
        <v>607</v>
      </c>
      <c r="F438" s="202"/>
      <c r="G438" s="194" t="s">
        <v>35</v>
      </c>
      <c r="H438" s="198"/>
      <c r="I438" s="196"/>
      <c r="J438" s="179">
        <f>IF(A438="RAPPI",(VLOOKUP(TRIM(D438), CATALOGO!F:G, 2, FALSE) * C438)+I438,IFERROR(IF(COUNTIF('RESTAURANTESDESCUENTOS 2026'!A:A,TRIM(A438))&gt;0,((VLOOKUP(TRIM(D438), CATALOGO!A:B, 2, FALSE) * C438)*(1-VALUE(SUBSTITUTE(VLOOKUP(TRIM(A438),'RESTAURANTESDESCUENTOS 2026'!A:B,2,FALSE),"%",""))/100)+I438),(VLOOKUP(TRIM(D438), CATALOGO!A:B, 2, FALSE) * C438+I438)),""))</f>
        <v>18000</v>
      </c>
      <c r="K438" s="196"/>
      <c r="L438" s="87"/>
      <c r="M438" s="197" t="s">
        <v>587</v>
      </c>
      <c r="N438" s="168"/>
    </row>
    <row r="439" ht="22.5" hidden="1" customHeight="1">
      <c r="A439" s="137" t="s">
        <v>605</v>
      </c>
      <c r="B439" s="90">
        <v>46045.0</v>
      </c>
      <c r="C439" s="200">
        <v>1.0</v>
      </c>
      <c r="D439" s="97" t="s">
        <v>174</v>
      </c>
      <c r="E439" s="201" t="s">
        <v>606</v>
      </c>
      <c r="F439" s="202"/>
      <c r="G439" s="194" t="s">
        <v>35</v>
      </c>
      <c r="H439" s="198"/>
      <c r="I439" s="196"/>
      <c r="J439" s="179">
        <f>IF(A439="RAPPI",(VLOOKUP(TRIM(D439), CATALOGO!F:G, 2, FALSE) * C439)+I439,IFERROR(IF(COUNTIF('RESTAURANTESDESCUENTOS 2026'!A:A,TRIM(A439))&gt;0,((VLOOKUP(TRIM(D439), CATALOGO!A:B, 2, FALSE) * C439)*(1-VALUE(SUBSTITUTE(VLOOKUP(TRIM(A439),'RESTAURANTESDESCUENTOS 2026'!A:B,2,FALSE),"%",""))/100)+I439),(VLOOKUP(TRIM(D439), CATALOGO!A:B, 2, FALSE) * C439+I439)),""))</f>
        <v>18000</v>
      </c>
      <c r="K439" s="196"/>
      <c r="L439" s="87"/>
      <c r="M439" s="197" t="s">
        <v>587</v>
      </c>
      <c r="N439" s="168"/>
    </row>
    <row r="440" ht="22.5" hidden="1" customHeight="1">
      <c r="A440" s="137" t="s">
        <v>603</v>
      </c>
      <c r="B440" s="90">
        <v>46045.0</v>
      </c>
      <c r="C440" s="55">
        <v>1.0</v>
      </c>
      <c r="D440" s="97" t="s">
        <v>177</v>
      </c>
      <c r="E440" s="201">
        <v>8319.0</v>
      </c>
      <c r="F440" s="202"/>
      <c r="G440" s="194" t="s">
        <v>587</v>
      </c>
      <c r="H440" s="195" t="s">
        <v>603</v>
      </c>
      <c r="I440" s="196"/>
      <c r="J440" s="179">
        <f>IF(A440="RAPPI",(VLOOKUP(TRIM(D440), CATALOGO!F:G, 2, FALSE) * C440)+I440,IFERROR(IF(COUNTIF('RESTAURANTESDESCUENTOS 2026'!A:A,TRIM(A440))&gt;0,((VLOOKUP(TRIM(D440), CATALOGO!A:B, 2, FALSE) * C440)*(1-VALUE(SUBSTITUTE(VLOOKUP(TRIM(A440),'RESTAURANTESDESCUENTOS 2026'!A:B,2,FALSE),"%",""))/100)+I440),(VLOOKUP(TRIM(D440), CATALOGO!A:B, 2, FALSE) * C440+I440)),""))</f>
        <v>115000</v>
      </c>
      <c r="K440" s="196"/>
      <c r="L440" s="87"/>
      <c r="M440" s="197" t="s">
        <v>587</v>
      </c>
      <c r="N440" s="168"/>
    </row>
    <row r="441" ht="22.5" hidden="1" customHeight="1">
      <c r="A441" s="137" t="s">
        <v>603</v>
      </c>
      <c r="B441" s="90">
        <v>46045.0</v>
      </c>
      <c r="C441" s="55">
        <v>1.0</v>
      </c>
      <c r="D441" s="97" t="s">
        <v>678</v>
      </c>
      <c r="E441" s="201">
        <v>3863.0</v>
      </c>
      <c r="F441" s="202"/>
      <c r="G441" s="194" t="s">
        <v>587</v>
      </c>
      <c r="H441" s="195" t="s">
        <v>603</v>
      </c>
      <c r="I441" s="196"/>
      <c r="J441" s="179">
        <f>IF(A441="RAPPI",(VLOOKUP(TRIM(D441), CATALOGO!F:G, 2, FALSE) * C441)+I441,IFERROR(IF(COUNTIF('RESTAURANTESDESCUENTOS 2026'!A:A,TRIM(A441))&gt;0,((VLOOKUP(TRIM(D441), CATALOGO!A:B, 2, FALSE) * C441)*(1-VALUE(SUBSTITUTE(VLOOKUP(TRIM(A441),'RESTAURANTESDESCUENTOS 2026'!A:B,2,FALSE),"%",""))/100)+I441),(VLOOKUP(TRIM(D441), CATALOGO!A:B, 2, FALSE) * C441+I441)),""))</f>
        <v>123000</v>
      </c>
      <c r="K441" s="196"/>
      <c r="L441" s="87"/>
      <c r="M441" s="197" t="s">
        <v>587</v>
      </c>
      <c r="N441" s="168"/>
    </row>
    <row r="442" ht="22.5" hidden="1" customHeight="1">
      <c r="A442" s="137" t="s">
        <v>603</v>
      </c>
      <c r="B442" s="90">
        <v>46045.0</v>
      </c>
      <c r="C442" s="55">
        <v>1.0</v>
      </c>
      <c r="D442" s="97" t="s">
        <v>708</v>
      </c>
      <c r="E442" s="201">
        <v>3863.0</v>
      </c>
      <c r="F442" s="202"/>
      <c r="G442" s="194" t="s">
        <v>587</v>
      </c>
      <c r="H442" s="195" t="s">
        <v>603</v>
      </c>
      <c r="I442" s="196"/>
      <c r="J442" s="179">
        <f>IF(A442="RAPPI",(VLOOKUP(TRIM(D442), CATALOGO!F:G, 2, FALSE) * C442)+I442,IFERROR(IF(COUNTIF('RESTAURANTESDESCUENTOS 2026'!A:A,TRIM(A442))&gt;0,((VLOOKUP(TRIM(D442), CATALOGO!A:B, 2, FALSE) * C442)*(1-VALUE(SUBSTITUTE(VLOOKUP(TRIM(A442),'RESTAURANTESDESCUENTOS 2026'!A:B,2,FALSE),"%",""))/100)+I442),(VLOOKUP(TRIM(D442), CATALOGO!A:B, 2, FALSE) * C442+I442)),""))</f>
        <v>53000</v>
      </c>
      <c r="K442" s="196"/>
      <c r="L442" s="87"/>
      <c r="M442" s="197" t="s">
        <v>587</v>
      </c>
      <c r="N442" s="168"/>
    </row>
    <row r="443" ht="22.5" hidden="1" customHeight="1">
      <c r="A443" s="137" t="s">
        <v>605</v>
      </c>
      <c r="B443" s="90">
        <v>46045.0</v>
      </c>
      <c r="C443" s="200">
        <v>1.0</v>
      </c>
      <c r="D443" s="97" t="s">
        <v>174</v>
      </c>
      <c r="E443" s="201" t="s">
        <v>606</v>
      </c>
      <c r="F443" s="202"/>
      <c r="G443" s="194" t="s">
        <v>35</v>
      </c>
      <c r="H443" s="198"/>
      <c r="I443" s="196"/>
      <c r="J443" s="179">
        <f>IF(A443="RAPPI",(VLOOKUP(TRIM(D443), CATALOGO!F:G, 2, FALSE) * C443)+I443,IFERROR(IF(COUNTIF('RESTAURANTESDESCUENTOS 2026'!A:A,TRIM(A443))&gt;0,((VLOOKUP(TRIM(D443), CATALOGO!A:B, 2, FALSE) * C443)*(1-VALUE(SUBSTITUTE(VLOOKUP(TRIM(A443),'RESTAURANTESDESCUENTOS 2026'!A:B,2,FALSE),"%",""))/100)+I443),(VLOOKUP(TRIM(D443), CATALOGO!A:B, 2, FALSE) * C443+I443)),""))</f>
        <v>18000</v>
      </c>
      <c r="K443" s="196"/>
      <c r="L443" s="87"/>
      <c r="M443" s="197" t="s">
        <v>587</v>
      </c>
      <c r="N443" s="168"/>
    </row>
    <row r="444" ht="22.5" hidden="1" customHeight="1">
      <c r="A444" s="137" t="s">
        <v>605</v>
      </c>
      <c r="B444" s="90">
        <v>46045.0</v>
      </c>
      <c r="C444" s="55">
        <v>1.0</v>
      </c>
      <c r="D444" s="97" t="s">
        <v>182</v>
      </c>
      <c r="E444" s="201" t="s">
        <v>607</v>
      </c>
      <c r="F444" s="202"/>
      <c r="G444" s="194" t="s">
        <v>35</v>
      </c>
      <c r="H444" s="198"/>
      <c r="I444" s="196"/>
      <c r="J444" s="179">
        <f>IF(A444="RAPPI",(VLOOKUP(TRIM(D444), CATALOGO!F:G, 2, FALSE) * C444)+I444,IFERROR(IF(COUNTIF('RESTAURANTESDESCUENTOS 2026'!A:A,TRIM(A444))&gt;0,((VLOOKUP(TRIM(D444), CATALOGO!A:B, 2, FALSE) * C444)*(1-VALUE(SUBSTITUTE(VLOOKUP(TRIM(A444),'RESTAURANTESDESCUENTOS 2026'!A:B,2,FALSE),"%",""))/100)+I444),(VLOOKUP(TRIM(D444), CATALOGO!A:B, 2, FALSE) * C444+I444)),""))</f>
        <v>37000</v>
      </c>
      <c r="K444" s="196"/>
      <c r="L444" s="87"/>
      <c r="M444" s="197" t="s">
        <v>587</v>
      </c>
      <c r="N444" s="168"/>
    </row>
    <row r="445" ht="22.5" hidden="1" customHeight="1">
      <c r="A445" s="137" t="s">
        <v>605</v>
      </c>
      <c r="B445" s="90">
        <v>46045.0</v>
      </c>
      <c r="C445" s="55">
        <v>1.0</v>
      </c>
      <c r="D445" s="97" t="s">
        <v>639</v>
      </c>
      <c r="E445" s="201" t="s">
        <v>607</v>
      </c>
      <c r="F445" s="202"/>
      <c r="G445" s="194" t="s">
        <v>35</v>
      </c>
      <c r="H445" s="198"/>
      <c r="I445" s="196"/>
      <c r="J445" s="179">
        <f>IF(A445="RAPPI",(VLOOKUP(TRIM(D445), CATALOGO!F:G, 2, FALSE) * C445)+I445,IFERROR(IF(COUNTIF('RESTAURANTESDESCUENTOS 2026'!A:A,TRIM(A445))&gt;0,((VLOOKUP(TRIM(D445), CATALOGO!A:B, 2, FALSE) * C445)*(1-VALUE(SUBSTITUTE(VLOOKUP(TRIM(A445),'RESTAURANTESDESCUENTOS 2026'!A:B,2,FALSE),"%",""))/100)+I445),(VLOOKUP(TRIM(D445), CATALOGO!A:B, 2, FALSE) * C445+I445)),""))</f>
        <v>0</v>
      </c>
      <c r="K445" s="196"/>
      <c r="L445" s="87"/>
      <c r="M445" s="197" t="s">
        <v>587</v>
      </c>
      <c r="N445" s="168"/>
    </row>
    <row r="446" ht="22.5" hidden="1" customHeight="1">
      <c r="A446" s="137" t="s">
        <v>605</v>
      </c>
      <c r="B446" s="90">
        <v>46045.0</v>
      </c>
      <c r="C446" s="55">
        <v>1.0</v>
      </c>
      <c r="D446" s="97" t="s">
        <v>620</v>
      </c>
      <c r="E446" s="201" t="s">
        <v>607</v>
      </c>
      <c r="F446" s="202"/>
      <c r="G446" s="194" t="s">
        <v>35</v>
      </c>
      <c r="H446" s="198"/>
      <c r="I446" s="196"/>
      <c r="J446" s="179">
        <f>IF(A446="RAPPI",(VLOOKUP(TRIM(D446), CATALOGO!F:G, 2, FALSE) * C446)+I446,IFERROR(IF(COUNTIF('RESTAURANTESDESCUENTOS 2026'!A:A,TRIM(A446))&gt;0,((VLOOKUP(TRIM(D446), CATALOGO!A:B, 2, FALSE) * C446)*(1-VALUE(SUBSTITUTE(VLOOKUP(TRIM(A446),'RESTAURANTESDESCUENTOS 2026'!A:B,2,FALSE),"%",""))/100)+I446),(VLOOKUP(TRIM(D446), CATALOGO!A:B, 2, FALSE) * C446+I446)),""))</f>
        <v>0</v>
      </c>
      <c r="K446" s="196"/>
      <c r="L446" s="87"/>
      <c r="M446" s="197" t="s">
        <v>587</v>
      </c>
      <c r="N446" s="168"/>
    </row>
    <row r="447" ht="22.5" hidden="1" customHeight="1">
      <c r="A447" s="137" t="s">
        <v>605</v>
      </c>
      <c r="B447" s="90">
        <v>46045.0</v>
      </c>
      <c r="C447" s="55">
        <v>1.0</v>
      </c>
      <c r="D447" s="97" t="s">
        <v>669</v>
      </c>
      <c r="E447" s="201" t="s">
        <v>607</v>
      </c>
      <c r="F447" s="202"/>
      <c r="G447" s="194" t="s">
        <v>35</v>
      </c>
      <c r="H447" s="198"/>
      <c r="I447" s="196"/>
      <c r="J447" s="179">
        <f>IF(A447="RAPPI",(VLOOKUP(TRIM(D447), CATALOGO!F:G, 2, FALSE) * C447)+I447,IFERROR(IF(COUNTIF('RESTAURANTESDESCUENTOS 2026'!A:A,TRIM(A447))&gt;0,((VLOOKUP(TRIM(D447), CATALOGO!A:B, 2, FALSE) * C447)*(1-VALUE(SUBSTITUTE(VLOOKUP(TRIM(A447),'RESTAURANTESDESCUENTOS 2026'!A:B,2,FALSE),"%",""))/100)+I447),(VLOOKUP(TRIM(D447), CATALOGO!A:B, 2, FALSE) * C447+I447)),""))</f>
        <v>0</v>
      </c>
      <c r="K447" s="196"/>
      <c r="L447" s="87"/>
      <c r="M447" s="197" t="s">
        <v>587</v>
      </c>
      <c r="N447" s="168"/>
    </row>
    <row r="448" ht="22.5" hidden="1" customHeight="1">
      <c r="A448" s="137" t="s">
        <v>605</v>
      </c>
      <c r="B448" s="90">
        <v>46045.0</v>
      </c>
      <c r="C448" s="55">
        <v>1.0</v>
      </c>
      <c r="D448" s="97" t="s">
        <v>236</v>
      </c>
      <c r="E448" s="201" t="s">
        <v>607</v>
      </c>
      <c r="F448" s="202"/>
      <c r="G448" s="194" t="s">
        <v>35</v>
      </c>
      <c r="H448" s="198"/>
      <c r="I448" s="196"/>
      <c r="J448" s="179">
        <f>IF(A448="RAPPI",(VLOOKUP(TRIM(D448), CATALOGO!F:G, 2, FALSE) * C448)+I448,IFERROR(IF(COUNTIF('RESTAURANTESDESCUENTOS 2026'!A:A,TRIM(A448))&gt;0,((VLOOKUP(TRIM(D448), CATALOGO!A:B, 2, FALSE) * C448)*(1-VALUE(SUBSTITUTE(VLOOKUP(TRIM(A448),'RESTAURANTESDESCUENTOS 2026'!A:B,2,FALSE),"%",""))/100)+I448),(VLOOKUP(TRIM(D448), CATALOGO!A:B, 2, FALSE) * C448+I448)),""))</f>
        <v>0</v>
      </c>
      <c r="K448" s="196"/>
      <c r="L448" s="87"/>
      <c r="M448" s="197" t="s">
        <v>587</v>
      </c>
      <c r="N448" s="168"/>
    </row>
    <row r="449" ht="22.5" hidden="1" customHeight="1">
      <c r="A449" s="137" t="s">
        <v>605</v>
      </c>
      <c r="B449" s="90">
        <v>46045.0</v>
      </c>
      <c r="C449" s="55">
        <v>1.0</v>
      </c>
      <c r="D449" s="97" t="s">
        <v>640</v>
      </c>
      <c r="E449" s="201" t="s">
        <v>606</v>
      </c>
      <c r="F449" s="202"/>
      <c r="G449" s="194" t="s">
        <v>35</v>
      </c>
      <c r="H449" s="198"/>
      <c r="I449" s="196"/>
      <c r="J449" s="179">
        <f>IF(A449="RAPPI",(VLOOKUP(TRIM(D449), CATALOGO!F:G, 2, FALSE) * C449)+I449,IFERROR(IF(COUNTIF('RESTAURANTESDESCUENTOS 2026'!A:A,TRIM(A449))&gt;0,((VLOOKUP(TRIM(D449), CATALOGO!A:B, 2, FALSE) * C449)*(1-VALUE(SUBSTITUTE(VLOOKUP(TRIM(A449),'RESTAURANTESDESCUENTOS 2026'!A:B,2,FALSE),"%",""))/100)+I449),(VLOOKUP(TRIM(D449), CATALOGO!A:B, 2, FALSE) * C449+I449)),""))</f>
        <v>53000</v>
      </c>
      <c r="K449" s="196"/>
      <c r="L449" s="87"/>
      <c r="M449" s="197" t="s">
        <v>587</v>
      </c>
      <c r="N449" s="168"/>
      <c r="Y449" s="99" t="s">
        <v>780</v>
      </c>
    </row>
    <row r="450" ht="22.5" hidden="1" customHeight="1">
      <c r="A450" s="137" t="s">
        <v>605</v>
      </c>
      <c r="B450" s="90">
        <v>46045.0</v>
      </c>
      <c r="C450" s="55">
        <v>1.0</v>
      </c>
      <c r="D450" s="97" t="s">
        <v>639</v>
      </c>
      <c r="E450" s="201" t="s">
        <v>606</v>
      </c>
      <c r="F450" s="202"/>
      <c r="G450" s="194" t="s">
        <v>35</v>
      </c>
      <c r="H450" s="198"/>
      <c r="I450" s="196"/>
      <c r="J450" s="199">
        <v>3000.0</v>
      </c>
      <c r="K450" s="196"/>
      <c r="L450" s="87"/>
      <c r="M450" s="197" t="s">
        <v>587</v>
      </c>
      <c r="N450" s="168"/>
    </row>
    <row r="451" ht="22.5" hidden="1" customHeight="1">
      <c r="A451" s="137" t="s">
        <v>603</v>
      </c>
      <c r="B451" s="90">
        <v>46045.0</v>
      </c>
      <c r="C451" s="55">
        <v>1.0</v>
      </c>
      <c r="D451" s="97" t="s">
        <v>739</v>
      </c>
      <c r="E451" s="201">
        <v>4642.0</v>
      </c>
      <c r="F451" s="202"/>
      <c r="G451" s="194" t="s">
        <v>587</v>
      </c>
      <c r="H451" s="195" t="s">
        <v>603</v>
      </c>
      <c r="I451" s="196"/>
      <c r="J451" s="179">
        <f>IF(A451="RAPPI",(VLOOKUP(TRIM(D451), CATALOGO!F:G, 2, FALSE) * C451)+I451,IFERROR(IF(COUNTIF('RESTAURANTESDESCUENTOS 2026'!A:A,TRIM(A451))&gt;0,((VLOOKUP(TRIM(D451), CATALOGO!A:B, 2, FALSE) * C451)*(1-VALUE(SUBSTITUTE(VLOOKUP(TRIM(A451),'RESTAURANTESDESCUENTOS 2026'!A:B,2,FALSE),"%",""))/100)+I451),(VLOOKUP(TRIM(D451), CATALOGO!A:B, 2, FALSE) * C451+I451)),""))</f>
        <v>163000</v>
      </c>
      <c r="K451" s="196"/>
      <c r="L451" s="87"/>
      <c r="M451" s="197" t="s">
        <v>587</v>
      </c>
      <c r="N451" s="168"/>
    </row>
    <row r="452" ht="22.5" hidden="1" customHeight="1">
      <c r="A452" s="137" t="s">
        <v>603</v>
      </c>
      <c r="B452" s="90">
        <v>46045.0</v>
      </c>
      <c r="C452" s="55">
        <v>1.0</v>
      </c>
      <c r="D452" s="97" t="s">
        <v>601</v>
      </c>
      <c r="E452" s="201">
        <v>6652.0</v>
      </c>
      <c r="F452" s="202"/>
      <c r="G452" s="194" t="s">
        <v>587</v>
      </c>
      <c r="H452" s="195" t="s">
        <v>603</v>
      </c>
      <c r="I452" s="196"/>
      <c r="J452" s="179">
        <f>IF(A452="RAPPI",(VLOOKUP(TRIM(D452), CATALOGO!F:G, 2, FALSE) * C452)+I452,IFERROR(IF(COUNTIF('RESTAURANTESDESCUENTOS 2026'!A:A,TRIM(A452))&gt;0,((VLOOKUP(TRIM(D452), CATALOGO!A:B, 2, FALSE) * C452)*(1-VALUE(SUBSTITUTE(VLOOKUP(TRIM(A452),'RESTAURANTESDESCUENTOS 2026'!A:B,2,FALSE),"%",""))/100)+I452),(VLOOKUP(TRIM(D452), CATALOGO!A:B, 2, FALSE) * C452+I452)),""))</f>
        <v>53000</v>
      </c>
      <c r="K452" s="196"/>
      <c r="L452" s="87"/>
      <c r="M452" s="197" t="s">
        <v>587</v>
      </c>
      <c r="N452" s="168"/>
    </row>
    <row r="453" ht="22.5" hidden="1" customHeight="1">
      <c r="A453" s="191" t="s">
        <v>781</v>
      </c>
      <c r="B453" s="90">
        <v>46046.0</v>
      </c>
      <c r="C453" s="55">
        <v>1.0</v>
      </c>
      <c r="D453" s="97" t="s">
        <v>697</v>
      </c>
      <c r="E453" s="55"/>
      <c r="F453" s="193"/>
      <c r="G453" s="194" t="s">
        <v>35</v>
      </c>
      <c r="H453" s="198"/>
      <c r="I453" s="196"/>
      <c r="J453" s="179">
        <f>IF(A453="RAPPI",(VLOOKUP(TRIM(D453), CATALOGO!F:G, 2, FALSE) * C453)+I453,IFERROR(IF(COUNTIF('RESTAURANTESDESCUENTOS 2026'!A:A,TRIM(A453))&gt;0,((VLOOKUP(TRIM(D453), CATALOGO!A:B, 2, FALSE) * C453)*(1-VALUE(SUBSTITUTE(VLOOKUP(TRIM(A453),'RESTAURANTESDESCUENTOS 2026'!A:B,2,FALSE),"%",""))/100)+I453),(VLOOKUP(TRIM(D453), CATALOGO!A:B, 2, FALSE) * C453+I453)),""))</f>
        <v>163000</v>
      </c>
      <c r="K453" s="196"/>
      <c r="L453" s="87"/>
      <c r="M453" s="197" t="s">
        <v>587</v>
      </c>
      <c r="N453" s="168"/>
    </row>
    <row r="454" ht="22.5" hidden="1" customHeight="1">
      <c r="A454" s="137" t="s">
        <v>782</v>
      </c>
      <c r="B454" s="206">
        <v>46046.0</v>
      </c>
      <c r="C454" s="55">
        <v>1.0</v>
      </c>
      <c r="D454" s="97" t="s">
        <v>678</v>
      </c>
      <c r="E454" s="201"/>
      <c r="F454" s="202"/>
      <c r="G454" s="194" t="s">
        <v>35</v>
      </c>
      <c r="H454" s="198"/>
      <c r="I454" s="196"/>
      <c r="J454" s="179">
        <f>IF(A454="RAPPI",(VLOOKUP(TRIM(D454), CATALOGO!F:G, 2, FALSE) * C454)+I454,IFERROR(IF(COUNTIF('RESTAURANTESDESCUENTOS 2026'!A:A,TRIM(A454))&gt;0,((VLOOKUP(TRIM(D454), CATALOGO!A:B, 2, FALSE) * C454)*(1-VALUE(SUBSTITUTE(VLOOKUP(TRIM(A454),'RESTAURANTESDESCUENTOS 2026'!A:B,2,FALSE),"%",""))/100)+I454),(VLOOKUP(TRIM(D454), CATALOGO!A:B, 2, FALSE) * C454+I454)),""))</f>
        <v>123000</v>
      </c>
      <c r="K454" s="196"/>
      <c r="L454" s="87"/>
      <c r="M454" s="197" t="s">
        <v>587</v>
      </c>
      <c r="N454" s="168"/>
    </row>
    <row r="455" ht="22.5" hidden="1" customHeight="1">
      <c r="A455" s="137" t="s">
        <v>783</v>
      </c>
      <c r="B455" s="206">
        <v>46046.0</v>
      </c>
      <c r="C455" s="55">
        <v>1.0</v>
      </c>
      <c r="D455" s="97" t="s">
        <v>739</v>
      </c>
      <c r="E455" s="201" t="s">
        <v>645</v>
      </c>
      <c r="F455" s="202"/>
      <c r="G455" s="194" t="s">
        <v>35</v>
      </c>
      <c r="H455" s="198"/>
      <c r="I455" s="196"/>
      <c r="J455" s="179">
        <f>IF(A455="RAPPI",(VLOOKUP(TRIM(D455), CATALOGO!F:G, 2, FALSE) * C455)+I455,IFERROR(IF(COUNTIF('RESTAURANTESDESCUENTOS 2026'!A:A,TRIM(A455))&gt;0,((VLOOKUP(TRIM(D455), CATALOGO!A:B, 2, FALSE) * C455)*(1-VALUE(SUBSTITUTE(VLOOKUP(TRIM(A455),'RESTAURANTESDESCUENTOS 2026'!A:B,2,FALSE),"%",""))/100)+I455),(VLOOKUP(TRIM(D455), CATALOGO!A:B, 2, FALSE) * C455+I455)),""))</f>
        <v>163000</v>
      </c>
      <c r="K455" s="196"/>
      <c r="L455" s="87"/>
      <c r="M455" s="197" t="s">
        <v>587</v>
      </c>
      <c r="N455" s="168"/>
    </row>
    <row r="456" ht="22.5" hidden="1" customHeight="1">
      <c r="A456" s="147" t="s">
        <v>784</v>
      </c>
      <c r="B456" s="209">
        <v>46046.0</v>
      </c>
      <c r="C456" s="183">
        <v>1.0</v>
      </c>
      <c r="D456" s="184" t="s">
        <v>177</v>
      </c>
      <c r="E456" s="183" t="s">
        <v>645</v>
      </c>
      <c r="F456" s="184"/>
      <c r="G456" s="176" t="s">
        <v>587</v>
      </c>
      <c r="H456" s="173" t="s">
        <v>632</v>
      </c>
      <c r="I456" s="178">
        <v>10000.0</v>
      </c>
      <c r="J456" s="179">
        <f>IF(A456="RAPPI",(VLOOKUP(TRIM(D456), CATALOGO!F:G, 2, FALSE) * C456)+I456,IFERROR(IF(COUNTIF('RESTAURANTESDESCUENTOS 2026'!A:A,TRIM(A456))&gt;0,((VLOOKUP(TRIM(D456), CATALOGO!A:B, 2, FALSE) * C456)*(1-VALUE(SUBSTITUTE(VLOOKUP(TRIM(A456),'RESTAURANTESDESCUENTOS 2026'!A:B,2,FALSE),"%",""))/100)+I456),(VLOOKUP(TRIM(D456), CATALOGO!A:B, 2, FALSE) * C456+I456)),""))</f>
        <v>125000</v>
      </c>
      <c r="K456" s="189">
        <v>10000.0</v>
      </c>
      <c r="L456" s="158"/>
      <c r="M456" s="210" t="s">
        <v>587</v>
      </c>
      <c r="N456" s="161"/>
    </row>
    <row r="457" ht="22.5" hidden="1" customHeight="1">
      <c r="A457" s="137" t="s">
        <v>785</v>
      </c>
      <c r="B457" s="90">
        <v>46046.0</v>
      </c>
      <c r="C457" s="55">
        <v>1.0</v>
      </c>
      <c r="D457" s="97" t="s">
        <v>193</v>
      </c>
      <c r="E457" s="201"/>
      <c r="F457" s="202"/>
      <c r="G457" s="194" t="s">
        <v>587</v>
      </c>
      <c r="H457" s="195" t="s">
        <v>632</v>
      </c>
      <c r="I457" s="196">
        <v>12000.0</v>
      </c>
      <c r="J457" s="179">
        <f>IF(A457="RAPPI",(VLOOKUP(TRIM(D457), CATALOGO!F:G, 2, FALSE) * C457)+I457,IFERROR(IF(COUNTIF('RESTAURANTESDESCUENTOS 2026'!A:A,TRIM(A457))&gt;0,((VLOOKUP(TRIM(D457), CATALOGO!A:B, 2, FALSE) * C457)*(1-VALUE(SUBSTITUTE(VLOOKUP(TRIM(A457),'RESTAURANTESDESCUENTOS 2026'!A:B,2,FALSE),"%",""))/100)+I457),(VLOOKUP(TRIM(D457), CATALOGO!A:B, 2, FALSE) * C457+I457)),""))</f>
        <v>172000</v>
      </c>
      <c r="K457" s="196">
        <v>12000.0</v>
      </c>
      <c r="L457" s="87"/>
      <c r="M457" s="197" t="s">
        <v>587</v>
      </c>
      <c r="N457" s="168"/>
    </row>
    <row r="458" ht="22.5" hidden="1" customHeight="1">
      <c r="A458" s="137" t="s">
        <v>786</v>
      </c>
      <c r="B458" s="90">
        <v>46046.0</v>
      </c>
      <c r="C458" s="55">
        <v>1.0</v>
      </c>
      <c r="D458" s="97" t="s">
        <v>177</v>
      </c>
      <c r="E458" s="201"/>
      <c r="F458" s="202"/>
      <c r="G458" s="194" t="s">
        <v>587</v>
      </c>
      <c r="H458" s="195" t="s">
        <v>632</v>
      </c>
      <c r="I458" s="196">
        <v>12000.0</v>
      </c>
      <c r="J458" s="179">
        <f>IF(A458="RAPPI",(VLOOKUP(TRIM(D458), CATALOGO!F:G, 2, FALSE) * C458)+I458,IFERROR(IF(COUNTIF('RESTAURANTESDESCUENTOS 2026'!A:A,TRIM(A458))&gt;0,((VLOOKUP(TRIM(D458), CATALOGO!A:B, 2, FALSE) * C458)*(1-VALUE(SUBSTITUTE(VLOOKUP(TRIM(A458),'RESTAURANTESDESCUENTOS 2026'!A:B,2,FALSE),"%",""))/100)+I458),(VLOOKUP(TRIM(D458), CATALOGO!A:B, 2, FALSE) * C458+I458)),""))</f>
        <v>127000</v>
      </c>
      <c r="K458" s="196">
        <v>12000.0</v>
      </c>
      <c r="L458" s="87"/>
      <c r="M458" s="197" t="s">
        <v>587</v>
      </c>
      <c r="N458" s="168"/>
    </row>
    <row r="459" ht="22.5" hidden="1" customHeight="1">
      <c r="A459" s="137" t="s">
        <v>92</v>
      </c>
      <c r="B459" s="90">
        <v>46046.0</v>
      </c>
      <c r="C459" s="55">
        <v>1.0</v>
      </c>
      <c r="D459" s="97" t="s">
        <v>178</v>
      </c>
      <c r="E459" s="201" t="s">
        <v>610</v>
      </c>
      <c r="F459" s="202"/>
      <c r="G459" s="194" t="s">
        <v>587</v>
      </c>
      <c r="H459" s="195" t="s">
        <v>632</v>
      </c>
      <c r="I459" s="196">
        <v>5000.0</v>
      </c>
      <c r="J459" s="179">
        <f>IF(A459="RAPPI",(VLOOKUP(TRIM(D459), CATALOGO!F:G, 2, FALSE) * C459)+I459,IFERROR(IF(COUNTIF('RESTAURANTESDESCUENTOS 2026'!A:A,TRIM(A459))&gt;0,((VLOOKUP(TRIM(D459), CATALOGO!A:B, 2, FALSE) * C459)*(1-VALUE(SUBSTITUTE(VLOOKUP(TRIM(A459),'RESTAURANTESDESCUENTOS 2026'!A:B,2,FALSE),"%",""))/100)+I459),(VLOOKUP(TRIM(D459), CATALOGO!A:B, 2, FALSE) * C459+I459)),""))</f>
        <v>110000</v>
      </c>
      <c r="K459" s="196">
        <v>10000.0</v>
      </c>
      <c r="L459" s="87" t="s">
        <v>587</v>
      </c>
      <c r="M459" s="197" t="s">
        <v>587</v>
      </c>
      <c r="N459" s="168"/>
    </row>
    <row r="460" ht="22.5" hidden="1" customHeight="1">
      <c r="A460" s="137" t="s">
        <v>787</v>
      </c>
      <c r="B460" s="90">
        <v>46046.0</v>
      </c>
      <c r="C460" s="55">
        <v>1.0</v>
      </c>
      <c r="D460" s="97" t="s">
        <v>177</v>
      </c>
      <c r="E460" s="201"/>
      <c r="F460" s="202"/>
      <c r="G460" s="194" t="s">
        <v>587</v>
      </c>
      <c r="H460" s="195" t="s">
        <v>632</v>
      </c>
      <c r="I460" s="196">
        <v>12000.0</v>
      </c>
      <c r="J460" s="179">
        <f>IF(A460="RAPPI",(VLOOKUP(TRIM(D460), CATALOGO!F:G, 2, FALSE) * C460)+I460,IFERROR(IF(COUNTIF('RESTAURANTESDESCUENTOS 2026'!A:A,TRIM(A460))&gt;0,((VLOOKUP(TRIM(D460), CATALOGO!A:B, 2, FALSE) * C460)*(1-VALUE(SUBSTITUTE(VLOOKUP(TRIM(A460),'RESTAURANTESDESCUENTOS 2026'!A:B,2,FALSE),"%",""))/100)+I460),(VLOOKUP(TRIM(D460), CATALOGO!A:B, 2, FALSE) * C460+I460)),""))</f>
        <v>127000</v>
      </c>
      <c r="K460" s="196">
        <v>12000.0</v>
      </c>
      <c r="L460" s="87"/>
      <c r="M460" s="197" t="s">
        <v>587</v>
      </c>
      <c r="N460" s="168"/>
    </row>
    <row r="461" ht="22.5" hidden="1" customHeight="1">
      <c r="A461" s="137" t="s">
        <v>92</v>
      </c>
      <c r="B461" s="90">
        <v>46046.0</v>
      </c>
      <c r="C461" s="55">
        <v>150.0</v>
      </c>
      <c r="D461" s="97" t="s">
        <v>236</v>
      </c>
      <c r="E461" s="201"/>
      <c r="F461" s="202"/>
      <c r="G461" s="194" t="s">
        <v>587</v>
      </c>
      <c r="H461" s="195" t="s">
        <v>632</v>
      </c>
      <c r="I461" s="196">
        <v>0.0</v>
      </c>
      <c r="J461" s="199">
        <v>16500.0</v>
      </c>
      <c r="K461" s="196">
        <v>0.0</v>
      </c>
      <c r="L461" s="87" t="s">
        <v>587</v>
      </c>
      <c r="M461" s="197" t="s">
        <v>587</v>
      </c>
      <c r="N461" s="168"/>
    </row>
    <row r="462" ht="22.5" hidden="1" customHeight="1">
      <c r="A462" s="137" t="s">
        <v>106</v>
      </c>
      <c r="B462" s="90">
        <v>46046.0</v>
      </c>
      <c r="C462" s="55">
        <v>1.0</v>
      </c>
      <c r="D462" s="97" t="s">
        <v>178</v>
      </c>
      <c r="E462" s="201" t="s">
        <v>610</v>
      </c>
      <c r="F462" s="202"/>
      <c r="G462" s="194" t="s">
        <v>587</v>
      </c>
      <c r="H462" s="195" t="s">
        <v>632</v>
      </c>
      <c r="I462" s="196">
        <v>8000.0</v>
      </c>
      <c r="J462" s="179">
        <f>IF(A462="RAPPI",(VLOOKUP(TRIM(D462), CATALOGO!F:G, 2, FALSE) * C462)+I462,IFERROR(IF(COUNTIF('RESTAURANTESDESCUENTOS 2026'!A:A,TRIM(A462))&gt;0,((VLOOKUP(TRIM(D462), CATALOGO!A:B, 2, FALSE) * C462)*(1-VALUE(SUBSTITUTE(VLOOKUP(TRIM(A462),'RESTAURANTESDESCUENTOS 2026'!A:B,2,FALSE),"%",""))/100)+I462),(VLOOKUP(TRIM(D462), CATALOGO!A:B, 2, FALSE) * C462+I462)),""))</f>
        <v>105125</v>
      </c>
      <c r="K462" s="196">
        <v>10000.0</v>
      </c>
      <c r="L462" s="87" t="s">
        <v>587</v>
      </c>
      <c r="M462" s="197" t="s">
        <v>587</v>
      </c>
      <c r="N462" s="168"/>
    </row>
    <row r="463" ht="22.5" hidden="1" customHeight="1">
      <c r="A463" s="137" t="s">
        <v>788</v>
      </c>
      <c r="B463" s="90">
        <v>46046.0</v>
      </c>
      <c r="C463" s="55">
        <v>1.0</v>
      </c>
      <c r="D463" s="97" t="s">
        <v>177</v>
      </c>
      <c r="E463" s="201" t="s">
        <v>645</v>
      </c>
      <c r="F463" s="202"/>
      <c r="G463" s="194" t="s">
        <v>587</v>
      </c>
      <c r="H463" s="195" t="s">
        <v>588</v>
      </c>
      <c r="I463" s="196">
        <v>15000.0</v>
      </c>
      <c r="J463" s="179">
        <f>IF(A463="RAPPI",(VLOOKUP(TRIM(D463), CATALOGO!F:G, 2, FALSE) * C463)+I463,IFERROR(IF(COUNTIF('RESTAURANTESDESCUENTOS 2026'!A:A,TRIM(A463))&gt;0,((VLOOKUP(TRIM(D463), CATALOGO!A:B, 2, FALSE) * C463)*(1-VALUE(SUBSTITUTE(VLOOKUP(TRIM(A463),'RESTAURANTESDESCUENTOS 2026'!A:B,2,FALSE),"%",""))/100)+I463),(VLOOKUP(TRIM(D463), CATALOGO!A:B, 2, FALSE) * C463+I463)),""))</f>
        <v>130000</v>
      </c>
      <c r="K463" s="196">
        <v>17000.0</v>
      </c>
      <c r="L463" s="87"/>
      <c r="M463" s="197" t="s">
        <v>587</v>
      </c>
      <c r="N463" s="168"/>
    </row>
    <row r="464" ht="22.5" hidden="1" customHeight="1">
      <c r="A464" s="137" t="s">
        <v>789</v>
      </c>
      <c r="B464" s="90">
        <v>46046.0</v>
      </c>
      <c r="C464" s="55">
        <v>1.0</v>
      </c>
      <c r="D464" s="97" t="s">
        <v>177</v>
      </c>
      <c r="E464" s="201"/>
      <c r="F464" s="202"/>
      <c r="G464" s="194" t="s">
        <v>35</v>
      </c>
      <c r="H464" s="198"/>
      <c r="I464" s="196"/>
      <c r="J464" s="179">
        <f>IF(A464="RAPPI",(VLOOKUP(TRIM(D464), CATALOGO!F:G, 2, FALSE) * C464)+I464,IFERROR(IF(COUNTIF('RESTAURANTESDESCUENTOS 2026'!A:A,TRIM(A464))&gt;0,((VLOOKUP(TRIM(D464), CATALOGO!A:B, 2, FALSE) * C464)*(1-VALUE(SUBSTITUTE(VLOOKUP(TRIM(A464),'RESTAURANTESDESCUENTOS 2026'!A:B,2,FALSE),"%",""))/100)+I464),(VLOOKUP(TRIM(D464), CATALOGO!A:B, 2, FALSE) * C464+I464)),""))</f>
        <v>115000</v>
      </c>
      <c r="K464" s="196"/>
      <c r="L464" s="87"/>
      <c r="M464" s="197" t="s">
        <v>587</v>
      </c>
      <c r="N464" s="168"/>
    </row>
    <row r="465" ht="22.5" hidden="1" customHeight="1">
      <c r="A465" s="137" t="s">
        <v>790</v>
      </c>
      <c r="B465" s="90">
        <v>46046.0</v>
      </c>
      <c r="C465" s="55">
        <v>1.0</v>
      </c>
      <c r="D465" s="97" t="s">
        <v>177</v>
      </c>
      <c r="E465" s="201"/>
      <c r="F465" s="202"/>
      <c r="G465" s="194" t="s">
        <v>35</v>
      </c>
      <c r="H465" s="198"/>
      <c r="I465" s="196"/>
      <c r="J465" s="179">
        <f>IF(A465="RAPPI",(VLOOKUP(TRIM(D465), CATALOGO!F:G, 2, FALSE) * C465)+I465,IFERROR(IF(COUNTIF('RESTAURANTESDESCUENTOS 2026'!A:A,TRIM(A465))&gt;0,((VLOOKUP(TRIM(D465), CATALOGO!A:B, 2, FALSE) * C465)*(1-VALUE(SUBSTITUTE(VLOOKUP(TRIM(A465),'RESTAURANTESDESCUENTOS 2026'!A:B,2,FALSE),"%",""))/100)+I465),(VLOOKUP(TRIM(D465), CATALOGO!A:B, 2, FALSE) * C465+I465)),""))</f>
        <v>115000</v>
      </c>
      <c r="K465" s="196"/>
      <c r="L465" s="87"/>
      <c r="M465" s="197" t="s">
        <v>587</v>
      </c>
      <c r="N465" s="168"/>
    </row>
    <row r="466" ht="22.5" hidden="1" customHeight="1">
      <c r="A466" s="137" t="s">
        <v>10</v>
      </c>
      <c r="B466" s="90">
        <v>46046.0</v>
      </c>
      <c r="C466" s="55">
        <v>1.0</v>
      </c>
      <c r="D466" s="97" t="s">
        <v>178</v>
      </c>
      <c r="E466" s="201" t="s">
        <v>610</v>
      </c>
      <c r="F466" s="202"/>
      <c r="G466" s="194" t="s">
        <v>587</v>
      </c>
      <c r="H466" s="195" t="s">
        <v>632</v>
      </c>
      <c r="I466" s="196">
        <v>10000.0</v>
      </c>
      <c r="J466" s="179">
        <f>IF(A466="RAPPI",(VLOOKUP(TRIM(D466), CATALOGO!F:G, 2, FALSE) * C466)+I466,IFERROR(IF(COUNTIF('RESTAURANTESDESCUENTOS 2026'!A:A,TRIM(A466))&gt;0,((VLOOKUP(TRIM(D466), CATALOGO!A:B, 2, FALSE) * C466)*(1-VALUE(SUBSTITUTE(VLOOKUP(TRIM(A466),'RESTAURANTESDESCUENTOS 2026'!A:B,2,FALSE),"%",""))/100)+I466),(VLOOKUP(TRIM(D466), CATALOGO!A:B, 2, FALSE) * C466+I466)),""))</f>
        <v>122500</v>
      </c>
      <c r="K466" s="196">
        <v>10000.0</v>
      </c>
      <c r="L466" s="87" t="s">
        <v>587</v>
      </c>
      <c r="M466" s="197" t="s">
        <v>587</v>
      </c>
      <c r="N466" s="168"/>
    </row>
    <row r="467" ht="22.5" hidden="1" customHeight="1">
      <c r="A467" s="137" t="s">
        <v>791</v>
      </c>
      <c r="B467" s="90">
        <v>46046.0</v>
      </c>
      <c r="C467" s="55">
        <v>1.0</v>
      </c>
      <c r="D467" s="97" t="s">
        <v>177</v>
      </c>
      <c r="E467" s="201"/>
      <c r="F467" s="202"/>
      <c r="G467" s="194" t="s">
        <v>587</v>
      </c>
      <c r="H467" s="195" t="s">
        <v>632</v>
      </c>
      <c r="I467" s="196">
        <v>14000.0</v>
      </c>
      <c r="J467" s="179">
        <f>IF(A467="RAPPI",(VLOOKUP(TRIM(D467), CATALOGO!F:G, 2, FALSE) * C467)+I467,IFERROR(IF(COUNTIF('RESTAURANTESDESCUENTOS 2026'!A:A,TRIM(A467))&gt;0,((VLOOKUP(TRIM(D467), CATALOGO!A:B, 2, FALSE) * C467)*(1-VALUE(SUBSTITUTE(VLOOKUP(TRIM(A467),'RESTAURANTESDESCUENTOS 2026'!A:B,2,FALSE),"%",""))/100)+I467),(VLOOKUP(TRIM(D467), CATALOGO!A:B, 2, FALSE) * C467+I467)),""))</f>
        <v>129000</v>
      </c>
      <c r="K467" s="196">
        <v>14000.0</v>
      </c>
      <c r="L467" s="87"/>
      <c r="M467" s="197" t="s">
        <v>587</v>
      </c>
      <c r="N467" s="168"/>
    </row>
    <row r="468" ht="22.5" hidden="1" customHeight="1">
      <c r="A468" s="137" t="s">
        <v>792</v>
      </c>
      <c r="B468" s="90">
        <v>46046.0</v>
      </c>
      <c r="C468" s="55">
        <v>1.0</v>
      </c>
      <c r="D468" s="97" t="s">
        <v>640</v>
      </c>
      <c r="E468" s="201"/>
      <c r="F468" s="202"/>
      <c r="G468" s="194" t="s">
        <v>587</v>
      </c>
      <c r="H468" s="195" t="s">
        <v>588</v>
      </c>
      <c r="I468" s="196">
        <v>10000.0</v>
      </c>
      <c r="J468" s="179">
        <f>IF(A468="RAPPI",(VLOOKUP(TRIM(D468), CATALOGO!F:G, 2, FALSE) * C468)+I468,IFERROR(IF(COUNTIF('RESTAURANTESDESCUENTOS 2026'!A:A,TRIM(A468))&gt;0,((VLOOKUP(TRIM(D468), CATALOGO!A:B, 2, FALSE) * C468)*(1-VALUE(SUBSTITUTE(VLOOKUP(TRIM(A468),'RESTAURANTESDESCUENTOS 2026'!A:B,2,FALSE),"%",""))/100)+I468),(VLOOKUP(TRIM(D468), CATALOGO!A:B, 2, FALSE) * C468+I468)),""))</f>
        <v>63000</v>
      </c>
      <c r="K468" s="196">
        <v>10000.0</v>
      </c>
      <c r="L468" s="87"/>
      <c r="M468" s="197" t="s">
        <v>587</v>
      </c>
      <c r="N468" s="168"/>
    </row>
    <row r="469" ht="22.5" hidden="1" customHeight="1">
      <c r="A469" s="137" t="s">
        <v>605</v>
      </c>
      <c r="B469" s="90">
        <v>46046.0</v>
      </c>
      <c r="C469" s="55">
        <v>45.0</v>
      </c>
      <c r="D469" s="97" t="s">
        <v>236</v>
      </c>
      <c r="E469" s="201" t="s">
        <v>606</v>
      </c>
      <c r="F469" s="202"/>
      <c r="G469" s="194" t="s">
        <v>35</v>
      </c>
      <c r="H469" s="198"/>
      <c r="I469" s="196"/>
      <c r="J469" s="199">
        <v>3000.0</v>
      </c>
      <c r="K469" s="196"/>
      <c r="L469" s="87"/>
      <c r="M469" s="197" t="s">
        <v>587</v>
      </c>
      <c r="N469" s="168"/>
    </row>
    <row r="470" ht="22.5" hidden="1" customHeight="1">
      <c r="A470" s="137" t="s">
        <v>622</v>
      </c>
      <c r="B470" s="90">
        <v>46046.0</v>
      </c>
      <c r="C470" s="55">
        <v>1.0</v>
      </c>
      <c r="D470" s="97" t="s">
        <v>178</v>
      </c>
      <c r="E470" s="201" t="s">
        <v>28</v>
      </c>
      <c r="F470" s="202"/>
      <c r="G470" s="194" t="s">
        <v>35</v>
      </c>
      <c r="H470" s="198"/>
      <c r="I470" s="196"/>
      <c r="J470" s="199">
        <v>0.0</v>
      </c>
      <c r="K470" s="196"/>
      <c r="L470" s="87"/>
      <c r="M470" s="197" t="s">
        <v>587</v>
      </c>
      <c r="N470" s="168"/>
    </row>
    <row r="471" ht="22.5" hidden="1" customHeight="1">
      <c r="A471" s="137" t="s">
        <v>605</v>
      </c>
      <c r="B471" s="90">
        <v>46046.0</v>
      </c>
      <c r="C471" s="200">
        <v>1.0</v>
      </c>
      <c r="D471" s="97" t="s">
        <v>757</v>
      </c>
      <c r="E471" s="201" t="s">
        <v>606</v>
      </c>
      <c r="F471" s="202"/>
      <c r="G471" s="194" t="s">
        <v>35</v>
      </c>
      <c r="H471" s="198"/>
      <c r="I471" s="196"/>
      <c r="J471" s="179">
        <f>IF(A471="RAPPI",(VLOOKUP(TRIM(D471), CATALOGO!F:G, 2, FALSE) * C471)+I471,IFERROR(IF(COUNTIF('RESTAURANTESDESCUENTOS 2026'!A:A,TRIM(A471))&gt;0,((VLOOKUP(TRIM(D471), CATALOGO!A:B, 2, FALSE) * C471)*(1-VALUE(SUBSTITUTE(VLOOKUP(TRIM(A471),'RESTAURANTESDESCUENTOS 2026'!A:B,2,FALSE),"%",""))/100)+I471),(VLOOKUP(TRIM(D471), CATALOGO!A:B, 2, FALSE) * C471+I471)),""))</f>
        <v>22000</v>
      </c>
      <c r="K471" s="196"/>
      <c r="L471" s="87"/>
      <c r="M471" s="197" t="s">
        <v>587</v>
      </c>
      <c r="N471" s="168"/>
    </row>
    <row r="472" ht="22.5" hidden="1" customHeight="1">
      <c r="A472" s="137" t="s">
        <v>603</v>
      </c>
      <c r="B472" s="90">
        <v>46046.0</v>
      </c>
      <c r="C472" s="55">
        <v>1.0</v>
      </c>
      <c r="D472" s="97" t="s">
        <v>601</v>
      </c>
      <c r="E472" s="201">
        <v>4628.0</v>
      </c>
      <c r="F472" s="202"/>
      <c r="G472" s="194" t="s">
        <v>587</v>
      </c>
      <c r="H472" s="195" t="s">
        <v>603</v>
      </c>
      <c r="I472" s="196"/>
      <c r="J472" s="179">
        <f>IF(A472="RAPPI",(VLOOKUP(TRIM(D472), CATALOGO!F:G, 2, FALSE) * C472)+I472,IFERROR(IF(COUNTIF('RESTAURANTESDESCUENTOS 2026'!A:A,TRIM(A472))&gt;0,((VLOOKUP(TRIM(D472), CATALOGO!A:B, 2, FALSE) * C472)*(1-VALUE(SUBSTITUTE(VLOOKUP(TRIM(A472),'RESTAURANTESDESCUENTOS 2026'!A:B,2,FALSE),"%",""))/100)+I472),(VLOOKUP(TRIM(D472), CATALOGO!A:B, 2, FALSE) * C472+I472)),""))</f>
        <v>53000</v>
      </c>
      <c r="K472" s="196"/>
      <c r="L472" s="87"/>
      <c r="M472" s="197" t="s">
        <v>587</v>
      </c>
      <c r="N472" s="168"/>
    </row>
    <row r="473" ht="22.5" hidden="1" customHeight="1">
      <c r="A473" s="137" t="s">
        <v>603</v>
      </c>
      <c r="B473" s="90">
        <v>46046.0</v>
      </c>
      <c r="C473" s="55">
        <v>1.0</v>
      </c>
      <c r="D473" s="97" t="s">
        <v>601</v>
      </c>
      <c r="E473" s="201">
        <v>3698.0</v>
      </c>
      <c r="F473" s="202"/>
      <c r="G473" s="194" t="s">
        <v>587</v>
      </c>
      <c r="H473" s="195" t="s">
        <v>603</v>
      </c>
      <c r="I473" s="196"/>
      <c r="J473" s="179">
        <f>IF(A473="RAPPI",(VLOOKUP(TRIM(D473), CATALOGO!F:G, 2, FALSE) * C473)+I473,IFERROR(IF(COUNTIF('RESTAURANTESDESCUENTOS 2026'!A:A,TRIM(A473))&gt;0,((VLOOKUP(TRIM(D473), CATALOGO!A:B, 2, FALSE) * C473)*(1-VALUE(SUBSTITUTE(VLOOKUP(TRIM(A473),'RESTAURANTESDESCUENTOS 2026'!A:B,2,FALSE),"%",""))/100)+I473),(VLOOKUP(TRIM(D473), CATALOGO!A:B, 2, FALSE) * C473+I473)),""))</f>
        <v>53000</v>
      </c>
      <c r="K473" s="196"/>
      <c r="L473" s="87"/>
      <c r="M473" s="197" t="s">
        <v>587</v>
      </c>
      <c r="N473" s="168"/>
    </row>
    <row r="474" ht="22.5" hidden="1" customHeight="1">
      <c r="A474" s="137" t="s">
        <v>603</v>
      </c>
      <c r="B474" s="90">
        <v>46046.0</v>
      </c>
      <c r="C474" s="55">
        <v>1.0</v>
      </c>
      <c r="D474" s="97" t="s">
        <v>186</v>
      </c>
      <c r="E474" s="201">
        <v>3698.0</v>
      </c>
      <c r="F474" s="202"/>
      <c r="G474" s="194" t="s">
        <v>587</v>
      </c>
      <c r="H474" s="195" t="s">
        <v>603</v>
      </c>
      <c r="I474" s="196"/>
      <c r="J474" s="179">
        <f>IF(A474="RAPPI",(VLOOKUP(TRIM(D474), CATALOGO!F:G, 2, FALSE) * C474)+I474,IFERROR(IF(COUNTIF('RESTAURANTESDESCUENTOS 2026'!A:A,TRIM(A474))&gt;0,((VLOOKUP(TRIM(D474), CATALOGO!A:B, 2, FALSE) * C474)*(1-VALUE(SUBSTITUTE(VLOOKUP(TRIM(A474),'RESTAURANTESDESCUENTOS 2026'!A:B,2,FALSE),"%",""))/100)+I474),(VLOOKUP(TRIM(D474), CATALOGO!A:B, 2, FALSE) * C474+I474)),""))</f>
        <v>55000</v>
      </c>
      <c r="K474" s="196"/>
      <c r="L474" s="87"/>
      <c r="M474" s="197" t="s">
        <v>587</v>
      </c>
      <c r="N474" s="168"/>
    </row>
    <row r="475" ht="22.5" hidden="1" customHeight="1">
      <c r="A475" s="137" t="s">
        <v>603</v>
      </c>
      <c r="B475" s="90">
        <v>46046.0</v>
      </c>
      <c r="C475" s="200">
        <v>1.0</v>
      </c>
      <c r="D475" s="97" t="s">
        <v>174</v>
      </c>
      <c r="E475" s="201">
        <v>9014.0</v>
      </c>
      <c r="F475" s="202"/>
      <c r="G475" s="194" t="s">
        <v>587</v>
      </c>
      <c r="H475" s="195" t="s">
        <v>603</v>
      </c>
      <c r="I475" s="196"/>
      <c r="J475" s="179">
        <f>IF(A475="RAPPI",(VLOOKUP(TRIM(D475), CATALOGO!F:G, 2, FALSE) * C475)+I475,IFERROR(IF(COUNTIF('RESTAURANTESDESCUENTOS 2026'!A:A,TRIM(A475))&gt;0,((VLOOKUP(TRIM(D475), CATALOGO!A:B, 2, FALSE) * C475)*(1-VALUE(SUBSTITUTE(VLOOKUP(TRIM(A475),'RESTAURANTESDESCUENTOS 2026'!A:B,2,FALSE),"%",""))/100)+I475),(VLOOKUP(TRIM(D475), CATALOGO!A:B, 2, FALSE) * C475+I475)),""))</f>
        <v>18000</v>
      </c>
      <c r="K475" s="196"/>
      <c r="L475" s="87"/>
      <c r="M475" s="197" t="s">
        <v>587</v>
      </c>
      <c r="N475" s="168"/>
    </row>
    <row r="476" ht="22.5" hidden="1" customHeight="1">
      <c r="A476" s="137" t="s">
        <v>603</v>
      </c>
      <c r="B476" s="90">
        <v>46046.0</v>
      </c>
      <c r="C476" s="55">
        <v>1.0</v>
      </c>
      <c r="D476" s="97" t="s">
        <v>186</v>
      </c>
      <c r="E476" s="201">
        <v>7738.0</v>
      </c>
      <c r="F476" s="202"/>
      <c r="G476" s="194" t="s">
        <v>587</v>
      </c>
      <c r="H476" s="195" t="s">
        <v>603</v>
      </c>
      <c r="I476" s="196"/>
      <c r="J476" s="179">
        <f>IF(A476="RAPPI",(VLOOKUP(TRIM(D476), CATALOGO!F:G, 2, FALSE) * C476)+I476,IFERROR(IF(COUNTIF('RESTAURANTESDESCUENTOS 2026'!A:A,TRIM(A476))&gt;0,((VLOOKUP(TRIM(D476), CATALOGO!A:B, 2, FALSE) * C476)*(1-VALUE(SUBSTITUTE(VLOOKUP(TRIM(A476),'RESTAURANTESDESCUENTOS 2026'!A:B,2,FALSE),"%",""))/100)+I476),(VLOOKUP(TRIM(D476), CATALOGO!A:B, 2, FALSE) * C476+I476)),""))</f>
        <v>55000</v>
      </c>
      <c r="K476" s="196"/>
      <c r="L476" s="87"/>
      <c r="M476" s="197" t="s">
        <v>587</v>
      </c>
      <c r="N476" s="168"/>
    </row>
    <row r="477" ht="22.5" hidden="1" customHeight="1">
      <c r="A477" s="137" t="s">
        <v>605</v>
      </c>
      <c r="B477" s="90">
        <v>46046.0</v>
      </c>
      <c r="C477" s="55">
        <v>1.0</v>
      </c>
      <c r="D477" s="97" t="s">
        <v>678</v>
      </c>
      <c r="E477" s="201" t="s">
        <v>630</v>
      </c>
      <c r="F477" s="202"/>
      <c r="G477" s="194" t="s">
        <v>35</v>
      </c>
      <c r="H477" s="198"/>
      <c r="I477" s="196"/>
      <c r="J477" s="179">
        <f>IF(A477="RAPPI",(VLOOKUP(TRIM(D477), CATALOGO!F:G, 2, FALSE) * C477)+I477,IFERROR(IF(COUNTIF('RESTAURANTESDESCUENTOS 2026'!A:A,TRIM(A477))&gt;0,((VLOOKUP(TRIM(D477), CATALOGO!A:B, 2, FALSE) * C477)*(1-VALUE(SUBSTITUTE(VLOOKUP(TRIM(A477),'RESTAURANTESDESCUENTOS 2026'!A:B,2,FALSE),"%",""))/100)+I477),(VLOOKUP(TRIM(D477), CATALOGO!A:B, 2, FALSE) * C477+I477)),""))</f>
        <v>123000</v>
      </c>
      <c r="K477" s="196"/>
      <c r="L477" s="87"/>
      <c r="M477" s="197" t="s">
        <v>587</v>
      </c>
      <c r="N477" s="168"/>
    </row>
    <row r="478" ht="22.5" hidden="1" customHeight="1">
      <c r="A478" s="137" t="s">
        <v>605</v>
      </c>
      <c r="B478" s="90">
        <v>46046.0</v>
      </c>
      <c r="C478" s="55">
        <v>1.0</v>
      </c>
      <c r="D478" s="97" t="s">
        <v>739</v>
      </c>
      <c r="E478" s="201" t="s">
        <v>630</v>
      </c>
      <c r="F478" s="202"/>
      <c r="G478" s="194" t="s">
        <v>35</v>
      </c>
      <c r="H478" s="198"/>
      <c r="I478" s="196"/>
      <c r="J478" s="179">
        <f>IF(A478="RAPPI",(VLOOKUP(TRIM(D478), CATALOGO!F:G, 2, FALSE) * C478)+I478,IFERROR(IF(COUNTIF('RESTAURANTESDESCUENTOS 2026'!A:A,TRIM(A478))&gt;0,((VLOOKUP(TRIM(D478), CATALOGO!A:B, 2, FALSE) * C478)*(1-VALUE(SUBSTITUTE(VLOOKUP(TRIM(A478),'RESTAURANTESDESCUENTOS 2026'!A:B,2,FALSE),"%",""))/100)+I478),(VLOOKUP(TRIM(D478), CATALOGO!A:B, 2, FALSE) * C478+I478)),""))</f>
        <v>163000</v>
      </c>
      <c r="K478" s="196"/>
      <c r="L478" s="87"/>
      <c r="M478" s="197" t="s">
        <v>587</v>
      </c>
      <c r="N478" s="168"/>
    </row>
    <row r="479" ht="22.5" hidden="1" customHeight="1">
      <c r="A479" s="137" t="s">
        <v>605</v>
      </c>
      <c r="B479" s="90">
        <v>46046.0</v>
      </c>
      <c r="C479" s="200">
        <v>1.0</v>
      </c>
      <c r="D479" s="97" t="s">
        <v>174</v>
      </c>
      <c r="E479" s="201" t="s">
        <v>630</v>
      </c>
      <c r="F479" s="202"/>
      <c r="G479" s="194" t="s">
        <v>35</v>
      </c>
      <c r="H479" s="198"/>
      <c r="I479" s="196"/>
      <c r="J479" s="179">
        <f>IF(A479="RAPPI",(VLOOKUP(TRIM(D479), CATALOGO!F:G, 2, FALSE) * C479)+I479,IFERROR(IF(COUNTIF('RESTAURANTESDESCUENTOS 2026'!A:A,TRIM(A479))&gt;0,((VLOOKUP(TRIM(D479), CATALOGO!A:B, 2, FALSE) * C479)*(1-VALUE(SUBSTITUTE(VLOOKUP(TRIM(A479),'RESTAURANTESDESCUENTOS 2026'!A:B,2,FALSE),"%",""))/100)+I479),(VLOOKUP(TRIM(D479), CATALOGO!A:B, 2, FALSE) * C479+I479)),""))</f>
        <v>18000</v>
      </c>
      <c r="K479" s="196"/>
      <c r="L479" s="87"/>
      <c r="M479" s="197" t="s">
        <v>587</v>
      </c>
      <c r="N479" s="168"/>
    </row>
    <row r="480" ht="22.5" hidden="1" customHeight="1">
      <c r="A480" s="137" t="s">
        <v>603</v>
      </c>
      <c r="B480" s="90">
        <v>46046.0</v>
      </c>
      <c r="C480" s="55">
        <v>1.0</v>
      </c>
      <c r="D480" s="97" t="s">
        <v>640</v>
      </c>
      <c r="E480" s="201">
        <v>7890.0</v>
      </c>
      <c r="F480" s="202"/>
      <c r="G480" s="194" t="s">
        <v>587</v>
      </c>
      <c r="H480" s="195" t="s">
        <v>603</v>
      </c>
      <c r="I480" s="196"/>
      <c r="J480" s="179">
        <f>IF(A480="RAPPI",(VLOOKUP(TRIM(D480), CATALOGO!F:G, 2, FALSE) * C480)+I480,IFERROR(IF(COUNTIF('RESTAURANTESDESCUENTOS 2026'!A:A,TRIM(A480))&gt;0,((VLOOKUP(TRIM(D480), CATALOGO!A:B, 2, FALSE) * C480)*(1-VALUE(SUBSTITUTE(VLOOKUP(TRIM(A480),'RESTAURANTESDESCUENTOS 2026'!A:B,2,FALSE),"%",""))/100)+I480),(VLOOKUP(TRIM(D480), CATALOGO!A:B, 2, FALSE) * C480+I480)),""))</f>
        <v>53000</v>
      </c>
      <c r="K480" s="196"/>
      <c r="L480" s="87"/>
      <c r="M480" s="197" t="s">
        <v>587</v>
      </c>
      <c r="N480" s="168"/>
    </row>
    <row r="481" ht="22.5" hidden="1" customHeight="1">
      <c r="A481" s="137" t="s">
        <v>605</v>
      </c>
      <c r="B481" s="90">
        <v>46046.0</v>
      </c>
      <c r="C481" s="200">
        <v>1.0</v>
      </c>
      <c r="D481" s="97" t="s">
        <v>174</v>
      </c>
      <c r="E481" s="201" t="s">
        <v>606</v>
      </c>
      <c r="F481" s="202"/>
      <c r="G481" s="194" t="s">
        <v>35</v>
      </c>
      <c r="H481" s="198"/>
      <c r="I481" s="196"/>
      <c r="J481" s="179">
        <f>IF(A481="RAPPI",(VLOOKUP(TRIM(D481), CATALOGO!F:G, 2, FALSE) * C481)+I481,IFERROR(IF(COUNTIF('RESTAURANTESDESCUENTOS 2026'!A:A,TRIM(A481))&gt;0,((VLOOKUP(TRIM(D481), CATALOGO!A:B, 2, FALSE) * C481)*(1-VALUE(SUBSTITUTE(VLOOKUP(TRIM(A481),'RESTAURANTESDESCUENTOS 2026'!A:B,2,FALSE),"%",""))/100)+I481),(VLOOKUP(TRIM(D481), CATALOGO!A:B, 2, FALSE) * C481+I481)),""))</f>
        <v>18000</v>
      </c>
      <c r="K481" s="196"/>
      <c r="L481" s="87"/>
      <c r="M481" s="197" t="s">
        <v>587</v>
      </c>
      <c r="N481" s="168"/>
    </row>
    <row r="482" ht="22.5" hidden="1" customHeight="1">
      <c r="A482" s="137" t="s">
        <v>603</v>
      </c>
      <c r="B482" s="90">
        <v>46046.0</v>
      </c>
      <c r="C482" s="55">
        <v>1.0</v>
      </c>
      <c r="D482" s="97" t="s">
        <v>601</v>
      </c>
      <c r="E482" s="201">
        <v>249.0</v>
      </c>
      <c r="F482" s="202"/>
      <c r="G482" s="194" t="s">
        <v>587</v>
      </c>
      <c r="H482" s="195" t="s">
        <v>603</v>
      </c>
      <c r="I482" s="196"/>
      <c r="J482" s="179">
        <f>IF(A482="RAPPI",(VLOOKUP(TRIM(D482), CATALOGO!F:G, 2, FALSE) * C482)+I482,IFERROR(IF(COUNTIF('RESTAURANTESDESCUENTOS 2026'!A:A,TRIM(A482))&gt;0,((VLOOKUP(TRIM(D482), CATALOGO!A:B, 2, FALSE) * C482)*(1-VALUE(SUBSTITUTE(VLOOKUP(TRIM(A482),'RESTAURANTESDESCUENTOS 2026'!A:B,2,FALSE),"%",""))/100)+I482),(VLOOKUP(TRIM(D482), CATALOGO!A:B, 2, FALSE) * C482+I482)),""))</f>
        <v>53000</v>
      </c>
      <c r="K482" s="196"/>
      <c r="L482" s="87"/>
      <c r="M482" s="197" t="s">
        <v>587</v>
      </c>
      <c r="N482" s="168"/>
    </row>
    <row r="483" ht="22.5" hidden="1" customHeight="1">
      <c r="A483" s="137" t="s">
        <v>623</v>
      </c>
      <c r="B483" s="90">
        <v>46048.0</v>
      </c>
      <c r="C483" s="55">
        <v>1.0</v>
      </c>
      <c r="D483" s="97" t="s">
        <v>189</v>
      </c>
      <c r="E483" s="201"/>
      <c r="F483" s="202"/>
      <c r="G483" s="194" t="s">
        <v>587</v>
      </c>
      <c r="H483" s="195" t="s">
        <v>753</v>
      </c>
      <c r="I483" s="196">
        <v>10000.0</v>
      </c>
      <c r="J483" s="179">
        <f>IF(A483="RAPPI",(VLOOKUP(TRIM(D483), CATALOGO!F:G, 2, FALSE) * C483)+I483,IFERROR(IF(COUNTIF('RESTAURANTESDESCUENTOS 2026'!A:A,TRIM(A483))&gt;0,((VLOOKUP(TRIM(D483), CATALOGO!A:B, 2, FALSE) * C483)*(1-VALUE(SUBSTITUTE(VLOOKUP(TRIM(A483),'RESTAURANTESDESCUENTOS 2026'!A:B,2,FALSE),"%",""))/100)+I483),(VLOOKUP(TRIM(D483), CATALOGO!A:B, 2, FALSE) * C483+I483)),""))</f>
        <v>155000</v>
      </c>
      <c r="K483" s="196">
        <v>10000.0</v>
      </c>
      <c r="L483" s="87"/>
      <c r="M483" s="197" t="s">
        <v>587</v>
      </c>
      <c r="N483" s="168"/>
    </row>
    <row r="484" ht="22.5" hidden="1" customHeight="1">
      <c r="A484" s="137" t="s">
        <v>99</v>
      </c>
      <c r="B484" s="90">
        <v>46048.0</v>
      </c>
      <c r="C484" s="55">
        <v>3.0</v>
      </c>
      <c r="D484" s="97" t="s">
        <v>178</v>
      </c>
      <c r="E484" s="201" t="s">
        <v>610</v>
      </c>
      <c r="F484" s="202"/>
      <c r="G484" s="194" t="s">
        <v>587</v>
      </c>
      <c r="H484" s="195" t="s">
        <v>753</v>
      </c>
      <c r="I484" s="196">
        <v>5000.0</v>
      </c>
      <c r="J484" s="179">
        <f>IF(A484="RAPPI",(VLOOKUP(TRIM(D484), CATALOGO!F:G, 2, FALSE) * C484)+I484,IFERROR(IF(COUNTIF('RESTAURANTESDESCUENTOS 2026'!A:A,TRIM(A484))&gt;0,((VLOOKUP(TRIM(D484), CATALOGO!A:B, 2, FALSE) * C484)*(1-VALUE(SUBSTITUTE(VLOOKUP(TRIM(A484),'RESTAURANTESDESCUENTOS 2026'!A:B,2,FALSE),"%",""))/100)+I484),(VLOOKUP(TRIM(D484), CATALOGO!A:B, 2, FALSE) * C484+I484)),""))</f>
        <v>320000</v>
      </c>
      <c r="K484" s="196">
        <v>10000.0</v>
      </c>
      <c r="L484" s="87" t="s">
        <v>587</v>
      </c>
      <c r="M484" s="197" t="s">
        <v>587</v>
      </c>
      <c r="N484" s="168"/>
    </row>
    <row r="485" ht="22.5" hidden="1" customHeight="1">
      <c r="A485" s="137" t="s">
        <v>131</v>
      </c>
      <c r="B485" s="90">
        <v>46048.0</v>
      </c>
      <c r="C485" s="55">
        <v>1.0</v>
      </c>
      <c r="D485" s="97" t="s">
        <v>178</v>
      </c>
      <c r="E485" s="201" t="s">
        <v>610</v>
      </c>
      <c r="F485" s="202"/>
      <c r="G485" s="194" t="s">
        <v>587</v>
      </c>
      <c r="H485" s="195" t="s">
        <v>753</v>
      </c>
      <c r="I485" s="196">
        <v>5000.0</v>
      </c>
      <c r="J485" s="179">
        <f>IF(A485="RAPPI",(VLOOKUP(TRIM(D485), CATALOGO!F:G, 2, FALSE) * C485)+I485,IFERROR(IF(COUNTIF('RESTAURANTESDESCUENTOS 2026'!A:A,TRIM(A485))&gt;0,((VLOOKUP(TRIM(D485), CATALOGO!A:B, 2, FALSE) * C485)*(1-VALUE(SUBSTITUTE(VLOOKUP(TRIM(A485),'RESTAURANTESDESCUENTOS 2026'!A:B,2,FALSE),"%",""))/100)+I485),(VLOOKUP(TRIM(D485), CATALOGO!A:B, 2, FALSE) * C485+I485)),""))</f>
        <v>110000</v>
      </c>
      <c r="K485" s="196">
        <v>10000.0</v>
      </c>
      <c r="L485" s="87" t="s">
        <v>587</v>
      </c>
      <c r="M485" s="197" t="s">
        <v>587</v>
      </c>
      <c r="N485" s="168"/>
    </row>
    <row r="486" ht="22.5" hidden="1" customHeight="1">
      <c r="A486" s="137" t="s">
        <v>73</v>
      </c>
      <c r="B486" s="90">
        <v>46048.0</v>
      </c>
      <c r="C486" s="55">
        <v>1.0</v>
      </c>
      <c r="D486" s="97" t="s">
        <v>178</v>
      </c>
      <c r="E486" s="201" t="s">
        <v>552</v>
      </c>
      <c r="F486" s="202"/>
      <c r="G486" s="194" t="s">
        <v>587</v>
      </c>
      <c r="H486" s="195" t="s">
        <v>753</v>
      </c>
      <c r="I486" s="196">
        <v>0.0</v>
      </c>
      <c r="J486" s="179">
        <f>IF(A486="RAPPI",(VLOOKUP(TRIM(D486), CATALOGO!F:G, 2, FALSE) * C486)+I486,IFERROR(IF(COUNTIF('RESTAURANTESDESCUENTOS 2026'!A:A,TRIM(A486))&gt;0,((VLOOKUP(TRIM(D486), CATALOGO!A:B, 2, FALSE) * C486)*(1-VALUE(SUBSTITUTE(VLOOKUP(TRIM(A486),'RESTAURANTESDESCUENTOS 2026'!A:B,2,FALSE),"%",""))/100)+I486),(VLOOKUP(TRIM(D486), CATALOGO!A:B, 2, FALSE) * C486+I486)),""))</f>
        <v>112500</v>
      </c>
      <c r="K486" s="196">
        <v>10000.0</v>
      </c>
      <c r="L486" s="87" t="s">
        <v>587</v>
      </c>
      <c r="M486" s="197" t="s">
        <v>587</v>
      </c>
      <c r="N486" s="168"/>
    </row>
    <row r="487" ht="22.5" hidden="1" customHeight="1">
      <c r="A487" s="137" t="s">
        <v>106</v>
      </c>
      <c r="B487" s="90">
        <v>46048.0</v>
      </c>
      <c r="C487" s="55">
        <v>1.0</v>
      </c>
      <c r="D487" s="97" t="s">
        <v>178</v>
      </c>
      <c r="E487" s="201" t="s">
        <v>610</v>
      </c>
      <c r="F487" s="202"/>
      <c r="G487" s="194" t="s">
        <v>587</v>
      </c>
      <c r="H487" s="195" t="s">
        <v>753</v>
      </c>
      <c r="I487" s="196">
        <v>8000.0</v>
      </c>
      <c r="J487" s="179">
        <f>IF(A487="RAPPI",(VLOOKUP(TRIM(D487), CATALOGO!F:G, 2, FALSE) * C487)+I487,IFERROR(IF(COUNTIF('RESTAURANTESDESCUENTOS 2026'!A:A,TRIM(A487))&gt;0,((VLOOKUP(TRIM(D487), CATALOGO!A:B, 2, FALSE) * C487)*(1-VALUE(SUBSTITUTE(VLOOKUP(TRIM(A487),'RESTAURANTESDESCUENTOS 2026'!A:B,2,FALSE),"%",""))/100)+I487),(VLOOKUP(TRIM(D487), CATALOGO!A:B, 2, FALSE) * C487+I487)),""))</f>
        <v>105125</v>
      </c>
      <c r="K487" s="196">
        <v>10000.0</v>
      </c>
      <c r="L487" s="87" t="s">
        <v>587</v>
      </c>
      <c r="M487" s="197" t="s">
        <v>587</v>
      </c>
      <c r="N487" s="168"/>
    </row>
    <row r="488" ht="22.5" hidden="1" customHeight="1">
      <c r="A488" s="137" t="s">
        <v>96</v>
      </c>
      <c r="B488" s="90">
        <v>46048.0</v>
      </c>
      <c r="C488" s="55">
        <v>1.0</v>
      </c>
      <c r="D488" s="97" t="s">
        <v>178</v>
      </c>
      <c r="E488" s="201" t="s">
        <v>610</v>
      </c>
      <c r="F488" s="202"/>
      <c r="G488" s="194" t="s">
        <v>587</v>
      </c>
      <c r="H488" s="195" t="s">
        <v>753</v>
      </c>
      <c r="I488" s="196">
        <v>5000.0</v>
      </c>
      <c r="J488" s="179">
        <f>IF(A488="RAPPI",(VLOOKUP(TRIM(D488), CATALOGO!F:G, 2, FALSE) * C488)+I488,IFERROR(IF(COUNTIF('RESTAURANTESDESCUENTOS 2026'!A:A,TRIM(A488))&gt;0,((VLOOKUP(TRIM(D488), CATALOGO!A:B, 2, FALSE) * C488)*(1-VALUE(SUBSTITUTE(VLOOKUP(TRIM(A488),'RESTAURANTESDESCUENTOS 2026'!A:B,2,FALSE),"%",""))/100)+I488),(VLOOKUP(TRIM(D488), CATALOGO!A:B, 2, FALSE) * C488+I488)),""))</f>
        <v>110000</v>
      </c>
      <c r="K488" s="196">
        <v>10000.0</v>
      </c>
      <c r="L488" s="87" t="s">
        <v>587</v>
      </c>
      <c r="M488" s="197" t="s">
        <v>587</v>
      </c>
      <c r="N488" s="168"/>
    </row>
    <row r="489" ht="22.5" hidden="1" customHeight="1">
      <c r="A489" s="137" t="s">
        <v>10</v>
      </c>
      <c r="B489" s="90">
        <v>46048.0</v>
      </c>
      <c r="C489" s="55">
        <v>1.0</v>
      </c>
      <c r="D489" s="97" t="s">
        <v>178</v>
      </c>
      <c r="E489" s="201" t="s">
        <v>610</v>
      </c>
      <c r="F489" s="202"/>
      <c r="G489" s="194" t="s">
        <v>587</v>
      </c>
      <c r="H489" s="195" t="s">
        <v>753</v>
      </c>
      <c r="I489" s="196">
        <v>0.0</v>
      </c>
      <c r="J489" s="179">
        <f>IF(A489="RAPPI",(VLOOKUP(TRIM(D489), CATALOGO!F:G, 2, FALSE) * C489)+I489,IFERROR(IF(COUNTIF('RESTAURANTESDESCUENTOS 2026'!A:A,TRIM(A489))&gt;0,((VLOOKUP(TRIM(D489), CATALOGO!A:B, 2, FALSE) * C489)*(1-VALUE(SUBSTITUTE(VLOOKUP(TRIM(A489),'RESTAURANTESDESCUENTOS 2026'!A:B,2,FALSE),"%",""))/100)+I489),(VLOOKUP(TRIM(D489), CATALOGO!A:B, 2, FALSE) * C489+I489)),""))</f>
        <v>112500</v>
      </c>
      <c r="K489" s="196">
        <v>10000.0</v>
      </c>
      <c r="L489" s="87" t="s">
        <v>587</v>
      </c>
      <c r="M489" s="197" t="s">
        <v>587</v>
      </c>
      <c r="N489" s="168"/>
    </row>
    <row r="490" ht="22.5" hidden="1" customHeight="1">
      <c r="A490" s="137" t="s">
        <v>793</v>
      </c>
      <c r="B490" s="90">
        <v>46048.0</v>
      </c>
      <c r="C490" s="55">
        <v>1.0</v>
      </c>
      <c r="D490" s="97" t="s">
        <v>617</v>
      </c>
      <c r="E490" s="201"/>
      <c r="F490" s="202"/>
      <c r="G490" s="194" t="s">
        <v>587</v>
      </c>
      <c r="H490" s="195" t="s">
        <v>753</v>
      </c>
      <c r="I490" s="196">
        <v>14000.0</v>
      </c>
      <c r="J490" s="179">
        <f>IF(A490="RAPPI",(VLOOKUP(TRIM(D490), CATALOGO!F:G, 2, FALSE) * C490)+I490,IFERROR(IF(COUNTIF('RESTAURANTESDESCUENTOS 2026'!A:A,TRIM(A490))&gt;0,((VLOOKUP(TRIM(D490), CATALOGO!A:B, 2, FALSE) * C490)*(1-VALUE(SUBSTITUTE(VLOOKUP(TRIM(A490),'RESTAURANTESDESCUENTOS 2026'!A:B,2,FALSE),"%",""))/100)+I490),(VLOOKUP(TRIM(D490), CATALOGO!A:B, 2, FALSE) * C490+I490)),""))</f>
        <v>137000</v>
      </c>
      <c r="K490" s="196">
        <v>14000.0</v>
      </c>
      <c r="L490" s="87"/>
      <c r="M490" s="197" t="s">
        <v>587</v>
      </c>
      <c r="N490" s="168"/>
    </row>
    <row r="491" ht="22.5" hidden="1" customHeight="1">
      <c r="A491" s="137" t="s">
        <v>605</v>
      </c>
      <c r="B491" s="90">
        <v>46048.0</v>
      </c>
      <c r="C491" s="55">
        <v>1.0</v>
      </c>
      <c r="D491" s="97" t="s">
        <v>177</v>
      </c>
      <c r="E491" s="201" t="s">
        <v>794</v>
      </c>
      <c r="F491" s="202"/>
      <c r="G491" s="194" t="s">
        <v>35</v>
      </c>
      <c r="H491" s="198"/>
      <c r="I491" s="196"/>
      <c r="J491" s="179">
        <f>IF(A491="RAPPI",(VLOOKUP(TRIM(D491), CATALOGO!F:G, 2, FALSE) * C491)+I491,IFERROR(IF(COUNTIF('RESTAURANTESDESCUENTOS 2026'!A:A,TRIM(A491))&gt;0,((VLOOKUP(TRIM(D491), CATALOGO!A:B, 2, FALSE) * C491)*(1-VALUE(SUBSTITUTE(VLOOKUP(TRIM(A491),'RESTAURANTESDESCUENTOS 2026'!A:B,2,FALSE),"%",""))/100)+I491),(VLOOKUP(TRIM(D491), CATALOGO!A:B, 2, FALSE) * C491+I491)),""))</f>
        <v>115000</v>
      </c>
      <c r="K491" s="196"/>
      <c r="L491" s="87"/>
      <c r="M491" s="197" t="s">
        <v>587</v>
      </c>
      <c r="N491" s="168"/>
    </row>
    <row r="492" ht="22.5" hidden="1" customHeight="1">
      <c r="A492" s="137" t="s">
        <v>603</v>
      </c>
      <c r="B492" s="90">
        <v>46048.0</v>
      </c>
      <c r="C492" s="55">
        <v>1.0</v>
      </c>
      <c r="D492" s="97" t="s">
        <v>186</v>
      </c>
      <c r="E492" s="201">
        <v>1760.0</v>
      </c>
      <c r="F492" s="202"/>
      <c r="G492" s="194" t="s">
        <v>587</v>
      </c>
      <c r="H492" s="195" t="s">
        <v>603</v>
      </c>
      <c r="I492" s="196"/>
      <c r="J492" s="179">
        <f>IF(A492="RAPPI",(VLOOKUP(TRIM(D492), CATALOGO!F:G, 2, FALSE) * C492)+I492,IFERROR(IF(COUNTIF('RESTAURANTESDESCUENTOS 2026'!A:A,TRIM(A492))&gt;0,((VLOOKUP(TRIM(D492), CATALOGO!A:B, 2, FALSE) * C492)*(1-VALUE(SUBSTITUTE(VLOOKUP(TRIM(A492),'RESTAURANTESDESCUENTOS 2026'!A:B,2,FALSE),"%",""))/100)+I492),(VLOOKUP(TRIM(D492), CATALOGO!A:B, 2, FALSE) * C492+I492)),""))</f>
        <v>55000</v>
      </c>
      <c r="K492" s="196"/>
      <c r="L492" s="87"/>
      <c r="M492" s="197" t="s">
        <v>587</v>
      </c>
      <c r="N492" s="168"/>
    </row>
    <row r="493" ht="22.5" hidden="1" customHeight="1">
      <c r="A493" s="137" t="s">
        <v>17</v>
      </c>
      <c r="B493" s="90">
        <v>46048.0</v>
      </c>
      <c r="C493" s="55">
        <v>1.0</v>
      </c>
      <c r="D493" s="97" t="s">
        <v>178</v>
      </c>
      <c r="E493" s="201" t="s">
        <v>610</v>
      </c>
      <c r="F493" s="202"/>
      <c r="G493" s="194" t="s">
        <v>587</v>
      </c>
      <c r="H493" s="195" t="s">
        <v>753</v>
      </c>
      <c r="I493" s="196">
        <v>10000.0</v>
      </c>
      <c r="J493" s="179">
        <f>IF(A493="RAPPI",(VLOOKUP(TRIM(D493), CATALOGO!F:G, 2, FALSE) * C493)+I493,IFERROR(IF(COUNTIF('RESTAURANTESDESCUENTOS 2026'!A:A,TRIM(A493))&gt;0,((VLOOKUP(TRIM(D493), CATALOGO!A:B, 2, FALSE) * C493)*(1-VALUE(SUBSTITUTE(VLOOKUP(TRIM(A493),'RESTAURANTESDESCUENTOS 2026'!A:B,2,FALSE),"%",""))/100)+I493),(VLOOKUP(TRIM(D493), CATALOGO!A:B, 2, FALSE) * C493+I493)),""))</f>
        <v>122500</v>
      </c>
      <c r="K493" s="196">
        <v>10000.0</v>
      </c>
      <c r="L493" s="87" t="s">
        <v>587</v>
      </c>
      <c r="M493" s="197" t="s">
        <v>587</v>
      </c>
      <c r="N493" s="168"/>
    </row>
    <row r="494" ht="22.5" hidden="1" customHeight="1">
      <c r="A494" s="137" t="s">
        <v>795</v>
      </c>
      <c r="B494" s="90">
        <v>46048.0</v>
      </c>
      <c r="C494" s="55">
        <v>1.0</v>
      </c>
      <c r="D494" s="97" t="s">
        <v>182</v>
      </c>
      <c r="E494" s="224" t="s">
        <v>777</v>
      </c>
      <c r="F494" s="225"/>
      <c r="G494" s="194" t="s">
        <v>587</v>
      </c>
      <c r="H494" s="195" t="s">
        <v>588</v>
      </c>
      <c r="I494" s="196">
        <v>16000.0</v>
      </c>
      <c r="J494" s="179">
        <f>IF(A494="RAPPI",(VLOOKUP(TRIM(D494), CATALOGO!F:G, 2, FALSE) * C494)+I494,IFERROR(IF(COUNTIF('RESTAURANTESDESCUENTOS 2026'!A:A,TRIM(A494))&gt;0,((VLOOKUP(TRIM(D494), CATALOGO!A:B, 2, FALSE) * C494)*(1-VALUE(SUBSTITUTE(VLOOKUP(TRIM(A494),'RESTAURANTESDESCUENTOS 2026'!A:B,2,FALSE),"%",""))/100)+I494),(VLOOKUP(TRIM(D494), CATALOGO!A:B, 2, FALSE) * C494+I494)),""))</f>
        <v>53000</v>
      </c>
      <c r="K494" s="196">
        <v>16000.0</v>
      </c>
      <c r="L494" s="87"/>
      <c r="M494" s="197" t="s">
        <v>587</v>
      </c>
      <c r="N494" s="168"/>
    </row>
    <row r="495" ht="22.5" hidden="1" customHeight="1">
      <c r="A495" s="137" t="s">
        <v>795</v>
      </c>
      <c r="B495" s="90">
        <v>46048.0</v>
      </c>
      <c r="C495" s="55">
        <v>2.0</v>
      </c>
      <c r="D495" s="97" t="s">
        <v>620</v>
      </c>
      <c r="E495" s="201"/>
      <c r="F495" s="202"/>
      <c r="G495" s="194" t="s">
        <v>587</v>
      </c>
      <c r="H495" s="195" t="s">
        <v>588</v>
      </c>
      <c r="I495" s="196">
        <v>0.0</v>
      </c>
      <c r="J495" s="179">
        <f>IF(A495="RAPPI",(VLOOKUP(TRIM(D495), CATALOGO!F:G, 2, FALSE) * C495)+I495,IFERROR(IF(COUNTIF('RESTAURANTESDESCUENTOS 2026'!A:A,TRIM(A495))&gt;0,((VLOOKUP(TRIM(D495), CATALOGO!A:B, 2, FALSE) * C495)*(1-VALUE(SUBSTITUTE(VLOOKUP(TRIM(A495),'RESTAURANTESDESCUENTOS 2026'!A:B,2,FALSE),"%",""))/100)+I495),(VLOOKUP(TRIM(D495), CATALOGO!A:B, 2, FALSE) * C495+I495)),""))</f>
        <v>0</v>
      </c>
      <c r="K495" s="196">
        <v>0.0</v>
      </c>
      <c r="L495" s="87"/>
      <c r="M495" s="197" t="s">
        <v>587</v>
      </c>
      <c r="N495" s="168"/>
    </row>
    <row r="496" ht="22.5" hidden="1" customHeight="1">
      <c r="A496" s="137" t="s">
        <v>21</v>
      </c>
      <c r="B496" s="90">
        <v>46048.0</v>
      </c>
      <c r="C496" s="55">
        <v>1.0</v>
      </c>
      <c r="D496" s="97" t="s">
        <v>178</v>
      </c>
      <c r="E496" s="201" t="s">
        <v>610</v>
      </c>
      <c r="F496" s="202"/>
      <c r="G496" s="194" t="s">
        <v>587</v>
      </c>
      <c r="H496" s="195" t="s">
        <v>588</v>
      </c>
      <c r="I496" s="196">
        <v>15000.0</v>
      </c>
      <c r="J496" s="179">
        <f>IF(A496="RAPPI",(VLOOKUP(TRIM(D496), CATALOGO!F:G, 2, FALSE) * C496)+I496,IFERROR(IF(COUNTIF('RESTAURANTESDESCUENTOS 2026'!A:A,TRIM(A496))&gt;0,((VLOOKUP(TRIM(D496), CATALOGO!A:B, 2, FALSE) * C496)*(1-VALUE(SUBSTITUTE(VLOOKUP(TRIM(A496),'RESTAURANTESDESCUENTOS 2026'!A:B,2,FALSE),"%",""))/100)+I496),(VLOOKUP(TRIM(D496), CATALOGO!A:B, 2, FALSE) * C496+I496)),""))</f>
        <v>127500</v>
      </c>
      <c r="K496" s="196">
        <v>18000.0</v>
      </c>
      <c r="L496" s="87" t="s">
        <v>587</v>
      </c>
      <c r="M496" s="197" t="s">
        <v>587</v>
      </c>
      <c r="N496" s="168"/>
    </row>
    <row r="497" ht="22.5" hidden="1" customHeight="1">
      <c r="A497" s="137" t="s">
        <v>796</v>
      </c>
      <c r="B497" s="90">
        <v>46048.0</v>
      </c>
      <c r="C497" s="200">
        <v>1.0</v>
      </c>
      <c r="D497" s="97" t="s">
        <v>174</v>
      </c>
      <c r="E497" s="201"/>
      <c r="F497" s="202"/>
      <c r="G497" s="194" t="s">
        <v>587</v>
      </c>
      <c r="H497" s="195" t="s">
        <v>753</v>
      </c>
      <c r="I497" s="196">
        <v>12000.0</v>
      </c>
      <c r="J497" s="179">
        <f>IF(A497="RAPPI",(VLOOKUP(TRIM(D497), CATALOGO!F:G, 2, FALSE) * C497)+I497,IFERROR(IF(COUNTIF('RESTAURANTESDESCUENTOS 2026'!A:A,TRIM(A497))&gt;0,((VLOOKUP(TRIM(D497), CATALOGO!A:B, 2, FALSE) * C497)*(1-VALUE(SUBSTITUTE(VLOOKUP(TRIM(A497),'RESTAURANTESDESCUENTOS 2026'!A:B,2,FALSE),"%",""))/100)+I497),(VLOOKUP(TRIM(D497), CATALOGO!A:B, 2, FALSE) * C497+I497)),""))</f>
        <v>30000</v>
      </c>
      <c r="K497" s="196">
        <v>12000.0</v>
      </c>
      <c r="L497" s="87"/>
      <c r="M497" s="197" t="s">
        <v>587</v>
      </c>
      <c r="N497" s="168"/>
    </row>
    <row r="498" ht="22.5" hidden="1" customHeight="1">
      <c r="A498" s="137" t="s">
        <v>796</v>
      </c>
      <c r="B498" s="90">
        <v>46048.0</v>
      </c>
      <c r="C498" s="200">
        <v>1.0</v>
      </c>
      <c r="D498" s="97" t="s">
        <v>604</v>
      </c>
      <c r="E498" s="201"/>
      <c r="F498" s="202"/>
      <c r="G498" s="194" t="s">
        <v>587</v>
      </c>
      <c r="H498" s="195" t="s">
        <v>753</v>
      </c>
      <c r="I498" s="196">
        <v>0.0</v>
      </c>
      <c r="J498" s="179">
        <f>IF(A498="RAPPI",(VLOOKUP(TRIM(D498), CATALOGO!F:G, 2, FALSE) * C498)+I498,IFERROR(IF(COUNTIF('RESTAURANTESDESCUENTOS 2026'!A:A,TRIM(A498))&gt;0,((VLOOKUP(TRIM(D498), CATALOGO!A:B, 2, FALSE) * C498)*(1-VALUE(SUBSTITUTE(VLOOKUP(TRIM(A498),'RESTAURANTESDESCUENTOS 2026'!A:B,2,FALSE),"%",""))/100)+I498),(VLOOKUP(TRIM(D498), CATALOGO!A:B, 2, FALSE) * C498+I498)),""))</f>
        <v>22000</v>
      </c>
      <c r="K498" s="196">
        <v>0.0</v>
      </c>
      <c r="L498" s="87"/>
      <c r="M498" s="197" t="s">
        <v>587</v>
      </c>
      <c r="N498" s="168"/>
    </row>
    <row r="499" ht="22.5" hidden="1" customHeight="1">
      <c r="A499" s="137" t="s">
        <v>603</v>
      </c>
      <c r="B499" s="90">
        <v>46048.0</v>
      </c>
      <c r="C499" s="200">
        <v>4.0</v>
      </c>
      <c r="D499" s="97" t="s">
        <v>174</v>
      </c>
      <c r="E499" s="201">
        <v>4893.0</v>
      </c>
      <c r="F499" s="202"/>
      <c r="G499" s="194" t="s">
        <v>587</v>
      </c>
      <c r="H499" s="195" t="s">
        <v>603</v>
      </c>
      <c r="I499" s="196"/>
      <c r="J499" s="179">
        <f>IF(A499="RAPPI",(VLOOKUP(TRIM(D499), CATALOGO!F:G, 2, FALSE) * C499)+I499,IFERROR(IF(COUNTIF('RESTAURANTESDESCUENTOS 2026'!A:A,TRIM(A499))&gt;0,((VLOOKUP(TRIM(D499), CATALOGO!A:B, 2, FALSE) * C499)*(1-VALUE(SUBSTITUTE(VLOOKUP(TRIM(A499),'RESTAURANTESDESCUENTOS 2026'!A:B,2,FALSE),"%",""))/100)+I499),(VLOOKUP(TRIM(D499), CATALOGO!A:B, 2, FALSE) * C499+I499)),""))</f>
        <v>72000</v>
      </c>
      <c r="K499" s="196"/>
      <c r="L499" s="87"/>
      <c r="M499" s="197" t="s">
        <v>587</v>
      </c>
      <c r="N499" s="168"/>
    </row>
    <row r="500" ht="22.5" hidden="1" customHeight="1">
      <c r="A500" s="137" t="s">
        <v>605</v>
      </c>
      <c r="B500" s="90">
        <v>46048.0</v>
      </c>
      <c r="C500" s="55">
        <v>1.0</v>
      </c>
      <c r="D500" s="97" t="s">
        <v>176</v>
      </c>
      <c r="E500" s="201" t="s">
        <v>667</v>
      </c>
      <c r="F500" s="202"/>
      <c r="G500" s="194" t="s">
        <v>35</v>
      </c>
      <c r="H500" s="198"/>
      <c r="I500" s="196"/>
      <c r="J500" s="179">
        <f>IF(A500="RAPPI",(VLOOKUP(TRIM(D500), CATALOGO!F:G, 2, FALSE) * C500)+I500,IFERROR(IF(COUNTIF('RESTAURANTESDESCUENTOS 2026'!A:A,TRIM(A500))&gt;0,((VLOOKUP(TRIM(D500), CATALOGO!A:B, 2, FALSE) * C500)*(1-VALUE(SUBSTITUTE(VLOOKUP(TRIM(A500),'RESTAURANTESDESCUENTOS 2026'!A:B,2,FALSE),"%",""))/100)+I500),(VLOOKUP(TRIM(D500), CATALOGO!A:B, 2, FALSE) * C500+I500)),""))</f>
        <v>50000</v>
      </c>
      <c r="K500" s="196"/>
      <c r="L500" s="87"/>
      <c r="M500" s="197" t="s">
        <v>587</v>
      </c>
      <c r="N500" s="168"/>
    </row>
    <row r="501" ht="22.5" hidden="1" customHeight="1">
      <c r="A501" s="137" t="s">
        <v>797</v>
      </c>
      <c r="B501" s="90">
        <v>46048.0</v>
      </c>
      <c r="C501" s="55">
        <v>1.0</v>
      </c>
      <c r="D501" s="97" t="s">
        <v>177</v>
      </c>
      <c r="E501" s="201"/>
      <c r="F501" s="202"/>
      <c r="G501" s="194" t="s">
        <v>587</v>
      </c>
      <c r="H501" s="195" t="s">
        <v>588</v>
      </c>
      <c r="I501" s="196">
        <v>12000.0</v>
      </c>
      <c r="J501" s="179">
        <f>IF(A501="RAPPI",(VLOOKUP(TRIM(D501), CATALOGO!F:G, 2, FALSE) * C501)+I501,IFERROR(IF(COUNTIF('RESTAURANTESDESCUENTOS 2026'!A:A,TRIM(A501))&gt;0,((VLOOKUP(TRIM(D501), CATALOGO!A:B, 2, FALSE) * C501)*(1-VALUE(SUBSTITUTE(VLOOKUP(TRIM(A501),'RESTAURANTESDESCUENTOS 2026'!A:B,2,FALSE),"%",""))/100)+I501),(VLOOKUP(TRIM(D501), CATALOGO!A:B, 2, FALSE) * C501+I501)),""))</f>
        <v>127000</v>
      </c>
      <c r="K501" s="196">
        <v>13000.0</v>
      </c>
      <c r="L501" s="87"/>
      <c r="M501" s="197" t="s">
        <v>587</v>
      </c>
      <c r="N501" s="168"/>
    </row>
    <row r="502" ht="22.5" hidden="1" customHeight="1">
      <c r="A502" s="137" t="s">
        <v>798</v>
      </c>
      <c r="B502" s="90">
        <v>46049.0</v>
      </c>
      <c r="C502" s="55">
        <v>2.0</v>
      </c>
      <c r="D502" s="97" t="s">
        <v>178</v>
      </c>
      <c r="E502" s="201" t="s">
        <v>799</v>
      </c>
      <c r="F502" s="202"/>
      <c r="G502" s="194" t="s">
        <v>587</v>
      </c>
      <c r="H502" s="195" t="s">
        <v>588</v>
      </c>
      <c r="I502" s="196">
        <v>25000.0</v>
      </c>
      <c r="J502" s="179">
        <f>IF(A502="RAPPI",(VLOOKUP(TRIM(D502), CATALOGO!F:G, 2, FALSE) * C502)+I502,IFERROR(IF(COUNTIF('RESTAURANTESDESCUENTOS 2026'!A:A,TRIM(A502))&gt;0,((VLOOKUP(TRIM(D502), CATALOGO!A:B, 2, FALSE) * C502)*(1-VALUE(SUBSTITUTE(VLOOKUP(TRIM(A502),'RESTAURANTESDESCUENTOS 2026'!A:B,2,FALSE),"%",""))/100)+I502),(VLOOKUP(TRIM(D502), CATALOGO!A:B, 2, FALSE) * C502+I502)),""))</f>
        <v>325000</v>
      </c>
      <c r="K502" s="196">
        <v>0.0</v>
      </c>
      <c r="L502" s="87" t="s">
        <v>587</v>
      </c>
      <c r="M502" s="197" t="s">
        <v>587</v>
      </c>
      <c r="N502" s="168"/>
    </row>
    <row r="503" ht="22.5" hidden="1" customHeight="1">
      <c r="A503" s="137" t="s">
        <v>49</v>
      </c>
      <c r="B503" s="90">
        <v>46049.0</v>
      </c>
      <c r="C503" s="55">
        <v>2.0</v>
      </c>
      <c r="D503" s="97" t="s">
        <v>177</v>
      </c>
      <c r="E503" s="201" t="s">
        <v>799</v>
      </c>
      <c r="F503" s="202"/>
      <c r="G503" s="194" t="s">
        <v>587</v>
      </c>
      <c r="H503" s="195" t="s">
        <v>588</v>
      </c>
      <c r="I503" s="196">
        <v>0.0</v>
      </c>
      <c r="J503" s="179">
        <f>IF(A503="RAPPI",(VLOOKUP(TRIM(D503), CATALOGO!F:G, 2, FALSE) * C503)+I503,IFERROR(IF(COUNTIF('RESTAURANTESDESCUENTOS 2026'!A:A,TRIM(A503))&gt;0,((VLOOKUP(TRIM(D503), CATALOGO!A:B, 2, FALSE) * C503)*(1-VALUE(SUBSTITUTE(VLOOKUP(TRIM(A503),'RESTAURANTESDESCUENTOS 2026'!A:B,2,FALSE),"%",""))/100)+I503),(VLOOKUP(TRIM(D503), CATALOGO!A:B, 2, FALSE) * C503+I503)),""))</f>
        <v>172500</v>
      </c>
      <c r="K503" s="196">
        <v>0.0</v>
      </c>
      <c r="L503" s="87" t="s">
        <v>587</v>
      </c>
      <c r="M503" s="197" t="s">
        <v>587</v>
      </c>
      <c r="N503" s="168"/>
    </row>
    <row r="504" ht="22.5" hidden="1" customHeight="1">
      <c r="A504" s="137" t="s">
        <v>800</v>
      </c>
      <c r="B504" s="90">
        <v>46049.0</v>
      </c>
      <c r="C504" s="55">
        <v>1.0</v>
      </c>
      <c r="D504" s="97" t="s">
        <v>678</v>
      </c>
      <c r="E504" s="201"/>
      <c r="F504" s="202"/>
      <c r="G504" s="194" t="s">
        <v>35</v>
      </c>
      <c r="H504" s="198"/>
      <c r="I504" s="196"/>
      <c r="J504" s="179">
        <f>IF(A504="RAPPI",(VLOOKUP(TRIM(D504), CATALOGO!F:G, 2, FALSE) * C504)+I504,IFERROR(IF(COUNTIF('RESTAURANTESDESCUENTOS 2026'!A:A,TRIM(A504))&gt;0,((VLOOKUP(TRIM(D504), CATALOGO!A:B, 2, FALSE) * C504)*(1-VALUE(SUBSTITUTE(VLOOKUP(TRIM(A504),'RESTAURANTESDESCUENTOS 2026'!A:B,2,FALSE),"%",""))/100)+I504),(VLOOKUP(TRIM(D504), CATALOGO!A:B, 2, FALSE) * C504+I504)),""))</f>
        <v>123000</v>
      </c>
      <c r="K504" s="196"/>
      <c r="L504" s="87"/>
      <c r="M504" s="197" t="s">
        <v>587</v>
      </c>
      <c r="N504" s="168"/>
    </row>
    <row r="505" ht="22.5" hidden="1" customHeight="1">
      <c r="A505" s="137" t="s">
        <v>603</v>
      </c>
      <c r="B505" s="90">
        <v>46049.0</v>
      </c>
      <c r="C505" s="55">
        <v>1.0</v>
      </c>
      <c r="D505" s="97" t="s">
        <v>601</v>
      </c>
      <c r="E505" s="201">
        <v>8568.0</v>
      </c>
      <c r="F505" s="202"/>
      <c r="G505" s="194" t="s">
        <v>587</v>
      </c>
      <c r="H505" s="195" t="s">
        <v>603</v>
      </c>
      <c r="I505" s="196"/>
      <c r="J505" s="179">
        <f>IF(A505="RAPPI",(VLOOKUP(TRIM(D505), CATALOGO!F:G, 2, FALSE) * C505)+I505,IFERROR(IF(COUNTIF('RESTAURANTESDESCUENTOS 2026'!A:A,TRIM(A505))&gt;0,((VLOOKUP(TRIM(D505), CATALOGO!A:B, 2, FALSE) * C505)*(1-VALUE(SUBSTITUTE(VLOOKUP(TRIM(A505),'RESTAURANTESDESCUENTOS 2026'!A:B,2,FALSE),"%",""))/100)+I505),(VLOOKUP(TRIM(D505), CATALOGO!A:B, 2, FALSE) * C505+I505)),""))</f>
        <v>53000</v>
      </c>
      <c r="K505" s="196"/>
      <c r="L505" s="87"/>
      <c r="M505" s="197" t="s">
        <v>587</v>
      </c>
      <c r="N505" s="168"/>
    </row>
    <row r="506" ht="22.5" hidden="1" customHeight="1">
      <c r="A506" s="137" t="s">
        <v>603</v>
      </c>
      <c r="B506" s="90">
        <v>46049.0</v>
      </c>
      <c r="C506" s="55">
        <v>1.0</v>
      </c>
      <c r="D506" s="97" t="s">
        <v>696</v>
      </c>
      <c r="E506" s="201">
        <v>8568.0</v>
      </c>
      <c r="F506" s="202"/>
      <c r="G506" s="194" t="s">
        <v>587</v>
      </c>
      <c r="H506" s="195" t="s">
        <v>603</v>
      </c>
      <c r="I506" s="196"/>
      <c r="J506" s="179">
        <f>IF(A506="RAPPI",(VLOOKUP(TRIM(D506), CATALOGO!F:G, 2, FALSE) * C506)+I506,IFERROR(IF(COUNTIF('RESTAURANTESDESCUENTOS 2026'!A:A,TRIM(A506))&gt;0,((VLOOKUP(TRIM(D506), CATALOGO!A:B, 2, FALSE) * C506)*(1-VALUE(SUBSTITUTE(VLOOKUP(TRIM(A506),'RESTAURANTESDESCUENTOS 2026'!A:B,2,FALSE),"%",""))/100)+I506),(VLOOKUP(TRIM(D506), CATALOGO!A:B, 2, FALSE) * C506+I506)),""))</f>
        <v>4000</v>
      </c>
      <c r="K506" s="196"/>
      <c r="L506" s="87"/>
      <c r="M506" s="197" t="s">
        <v>587</v>
      </c>
      <c r="N506" s="168"/>
    </row>
    <row r="507" ht="22.5" hidden="1" customHeight="1">
      <c r="A507" s="137" t="s">
        <v>605</v>
      </c>
      <c r="B507" s="90">
        <v>46049.0</v>
      </c>
      <c r="C507" s="55">
        <v>1.0</v>
      </c>
      <c r="D507" s="97" t="s">
        <v>640</v>
      </c>
      <c r="E507" s="201" t="s">
        <v>801</v>
      </c>
      <c r="F507" s="202"/>
      <c r="G507" s="194" t="s">
        <v>35</v>
      </c>
      <c r="H507" s="198"/>
      <c r="I507" s="196"/>
      <c r="J507" s="179">
        <f>IF(A507="RAPPI",(VLOOKUP(TRIM(D507), CATALOGO!F:G, 2, FALSE) * C507)+I507,IFERROR(IF(COUNTIF('RESTAURANTESDESCUENTOS 2026'!A:A,TRIM(A507))&gt;0,((VLOOKUP(TRIM(D507), CATALOGO!A:B, 2, FALSE) * C507)*(1-VALUE(SUBSTITUTE(VLOOKUP(TRIM(A507),'RESTAURANTESDESCUENTOS 2026'!A:B,2,FALSE),"%",""))/100)+I507),(VLOOKUP(TRIM(D507), CATALOGO!A:B, 2, FALSE) * C507+I507)),""))</f>
        <v>53000</v>
      </c>
      <c r="K507" s="196"/>
      <c r="L507" s="87"/>
      <c r="M507" s="197" t="s">
        <v>587</v>
      </c>
      <c r="N507" s="168"/>
    </row>
    <row r="508" ht="22.5" hidden="1" customHeight="1">
      <c r="A508" s="137" t="s">
        <v>802</v>
      </c>
      <c r="B508" s="90">
        <v>46049.0</v>
      </c>
      <c r="C508" s="55">
        <v>1.0</v>
      </c>
      <c r="D508" s="97" t="s">
        <v>618</v>
      </c>
      <c r="E508" s="201"/>
      <c r="F508" s="202"/>
      <c r="G508" s="194" t="s">
        <v>587</v>
      </c>
      <c r="H508" s="195" t="s">
        <v>588</v>
      </c>
      <c r="I508" s="196">
        <v>16000.0</v>
      </c>
      <c r="J508" s="179">
        <f>IF(A508="RAPPI",(VLOOKUP(TRIM(D508), CATALOGO!F:G, 2, FALSE) * C508)+I508,IFERROR(IF(COUNTIF('RESTAURANTESDESCUENTOS 2026'!A:A,TRIM(A508))&gt;0,((VLOOKUP(TRIM(D508), CATALOGO!A:B, 2, FALSE) * C508)*(1-VALUE(SUBSTITUTE(VLOOKUP(TRIM(A508),'RESTAURANTESDESCUENTOS 2026'!A:B,2,FALSE),"%",""))/100)+I508),(VLOOKUP(TRIM(D508), CATALOGO!A:B, 2, FALSE) * C508+I508)),""))</f>
        <v>69000</v>
      </c>
      <c r="K508" s="196">
        <v>16000.0</v>
      </c>
      <c r="L508" s="87"/>
      <c r="M508" s="197" t="s">
        <v>587</v>
      </c>
      <c r="N508" s="168"/>
    </row>
    <row r="509" ht="22.5" hidden="1" customHeight="1">
      <c r="A509" s="137" t="s">
        <v>603</v>
      </c>
      <c r="B509" s="90">
        <v>46049.0</v>
      </c>
      <c r="C509" s="55">
        <v>1.0</v>
      </c>
      <c r="D509" s="97" t="s">
        <v>182</v>
      </c>
      <c r="E509" s="201">
        <v>9548.0</v>
      </c>
      <c r="F509" s="202"/>
      <c r="G509" s="194" t="s">
        <v>587</v>
      </c>
      <c r="H509" s="195" t="s">
        <v>603</v>
      </c>
      <c r="I509" s="196"/>
      <c r="J509" s="179">
        <f>IF(A509="RAPPI",(VLOOKUP(TRIM(D509), CATALOGO!F:G, 2, FALSE) * C509)+I509,IFERROR(IF(COUNTIF('RESTAURANTESDESCUENTOS 2026'!A:A,TRIM(A509))&gt;0,((VLOOKUP(TRIM(D509), CATALOGO!A:B, 2, FALSE) * C509)*(1-VALUE(SUBSTITUTE(VLOOKUP(TRIM(A509),'RESTAURANTESDESCUENTOS 2026'!A:B,2,FALSE),"%",""))/100)+I509),(VLOOKUP(TRIM(D509), CATALOGO!A:B, 2, FALSE) * C509+I509)),""))</f>
        <v>37000</v>
      </c>
      <c r="K509" s="196"/>
      <c r="L509" s="87"/>
      <c r="M509" s="197" t="s">
        <v>587</v>
      </c>
      <c r="N509" s="168"/>
    </row>
    <row r="510" ht="22.5" hidden="1" customHeight="1">
      <c r="A510" s="137" t="s">
        <v>603</v>
      </c>
      <c r="B510" s="90">
        <v>46049.0</v>
      </c>
      <c r="C510" s="55">
        <v>1.0</v>
      </c>
      <c r="D510" s="97" t="s">
        <v>620</v>
      </c>
      <c r="E510" s="201">
        <v>9548.0</v>
      </c>
      <c r="F510" s="202"/>
      <c r="G510" s="194" t="s">
        <v>587</v>
      </c>
      <c r="H510" s="195" t="s">
        <v>603</v>
      </c>
      <c r="I510" s="196"/>
      <c r="J510" s="199">
        <v>0.0</v>
      </c>
      <c r="K510" s="196"/>
      <c r="L510" s="87"/>
      <c r="M510" s="197" t="s">
        <v>587</v>
      </c>
      <c r="N510" s="168"/>
    </row>
    <row r="511" ht="22.5" hidden="1" customHeight="1">
      <c r="A511" s="137" t="s">
        <v>603</v>
      </c>
      <c r="B511" s="90">
        <v>46049.0</v>
      </c>
      <c r="C511" s="55">
        <v>1.0</v>
      </c>
      <c r="D511" s="97" t="s">
        <v>669</v>
      </c>
      <c r="E511" s="201">
        <v>9548.0</v>
      </c>
      <c r="F511" s="202"/>
      <c r="G511" s="194" t="s">
        <v>587</v>
      </c>
      <c r="H511" s="195" t="s">
        <v>603</v>
      </c>
      <c r="I511" s="196"/>
      <c r="J511" s="199">
        <v>0.0</v>
      </c>
      <c r="K511" s="196"/>
      <c r="L511" s="87"/>
      <c r="M511" s="197" t="s">
        <v>587</v>
      </c>
      <c r="N511" s="168"/>
    </row>
    <row r="512" ht="22.5" hidden="1" customHeight="1">
      <c r="A512" s="137" t="s">
        <v>603</v>
      </c>
      <c r="B512" s="90">
        <v>46049.0</v>
      </c>
      <c r="C512" s="55">
        <v>1.0</v>
      </c>
      <c r="D512" s="97" t="s">
        <v>639</v>
      </c>
      <c r="E512" s="201">
        <v>9548.0</v>
      </c>
      <c r="F512" s="202"/>
      <c r="G512" s="194" t="s">
        <v>587</v>
      </c>
      <c r="H512" s="195" t="s">
        <v>603</v>
      </c>
      <c r="I512" s="196"/>
      <c r="J512" s="199">
        <v>0.0</v>
      </c>
      <c r="K512" s="196"/>
      <c r="L512" s="87"/>
      <c r="M512" s="197" t="s">
        <v>587</v>
      </c>
      <c r="N512" s="168"/>
    </row>
    <row r="513" ht="22.5" hidden="1" customHeight="1">
      <c r="A513" s="137" t="s">
        <v>603</v>
      </c>
      <c r="B513" s="90">
        <v>46049.0</v>
      </c>
      <c r="C513" s="55">
        <v>1.0</v>
      </c>
      <c r="D513" s="97" t="s">
        <v>236</v>
      </c>
      <c r="E513" s="201">
        <v>9548.0</v>
      </c>
      <c r="F513" s="202"/>
      <c r="G513" s="194" t="s">
        <v>587</v>
      </c>
      <c r="H513" s="195" t="s">
        <v>603</v>
      </c>
      <c r="I513" s="196"/>
      <c r="J513" s="199">
        <v>0.0</v>
      </c>
      <c r="K513" s="196"/>
      <c r="L513" s="87"/>
      <c r="M513" s="197" t="s">
        <v>587</v>
      </c>
      <c r="N513" s="168"/>
    </row>
    <row r="514" ht="22.5" hidden="1" customHeight="1">
      <c r="A514" s="137" t="s">
        <v>803</v>
      </c>
      <c r="B514" s="90">
        <v>46049.0</v>
      </c>
      <c r="C514" s="55">
        <v>1.0</v>
      </c>
      <c r="D514" s="97" t="s">
        <v>187</v>
      </c>
      <c r="E514" s="201"/>
      <c r="F514" s="202"/>
      <c r="G514" s="194" t="s">
        <v>587</v>
      </c>
      <c r="H514" s="195" t="s">
        <v>588</v>
      </c>
      <c r="I514" s="196">
        <v>13000.0</v>
      </c>
      <c r="J514" s="179">
        <f>IF(A514="RAPPI",(VLOOKUP(TRIM(D514), CATALOGO!F:G, 2, FALSE) * C514)+I514,IFERROR(IF(COUNTIF('RESTAURANTESDESCUENTOS 2026'!A:A,TRIM(A514))&gt;0,((VLOOKUP(TRIM(D514), CATALOGO!A:B, 2, FALSE) * C514)*(1-VALUE(SUBSTITUTE(VLOOKUP(TRIM(A514),'RESTAURANTESDESCUENTOS 2026'!A:B,2,FALSE),"%",""))/100)+I514),(VLOOKUP(TRIM(D514), CATALOGO!A:B, 2, FALSE) * C514+I514)),""))</f>
        <v>68000</v>
      </c>
      <c r="K514" s="196">
        <v>13000.0</v>
      </c>
      <c r="L514" s="87"/>
      <c r="M514" s="197" t="s">
        <v>587</v>
      </c>
      <c r="N514" s="168"/>
    </row>
    <row r="515" ht="22.5" hidden="1" customHeight="1">
      <c r="A515" s="137" t="s">
        <v>804</v>
      </c>
      <c r="B515" s="90">
        <v>46049.0</v>
      </c>
      <c r="C515" s="55">
        <v>1.0</v>
      </c>
      <c r="D515" s="97" t="s">
        <v>176</v>
      </c>
      <c r="E515" s="201"/>
      <c r="F515" s="202"/>
      <c r="G515" s="194" t="s">
        <v>587</v>
      </c>
      <c r="H515" s="195" t="s">
        <v>588</v>
      </c>
      <c r="I515" s="196">
        <v>10000.0</v>
      </c>
      <c r="J515" s="179">
        <f>IF(A515="RAPPI",(VLOOKUP(TRIM(D515), CATALOGO!F:G, 2, FALSE) * C515)+I515,IFERROR(IF(COUNTIF('RESTAURANTESDESCUENTOS 2026'!A:A,TRIM(A515))&gt;0,((VLOOKUP(TRIM(D515), CATALOGO!A:B, 2, FALSE) * C515)*(1-VALUE(SUBSTITUTE(VLOOKUP(TRIM(A515),'RESTAURANTESDESCUENTOS 2026'!A:B,2,FALSE),"%",""))/100)+I515),(VLOOKUP(TRIM(D515), CATALOGO!A:B, 2, FALSE) * C515+I515)),""))</f>
        <v>60000</v>
      </c>
      <c r="K515" s="196">
        <v>10000.0</v>
      </c>
      <c r="L515" s="87"/>
      <c r="M515" s="197" t="s">
        <v>587</v>
      </c>
      <c r="N515" s="168"/>
    </row>
    <row r="516" ht="22.5" hidden="1" customHeight="1">
      <c r="A516" s="137" t="s">
        <v>805</v>
      </c>
      <c r="B516" s="90">
        <v>46049.0</v>
      </c>
      <c r="C516" s="55">
        <v>1.0</v>
      </c>
      <c r="D516" s="97" t="s">
        <v>186</v>
      </c>
      <c r="E516" s="201" t="s">
        <v>645</v>
      </c>
      <c r="F516" s="202"/>
      <c r="G516" s="194" t="s">
        <v>587</v>
      </c>
      <c r="H516" s="195" t="s">
        <v>588</v>
      </c>
      <c r="I516" s="196">
        <v>12000.0</v>
      </c>
      <c r="J516" s="179">
        <f>IF(A516="RAPPI",(VLOOKUP(TRIM(D516), CATALOGO!F:G, 2, FALSE) * C516)+I516,IFERROR(IF(COUNTIF('RESTAURANTESDESCUENTOS 2026'!A:A,TRIM(A516))&gt;0,((VLOOKUP(TRIM(D516), CATALOGO!A:B, 2, FALSE) * C516)*(1-VALUE(SUBSTITUTE(VLOOKUP(TRIM(A516),'RESTAURANTESDESCUENTOS 2026'!A:B,2,FALSE),"%",""))/100)+I516),(VLOOKUP(TRIM(D516), CATALOGO!A:B, 2, FALSE) * C516+I516)),""))</f>
        <v>67000</v>
      </c>
      <c r="K516" s="196">
        <v>12000.0</v>
      </c>
      <c r="L516" s="87"/>
      <c r="M516" s="197" t="s">
        <v>587</v>
      </c>
      <c r="N516" s="168"/>
    </row>
    <row r="517" ht="22.5" hidden="1" customHeight="1">
      <c r="A517" s="26" t="s">
        <v>67</v>
      </c>
      <c r="B517" s="90">
        <v>46049.0</v>
      </c>
      <c r="C517" s="55">
        <v>1.0</v>
      </c>
      <c r="D517" s="97" t="s">
        <v>178</v>
      </c>
      <c r="E517" s="201" t="s">
        <v>610</v>
      </c>
      <c r="F517" s="202"/>
      <c r="G517" s="194" t="s">
        <v>587</v>
      </c>
      <c r="H517" s="195" t="s">
        <v>588</v>
      </c>
      <c r="I517" s="196">
        <v>0.0</v>
      </c>
      <c r="J517" s="179">
        <f>IF(A517="RAPPI",(VLOOKUP(TRIM(D517), CATALOGO!F:G, 2, FALSE) * C517)+I517,IFERROR(IF(COUNTIF('RESTAURANTESDESCUENTOS 2026'!A:A,TRIM(A517))&gt;0,((VLOOKUP(TRIM(D517), CATALOGO!A:B, 2, FALSE) * C517)*(1-VALUE(SUBSTITUTE(VLOOKUP(TRIM(A517),'RESTAURANTESDESCUENTOS 2026'!A:B,2,FALSE),"%",""))/100)+I517),(VLOOKUP(TRIM(D517), CATALOGO!A:B, 2, FALSE) * C517+I517)),""))</f>
        <v>112500</v>
      </c>
      <c r="K517" s="196">
        <v>0.0</v>
      </c>
      <c r="L517" s="87" t="s">
        <v>587</v>
      </c>
      <c r="M517" s="197" t="s">
        <v>587</v>
      </c>
      <c r="N517" s="168"/>
    </row>
    <row r="518" ht="22.5" hidden="1" customHeight="1">
      <c r="A518" s="26" t="s">
        <v>67</v>
      </c>
      <c r="B518" s="90">
        <v>46049.0</v>
      </c>
      <c r="C518" s="55">
        <v>100.0</v>
      </c>
      <c r="D518" s="97" t="s">
        <v>639</v>
      </c>
      <c r="E518" s="201"/>
      <c r="F518" s="202"/>
      <c r="G518" s="194" t="s">
        <v>587</v>
      </c>
      <c r="H518" s="195" t="s">
        <v>588</v>
      </c>
      <c r="I518" s="196">
        <v>0.0</v>
      </c>
      <c r="J518" s="199">
        <v>11000.0</v>
      </c>
      <c r="K518" s="196">
        <v>0.0</v>
      </c>
      <c r="L518" s="87" t="s">
        <v>587</v>
      </c>
      <c r="M518" s="197" t="s">
        <v>587</v>
      </c>
      <c r="N518" s="168"/>
    </row>
    <row r="519" ht="22.5" hidden="1" customHeight="1">
      <c r="A519" s="26" t="s">
        <v>67</v>
      </c>
      <c r="B519" s="90">
        <v>46049.0</v>
      </c>
      <c r="C519" s="55">
        <v>100.0</v>
      </c>
      <c r="D519" s="97" t="s">
        <v>620</v>
      </c>
      <c r="E519" s="201"/>
      <c r="F519" s="202"/>
      <c r="G519" s="194" t="s">
        <v>587</v>
      </c>
      <c r="H519" s="195" t="s">
        <v>588</v>
      </c>
      <c r="I519" s="196">
        <v>0.0</v>
      </c>
      <c r="J519" s="199">
        <v>11000.0</v>
      </c>
      <c r="K519" s="196">
        <v>0.0</v>
      </c>
      <c r="L519" s="87" t="s">
        <v>587</v>
      </c>
      <c r="M519" s="197" t="s">
        <v>587</v>
      </c>
      <c r="N519" s="168"/>
    </row>
    <row r="520" ht="22.5" hidden="1" customHeight="1">
      <c r="A520" s="137" t="s">
        <v>603</v>
      </c>
      <c r="B520" s="90">
        <v>46049.0</v>
      </c>
      <c r="C520" s="55">
        <v>1.0</v>
      </c>
      <c r="D520" s="97" t="s">
        <v>708</v>
      </c>
      <c r="E520" s="201">
        <v>4109.0</v>
      </c>
      <c r="F520" s="202"/>
      <c r="G520" s="194" t="s">
        <v>587</v>
      </c>
      <c r="H520" s="195" t="s">
        <v>603</v>
      </c>
      <c r="I520" s="196"/>
      <c r="J520" s="179">
        <f>IF(A520="RAPPI",(VLOOKUP(TRIM(D520), CATALOGO!F:G, 2, FALSE) * C520)+I520,IFERROR(IF(COUNTIF('RESTAURANTESDESCUENTOS 2026'!A:A,TRIM(A520))&gt;0,((VLOOKUP(TRIM(D520), CATALOGO!A:B, 2, FALSE) * C520)*(1-VALUE(SUBSTITUTE(VLOOKUP(TRIM(A520),'RESTAURANTESDESCUENTOS 2026'!A:B,2,FALSE),"%",""))/100)+I520),(VLOOKUP(TRIM(D520), CATALOGO!A:B, 2, FALSE) * C520+I520)),""))</f>
        <v>53000</v>
      </c>
      <c r="K520" s="196"/>
      <c r="L520" s="87"/>
      <c r="M520" s="197" t="s">
        <v>587</v>
      </c>
      <c r="N520" s="168"/>
    </row>
    <row r="521" ht="22.5" hidden="1" customHeight="1">
      <c r="A521" s="137" t="s">
        <v>605</v>
      </c>
      <c r="B521" s="90">
        <v>46049.0</v>
      </c>
      <c r="C521" s="55">
        <v>1.0</v>
      </c>
      <c r="D521" s="97" t="s">
        <v>176</v>
      </c>
      <c r="E521" s="201" t="s">
        <v>606</v>
      </c>
      <c r="F521" s="202"/>
      <c r="G521" s="194" t="s">
        <v>35</v>
      </c>
      <c r="H521" s="198"/>
      <c r="I521" s="196"/>
      <c r="J521" s="179">
        <f>IF(A521="RAPPI",(VLOOKUP(TRIM(D521), CATALOGO!F:G, 2, FALSE) * C521)+I521,IFERROR(IF(COUNTIF('RESTAURANTESDESCUENTOS 2026'!A:A,TRIM(A521))&gt;0,((VLOOKUP(TRIM(D521), CATALOGO!A:B, 2, FALSE) * C521)*(1-VALUE(SUBSTITUTE(VLOOKUP(TRIM(A521),'RESTAURANTESDESCUENTOS 2026'!A:B,2,FALSE),"%",""))/100)+I521),(VLOOKUP(TRIM(D521), CATALOGO!A:B, 2, FALSE) * C521+I521)),""))</f>
        <v>50000</v>
      </c>
      <c r="K521" s="196"/>
      <c r="L521" s="87"/>
      <c r="M521" s="197" t="s">
        <v>587</v>
      </c>
      <c r="N521" s="168"/>
    </row>
    <row r="522" ht="22.5" hidden="1" customHeight="1">
      <c r="A522" s="137" t="s">
        <v>605</v>
      </c>
      <c r="B522" s="90">
        <v>46049.0</v>
      </c>
      <c r="C522" s="200">
        <v>1.0</v>
      </c>
      <c r="D522" s="97" t="s">
        <v>174</v>
      </c>
      <c r="E522" s="201" t="s">
        <v>630</v>
      </c>
      <c r="F522" s="202"/>
      <c r="G522" s="194" t="s">
        <v>35</v>
      </c>
      <c r="H522" s="198"/>
      <c r="I522" s="196"/>
      <c r="J522" s="179">
        <f>IF(A522="RAPPI",(VLOOKUP(TRIM(D522), CATALOGO!F:G, 2, FALSE) * C522)+I522,IFERROR(IF(COUNTIF('RESTAURANTESDESCUENTOS 2026'!A:A,TRIM(A522))&gt;0,((VLOOKUP(TRIM(D522), CATALOGO!A:B, 2, FALSE) * C522)*(1-VALUE(SUBSTITUTE(VLOOKUP(TRIM(A522),'RESTAURANTESDESCUENTOS 2026'!A:B,2,FALSE),"%",""))/100)+I522),(VLOOKUP(TRIM(D522), CATALOGO!A:B, 2, FALSE) * C522+I522)),""))</f>
        <v>18000</v>
      </c>
      <c r="K522" s="196"/>
      <c r="L522" s="87"/>
      <c r="M522" s="197" t="s">
        <v>587</v>
      </c>
      <c r="N522" s="168"/>
    </row>
    <row r="523" ht="22.5" hidden="1" customHeight="1">
      <c r="A523" s="137" t="s">
        <v>605</v>
      </c>
      <c r="B523" s="90">
        <v>46049.0</v>
      </c>
      <c r="C523" s="55">
        <v>1.0</v>
      </c>
      <c r="D523" s="97" t="s">
        <v>653</v>
      </c>
      <c r="E523" s="201" t="s">
        <v>630</v>
      </c>
      <c r="F523" s="202"/>
      <c r="G523" s="194" t="s">
        <v>35</v>
      </c>
      <c r="H523" s="198"/>
      <c r="I523" s="196"/>
      <c r="J523" s="179">
        <f>IF(A523="RAPPI",(VLOOKUP(TRIM(D523), CATALOGO!F:G, 2, FALSE) * C523)+I523,IFERROR(IF(COUNTIF('RESTAURANTESDESCUENTOS 2026'!A:A,TRIM(A523))&gt;0,((VLOOKUP(TRIM(D523), CATALOGO!A:B, 2, FALSE) * C523)*(1-VALUE(SUBSTITUTE(VLOOKUP(TRIM(A523),'RESTAURANTESDESCUENTOS 2026'!A:B,2,FALSE),"%",""))/100)+I523),(VLOOKUP(TRIM(D523), CATALOGO!A:B, 2, FALSE) * C523+I523)),""))</f>
        <v>123000</v>
      </c>
      <c r="K523" s="196"/>
      <c r="L523" s="87"/>
      <c r="M523" s="197" t="s">
        <v>587</v>
      </c>
      <c r="N523" s="168"/>
    </row>
    <row r="524" ht="22.5" hidden="1" customHeight="1">
      <c r="A524" s="137" t="s">
        <v>603</v>
      </c>
      <c r="B524" s="90">
        <v>46049.0</v>
      </c>
      <c r="C524" s="200">
        <v>1.0</v>
      </c>
      <c r="D524" s="97" t="s">
        <v>174</v>
      </c>
      <c r="E524" s="226" t="s">
        <v>806</v>
      </c>
      <c r="F524" s="227"/>
      <c r="G524" s="194" t="s">
        <v>587</v>
      </c>
      <c r="H524" s="195" t="s">
        <v>603</v>
      </c>
      <c r="I524" s="196"/>
      <c r="J524" s="179">
        <f>IF(A524="RAPPI",(VLOOKUP(TRIM(D524), CATALOGO!F:G, 2, FALSE) * C524)+I524,IFERROR(IF(COUNTIF('RESTAURANTESDESCUENTOS 2026'!A:A,TRIM(A524))&gt;0,((VLOOKUP(TRIM(D524), CATALOGO!A:B, 2, FALSE) * C524)*(1-VALUE(SUBSTITUTE(VLOOKUP(TRIM(A524),'RESTAURANTESDESCUENTOS 2026'!A:B,2,FALSE),"%",""))/100)+I524),(VLOOKUP(TRIM(D524), CATALOGO!A:B, 2, FALSE) * C524+I524)),""))</f>
        <v>18000</v>
      </c>
      <c r="K524" s="196"/>
      <c r="L524" s="87"/>
      <c r="M524" s="197" t="s">
        <v>35</v>
      </c>
      <c r="N524" s="168"/>
    </row>
    <row r="525" ht="22.5" hidden="1" customHeight="1">
      <c r="A525" s="137" t="s">
        <v>603</v>
      </c>
      <c r="B525" s="90">
        <v>46049.0</v>
      </c>
      <c r="C525" s="200">
        <v>1.0</v>
      </c>
      <c r="D525" s="97" t="s">
        <v>628</v>
      </c>
      <c r="E525" s="226" t="s">
        <v>806</v>
      </c>
      <c r="F525" s="227"/>
      <c r="G525" s="194" t="s">
        <v>587</v>
      </c>
      <c r="H525" s="195" t="s">
        <v>603</v>
      </c>
      <c r="I525" s="196"/>
      <c r="J525" s="179">
        <f>IF(A525="RAPPI",(VLOOKUP(TRIM(D525), CATALOGO!F:G, 2, FALSE) * C525)+I525,IFERROR(IF(COUNTIF('RESTAURANTESDESCUENTOS 2026'!A:A,TRIM(A525))&gt;0,((VLOOKUP(TRIM(D525), CATALOGO!A:B, 2, FALSE) * C525)*(1-VALUE(SUBSTITUTE(VLOOKUP(TRIM(A525),'RESTAURANTESDESCUENTOS 2026'!A:B,2,FALSE),"%",""))/100)+I525),(VLOOKUP(TRIM(D525), CATALOGO!A:B, 2, FALSE) * C525+I525)),""))</f>
        <v>22000</v>
      </c>
      <c r="K525" s="196"/>
      <c r="L525" s="87"/>
      <c r="M525" s="197" t="s">
        <v>35</v>
      </c>
      <c r="N525" s="168"/>
    </row>
    <row r="526" ht="22.5" hidden="1" customHeight="1">
      <c r="A526" s="137" t="s">
        <v>807</v>
      </c>
      <c r="B526" s="90">
        <v>46050.0</v>
      </c>
      <c r="C526" s="55">
        <v>1.0</v>
      </c>
      <c r="D526" s="97" t="s">
        <v>188</v>
      </c>
      <c r="E526" s="201"/>
      <c r="F526" s="202"/>
      <c r="G526" s="194" t="s">
        <v>35</v>
      </c>
      <c r="H526" s="198"/>
      <c r="I526" s="196"/>
      <c r="J526" s="179">
        <f>IF(A526="RAPPI",(VLOOKUP(TRIM(D526), CATALOGO!F:G, 2, FALSE) * C526)+I526,IFERROR(IF(COUNTIF('RESTAURANTESDESCUENTOS 2026'!A:A,TRIM(A526))&gt;0,((VLOOKUP(TRIM(D526), CATALOGO!A:B, 2, FALSE) * C526)*(1-VALUE(SUBSTITUTE(VLOOKUP(TRIM(A526),'RESTAURANTESDESCUENTOS 2026'!A:B,2,FALSE),"%",""))/100)+I526),(VLOOKUP(TRIM(D526), CATALOGO!A:B, 2, FALSE) * C526+I526)),""))</f>
        <v>163000</v>
      </c>
      <c r="K526" s="196"/>
      <c r="L526" s="87"/>
      <c r="M526" s="197" t="s">
        <v>587</v>
      </c>
      <c r="N526" s="168"/>
    </row>
    <row r="527" ht="22.5" hidden="1" customHeight="1">
      <c r="A527" s="137" t="s">
        <v>807</v>
      </c>
      <c r="B527" s="90">
        <v>46050.0</v>
      </c>
      <c r="C527" s="55">
        <v>1.0</v>
      </c>
      <c r="D527" s="97" t="s">
        <v>676</v>
      </c>
      <c r="E527" s="201"/>
      <c r="F527" s="202"/>
      <c r="G527" s="194" t="s">
        <v>35</v>
      </c>
      <c r="H527" s="198"/>
      <c r="I527" s="196"/>
      <c r="J527" s="179">
        <f>IF(A527="RAPPI",(VLOOKUP(TRIM(D527), CATALOGO!F:G, 2, FALSE) * C527)+I527,IFERROR(IF(COUNTIF('RESTAURANTESDESCUENTOS 2026'!A:A,TRIM(A527))&gt;0,((VLOOKUP(TRIM(D527), CATALOGO!A:B, 2, FALSE) * C527)*(1-VALUE(SUBSTITUTE(VLOOKUP(TRIM(A527),'RESTAURANTESDESCUENTOS 2026'!A:B,2,FALSE),"%",""))/100)+I527),(VLOOKUP(TRIM(D527), CATALOGO!A:B, 2, FALSE) * C527+I527)),""))</f>
        <v>8000</v>
      </c>
      <c r="K527" s="196"/>
      <c r="L527" s="87"/>
      <c r="M527" s="197" t="s">
        <v>587</v>
      </c>
      <c r="N527" s="168"/>
    </row>
    <row r="528" ht="22.5" hidden="1" customHeight="1">
      <c r="A528" s="137" t="s">
        <v>808</v>
      </c>
      <c r="B528" s="90">
        <v>46050.0</v>
      </c>
      <c r="C528" s="55">
        <v>1.0</v>
      </c>
      <c r="D528" s="97" t="s">
        <v>177</v>
      </c>
      <c r="E528" s="201"/>
      <c r="F528" s="202"/>
      <c r="G528" s="194" t="s">
        <v>587</v>
      </c>
      <c r="H528" s="195" t="s">
        <v>632</v>
      </c>
      <c r="I528" s="196">
        <v>10000.0</v>
      </c>
      <c r="J528" s="179">
        <f>IF(A528="RAPPI",(VLOOKUP(TRIM(D528), CATALOGO!F:G, 2, FALSE) * C528)+I528,IFERROR(IF(COUNTIF('RESTAURANTESDESCUENTOS 2026'!A:A,TRIM(A528))&gt;0,((VLOOKUP(TRIM(D528), CATALOGO!A:B, 2, FALSE) * C528)*(1-VALUE(SUBSTITUTE(VLOOKUP(TRIM(A528),'RESTAURANTESDESCUENTOS 2026'!A:B,2,FALSE),"%",""))/100)+I528),(VLOOKUP(TRIM(D528), CATALOGO!A:B, 2, FALSE) * C528+I528)),""))</f>
        <v>125000</v>
      </c>
      <c r="K528" s="196">
        <v>10000.0</v>
      </c>
      <c r="L528" s="87"/>
      <c r="M528" s="197" t="s">
        <v>587</v>
      </c>
      <c r="N528" s="168"/>
    </row>
    <row r="529" ht="22.5" hidden="1" customHeight="1">
      <c r="A529" s="137" t="s">
        <v>809</v>
      </c>
      <c r="B529" s="90">
        <v>46050.0</v>
      </c>
      <c r="C529" s="55">
        <v>1.0</v>
      </c>
      <c r="D529" s="97" t="s">
        <v>640</v>
      </c>
      <c r="E529" s="201"/>
      <c r="F529" s="202"/>
      <c r="G529" s="194" t="s">
        <v>587</v>
      </c>
      <c r="H529" s="195" t="s">
        <v>632</v>
      </c>
      <c r="I529" s="196">
        <v>14000.0</v>
      </c>
      <c r="J529" s="179">
        <f>IF(A529="RAPPI",(VLOOKUP(TRIM(D529), CATALOGO!F:G, 2, FALSE) * C529)+I529,IFERROR(IF(COUNTIF('RESTAURANTESDESCUENTOS 2026'!A:A,TRIM(A529))&gt;0,((VLOOKUP(TRIM(D529), CATALOGO!A:B, 2, FALSE) * C529)*(1-VALUE(SUBSTITUTE(VLOOKUP(TRIM(A529),'RESTAURANTESDESCUENTOS 2026'!A:B,2,FALSE),"%",""))/100)+I529),(VLOOKUP(TRIM(D529), CATALOGO!A:B, 2, FALSE) * C529+I529)),""))</f>
        <v>67000</v>
      </c>
      <c r="K529" s="196">
        <v>14000.0</v>
      </c>
      <c r="L529" s="87"/>
      <c r="M529" s="197" t="s">
        <v>587</v>
      </c>
      <c r="N529" s="168"/>
    </row>
    <row r="530" ht="22.5" hidden="1" customHeight="1">
      <c r="A530" s="137" t="s">
        <v>597</v>
      </c>
      <c r="B530" s="90">
        <v>46050.0</v>
      </c>
      <c r="C530" s="55">
        <v>5.0</v>
      </c>
      <c r="D530" s="97" t="s">
        <v>178</v>
      </c>
      <c r="E530" s="201" t="s">
        <v>686</v>
      </c>
      <c r="F530" s="202"/>
      <c r="G530" s="194" t="s">
        <v>587</v>
      </c>
      <c r="H530" s="195" t="s">
        <v>588</v>
      </c>
      <c r="I530" s="196">
        <v>0.0</v>
      </c>
      <c r="J530" s="199">
        <v>0.0</v>
      </c>
      <c r="K530" s="196">
        <v>170000.0</v>
      </c>
      <c r="L530" s="87"/>
      <c r="M530" s="197" t="s">
        <v>587</v>
      </c>
      <c r="N530" s="168"/>
    </row>
    <row r="531" ht="22.5" hidden="1" customHeight="1">
      <c r="A531" s="137" t="s">
        <v>809</v>
      </c>
      <c r="B531" s="90">
        <v>46050.0</v>
      </c>
      <c r="C531" s="55">
        <v>1.0</v>
      </c>
      <c r="D531" s="97" t="s">
        <v>192</v>
      </c>
      <c r="E531" s="201"/>
      <c r="F531" s="202"/>
      <c r="G531" s="194" t="s">
        <v>587</v>
      </c>
      <c r="H531" s="195" t="s">
        <v>632</v>
      </c>
      <c r="I531" s="196">
        <v>0.0</v>
      </c>
      <c r="J531" s="179">
        <f>IF(A531="RAPPI",(VLOOKUP(TRIM(D531), CATALOGO!F:G, 2, FALSE) * C531)+I531,IFERROR(IF(COUNTIF('RESTAURANTESDESCUENTOS 2026'!A:A,TRIM(A531))&gt;0,((VLOOKUP(TRIM(D531), CATALOGO!A:B, 2, FALSE) * C531)*(1-VALUE(SUBSTITUTE(VLOOKUP(TRIM(A531),'RESTAURANTESDESCUENTOS 2026'!A:B,2,FALSE),"%",""))/100)+I531),(VLOOKUP(TRIM(D531), CATALOGO!A:B, 2, FALSE) * C531+I531)),""))</f>
        <v>55000</v>
      </c>
      <c r="K531" s="196">
        <v>0.0</v>
      </c>
      <c r="L531" s="87"/>
      <c r="M531" s="197" t="s">
        <v>587</v>
      </c>
      <c r="N531" s="168"/>
    </row>
    <row r="532" ht="22.5" hidden="1" customHeight="1">
      <c r="A532" s="137" t="s">
        <v>55</v>
      </c>
      <c r="B532" s="90">
        <v>46050.0</v>
      </c>
      <c r="C532" s="55">
        <v>2.0</v>
      </c>
      <c r="D532" s="97" t="s">
        <v>178</v>
      </c>
      <c r="E532" s="201" t="s">
        <v>552</v>
      </c>
      <c r="F532" s="202"/>
      <c r="G532" s="194" t="s">
        <v>587</v>
      </c>
      <c r="H532" s="195" t="s">
        <v>632</v>
      </c>
      <c r="I532" s="196">
        <v>10000.0</v>
      </c>
      <c r="J532" s="179">
        <f>IF(A532="RAPPI",(VLOOKUP(TRIM(D532), CATALOGO!F:G, 2, FALSE) * C532)+I532,IFERROR(IF(COUNTIF('RESTAURANTESDESCUENTOS 2026'!A:A,TRIM(A532))&gt;0,((VLOOKUP(TRIM(D532), CATALOGO!A:B, 2, FALSE) * C532)*(1-VALUE(SUBSTITUTE(VLOOKUP(TRIM(A532),'RESTAURANTESDESCUENTOS 2026'!A:B,2,FALSE),"%",""))/100)+I532),(VLOOKUP(TRIM(D532), CATALOGO!A:B, 2, FALSE) * C532+I532)),""))</f>
        <v>235000</v>
      </c>
      <c r="K532" s="196">
        <v>10000.0</v>
      </c>
      <c r="L532" s="87" t="s">
        <v>587</v>
      </c>
      <c r="M532" s="197" t="s">
        <v>587</v>
      </c>
      <c r="N532" s="168"/>
    </row>
    <row r="533" ht="22.5" hidden="1" customHeight="1">
      <c r="A533" s="137" t="s">
        <v>5</v>
      </c>
      <c r="B533" s="90">
        <v>46050.0</v>
      </c>
      <c r="C533" s="55">
        <v>0.0</v>
      </c>
      <c r="D533" s="193"/>
      <c r="E533" s="201" t="s">
        <v>810</v>
      </c>
      <c r="F533" s="202"/>
      <c r="G533" s="194" t="s">
        <v>587</v>
      </c>
      <c r="H533" s="195" t="s">
        <v>588</v>
      </c>
      <c r="I533" s="196">
        <v>0.0</v>
      </c>
      <c r="J533" s="199">
        <v>0.0</v>
      </c>
      <c r="K533" s="196">
        <v>7000.0</v>
      </c>
      <c r="L533" s="87"/>
      <c r="M533" s="197" t="s">
        <v>587</v>
      </c>
      <c r="N533" s="168"/>
    </row>
    <row r="534" ht="22.5" hidden="1" customHeight="1">
      <c r="A534" s="137" t="s">
        <v>143</v>
      </c>
      <c r="B534" s="90">
        <v>46050.0</v>
      </c>
      <c r="C534" s="55">
        <v>1.0</v>
      </c>
      <c r="D534" s="97" t="s">
        <v>176</v>
      </c>
      <c r="E534" s="201" t="s">
        <v>648</v>
      </c>
      <c r="F534" s="202"/>
      <c r="G534" s="194" t="s">
        <v>587</v>
      </c>
      <c r="H534" s="195" t="s">
        <v>632</v>
      </c>
      <c r="I534" s="196">
        <v>10000.0</v>
      </c>
      <c r="J534" s="179">
        <f>IF(A534="RAPPI",(VLOOKUP(TRIM(D534), CATALOGO!F:G, 2, FALSE) * C534)+I534,IFERROR(IF(COUNTIF('RESTAURANTESDESCUENTOS 2026'!A:A,TRIM(A534))&gt;0,((VLOOKUP(TRIM(D534), CATALOGO!A:B, 2, FALSE) * C534)*(1-VALUE(SUBSTITUTE(VLOOKUP(TRIM(A534),'RESTAURANTESDESCUENTOS 2026'!A:B,2,FALSE),"%",""))/100)+I534),(VLOOKUP(TRIM(D534), CATALOGO!A:B, 2, FALSE) * C534+I534)),""))</f>
        <v>47500</v>
      </c>
      <c r="K534" s="196">
        <v>10000.0</v>
      </c>
      <c r="L534" s="87"/>
      <c r="M534" s="197" t="s">
        <v>587</v>
      </c>
      <c r="N534" s="168"/>
    </row>
    <row r="535" ht="22.5" hidden="1" customHeight="1">
      <c r="A535" s="137" t="s">
        <v>597</v>
      </c>
      <c r="B535" s="90">
        <v>46050.0</v>
      </c>
      <c r="C535" s="55">
        <v>5.0</v>
      </c>
      <c r="D535" s="97" t="s">
        <v>177</v>
      </c>
      <c r="E535" s="201"/>
      <c r="F535" s="202"/>
      <c r="G535" s="194" t="s">
        <v>587</v>
      </c>
      <c r="H535" s="195" t="s">
        <v>588</v>
      </c>
      <c r="I535" s="196">
        <v>0.0</v>
      </c>
      <c r="J535" s="199">
        <v>0.0</v>
      </c>
      <c r="K535" s="196">
        <v>0.0</v>
      </c>
      <c r="L535" s="87"/>
      <c r="M535" s="197" t="s">
        <v>587</v>
      </c>
      <c r="N535" s="168"/>
    </row>
    <row r="536" ht="22.5" hidden="1" customHeight="1">
      <c r="A536" s="137" t="s">
        <v>597</v>
      </c>
      <c r="B536" s="90">
        <v>46050.0</v>
      </c>
      <c r="C536" s="55">
        <v>5.0</v>
      </c>
      <c r="D536" s="97" t="s">
        <v>176</v>
      </c>
      <c r="E536" s="201"/>
      <c r="F536" s="202"/>
      <c r="G536" s="194" t="s">
        <v>587</v>
      </c>
      <c r="H536" s="195" t="s">
        <v>588</v>
      </c>
      <c r="I536" s="196">
        <v>0.0</v>
      </c>
      <c r="J536" s="199">
        <v>0.0</v>
      </c>
      <c r="K536" s="196">
        <v>0.0</v>
      </c>
      <c r="L536" s="87"/>
      <c r="M536" s="197" t="s">
        <v>587</v>
      </c>
      <c r="N536" s="168"/>
    </row>
    <row r="537" ht="22.5" hidden="1" customHeight="1">
      <c r="A537" s="137" t="s">
        <v>593</v>
      </c>
      <c r="B537" s="90">
        <v>46050.0</v>
      </c>
      <c r="C537" s="55">
        <v>1.0</v>
      </c>
      <c r="D537" s="97" t="s">
        <v>178</v>
      </c>
      <c r="E537" s="201" t="s">
        <v>552</v>
      </c>
      <c r="F537" s="202"/>
      <c r="G537" s="194" t="s">
        <v>35</v>
      </c>
      <c r="H537" s="198"/>
      <c r="I537" s="196"/>
      <c r="J537" s="179">
        <f>IF(A537="RAPPI",(VLOOKUP(TRIM(D537), CATALOGO!F:G, 2, FALSE) * C537)+I537,IFERROR(IF(COUNTIF('RESTAURANTESDESCUENTOS 2026'!A:A,TRIM(A537))&gt;0,((VLOOKUP(TRIM(D537), CATALOGO!A:B, 2, FALSE) * C537)*(1-VALUE(SUBSTITUTE(VLOOKUP(TRIM(A537),'RESTAURANTESDESCUENTOS 2026'!A:B,2,FALSE),"%",""))/100)+I537),(VLOOKUP(TRIM(D537), CATALOGO!A:B, 2, FALSE) * C537+I537)),""))</f>
        <v>105000</v>
      </c>
      <c r="K537" s="196"/>
      <c r="L537" s="87" t="s">
        <v>587</v>
      </c>
      <c r="M537" s="197" t="s">
        <v>587</v>
      </c>
      <c r="N537" s="168"/>
    </row>
    <row r="538" ht="22.5" hidden="1" customHeight="1">
      <c r="A538" s="137" t="s">
        <v>25</v>
      </c>
      <c r="B538" s="90">
        <v>46050.0</v>
      </c>
      <c r="C538" s="55">
        <v>2.0</v>
      </c>
      <c r="D538" s="97" t="s">
        <v>178</v>
      </c>
      <c r="E538" s="201" t="s">
        <v>552</v>
      </c>
      <c r="F538" s="202"/>
      <c r="G538" s="194" t="s">
        <v>587</v>
      </c>
      <c r="H538" s="195" t="s">
        <v>588</v>
      </c>
      <c r="I538" s="196">
        <v>0.0</v>
      </c>
      <c r="J538" s="179">
        <f>IF(A538="RAPPI",(VLOOKUP(TRIM(D538), CATALOGO!F:G, 2, FALSE) * C538)+I538,IFERROR(IF(COUNTIF('RESTAURANTESDESCUENTOS 2026'!A:A,TRIM(A538))&gt;0,((VLOOKUP(TRIM(D538), CATALOGO!A:B, 2, FALSE) * C538)*(1-VALUE(SUBSTITUTE(VLOOKUP(TRIM(A538),'RESTAURANTESDESCUENTOS 2026'!A:B,2,FALSE),"%",""))/100)+I538),(VLOOKUP(TRIM(D538), CATALOGO!A:B, 2, FALSE) * C538+I538)),""))</f>
        <v>225000</v>
      </c>
      <c r="K538" s="196">
        <v>0.0</v>
      </c>
      <c r="L538" s="87" t="s">
        <v>587</v>
      </c>
      <c r="M538" s="197" t="s">
        <v>587</v>
      </c>
      <c r="N538" s="168"/>
    </row>
    <row r="539" ht="22.5" hidden="1" customHeight="1">
      <c r="A539" s="137" t="s">
        <v>811</v>
      </c>
      <c r="B539" s="90">
        <v>46050.0</v>
      </c>
      <c r="C539" s="55">
        <v>1.0</v>
      </c>
      <c r="D539" s="97" t="s">
        <v>177</v>
      </c>
      <c r="E539" s="201"/>
      <c r="F539" s="202"/>
      <c r="G539" s="194" t="s">
        <v>35</v>
      </c>
      <c r="H539" s="198"/>
      <c r="I539" s="196"/>
      <c r="J539" s="179">
        <f>IF(A539="RAPPI",(VLOOKUP(TRIM(D539), CATALOGO!F:G, 2, FALSE) * C539)+I539,IFERROR(IF(COUNTIF('RESTAURANTESDESCUENTOS 2026'!A:A,TRIM(A539))&gt;0,((VLOOKUP(TRIM(D539), CATALOGO!A:B, 2, FALSE) * C539)*(1-VALUE(SUBSTITUTE(VLOOKUP(TRIM(A539),'RESTAURANTESDESCUENTOS 2026'!A:B,2,FALSE),"%",""))/100)+I539),(VLOOKUP(TRIM(D539), CATALOGO!A:B, 2, FALSE) * C539+I539)),""))</f>
        <v>115000</v>
      </c>
      <c r="K539" s="196"/>
      <c r="L539" s="87"/>
      <c r="M539" s="197" t="s">
        <v>587</v>
      </c>
      <c r="N539" s="168"/>
    </row>
    <row r="540" ht="22.5" hidden="1" customHeight="1">
      <c r="A540" s="137" t="s">
        <v>812</v>
      </c>
      <c r="B540" s="90">
        <v>46050.0</v>
      </c>
      <c r="C540" s="55">
        <v>0.0</v>
      </c>
      <c r="D540" s="193"/>
      <c r="E540" s="201" t="s">
        <v>813</v>
      </c>
      <c r="F540" s="202"/>
      <c r="G540" s="194" t="s">
        <v>587</v>
      </c>
      <c r="H540" s="195" t="s">
        <v>632</v>
      </c>
      <c r="I540" s="196">
        <v>0.0</v>
      </c>
      <c r="J540" s="199">
        <v>0.0</v>
      </c>
      <c r="K540" s="196">
        <v>10000.0</v>
      </c>
      <c r="L540" s="87"/>
      <c r="M540" s="197" t="s">
        <v>587</v>
      </c>
      <c r="N540" s="168"/>
    </row>
    <row r="541" ht="22.5" hidden="1" customHeight="1">
      <c r="A541" s="137" t="s">
        <v>603</v>
      </c>
      <c r="B541" s="90">
        <v>46050.0</v>
      </c>
      <c r="C541" s="55">
        <v>1.0</v>
      </c>
      <c r="D541" s="97" t="s">
        <v>617</v>
      </c>
      <c r="E541" s="201">
        <v>874.0</v>
      </c>
      <c r="F541" s="202"/>
      <c r="G541" s="194" t="s">
        <v>587</v>
      </c>
      <c r="H541" s="195" t="s">
        <v>603</v>
      </c>
      <c r="I541" s="196"/>
      <c r="J541" s="179">
        <f>IF(A541="RAPPI",(VLOOKUP(TRIM(D541), CATALOGO!F:G, 2, FALSE) * C541)+I541,IFERROR(IF(COUNTIF('RESTAURANTESDESCUENTOS 2026'!A:A,TRIM(A541))&gt;0,((VLOOKUP(TRIM(D541), CATALOGO!A:B, 2, FALSE) * C541)*(1-VALUE(SUBSTITUTE(VLOOKUP(TRIM(A541),'RESTAURANTESDESCUENTOS 2026'!A:B,2,FALSE),"%",""))/100)+I541),(VLOOKUP(TRIM(D541), CATALOGO!A:B, 2, FALSE) * C541+I541)),""))</f>
        <v>123000</v>
      </c>
      <c r="K541" s="196"/>
      <c r="L541" s="87"/>
      <c r="M541" s="197" t="s">
        <v>587</v>
      </c>
      <c r="N541" s="168"/>
    </row>
    <row r="542" ht="22.5" hidden="1" customHeight="1">
      <c r="A542" s="137" t="s">
        <v>814</v>
      </c>
      <c r="B542" s="90">
        <v>46050.0</v>
      </c>
      <c r="C542" s="55">
        <v>1.0</v>
      </c>
      <c r="D542" s="97" t="s">
        <v>178</v>
      </c>
      <c r="E542" s="201"/>
      <c r="F542" s="202"/>
      <c r="G542" s="194" t="s">
        <v>587</v>
      </c>
      <c r="H542" s="195" t="s">
        <v>632</v>
      </c>
      <c r="I542" s="196">
        <v>10000.0</v>
      </c>
      <c r="J542" s="179">
        <f>IF(A542="RAPPI",(VLOOKUP(TRIM(D542), CATALOGO!F:G, 2, FALSE) * C542)+I542,IFERROR(IF(COUNTIF('RESTAURANTESDESCUENTOS 2026'!A:A,TRIM(A542))&gt;0,((VLOOKUP(TRIM(D542), CATALOGO!A:B, 2, FALSE) * C542)*(1-VALUE(SUBSTITUTE(VLOOKUP(TRIM(A542),'RESTAURANTESDESCUENTOS 2026'!A:B,2,FALSE),"%",""))/100)+I542),(VLOOKUP(TRIM(D542), CATALOGO!A:B, 2, FALSE) * C542+I542)),""))</f>
        <v>160000</v>
      </c>
      <c r="K542" s="196">
        <v>10000.0</v>
      </c>
      <c r="L542" s="87"/>
      <c r="M542" s="197" t="s">
        <v>587</v>
      </c>
      <c r="N542" s="168"/>
    </row>
    <row r="543" ht="22.5" hidden="1" customHeight="1">
      <c r="A543" s="137" t="s">
        <v>815</v>
      </c>
      <c r="B543" s="90">
        <v>46050.0</v>
      </c>
      <c r="C543" s="55">
        <v>1.0</v>
      </c>
      <c r="D543" s="97" t="s">
        <v>678</v>
      </c>
      <c r="E543" s="201"/>
      <c r="F543" s="202"/>
      <c r="G543" s="194" t="s">
        <v>587</v>
      </c>
      <c r="H543" s="195" t="s">
        <v>632</v>
      </c>
      <c r="I543" s="196">
        <v>10000.0</v>
      </c>
      <c r="J543" s="179">
        <f>IF(A543="RAPPI",(VLOOKUP(TRIM(D543), CATALOGO!F:G, 2, FALSE) * C543)+I543,IFERROR(IF(COUNTIF('RESTAURANTESDESCUENTOS 2026'!A:A,TRIM(A543))&gt;0,((VLOOKUP(TRIM(D543), CATALOGO!A:B, 2, FALSE) * C543)*(1-VALUE(SUBSTITUTE(VLOOKUP(TRIM(A543),'RESTAURANTESDESCUENTOS 2026'!A:B,2,FALSE),"%",""))/100)+I543),(VLOOKUP(TRIM(D543), CATALOGO!A:B, 2, FALSE) * C543+I543)),""))</f>
        <v>133000</v>
      </c>
      <c r="K543" s="196">
        <v>10000.0</v>
      </c>
      <c r="L543" s="87"/>
      <c r="M543" s="197" t="s">
        <v>587</v>
      </c>
      <c r="N543" s="168"/>
    </row>
    <row r="544" ht="22.5" hidden="1" customHeight="1">
      <c r="A544" s="137" t="s">
        <v>603</v>
      </c>
      <c r="B544" s="90">
        <v>46050.0</v>
      </c>
      <c r="C544" s="55">
        <v>1.0</v>
      </c>
      <c r="D544" s="97" t="s">
        <v>177</v>
      </c>
      <c r="E544" s="201">
        <v>2435.0</v>
      </c>
      <c r="F544" s="202"/>
      <c r="G544" s="194" t="s">
        <v>587</v>
      </c>
      <c r="H544" s="195" t="s">
        <v>603</v>
      </c>
      <c r="I544" s="196"/>
      <c r="J544" s="179">
        <f>IF(A544="RAPPI",(VLOOKUP(TRIM(D544), CATALOGO!F:G, 2, FALSE) * C544)+I544,IFERROR(IF(COUNTIF('RESTAURANTESDESCUENTOS 2026'!A:A,TRIM(A544))&gt;0,((VLOOKUP(TRIM(D544), CATALOGO!A:B, 2, FALSE) * C544)*(1-VALUE(SUBSTITUTE(VLOOKUP(TRIM(A544),'RESTAURANTESDESCUENTOS 2026'!A:B,2,FALSE),"%",""))/100)+I544),(VLOOKUP(TRIM(D544), CATALOGO!A:B, 2, FALSE) * C544+I544)),""))</f>
        <v>115000</v>
      </c>
      <c r="K544" s="196"/>
      <c r="L544" s="87"/>
      <c r="M544" s="197" t="s">
        <v>587</v>
      </c>
      <c r="N544" s="168"/>
    </row>
    <row r="545" ht="22.5" hidden="1" customHeight="1">
      <c r="A545" s="137" t="s">
        <v>603</v>
      </c>
      <c r="B545" s="90">
        <v>46050.0</v>
      </c>
      <c r="C545" s="55">
        <v>1.0</v>
      </c>
      <c r="D545" s="97" t="s">
        <v>739</v>
      </c>
      <c r="E545" s="201">
        <v>6705.0</v>
      </c>
      <c r="F545" s="202"/>
      <c r="G545" s="194" t="s">
        <v>587</v>
      </c>
      <c r="H545" s="195" t="s">
        <v>603</v>
      </c>
      <c r="I545" s="196"/>
      <c r="J545" s="179">
        <f>IF(A545="RAPPI",(VLOOKUP(TRIM(D545), CATALOGO!F:G, 2, FALSE) * C545)+I545,IFERROR(IF(COUNTIF('RESTAURANTESDESCUENTOS 2026'!A:A,TRIM(A545))&gt;0,((VLOOKUP(TRIM(D545), CATALOGO!A:B, 2, FALSE) * C545)*(1-VALUE(SUBSTITUTE(VLOOKUP(TRIM(A545),'RESTAURANTESDESCUENTOS 2026'!A:B,2,FALSE),"%",""))/100)+I545),(VLOOKUP(TRIM(D545), CATALOGO!A:B, 2, FALSE) * C545+I545)),""))</f>
        <v>163000</v>
      </c>
      <c r="K545" s="196"/>
      <c r="L545" s="87"/>
      <c r="M545" s="197" t="s">
        <v>587</v>
      </c>
      <c r="N545" s="168"/>
    </row>
    <row r="546" ht="22.5" hidden="1" customHeight="1">
      <c r="A546" s="137" t="s">
        <v>603</v>
      </c>
      <c r="B546" s="90">
        <v>46050.0</v>
      </c>
      <c r="C546" s="55">
        <v>1.0</v>
      </c>
      <c r="D546" s="97" t="s">
        <v>654</v>
      </c>
      <c r="E546" s="201">
        <v>6705.0</v>
      </c>
      <c r="F546" s="202"/>
      <c r="G546" s="194" t="s">
        <v>587</v>
      </c>
      <c r="H546" s="195" t="s">
        <v>603</v>
      </c>
      <c r="I546" s="196"/>
      <c r="J546" s="179">
        <f>IF(A546="RAPPI",(VLOOKUP(TRIM(D546), CATALOGO!F:G, 2, FALSE) * C546)+I546,IFERROR(IF(COUNTIF('RESTAURANTESDESCUENTOS 2026'!A:A,TRIM(A546))&gt;0,((VLOOKUP(TRIM(D546), CATALOGO!A:B, 2, FALSE) * C546)*(1-VALUE(SUBSTITUTE(VLOOKUP(TRIM(A546),'RESTAURANTESDESCUENTOS 2026'!A:B,2,FALSE),"%",""))/100)+I546),(VLOOKUP(TRIM(D546), CATALOGO!A:B, 2, FALSE) * C546+I546)),""))</f>
        <v>4000</v>
      </c>
      <c r="K546" s="196"/>
      <c r="L546" s="87"/>
      <c r="M546" s="197" t="s">
        <v>587</v>
      </c>
      <c r="N546" s="168"/>
    </row>
    <row r="547" ht="22.5" hidden="1" customHeight="1">
      <c r="A547" s="137" t="s">
        <v>622</v>
      </c>
      <c r="B547" s="90">
        <v>46050.0</v>
      </c>
      <c r="C547" s="55">
        <v>1.0</v>
      </c>
      <c r="D547" s="97" t="s">
        <v>178</v>
      </c>
      <c r="E547" s="201" t="s">
        <v>656</v>
      </c>
      <c r="F547" s="202"/>
      <c r="G547" s="194" t="s">
        <v>35</v>
      </c>
      <c r="H547" s="198"/>
      <c r="I547" s="196"/>
      <c r="J547" s="199">
        <v>0.0</v>
      </c>
      <c r="K547" s="196"/>
      <c r="L547" s="87"/>
      <c r="M547" s="197" t="s">
        <v>587</v>
      </c>
      <c r="N547" s="168"/>
    </row>
    <row r="548" ht="22.5" hidden="1" customHeight="1">
      <c r="A548" s="137" t="s">
        <v>816</v>
      </c>
      <c r="B548" s="90">
        <v>46050.0</v>
      </c>
      <c r="C548" s="200">
        <v>1.0</v>
      </c>
      <c r="D548" s="97" t="s">
        <v>174</v>
      </c>
      <c r="E548" s="201"/>
      <c r="F548" s="202"/>
      <c r="G548" s="194" t="s">
        <v>35</v>
      </c>
      <c r="H548" s="198"/>
      <c r="I548" s="196"/>
      <c r="J548" s="199">
        <v>0.0</v>
      </c>
      <c r="K548" s="196"/>
      <c r="L548" s="87"/>
      <c r="M548" s="197" t="s">
        <v>587</v>
      </c>
      <c r="N548" s="168"/>
    </row>
    <row r="549" ht="22.5" hidden="1" customHeight="1">
      <c r="A549" s="137" t="s">
        <v>605</v>
      </c>
      <c r="B549" s="90">
        <v>46050.0</v>
      </c>
      <c r="C549" s="200">
        <v>1.0</v>
      </c>
      <c r="D549" s="97" t="s">
        <v>174</v>
      </c>
      <c r="E549" s="201" t="s">
        <v>606</v>
      </c>
      <c r="F549" s="202"/>
      <c r="G549" s="194" t="s">
        <v>35</v>
      </c>
      <c r="H549" s="198"/>
      <c r="I549" s="196"/>
      <c r="J549" s="179">
        <f>IF(A549="RAPPI",(VLOOKUP(TRIM(D549), CATALOGO!F:G, 2, FALSE) * C549)+I549,IFERROR(IF(COUNTIF('RESTAURANTESDESCUENTOS 2026'!A:A,TRIM(A549))&gt;0,((VLOOKUP(TRIM(D549), CATALOGO!A:B, 2, FALSE) * C549)*(1-VALUE(SUBSTITUTE(VLOOKUP(TRIM(A549),'RESTAURANTESDESCUENTOS 2026'!A:B,2,FALSE),"%",""))/100)+I549),(VLOOKUP(TRIM(D549), CATALOGO!A:B, 2, FALSE) * C549+I549)),""))</f>
        <v>18000</v>
      </c>
      <c r="K549" s="196"/>
      <c r="L549" s="87"/>
      <c r="M549" s="197" t="s">
        <v>587</v>
      </c>
      <c r="N549" s="168"/>
    </row>
    <row r="550" ht="22.5" hidden="1" customHeight="1">
      <c r="A550" s="26" t="s">
        <v>59</v>
      </c>
      <c r="B550" s="90">
        <v>46051.0</v>
      </c>
      <c r="C550" s="55">
        <v>100.0</v>
      </c>
      <c r="D550" s="97" t="s">
        <v>639</v>
      </c>
      <c r="E550" s="201"/>
      <c r="F550" s="202"/>
      <c r="G550" s="194" t="s">
        <v>587</v>
      </c>
      <c r="H550" s="195" t="s">
        <v>632</v>
      </c>
      <c r="I550" s="196">
        <v>0.0</v>
      </c>
      <c r="J550" s="199">
        <v>11000.0</v>
      </c>
      <c r="K550" s="196">
        <v>0.0</v>
      </c>
      <c r="L550" s="87" t="s">
        <v>587</v>
      </c>
      <c r="M550" s="197" t="s">
        <v>587</v>
      </c>
      <c r="N550" s="168"/>
    </row>
    <row r="551" ht="22.5" hidden="1" customHeight="1">
      <c r="A551" s="26" t="s">
        <v>59</v>
      </c>
      <c r="B551" s="90">
        <v>46051.0</v>
      </c>
      <c r="C551" s="55">
        <v>100.0</v>
      </c>
      <c r="D551" s="97" t="s">
        <v>620</v>
      </c>
      <c r="E551" s="201"/>
      <c r="F551" s="202"/>
      <c r="G551" s="194" t="s">
        <v>587</v>
      </c>
      <c r="H551" s="195" t="s">
        <v>632</v>
      </c>
      <c r="I551" s="196">
        <v>0.0</v>
      </c>
      <c r="J551" s="199">
        <v>11000.0</v>
      </c>
      <c r="K551" s="196">
        <v>0.0</v>
      </c>
      <c r="L551" s="87" t="s">
        <v>587</v>
      </c>
      <c r="M551" s="197" t="s">
        <v>587</v>
      </c>
      <c r="N551" s="168"/>
    </row>
    <row r="552" ht="22.5" hidden="1" customHeight="1">
      <c r="A552" s="26" t="s">
        <v>63</v>
      </c>
      <c r="B552" s="90">
        <v>46051.0</v>
      </c>
      <c r="C552" s="55">
        <v>100.0</v>
      </c>
      <c r="D552" s="97" t="s">
        <v>639</v>
      </c>
      <c r="E552" s="201"/>
      <c r="F552" s="202"/>
      <c r="G552" s="194" t="s">
        <v>587</v>
      </c>
      <c r="H552" s="195" t="s">
        <v>632</v>
      </c>
      <c r="I552" s="196">
        <v>0.0</v>
      </c>
      <c r="J552" s="199">
        <v>11000.0</v>
      </c>
      <c r="K552" s="196">
        <v>0.0</v>
      </c>
      <c r="L552" s="87" t="s">
        <v>587</v>
      </c>
      <c r="M552" s="197" t="s">
        <v>587</v>
      </c>
      <c r="N552" s="168"/>
    </row>
    <row r="553" ht="22.5" hidden="1" customHeight="1">
      <c r="A553" s="26" t="s">
        <v>63</v>
      </c>
      <c r="B553" s="90">
        <v>46051.0</v>
      </c>
      <c r="C553" s="55">
        <v>100.0</v>
      </c>
      <c r="D553" s="97" t="s">
        <v>620</v>
      </c>
      <c r="E553" s="201"/>
      <c r="F553" s="202"/>
      <c r="G553" s="194" t="s">
        <v>587</v>
      </c>
      <c r="H553" s="195" t="s">
        <v>632</v>
      </c>
      <c r="I553" s="196">
        <v>0.0</v>
      </c>
      <c r="J553" s="199">
        <v>11000.0</v>
      </c>
      <c r="K553" s="196">
        <v>0.0</v>
      </c>
      <c r="L553" s="87" t="s">
        <v>587</v>
      </c>
      <c r="M553" s="197" t="s">
        <v>587</v>
      </c>
      <c r="N553" s="168"/>
    </row>
    <row r="554" ht="22.5" hidden="1" customHeight="1">
      <c r="A554" s="26" t="s">
        <v>65</v>
      </c>
      <c r="B554" s="90">
        <v>46051.0</v>
      </c>
      <c r="C554" s="55">
        <v>100.0</v>
      </c>
      <c r="D554" s="97" t="s">
        <v>639</v>
      </c>
      <c r="E554" s="201"/>
      <c r="F554" s="202"/>
      <c r="G554" s="194" t="s">
        <v>587</v>
      </c>
      <c r="H554" s="195" t="s">
        <v>632</v>
      </c>
      <c r="I554" s="196">
        <v>0.0</v>
      </c>
      <c r="J554" s="199">
        <v>11000.0</v>
      </c>
      <c r="K554" s="196">
        <v>0.0</v>
      </c>
      <c r="L554" s="87" t="s">
        <v>587</v>
      </c>
      <c r="M554" s="197" t="s">
        <v>587</v>
      </c>
      <c r="N554" s="168"/>
    </row>
    <row r="555" ht="22.5" hidden="1" customHeight="1">
      <c r="A555" s="26" t="s">
        <v>65</v>
      </c>
      <c r="B555" s="90">
        <v>46051.0</v>
      </c>
      <c r="C555" s="55">
        <v>100.0</v>
      </c>
      <c r="D555" s="97" t="s">
        <v>620</v>
      </c>
      <c r="E555" s="201"/>
      <c r="F555" s="202"/>
      <c r="G555" s="194" t="s">
        <v>587</v>
      </c>
      <c r="H555" s="195" t="s">
        <v>632</v>
      </c>
      <c r="I555" s="196">
        <v>0.0</v>
      </c>
      <c r="J555" s="199">
        <v>11000.0</v>
      </c>
      <c r="K555" s="196">
        <v>0.0</v>
      </c>
      <c r="L555" s="87" t="s">
        <v>587</v>
      </c>
      <c r="M555" s="197" t="s">
        <v>587</v>
      </c>
      <c r="N555" s="168"/>
    </row>
    <row r="556" ht="22.5" hidden="1" customHeight="1">
      <c r="A556" s="26" t="s">
        <v>59</v>
      </c>
      <c r="B556" s="90">
        <v>46051.0</v>
      </c>
      <c r="C556" s="55">
        <v>1.0</v>
      </c>
      <c r="D556" s="97" t="s">
        <v>178</v>
      </c>
      <c r="E556" s="201" t="s">
        <v>610</v>
      </c>
      <c r="F556" s="202"/>
      <c r="G556" s="194" t="s">
        <v>587</v>
      </c>
      <c r="H556" s="195" t="s">
        <v>632</v>
      </c>
      <c r="I556" s="196">
        <v>0.0</v>
      </c>
      <c r="J556" s="179">
        <f>IF(A556="RAPPI",(VLOOKUP(TRIM(D556), CATALOGO!F:G, 2, FALSE) * C556)+I556,IFERROR(IF(COUNTIF('RESTAURANTESDESCUENTOS 2026'!A:A,TRIM(A556))&gt;0,((VLOOKUP(TRIM(D556), CATALOGO!A:B, 2, FALSE) * C556)*(1-VALUE(SUBSTITUTE(VLOOKUP(TRIM(A556),'RESTAURANTESDESCUENTOS 2026'!A:B,2,FALSE),"%",""))/100)+I556),(VLOOKUP(TRIM(D556), CATALOGO!A:B, 2, FALSE) * C556+I556)),""))</f>
        <v>112500</v>
      </c>
      <c r="K556" s="196">
        <v>10000.0</v>
      </c>
      <c r="L556" s="87" t="s">
        <v>587</v>
      </c>
      <c r="M556" s="197" t="s">
        <v>587</v>
      </c>
      <c r="N556" s="168"/>
    </row>
    <row r="557" ht="22.5" hidden="1" customHeight="1">
      <c r="A557" s="26" t="s">
        <v>63</v>
      </c>
      <c r="B557" s="90">
        <v>46051.0</v>
      </c>
      <c r="C557" s="55">
        <v>1.0</v>
      </c>
      <c r="D557" s="97" t="s">
        <v>178</v>
      </c>
      <c r="E557" s="201" t="s">
        <v>610</v>
      </c>
      <c r="F557" s="202"/>
      <c r="G557" s="194" t="s">
        <v>587</v>
      </c>
      <c r="H557" s="195" t="s">
        <v>632</v>
      </c>
      <c r="I557" s="196">
        <v>0.0</v>
      </c>
      <c r="J557" s="179">
        <f>IF(A557="RAPPI",(VLOOKUP(TRIM(D557), CATALOGO!F:G, 2, FALSE) * C557)+I557,IFERROR(IF(COUNTIF('RESTAURANTESDESCUENTOS 2026'!A:A,TRIM(A557))&gt;0,((VLOOKUP(TRIM(D557), CATALOGO!A:B, 2, FALSE) * C557)*(1-VALUE(SUBSTITUTE(VLOOKUP(TRIM(A557),'RESTAURANTESDESCUENTOS 2026'!A:B,2,FALSE),"%",""))/100)+I557),(VLOOKUP(TRIM(D557), CATALOGO!A:B, 2, FALSE) * C557+I557)),""))</f>
        <v>112500</v>
      </c>
      <c r="K557" s="196">
        <v>13000.0</v>
      </c>
      <c r="L557" s="87" t="s">
        <v>587</v>
      </c>
      <c r="M557" s="197" t="s">
        <v>587</v>
      </c>
      <c r="N557" s="168"/>
    </row>
    <row r="558" ht="22.5" hidden="1" customHeight="1">
      <c r="A558" s="137" t="s">
        <v>817</v>
      </c>
      <c r="B558" s="90">
        <v>46051.0</v>
      </c>
      <c r="C558" s="55">
        <v>1.0</v>
      </c>
      <c r="D558" s="97" t="s">
        <v>676</v>
      </c>
      <c r="E558" s="201"/>
      <c r="F558" s="202"/>
      <c r="G558" s="194" t="s">
        <v>587</v>
      </c>
      <c r="H558" s="195" t="s">
        <v>753</v>
      </c>
      <c r="I558" s="196">
        <v>0.0</v>
      </c>
      <c r="J558" s="179">
        <f>IF(A558="RAPPI",(VLOOKUP(TRIM(D558), CATALOGO!F:G, 2, FALSE) * C558)+I558,IFERROR(IF(COUNTIF('RESTAURANTESDESCUENTOS 2026'!A:A,TRIM(A558))&gt;0,((VLOOKUP(TRIM(D558), CATALOGO!A:B, 2, FALSE) * C558)*(1-VALUE(SUBSTITUTE(VLOOKUP(TRIM(A558),'RESTAURANTESDESCUENTOS 2026'!A:B,2,FALSE),"%",""))/100)+I558),(VLOOKUP(TRIM(D558), CATALOGO!A:B, 2, FALSE) * C558+I558)),""))</f>
        <v>8000</v>
      </c>
      <c r="K558" s="196">
        <v>0.0</v>
      </c>
      <c r="L558" s="87"/>
      <c r="M558" s="197" t="s">
        <v>587</v>
      </c>
      <c r="N558" s="168"/>
    </row>
    <row r="559" ht="22.5" hidden="1" customHeight="1">
      <c r="A559" s="137" t="s">
        <v>817</v>
      </c>
      <c r="B559" s="90">
        <v>46051.0</v>
      </c>
      <c r="C559" s="55">
        <v>1.0</v>
      </c>
      <c r="D559" s="97" t="s">
        <v>696</v>
      </c>
      <c r="E559" s="201"/>
      <c r="F559" s="202"/>
      <c r="G559" s="194" t="s">
        <v>587</v>
      </c>
      <c r="H559" s="195" t="s">
        <v>753</v>
      </c>
      <c r="I559" s="196">
        <v>0.0</v>
      </c>
      <c r="J559" s="179">
        <f>IF(A559="RAPPI",(VLOOKUP(TRIM(D559), CATALOGO!F:G, 2, FALSE) * C559)+I559,IFERROR(IF(COUNTIF('RESTAURANTESDESCUENTOS 2026'!A:A,TRIM(A559))&gt;0,((VLOOKUP(TRIM(D559), CATALOGO!A:B, 2, FALSE) * C559)*(1-VALUE(SUBSTITUTE(VLOOKUP(TRIM(A559),'RESTAURANTESDESCUENTOS 2026'!A:B,2,FALSE),"%",""))/100)+I559),(VLOOKUP(TRIM(D559), CATALOGO!A:B, 2, FALSE) * C559+I559)),""))</f>
        <v>4000</v>
      </c>
      <c r="K559" s="196">
        <v>0.0</v>
      </c>
      <c r="L559" s="87"/>
      <c r="M559" s="197" t="s">
        <v>587</v>
      </c>
      <c r="N559" s="168"/>
    </row>
    <row r="560" ht="22.5" hidden="1" customHeight="1">
      <c r="A560" s="26" t="s">
        <v>65</v>
      </c>
      <c r="B560" s="90">
        <v>46051.0</v>
      </c>
      <c r="C560" s="55">
        <v>1.0</v>
      </c>
      <c r="D560" s="97" t="s">
        <v>178</v>
      </c>
      <c r="E560" s="201" t="s">
        <v>610</v>
      </c>
      <c r="F560" s="202"/>
      <c r="G560" s="194" t="s">
        <v>587</v>
      </c>
      <c r="H560" s="195" t="s">
        <v>632</v>
      </c>
      <c r="I560" s="196">
        <v>0.0</v>
      </c>
      <c r="J560" s="179">
        <f>IF(A560="RAPPI",(VLOOKUP(TRIM(D560), CATALOGO!F:G, 2, FALSE) * C560)+I560,IFERROR(IF(COUNTIF('RESTAURANTESDESCUENTOS 2026'!A:A,TRIM(A560))&gt;0,((VLOOKUP(TRIM(D560), CATALOGO!A:B, 2, FALSE) * C560)*(1-VALUE(SUBSTITUTE(VLOOKUP(TRIM(A560),'RESTAURANTESDESCUENTOS 2026'!A:B,2,FALSE),"%",""))/100)+I560),(VLOOKUP(TRIM(D560), CATALOGO!A:B, 2, FALSE) * C560+I560)),""))</f>
        <v>112500</v>
      </c>
      <c r="K560" s="196">
        <v>13000.0</v>
      </c>
      <c r="L560" s="87" t="s">
        <v>587</v>
      </c>
      <c r="M560" s="197" t="s">
        <v>587</v>
      </c>
      <c r="N560" s="168"/>
    </row>
    <row r="561" ht="22.5" hidden="1" customHeight="1">
      <c r="A561" s="137" t="s">
        <v>99</v>
      </c>
      <c r="B561" s="90">
        <v>46051.0</v>
      </c>
      <c r="C561" s="55">
        <v>1.0</v>
      </c>
      <c r="D561" s="97" t="s">
        <v>178</v>
      </c>
      <c r="E561" s="201" t="s">
        <v>818</v>
      </c>
      <c r="F561" s="202"/>
      <c r="G561" s="194" t="s">
        <v>587</v>
      </c>
      <c r="H561" s="195" t="s">
        <v>632</v>
      </c>
      <c r="I561" s="196">
        <v>5000.0</v>
      </c>
      <c r="J561" s="179">
        <f>IF(A561="RAPPI",(VLOOKUP(TRIM(D561), CATALOGO!F:G, 2, FALSE) * C561)+I561,IFERROR(IF(COUNTIF('RESTAURANTESDESCUENTOS 2026'!A:A,TRIM(A561))&gt;0,((VLOOKUP(TRIM(D561), CATALOGO!A:B, 2, FALSE) * C561)*(1-VALUE(SUBSTITUTE(VLOOKUP(TRIM(A561),'RESTAURANTESDESCUENTOS 2026'!A:B,2,FALSE),"%",""))/100)+I561),(VLOOKUP(TRIM(D561), CATALOGO!A:B, 2, FALSE) * C561+I561)),""))</f>
        <v>110000</v>
      </c>
      <c r="K561" s="196">
        <v>10000.0</v>
      </c>
      <c r="L561" s="87" t="s">
        <v>587</v>
      </c>
      <c r="M561" s="197" t="s">
        <v>587</v>
      </c>
      <c r="N561" s="168"/>
    </row>
    <row r="562" ht="22.5" hidden="1" customHeight="1">
      <c r="A562" s="137" t="s">
        <v>817</v>
      </c>
      <c r="B562" s="90">
        <v>46051.0</v>
      </c>
      <c r="C562" s="55">
        <v>1.0</v>
      </c>
      <c r="D562" s="97" t="s">
        <v>188</v>
      </c>
      <c r="E562" s="201"/>
      <c r="F562" s="202"/>
      <c r="G562" s="194" t="s">
        <v>587</v>
      </c>
      <c r="H562" s="195" t="s">
        <v>753</v>
      </c>
      <c r="I562" s="196">
        <v>10000.0</v>
      </c>
      <c r="J562" s="179">
        <f>IF(A562="RAPPI",(VLOOKUP(TRIM(D562), CATALOGO!F:G, 2, FALSE) * C562)+I562,IFERROR(IF(COUNTIF('RESTAURANTESDESCUENTOS 2026'!A:A,TRIM(A562))&gt;0,((VLOOKUP(TRIM(D562), CATALOGO!A:B, 2, FALSE) * C562)*(1-VALUE(SUBSTITUTE(VLOOKUP(TRIM(A562),'RESTAURANTESDESCUENTOS 2026'!A:B,2,FALSE),"%",""))/100)+I562),(VLOOKUP(TRIM(D562), CATALOGO!A:B, 2, FALSE) * C562+I562)),""))</f>
        <v>173000</v>
      </c>
      <c r="K562" s="196">
        <v>10000.0</v>
      </c>
      <c r="L562" s="87"/>
      <c r="M562" s="197" t="s">
        <v>587</v>
      </c>
      <c r="N562" s="168"/>
    </row>
    <row r="563" ht="22.5" hidden="1" customHeight="1">
      <c r="A563" s="137" t="s">
        <v>38</v>
      </c>
      <c r="B563" s="90">
        <v>46051.0</v>
      </c>
      <c r="C563" s="55">
        <v>1.0</v>
      </c>
      <c r="D563" s="97" t="s">
        <v>177</v>
      </c>
      <c r="E563" s="201" t="s">
        <v>610</v>
      </c>
      <c r="F563" s="202"/>
      <c r="G563" s="194" t="s">
        <v>587</v>
      </c>
      <c r="H563" s="195" t="s">
        <v>632</v>
      </c>
      <c r="I563" s="196">
        <v>0.0</v>
      </c>
      <c r="J563" s="179">
        <f>IF(A563="RAPPI",(VLOOKUP(TRIM(D563), CATALOGO!F:G, 2, FALSE) * C563)+I563,IFERROR(IF(COUNTIF('RESTAURANTESDESCUENTOS 2026'!A:A,TRIM(A563))&gt;0,((VLOOKUP(TRIM(D563), CATALOGO!A:B, 2, FALSE) * C563)*(1-VALUE(SUBSTITUTE(VLOOKUP(TRIM(A563),'RESTAURANTESDESCUENTOS 2026'!A:B,2,FALSE),"%",""))/100)+I563),(VLOOKUP(TRIM(D563), CATALOGO!A:B, 2, FALSE) * C563+I563)),""))</f>
        <v>86250</v>
      </c>
      <c r="K563" s="196">
        <v>15000.0</v>
      </c>
      <c r="L563" s="87" t="s">
        <v>587</v>
      </c>
      <c r="M563" s="197" t="s">
        <v>587</v>
      </c>
      <c r="N563" s="168"/>
    </row>
    <row r="564" ht="22.5" hidden="1" customHeight="1">
      <c r="A564" s="137" t="s">
        <v>819</v>
      </c>
      <c r="B564" s="90">
        <v>46051.0</v>
      </c>
      <c r="C564" s="55">
        <v>1.0</v>
      </c>
      <c r="D564" s="97" t="s">
        <v>181</v>
      </c>
      <c r="E564" s="201"/>
      <c r="F564" s="202"/>
      <c r="G564" s="194" t="s">
        <v>587</v>
      </c>
      <c r="H564" s="195" t="s">
        <v>753</v>
      </c>
      <c r="I564" s="196">
        <v>10000.0</v>
      </c>
      <c r="J564" s="179">
        <f>IF(A564="RAPPI",(VLOOKUP(TRIM(D564), CATALOGO!F:G, 2, FALSE) * C564)+I564,IFERROR(IF(COUNTIF('RESTAURANTESDESCUENTOS 2026'!A:A,TRIM(A564))&gt;0,((VLOOKUP(TRIM(D564), CATALOGO!A:B, 2, FALSE) * C564)*(1-VALUE(SUBSTITUTE(VLOOKUP(TRIM(A564),'RESTAURANTESDESCUENTOS 2026'!A:B,2,FALSE),"%",""))/100)+I564),(VLOOKUP(TRIM(D564), CATALOGO!A:B, 2, FALSE) * C564+I564)),""))</f>
        <v>184000</v>
      </c>
      <c r="K564" s="196">
        <v>10000.0</v>
      </c>
      <c r="L564" s="87"/>
      <c r="M564" s="197" t="s">
        <v>587</v>
      </c>
      <c r="N564" s="168"/>
    </row>
    <row r="565" ht="22.5" hidden="1" customHeight="1">
      <c r="A565" s="137" t="s">
        <v>820</v>
      </c>
      <c r="B565" s="90">
        <v>46051.0</v>
      </c>
      <c r="C565" s="200">
        <v>2.0</v>
      </c>
      <c r="D565" s="97" t="s">
        <v>174</v>
      </c>
      <c r="E565" s="201" t="s">
        <v>645</v>
      </c>
      <c r="F565" s="202"/>
      <c r="G565" s="194" t="s">
        <v>587</v>
      </c>
      <c r="H565" s="195" t="s">
        <v>753</v>
      </c>
      <c r="I565" s="196">
        <v>12000.0</v>
      </c>
      <c r="J565" s="179">
        <f>IF(A565="RAPPI",(VLOOKUP(TRIM(D565), CATALOGO!F:G, 2, FALSE) * C565)+I565,IFERROR(IF(COUNTIF('RESTAURANTESDESCUENTOS 2026'!A:A,TRIM(A565))&gt;0,((VLOOKUP(TRIM(D565), CATALOGO!A:B, 2, FALSE) * C565)*(1-VALUE(SUBSTITUTE(VLOOKUP(TRIM(A565),'RESTAURANTESDESCUENTOS 2026'!A:B,2,FALSE),"%",""))/100)+I565),(VLOOKUP(TRIM(D565), CATALOGO!A:B, 2, FALSE) * C565+I565)),""))</f>
        <v>48000</v>
      </c>
      <c r="K565" s="196">
        <v>12000.0</v>
      </c>
      <c r="L565" s="87"/>
      <c r="M565" s="197" t="s">
        <v>587</v>
      </c>
      <c r="N565" s="168"/>
    </row>
    <row r="566" ht="22.5" hidden="1" customHeight="1">
      <c r="A566" s="137" t="s">
        <v>821</v>
      </c>
      <c r="B566" s="90">
        <v>46051.0</v>
      </c>
      <c r="C566" s="55">
        <v>0.0</v>
      </c>
      <c r="D566" s="193"/>
      <c r="E566" s="201" t="s">
        <v>822</v>
      </c>
      <c r="F566" s="202"/>
      <c r="G566" s="194" t="s">
        <v>587</v>
      </c>
      <c r="H566" s="195" t="s">
        <v>632</v>
      </c>
      <c r="I566" s="196">
        <v>0.0</v>
      </c>
      <c r="J566" s="199">
        <v>0.0</v>
      </c>
      <c r="K566" s="196">
        <v>13000.0</v>
      </c>
      <c r="L566" s="87"/>
      <c r="M566" s="197" t="s">
        <v>587</v>
      </c>
      <c r="N566" s="168"/>
    </row>
    <row r="567" ht="22.5" hidden="1" customHeight="1">
      <c r="A567" s="137" t="s">
        <v>603</v>
      </c>
      <c r="B567" s="90">
        <v>46051.0</v>
      </c>
      <c r="C567" s="55">
        <v>1.0</v>
      </c>
      <c r="D567" s="97" t="s">
        <v>708</v>
      </c>
      <c r="E567" s="201">
        <v>7126.0</v>
      </c>
      <c r="F567" s="202"/>
      <c r="G567" s="194" t="s">
        <v>587</v>
      </c>
      <c r="H567" s="195" t="s">
        <v>603</v>
      </c>
      <c r="I567" s="196"/>
      <c r="J567" s="179">
        <f>IF(A567="RAPPI",(VLOOKUP(TRIM(D567), CATALOGO!F:G, 2, FALSE) * C567)+I567,IFERROR(IF(COUNTIF('RESTAURANTESDESCUENTOS 2026'!A:A,TRIM(A567))&gt;0,((VLOOKUP(TRIM(D567), CATALOGO!A:B, 2, FALSE) * C567)*(1-VALUE(SUBSTITUTE(VLOOKUP(TRIM(A567),'RESTAURANTESDESCUENTOS 2026'!A:B,2,FALSE),"%",""))/100)+I567),(VLOOKUP(TRIM(D567), CATALOGO!A:B, 2, FALSE) * C567+I567)),""))</f>
        <v>53000</v>
      </c>
      <c r="K567" s="196"/>
      <c r="L567" s="87"/>
      <c r="M567" s="197" t="s">
        <v>587</v>
      </c>
      <c r="N567" s="168"/>
    </row>
    <row r="568" ht="22.5" hidden="1" customHeight="1">
      <c r="A568" s="137" t="s">
        <v>603</v>
      </c>
      <c r="B568" s="90">
        <v>46051.0</v>
      </c>
      <c r="C568" s="55">
        <v>1.0</v>
      </c>
      <c r="D568" s="97" t="s">
        <v>186</v>
      </c>
      <c r="E568" s="201">
        <v>6032.0</v>
      </c>
      <c r="F568" s="202"/>
      <c r="G568" s="194" t="s">
        <v>587</v>
      </c>
      <c r="H568" s="195" t="s">
        <v>603</v>
      </c>
      <c r="I568" s="196"/>
      <c r="J568" s="179">
        <f>IF(A568="RAPPI",(VLOOKUP(TRIM(D568), CATALOGO!F:G, 2, FALSE) * C568)+I568,IFERROR(IF(COUNTIF('RESTAURANTESDESCUENTOS 2026'!A:A,TRIM(A568))&gt;0,((VLOOKUP(TRIM(D568), CATALOGO!A:B, 2, FALSE) * C568)*(1-VALUE(SUBSTITUTE(VLOOKUP(TRIM(A568),'RESTAURANTESDESCUENTOS 2026'!A:B,2,FALSE),"%",""))/100)+I568),(VLOOKUP(TRIM(D568), CATALOGO!A:B, 2, FALSE) * C568+I568)),""))</f>
        <v>55000</v>
      </c>
      <c r="K568" s="196"/>
      <c r="L568" s="87"/>
      <c r="M568" s="197" t="s">
        <v>587</v>
      </c>
      <c r="N568" s="168"/>
    </row>
    <row r="569" ht="22.5" hidden="1" customHeight="1">
      <c r="A569" s="137" t="s">
        <v>603</v>
      </c>
      <c r="B569" s="90">
        <v>46051.0</v>
      </c>
      <c r="C569" s="55">
        <v>1.0</v>
      </c>
      <c r="D569" s="97" t="s">
        <v>187</v>
      </c>
      <c r="E569" s="201">
        <v>6032.0</v>
      </c>
      <c r="F569" s="202"/>
      <c r="G569" s="194" t="s">
        <v>587</v>
      </c>
      <c r="H569" s="195" t="s">
        <v>603</v>
      </c>
      <c r="I569" s="196"/>
      <c r="J569" s="179">
        <f>IF(A569="RAPPI",(VLOOKUP(TRIM(D569), CATALOGO!F:G, 2, FALSE) * C569)+I569,IFERROR(IF(COUNTIF('RESTAURANTESDESCUENTOS 2026'!A:A,TRIM(A569))&gt;0,((VLOOKUP(TRIM(D569), CATALOGO!A:B, 2, FALSE) * C569)*(1-VALUE(SUBSTITUTE(VLOOKUP(TRIM(A569),'RESTAURANTESDESCUENTOS 2026'!A:B,2,FALSE),"%",""))/100)+I569),(VLOOKUP(TRIM(D569), CATALOGO!A:B, 2, FALSE) * C569+I569)),""))</f>
        <v>55000</v>
      </c>
      <c r="K569" s="196"/>
      <c r="L569" s="87"/>
      <c r="M569" s="197" t="s">
        <v>587</v>
      </c>
      <c r="N569" s="168"/>
    </row>
    <row r="570" ht="22.5" hidden="1" customHeight="1">
      <c r="A570" s="137" t="s">
        <v>603</v>
      </c>
      <c r="B570" s="90">
        <v>46051.0</v>
      </c>
      <c r="C570" s="200">
        <v>1.0</v>
      </c>
      <c r="D570" s="97" t="s">
        <v>174</v>
      </c>
      <c r="E570" s="201">
        <v>9813.0</v>
      </c>
      <c r="F570" s="202"/>
      <c r="G570" s="194" t="s">
        <v>587</v>
      </c>
      <c r="H570" s="195" t="s">
        <v>603</v>
      </c>
      <c r="I570" s="196"/>
      <c r="J570" s="179">
        <f>IF(A570="RAPPI",(VLOOKUP(TRIM(D570), CATALOGO!F:G, 2, FALSE) * C570)+I570,IFERROR(IF(COUNTIF('RESTAURANTESDESCUENTOS 2026'!A:A,TRIM(A570))&gt;0,((VLOOKUP(TRIM(D570), CATALOGO!A:B, 2, FALSE) * C570)*(1-VALUE(SUBSTITUTE(VLOOKUP(TRIM(A570),'RESTAURANTESDESCUENTOS 2026'!A:B,2,FALSE),"%",""))/100)+I570),(VLOOKUP(TRIM(D570), CATALOGO!A:B, 2, FALSE) * C570+I570)),""))</f>
        <v>18000</v>
      </c>
      <c r="K570" s="196"/>
      <c r="L570" s="87"/>
      <c r="M570" s="197" t="s">
        <v>587</v>
      </c>
      <c r="N570" s="168"/>
    </row>
    <row r="571" ht="22.5" hidden="1" customHeight="1">
      <c r="A571" s="137" t="s">
        <v>603</v>
      </c>
      <c r="B571" s="90">
        <v>46051.0</v>
      </c>
      <c r="C571" s="200">
        <v>1.0</v>
      </c>
      <c r="D571" s="97" t="s">
        <v>628</v>
      </c>
      <c r="E571" s="201">
        <v>9813.0</v>
      </c>
      <c r="F571" s="202"/>
      <c r="G571" s="194" t="s">
        <v>587</v>
      </c>
      <c r="H571" s="195" t="s">
        <v>603</v>
      </c>
      <c r="I571" s="196"/>
      <c r="J571" s="179">
        <f>IF(A571="RAPPI",(VLOOKUP(TRIM(D571), CATALOGO!F:G, 2, FALSE) * C571)+I571,IFERROR(IF(COUNTIF('RESTAURANTESDESCUENTOS 2026'!A:A,TRIM(A571))&gt;0,((VLOOKUP(TRIM(D571), CATALOGO!A:B, 2, FALSE) * C571)*(1-VALUE(SUBSTITUTE(VLOOKUP(TRIM(A571),'RESTAURANTESDESCUENTOS 2026'!A:B,2,FALSE),"%",""))/100)+I571),(VLOOKUP(TRIM(D571), CATALOGO!A:B, 2, FALSE) * C571+I571)),""))</f>
        <v>22000</v>
      </c>
      <c r="K571" s="196"/>
      <c r="L571" s="87"/>
      <c r="M571" s="197" t="s">
        <v>587</v>
      </c>
      <c r="N571" s="168"/>
    </row>
    <row r="572" ht="22.5" hidden="1" customHeight="1">
      <c r="A572" s="137" t="s">
        <v>605</v>
      </c>
      <c r="B572" s="90">
        <v>46051.0</v>
      </c>
      <c r="C572" s="200">
        <v>1.0</v>
      </c>
      <c r="D572" s="97" t="s">
        <v>174</v>
      </c>
      <c r="E572" s="201" t="s">
        <v>606</v>
      </c>
      <c r="F572" s="202"/>
      <c r="G572" s="194" t="s">
        <v>35</v>
      </c>
      <c r="H572" s="198"/>
      <c r="I572" s="196"/>
      <c r="J572" s="179">
        <f>IF(A572="RAPPI",(VLOOKUP(TRIM(D572), CATALOGO!F:G, 2, FALSE) * C572)+I572,IFERROR(IF(COUNTIF('RESTAURANTESDESCUENTOS 2026'!A:A,TRIM(A572))&gt;0,((VLOOKUP(TRIM(D572), CATALOGO!A:B, 2, FALSE) * C572)*(1-VALUE(SUBSTITUTE(VLOOKUP(TRIM(A572),'RESTAURANTESDESCUENTOS 2026'!A:B,2,FALSE),"%",""))/100)+I572),(VLOOKUP(TRIM(D572), CATALOGO!A:B, 2, FALSE) * C572+I572)),""))</f>
        <v>18000</v>
      </c>
      <c r="K572" s="196"/>
      <c r="L572" s="87"/>
      <c r="M572" s="197" t="s">
        <v>587</v>
      </c>
      <c r="N572" s="168"/>
    </row>
    <row r="573" ht="22.5" hidden="1" customHeight="1">
      <c r="A573" s="137" t="s">
        <v>823</v>
      </c>
      <c r="B573" s="90">
        <v>46051.0</v>
      </c>
      <c r="C573" s="55">
        <v>1.0</v>
      </c>
      <c r="D573" s="97" t="s">
        <v>824</v>
      </c>
      <c r="E573" s="201" t="s">
        <v>645</v>
      </c>
      <c r="F573" s="202"/>
      <c r="G573" s="194" t="s">
        <v>587</v>
      </c>
      <c r="H573" s="195" t="s">
        <v>753</v>
      </c>
      <c r="I573" s="196">
        <v>10000.0</v>
      </c>
      <c r="J573" s="179">
        <f>IF(A573="RAPPI",(VLOOKUP(TRIM(D573), CATALOGO!F:G, 2, FALSE) * C573)+I573,IFERROR(IF(COUNTIF('RESTAURANTESDESCUENTOS 2026'!A:A,TRIM(A573))&gt;0,((VLOOKUP(TRIM(D573), CATALOGO!A:B, 2, FALSE) * C573)*(1-VALUE(SUBSTITUTE(VLOOKUP(TRIM(A573),'RESTAURANTESDESCUENTOS 2026'!A:B,2,FALSE),"%",""))/100)+I573),(VLOOKUP(TRIM(D573), CATALOGO!A:B, 2, FALSE) * C573+I573)),""))</f>
        <v>133000</v>
      </c>
      <c r="K573" s="196">
        <v>10000.0</v>
      </c>
      <c r="L573" s="87"/>
      <c r="M573" s="197" t="s">
        <v>587</v>
      </c>
      <c r="N573" s="168"/>
    </row>
    <row r="574" ht="22.5" hidden="1" customHeight="1">
      <c r="A574" s="137" t="s">
        <v>603</v>
      </c>
      <c r="B574" s="90">
        <v>46051.0</v>
      </c>
      <c r="C574" s="55">
        <v>1.0</v>
      </c>
      <c r="D574" s="97" t="s">
        <v>176</v>
      </c>
      <c r="E574" s="201">
        <v>9379.0</v>
      </c>
      <c r="F574" s="202"/>
      <c r="G574" s="194" t="s">
        <v>587</v>
      </c>
      <c r="H574" s="195" t="s">
        <v>603</v>
      </c>
      <c r="I574" s="196"/>
      <c r="J574" s="179">
        <f>IF(A574="RAPPI",(VLOOKUP(TRIM(D574), CATALOGO!F:G, 2, FALSE) * C574)+I574,IFERROR(IF(COUNTIF('RESTAURANTESDESCUENTOS 2026'!A:A,TRIM(A574))&gt;0,((VLOOKUP(TRIM(D574), CATALOGO!A:B, 2, FALSE) * C574)*(1-VALUE(SUBSTITUTE(VLOOKUP(TRIM(A574),'RESTAURANTESDESCUENTOS 2026'!A:B,2,FALSE),"%",""))/100)+I574),(VLOOKUP(TRIM(D574), CATALOGO!A:B, 2, FALSE) * C574+I574)),""))</f>
        <v>50000</v>
      </c>
      <c r="K574" s="196"/>
      <c r="L574" s="87"/>
      <c r="M574" s="197" t="s">
        <v>587</v>
      </c>
      <c r="N574" s="168"/>
    </row>
    <row r="575" ht="22.5" hidden="1" customHeight="1">
      <c r="A575" s="137" t="s">
        <v>603</v>
      </c>
      <c r="B575" s="90">
        <v>46051.0</v>
      </c>
      <c r="C575" s="55">
        <v>1.0</v>
      </c>
      <c r="D575" s="97" t="s">
        <v>708</v>
      </c>
      <c r="E575" s="201">
        <v>7603.0</v>
      </c>
      <c r="F575" s="202"/>
      <c r="G575" s="194" t="s">
        <v>587</v>
      </c>
      <c r="H575" s="195" t="s">
        <v>603</v>
      </c>
      <c r="I575" s="196"/>
      <c r="J575" s="179">
        <f>IF(A575="RAPPI",(VLOOKUP(TRIM(D575), CATALOGO!F:G, 2, FALSE) * C575)+I575,IFERROR(IF(COUNTIF('RESTAURANTESDESCUENTOS 2026'!A:A,TRIM(A575))&gt;0,((VLOOKUP(TRIM(D575), CATALOGO!A:B, 2, FALSE) * C575)*(1-VALUE(SUBSTITUTE(VLOOKUP(TRIM(A575),'RESTAURANTESDESCUENTOS 2026'!A:B,2,FALSE),"%",""))/100)+I575),(VLOOKUP(TRIM(D575), CATALOGO!A:B, 2, FALSE) * C575+I575)),""))</f>
        <v>53000</v>
      </c>
      <c r="K575" s="196"/>
      <c r="L575" s="87"/>
      <c r="M575" s="197" t="s">
        <v>587</v>
      </c>
      <c r="N575" s="168"/>
    </row>
    <row r="576" ht="22.5" hidden="1" customHeight="1">
      <c r="A576" s="137" t="s">
        <v>603</v>
      </c>
      <c r="B576" s="90">
        <v>46051.0</v>
      </c>
      <c r="C576" s="55">
        <v>1.0</v>
      </c>
      <c r="D576" s="97" t="s">
        <v>177</v>
      </c>
      <c r="E576" s="201">
        <v>3744.0</v>
      </c>
      <c r="F576" s="202"/>
      <c r="G576" s="194" t="s">
        <v>587</v>
      </c>
      <c r="H576" s="195" t="s">
        <v>603</v>
      </c>
      <c r="I576" s="196"/>
      <c r="J576" s="179">
        <f>IF(A576="RAPPI",(VLOOKUP(TRIM(D576), CATALOGO!F:G, 2, FALSE) * C576)+I576,IFERROR(IF(COUNTIF('RESTAURANTESDESCUENTOS 2026'!A:A,TRIM(A576))&gt;0,((VLOOKUP(TRIM(D576), CATALOGO!A:B, 2, FALSE) * C576)*(1-VALUE(SUBSTITUTE(VLOOKUP(TRIM(A576),'RESTAURANTESDESCUENTOS 2026'!A:B,2,FALSE),"%",""))/100)+I576),(VLOOKUP(TRIM(D576), CATALOGO!A:B, 2, FALSE) * C576+I576)),""))</f>
        <v>115000</v>
      </c>
      <c r="K576" s="196"/>
      <c r="L576" s="87"/>
      <c r="M576" s="197" t="s">
        <v>587</v>
      </c>
      <c r="N576" s="168"/>
    </row>
    <row r="577" ht="22.5" hidden="1" customHeight="1">
      <c r="A577" s="137" t="s">
        <v>46</v>
      </c>
      <c r="B577" s="90">
        <v>46051.0</v>
      </c>
      <c r="C577" s="55">
        <v>1.0</v>
      </c>
      <c r="D577" s="97" t="s">
        <v>177</v>
      </c>
      <c r="E577" s="201" t="s">
        <v>610</v>
      </c>
      <c r="F577" s="202"/>
      <c r="G577" s="194" t="s">
        <v>587</v>
      </c>
      <c r="H577" s="195" t="s">
        <v>753</v>
      </c>
      <c r="I577" s="196">
        <v>0.0</v>
      </c>
      <c r="J577" s="179">
        <f>IF(A577="RAPPI",(VLOOKUP(TRIM(D577), CATALOGO!F:G, 2, FALSE) * C577)+I577,IFERROR(IF(COUNTIF('RESTAURANTESDESCUENTOS 2026'!A:A,TRIM(A577))&gt;0,((VLOOKUP(TRIM(D577), CATALOGO!A:B, 2, FALSE) * C577)*(1-VALUE(SUBSTITUTE(VLOOKUP(TRIM(A577),'RESTAURANTESDESCUENTOS 2026'!A:B,2,FALSE),"%",""))/100)+I577),(VLOOKUP(TRIM(D577), CATALOGO!A:B, 2, FALSE) * C577+I577)),""))</f>
        <v>86250</v>
      </c>
      <c r="K577" s="196">
        <v>13000.0</v>
      </c>
      <c r="L577" s="87" t="s">
        <v>587</v>
      </c>
      <c r="M577" s="197" t="s">
        <v>587</v>
      </c>
      <c r="N577" s="168"/>
    </row>
    <row r="578" ht="22.5" hidden="1" customHeight="1">
      <c r="A578" s="137" t="s">
        <v>603</v>
      </c>
      <c r="B578" s="90">
        <v>46051.0</v>
      </c>
      <c r="C578" s="200">
        <v>1.0</v>
      </c>
      <c r="D578" s="97" t="s">
        <v>174</v>
      </c>
      <c r="E578" s="201">
        <v>3317.0</v>
      </c>
      <c r="F578" s="202"/>
      <c r="G578" s="194" t="s">
        <v>587</v>
      </c>
      <c r="H578" s="195" t="s">
        <v>603</v>
      </c>
      <c r="I578" s="196"/>
      <c r="J578" s="179">
        <f>IF(A578="RAPPI",(VLOOKUP(TRIM(D578), CATALOGO!F:G, 2, FALSE) * C578)+I578,IFERROR(IF(COUNTIF('RESTAURANTESDESCUENTOS 2026'!A:A,TRIM(A578))&gt;0,((VLOOKUP(TRIM(D578), CATALOGO!A:B, 2, FALSE) * C578)*(1-VALUE(SUBSTITUTE(VLOOKUP(TRIM(A578),'RESTAURANTESDESCUENTOS 2026'!A:B,2,FALSE),"%",""))/100)+I578),(VLOOKUP(TRIM(D578), CATALOGO!A:B, 2, FALSE) * C578+I578)),""))</f>
        <v>18000</v>
      </c>
      <c r="K578" s="196"/>
      <c r="L578" s="87"/>
      <c r="M578" s="197" t="s">
        <v>587</v>
      </c>
      <c r="N578" s="168"/>
    </row>
    <row r="579" ht="22.5" hidden="1" customHeight="1">
      <c r="A579" s="137" t="s">
        <v>603</v>
      </c>
      <c r="B579" s="90">
        <v>46051.0</v>
      </c>
      <c r="C579" s="55">
        <v>1.0</v>
      </c>
      <c r="D579" s="97" t="s">
        <v>601</v>
      </c>
      <c r="E579" s="201">
        <v>8508.0</v>
      </c>
      <c r="F579" s="202"/>
      <c r="G579" s="194" t="s">
        <v>587</v>
      </c>
      <c r="H579" s="195" t="s">
        <v>603</v>
      </c>
      <c r="I579" s="196"/>
      <c r="J579" s="179">
        <f>IF(A579="RAPPI",(VLOOKUP(TRIM(D579), CATALOGO!F:G, 2, FALSE) * C579)+I579,IFERROR(IF(COUNTIF('RESTAURANTESDESCUENTOS 2026'!A:A,TRIM(A579))&gt;0,((VLOOKUP(TRIM(D579), CATALOGO!A:B, 2, FALSE) * C579)*(1-VALUE(SUBSTITUTE(VLOOKUP(TRIM(A579),'RESTAURANTESDESCUENTOS 2026'!A:B,2,FALSE),"%",""))/100)+I579),(VLOOKUP(TRIM(D579), CATALOGO!A:B, 2, FALSE) * C579+I579)),""))</f>
        <v>53000</v>
      </c>
      <c r="K579" s="196"/>
      <c r="L579" s="87"/>
      <c r="M579" s="197" t="s">
        <v>587</v>
      </c>
      <c r="N579" s="168"/>
    </row>
    <row r="580" ht="22.5" hidden="1" customHeight="1">
      <c r="A580" s="137" t="s">
        <v>603</v>
      </c>
      <c r="B580" s="90">
        <v>46051.0</v>
      </c>
      <c r="C580" s="200">
        <v>1.0</v>
      </c>
      <c r="D580" s="97" t="s">
        <v>628</v>
      </c>
      <c r="E580" s="201">
        <v>2857.0</v>
      </c>
      <c r="F580" s="202"/>
      <c r="G580" s="194" t="s">
        <v>587</v>
      </c>
      <c r="H580" s="195" t="s">
        <v>603</v>
      </c>
      <c r="I580" s="196"/>
      <c r="J580" s="179">
        <f>IF(A580="RAPPI",(VLOOKUP(TRIM(D580), CATALOGO!F:G, 2, FALSE) * C580)+I580,IFERROR(IF(COUNTIF('RESTAURANTESDESCUENTOS 2026'!A:A,TRIM(A580))&gt;0,((VLOOKUP(TRIM(D580), CATALOGO!A:B, 2, FALSE) * C580)*(1-VALUE(SUBSTITUTE(VLOOKUP(TRIM(A580),'RESTAURANTESDESCUENTOS 2026'!A:B,2,FALSE),"%",""))/100)+I580),(VLOOKUP(TRIM(D580), CATALOGO!A:B, 2, FALSE) * C580+I580)),""))</f>
        <v>22000</v>
      </c>
      <c r="K580" s="196"/>
      <c r="L580" s="87"/>
      <c r="M580" s="197" t="s">
        <v>587</v>
      </c>
      <c r="N580" s="168"/>
    </row>
    <row r="581" ht="22.5" hidden="1" customHeight="1">
      <c r="A581" s="137" t="s">
        <v>603</v>
      </c>
      <c r="B581" s="90">
        <v>46051.0</v>
      </c>
      <c r="C581" s="200">
        <v>1.0</v>
      </c>
      <c r="D581" s="97" t="s">
        <v>628</v>
      </c>
      <c r="E581" s="201">
        <v>523.0</v>
      </c>
      <c r="F581" s="202"/>
      <c r="G581" s="194" t="s">
        <v>587</v>
      </c>
      <c r="H581" s="195" t="s">
        <v>603</v>
      </c>
      <c r="I581" s="196"/>
      <c r="J581" s="179">
        <f>IF(A581="RAPPI",(VLOOKUP(TRIM(D581), CATALOGO!F:G, 2, FALSE) * C581)+I581,IFERROR(IF(COUNTIF('RESTAURANTESDESCUENTOS 2026'!A:A,TRIM(A581))&gt;0,((VLOOKUP(TRIM(D581), CATALOGO!A:B, 2, FALSE) * C581)*(1-VALUE(SUBSTITUTE(VLOOKUP(TRIM(A581),'RESTAURANTESDESCUENTOS 2026'!A:B,2,FALSE),"%",""))/100)+I581),(VLOOKUP(TRIM(D581), CATALOGO!A:B, 2, FALSE) * C581+I581)),""))</f>
        <v>22000</v>
      </c>
      <c r="K581" s="196"/>
      <c r="L581" s="87"/>
      <c r="M581" s="197" t="s">
        <v>587</v>
      </c>
      <c r="N581" s="168"/>
    </row>
    <row r="582" ht="22.5" hidden="1" customHeight="1">
      <c r="A582" s="137" t="s">
        <v>603</v>
      </c>
      <c r="B582" s="90">
        <v>46051.0</v>
      </c>
      <c r="C582" s="200">
        <v>2.0</v>
      </c>
      <c r="D582" s="97" t="s">
        <v>174</v>
      </c>
      <c r="E582" s="201">
        <v>523.0</v>
      </c>
      <c r="F582" s="202"/>
      <c r="G582" s="194" t="s">
        <v>587</v>
      </c>
      <c r="H582" s="195" t="s">
        <v>603</v>
      </c>
      <c r="I582" s="196"/>
      <c r="J582" s="179">
        <f>IF(A582="RAPPI",(VLOOKUP(TRIM(D582), CATALOGO!F:G, 2, FALSE) * C582)+I582,IFERROR(IF(COUNTIF('RESTAURANTESDESCUENTOS 2026'!A:A,TRIM(A582))&gt;0,((VLOOKUP(TRIM(D582), CATALOGO!A:B, 2, FALSE) * C582)*(1-VALUE(SUBSTITUTE(VLOOKUP(TRIM(A582),'RESTAURANTESDESCUENTOS 2026'!A:B,2,FALSE),"%",""))/100)+I582),(VLOOKUP(TRIM(D582), CATALOGO!A:B, 2, FALSE) * C582+I582)),""))</f>
        <v>36000</v>
      </c>
      <c r="K582" s="196"/>
      <c r="L582" s="87"/>
      <c r="M582" s="197" t="s">
        <v>587</v>
      </c>
      <c r="N582" s="168"/>
    </row>
    <row r="583" ht="22.5" hidden="1" customHeight="1">
      <c r="A583" s="137" t="s">
        <v>605</v>
      </c>
      <c r="B583" s="90">
        <v>46051.0</v>
      </c>
      <c r="C583" s="55">
        <v>1.0</v>
      </c>
      <c r="D583" s="97" t="s">
        <v>176</v>
      </c>
      <c r="E583" s="201" t="s">
        <v>607</v>
      </c>
      <c r="F583" s="202"/>
      <c r="G583" s="194" t="s">
        <v>35</v>
      </c>
      <c r="H583" s="198"/>
      <c r="I583" s="196"/>
      <c r="J583" s="179">
        <f>IF(A583="RAPPI",(VLOOKUP(TRIM(D583), CATALOGO!F:G, 2, FALSE) * C583)+I583,IFERROR(IF(COUNTIF('RESTAURANTESDESCUENTOS 2026'!A:A,TRIM(A583))&gt;0,((VLOOKUP(TRIM(D583), CATALOGO!A:B, 2, FALSE) * C583)*(1-VALUE(SUBSTITUTE(VLOOKUP(TRIM(A583),'RESTAURANTESDESCUENTOS 2026'!A:B,2,FALSE),"%",""))/100)+I583),(VLOOKUP(TRIM(D583), CATALOGO!A:B, 2, FALSE) * C583+I583)),""))</f>
        <v>50000</v>
      </c>
      <c r="K583" s="196"/>
      <c r="L583" s="87"/>
      <c r="M583" s="197" t="s">
        <v>587</v>
      </c>
      <c r="N583" s="168"/>
    </row>
    <row r="584" ht="22.5" hidden="1" customHeight="1">
      <c r="A584" s="137" t="s">
        <v>603</v>
      </c>
      <c r="B584" s="90">
        <v>46051.0</v>
      </c>
      <c r="C584" s="55">
        <v>1.0</v>
      </c>
      <c r="D584" s="97" t="s">
        <v>640</v>
      </c>
      <c r="E584" s="201">
        <v>1391.0</v>
      </c>
      <c r="F584" s="202"/>
      <c r="G584" s="194" t="s">
        <v>587</v>
      </c>
      <c r="H584" s="195" t="s">
        <v>603</v>
      </c>
      <c r="I584" s="196"/>
      <c r="J584" s="179">
        <f>IF(A584="RAPPI",(VLOOKUP(TRIM(D584), CATALOGO!F:G, 2, FALSE) * C584)+I584,IFERROR(IF(COUNTIF('RESTAURANTESDESCUENTOS 2026'!A:A,TRIM(A584))&gt;0,((VLOOKUP(TRIM(D584), CATALOGO!A:B, 2, FALSE) * C584)*(1-VALUE(SUBSTITUTE(VLOOKUP(TRIM(A584),'RESTAURANTESDESCUENTOS 2026'!A:B,2,FALSE),"%",""))/100)+I584),(VLOOKUP(TRIM(D584), CATALOGO!A:B, 2, FALSE) * C584+I584)),""))</f>
        <v>53000</v>
      </c>
      <c r="K584" s="196"/>
      <c r="L584" s="87"/>
      <c r="M584" s="197" t="s">
        <v>587</v>
      </c>
      <c r="N584" s="168"/>
    </row>
    <row r="585" ht="22.5" hidden="1" customHeight="1">
      <c r="A585" s="137" t="s">
        <v>825</v>
      </c>
      <c r="B585" s="90">
        <v>46052.0</v>
      </c>
      <c r="C585" s="55">
        <v>1.0</v>
      </c>
      <c r="D585" s="97" t="s">
        <v>601</v>
      </c>
      <c r="E585" s="201"/>
      <c r="F585" s="202"/>
      <c r="G585" s="194" t="s">
        <v>35</v>
      </c>
      <c r="H585" s="198"/>
      <c r="I585" s="196"/>
      <c r="J585" s="179">
        <f>IF(A585="RAPPI",(VLOOKUP(TRIM(D585), CATALOGO!F:G, 2, FALSE) * C585)+I585,IFERROR(IF(COUNTIF('RESTAURANTESDESCUENTOS 2026'!A:A,TRIM(A585))&gt;0,((VLOOKUP(TRIM(D585), CATALOGO!A:B, 2, FALSE) * C585)*(1-VALUE(SUBSTITUTE(VLOOKUP(TRIM(A585),'RESTAURANTESDESCUENTOS 2026'!A:B,2,FALSE),"%",""))/100)+I585),(VLOOKUP(TRIM(D585), CATALOGO!A:B, 2, FALSE) * C585+I585)),""))</f>
        <v>53000</v>
      </c>
      <c r="K585" s="196"/>
      <c r="L585" s="87"/>
      <c r="M585" s="197" t="s">
        <v>587</v>
      </c>
      <c r="N585" s="168"/>
    </row>
    <row r="586" ht="22.5" hidden="1" customHeight="1">
      <c r="A586" s="137" t="s">
        <v>825</v>
      </c>
      <c r="B586" s="90">
        <v>46052.0</v>
      </c>
      <c r="C586" s="55">
        <v>1.0</v>
      </c>
      <c r="D586" s="97" t="s">
        <v>678</v>
      </c>
      <c r="E586" s="201"/>
      <c r="F586" s="202"/>
      <c r="G586" s="194" t="s">
        <v>35</v>
      </c>
      <c r="H586" s="198"/>
      <c r="I586" s="196"/>
      <c r="J586" s="179">
        <f>IF(A586="RAPPI",(VLOOKUP(TRIM(D586), CATALOGO!F:G, 2, FALSE) * C586)+I586,IFERROR(IF(COUNTIF('RESTAURANTESDESCUENTOS 2026'!A:A,TRIM(A586))&gt;0,((VLOOKUP(TRIM(D586), CATALOGO!A:B, 2, FALSE) * C586)*(1-VALUE(SUBSTITUTE(VLOOKUP(TRIM(A586),'RESTAURANTESDESCUENTOS 2026'!A:B,2,FALSE),"%",""))/100)+I586),(VLOOKUP(TRIM(D586), CATALOGO!A:B, 2, FALSE) * C586+I586)),""))</f>
        <v>123000</v>
      </c>
      <c r="K586" s="196"/>
      <c r="L586" s="87"/>
      <c r="M586" s="197" t="s">
        <v>587</v>
      </c>
      <c r="N586" s="168"/>
    </row>
    <row r="587" ht="22.5" hidden="1" customHeight="1">
      <c r="A587" s="137" t="s">
        <v>825</v>
      </c>
      <c r="B587" s="90">
        <v>46052.0</v>
      </c>
      <c r="C587" s="55">
        <v>1.0</v>
      </c>
      <c r="D587" s="97" t="s">
        <v>182</v>
      </c>
      <c r="E587" s="201"/>
      <c r="F587" s="202"/>
      <c r="G587" s="194" t="s">
        <v>35</v>
      </c>
      <c r="H587" s="198"/>
      <c r="I587" s="196"/>
      <c r="J587" s="179">
        <f>IF(A587="RAPPI",(VLOOKUP(TRIM(D587), CATALOGO!F:G, 2, FALSE) * C587)+I587,IFERROR(IF(COUNTIF('RESTAURANTESDESCUENTOS 2026'!A:A,TRIM(A587))&gt;0,((VLOOKUP(TRIM(D587), CATALOGO!A:B, 2, FALSE) * C587)*(1-VALUE(SUBSTITUTE(VLOOKUP(TRIM(A587),'RESTAURANTESDESCUENTOS 2026'!A:B,2,FALSE),"%",""))/100)+I587),(VLOOKUP(TRIM(D587), CATALOGO!A:B, 2, FALSE) * C587+I587)),""))</f>
        <v>37000</v>
      </c>
      <c r="K587" s="196"/>
      <c r="L587" s="87"/>
      <c r="M587" s="197" t="s">
        <v>587</v>
      </c>
      <c r="N587" s="168"/>
    </row>
    <row r="588" ht="22.5" hidden="1" customHeight="1">
      <c r="A588" s="137" t="s">
        <v>825</v>
      </c>
      <c r="B588" s="90">
        <v>46052.0</v>
      </c>
      <c r="C588" s="55">
        <v>1.0</v>
      </c>
      <c r="D588" s="97" t="s">
        <v>620</v>
      </c>
      <c r="E588" s="201"/>
      <c r="F588" s="202"/>
      <c r="G588" s="194" t="s">
        <v>35</v>
      </c>
      <c r="H588" s="198"/>
      <c r="I588" s="196"/>
      <c r="J588" s="179">
        <f>IF(A588="RAPPI",(VLOOKUP(TRIM(D588), CATALOGO!F:G, 2, FALSE) * C588)+I588,IFERROR(IF(COUNTIF('RESTAURANTESDESCUENTOS 2026'!A:A,TRIM(A588))&gt;0,((VLOOKUP(TRIM(D588), CATALOGO!A:B, 2, FALSE) * C588)*(1-VALUE(SUBSTITUTE(VLOOKUP(TRIM(A588),'RESTAURANTESDESCUENTOS 2026'!A:B,2,FALSE),"%",""))/100)+I588),(VLOOKUP(TRIM(D588), CATALOGO!A:B, 2, FALSE) * C588+I588)),""))</f>
        <v>0</v>
      </c>
      <c r="K588" s="196"/>
      <c r="L588" s="87"/>
      <c r="M588" s="197" t="s">
        <v>587</v>
      </c>
      <c r="N588" s="168"/>
    </row>
    <row r="589" ht="22.5" hidden="1" customHeight="1">
      <c r="A589" s="137" t="s">
        <v>825</v>
      </c>
      <c r="B589" s="90">
        <v>46052.0</v>
      </c>
      <c r="C589" s="55">
        <v>1.0</v>
      </c>
      <c r="D589" s="97" t="s">
        <v>669</v>
      </c>
      <c r="E589" s="201"/>
      <c r="F589" s="202"/>
      <c r="G589" s="194" t="s">
        <v>35</v>
      </c>
      <c r="H589" s="198"/>
      <c r="I589" s="196"/>
      <c r="J589" s="179">
        <f>IF(A589="RAPPI",(VLOOKUP(TRIM(D589), CATALOGO!F:G, 2, FALSE) * C589)+I589,IFERROR(IF(COUNTIF('RESTAURANTESDESCUENTOS 2026'!A:A,TRIM(A589))&gt;0,((VLOOKUP(TRIM(D589), CATALOGO!A:B, 2, FALSE) * C589)*(1-VALUE(SUBSTITUTE(VLOOKUP(TRIM(A589),'RESTAURANTESDESCUENTOS 2026'!A:B,2,FALSE),"%",""))/100)+I589),(VLOOKUP(TRIM(D589), CATALOGO!A:B, 2, FALSE) * C589+I589)),""))</f>
        <v>0</v>
      </c>
      <c r="K589" s="196"/>
      <c r="L589" s="87"/>
      <c r="M589" s="197" t="s">
        <v>587</v>
      </c>
      <c r="N589" s="168"/>
    </row>
    <row r="590" ht="22.5" hidden="1" customHeight="1">
      <c r="A590" s="137" t="s">
        <v>825</v>
      </c>
      <c r="B590" s="90">
        <v>46052.0</v>
      </c>
      <c r="C590" s="55">
        <v>1.0</v>
      </c>
      <c r="D590" s="97" t="s">
        <v>639</v>
      </c>
      <c r="E590" s="201"/>
      <c r="F590" s="202"/>
      <c r="G590" s="194" t="s">
        <v>35</v>
      </c>
      <c r="H590" s="198"/>
      <c r="I590" s="196"/>
      <c r="J590" s="179">
        <f>IF(A590="RAPPI",(VLOOKUP(TRIM(D590), CATALOGO!F:G, 2, FALSE) * C590)+I590,IFERROR(IF(COUNTIF('RESTAURANTESDESCUENTOS 2026'!A:A,TRIM(A590))&gt;0,((VLOOKUP(TRIM(D590), CATALOGO!A:B, 2, FALSE) * C590)*(1-VALUE(SUBSTITUTE(VLOOKUP(TRIM(A590),'RESTAURANTESDESCUENTOS 2026'!A:B,2,FALSE),"%",""))/100)+I590),(VLOOKUP(TRIM(D590), CATALOGO!A:B, 2, FALSE) * C590+I590)),""))</f>
        <v>0</v>
      </c>
      <c r="K590" s="196"/>
      <c r="L590" s="87"/>
      <c r="M590" s="197" t="s">
        <v>587</v>
      </c>
      <c r="N590" s="168"/>
    </row>
    <row r="591" ht="22.5" hidden="1" customHeight="1">
      <c r="A591" s="137" t="s">
        <v>825</v>
      </c>
      <c r="B591" s="90">
        <v>46052.0</v>
      </c>
      <c r="C591" s="55">
        <v>1.0</v>
      </c>
      <c r="D591" s="97" t="s">
        <v>236</v>
      </c>
      <c r="E591" s="201"/>
      <c r="F591" s="202"/>
      <c r="G591" s="194" t="s">
        <v>35</v>
      </c>
      <c r="H591" s="198"/>
      <c r="I591" s="196"/>
      <c r="J591" s="179">
        <f>IF(A591="RAPPI",(VLOOKUP(TRIM(D591), CATALOGO!F:G, 2, FALSE) * C591)+I591,IFERROR(IF(COUNTIF('RESTAURANTESDESCUENTOS 2026'!A:A,TRIM(A591))&gt;0,((VLOOKUP(TRIM(D591), CATALOGO!A:B, 2, FALSE) * C591)*(1-VALUE(SUBSTITUTE(VLOOKUP(TRIM(A591),'RESTAURANTESDESCUENTOS 2026'!A:B,2,FALSE),"%",""))/100)+I591),(VLOOKUP(TRIM(D591), CATALOGO!A:B, 2, FALSE) * C591+I591)),""))</f>
        <v>0</v>
      </c>
      <c r="K591" s="196"/>
      <c r="L591" s="87"/>
      <c r="M591" s="197" t="s">
        <v>587</v>
      </c>
      <c r="N591" s="168"/>
    </row>
    <row r="592" ht="22.5" hidden="1" customHeight="1">
      <c r="A592" s="137" t="s">
        <v>30</v>
      </c>
      <c r="B592" s="90">
        <v>46052.0</v>
      </c>
      <c r="C592" s="55">
        <v>2.0</v>
      </c>
      <c r="D592" s="97" t="s">
        <v>178</v>
      </c>
      <c r="E592" s="201" t="s">
        <v>799</v>
      </c>
      <c r="F592" s="202"/>
      <c r="G592" s="194" t="s">
        <v>587</v>
      </c>
      <c r="H592" s="195" t="s">
        <v>588</v>
      </c>
      <c r="I592" s="196">
        <v>25000.0</v>
      </c>
      <c r="J592" s="179">
        <f>IF(A592="RAPPI",(VLOOKUP(TRIM(D592), CATALOGO!F:G, 2, FALSE) * C592)+I592,IFERROR(IF(COUNTIF('RESTAURANTESDESCUENTOS 2026'!A:A,TRIM(A592))&gt;0,((VLOOKUP(TRIM(D592), CATALOGO!A:B, 2, FALSE) * C592)*(1-VALUE(SUBSTITUTE(VLOOKUP(TRIM(A592),'RESTAURANTESDESCUENTOS 2026'!A:B,2,FALSE),"%",""))/100)+I592),(VLOOKUP(TRIM(D592), CATALOGO!A:B, 2, FALSE) * C592+I592)),""))</f>
        <v>250000</v>
      </c>
      <c r="K592" s="196">
        <v>0.0</v>
      </c>
      <c r="L592" s="87" t="s">
        <v>587</v>
      </c>
      <c r="M592" s="197" t="s">
        <v>587</v>
      </c>
      <c r="N592" s="168"/>
    </row>
    <row r="593" ht="22.5" hidden="1" customHeight="1">
      <c r="A593" s="137" t="s">
        <v>826</v>
      </c>
      <c r="B593" s="90">
        <v>46052.0</v>
      </c>
      <c r="C593" s="55">
        <v>1.0</v>
      </c>
      <c r="D593" s="97" t="s">
        <v>200</v>
      </c>
      <c r="E593" s="201"/>
      <c r="F593" s="202"/>
      <c r="G593" s="194" t="s">
        <v>35</v>
      </c>
      <c r="H593" s="198"/>
      <c r="I593" s="196"/>
      <c r="J593" s="179">
        <f>IF(A593="RAPPI",(VLOOKUP(TRIM(D593), CATALOGO!F:G, 2, FALSE) * C593)+I593,IFERROR(IF(COUNTIF('RESTAURANTESDESCUENTOS 2026'!A:A,TRIM(A593))&gt;0,((VLOOKUP(TRIM(D593), CATALOGO!A:B, 2, FALSE) * C593)*(1-VALUE(SUBSTITUTE(VLOOKUP(TRIM(A593),'RESTAURANTESDESCUENTOS 2026'!A:B,2,FALSE),"%",""))/100)+I593),(VLOOKUP(TRIM(D593), CATALOGO!A:B, 2, FALSE) * C593+I593)),""))</f>
        <v>119000</v>
      </c>
      <c r="K593" s="196"/>
      <c r="L593" s="87"/>
      <c r="M593" s="197" t="s">
        <v>587</v>
      </c>
      <c r="N593" s="168"/>
    </row>
    <row r="594" ht="22.5" hidden="1" customHeight="1">
      <c r="A594" s="137" t="s">
        <v>55</v>
      </c>
      <c r="B594" s="90">
        <v>46052.0</v>
      </c>
      <c r="C594" s="55">
        <v>8.0</v>
      </c>
      <c r="D594" s="97" t="s">
        <v>182</v>
      </c>
      <c r="E594" s="201" t="s">
        <v>827</v>
      </c>
      <c r="F594" s="202"/>
      <c r="G594" s="194" t="s">
        <v>587</v>
      </c>
      <c r="H594" s="195" t="s">
        <v>632</v>
      </c>
      <c r="I594" s="196">
        <v>0.0</v>
      </c>
      <c r="J594" s="179">
        <f>IF(A594="RAPPI",(VLOOKUP(TRIM(D594), CATALOGO!F:G, 2, FALSE) * C594)+I594,IFERROR(IF(COUNTIF('RESTAURANTESDESCUENTOS 2026'!A:A,TRIM(A594))&gt;0,((VLOOKUP(TRIM(D594), CATALOGO!A:B, 2, FALSE) * C594)*(1-VALUE(SUBSTITUTE(VLOOKUP(TRIM(A594),'RESTAURANTESDESCUENTOS 2026'!A:B,2,FALSE),"%",""))/100)+I594),(VLOOKUP(TRIM(D594), CATALOGO!A:B, 2, FALSE) * C594+I594)),""))</f>
        <v>222000</v>
      </c>
      <c r="K594" s="196">
        <v>0.0</v>
      </c>
      <c r="L594" s="87" t="s">
        <v>587</v>
      </c>
      <c r="M594" s="197" t="s">
        <v>587</v>
      </c>
      <c r="N594" s="168"/>
    </row>
    <row r="595" ht="22.5" hidden="1" customHeight="1">
      <c r="A595" s="137" t="s">
        <v>55</v>
      </c>
      <c r="B595" s="90">
        <v>46052.0</v>
      </c>
      <c r="C595" s="55">
        <v>3.0</v>
      </c>
      <c r="D595" s="97" t="s">
        <v>178</v>
      </c>
      <c r="E595" s="201" t="s">
        <v>552</v>
      </c>
      <c r="F595" s="202"/>
      <c r="G595" s="194" t="s">
        <v>587</v>
      </c>
      <c r="H595" s="195" t="s">
        <v>632</v>
      </c>
      <c r="I595" s="196">
        <v>10000.0</v>
      </c>
      <c r="J595" s="179">
        <f>IF(A595="RAPPI",(VLOOKUP(TRIM(D595), CATALOGO!F:G, 2, FALSE) * C595)+I595,IFERROR(IF(COUNTIF('RESTAURANTESDESCUENTOS 2026'!A:A,TRIM(A595))&gt;0,((VLOOKUP(TRIM(D595), CATALOGO!A:B, 2, FALSE) * C595)*(1-VALUE(SUBSTITUTE(VLOOKUP(TRIM(A595),'RESTAURANTESDESCUENTOS 2026'!A:B,2,FALSE),"%",""))/100)+I595),(VLOOKUP(TRIM(D595), CATALOGO!A:B, 2, FALSE) * C595+I595)),""))</f>
        <v>347500</v>
      </c>
      <c r="K595" s="196">
        <v>10000.0</v>
      </c>
      <c r="L595" s="87" t="s">
        <v>587</v>
      </c>
      <c r="M595" s="197" t="s">
        <v>587</v>
      </c>
      <c r="N595" s="168"/>
    </row>
    <row r="596" ht="22.5" hidden="1" customHeight="1">
      <c r="A596" s="137" t="s">
        <v>33</v>
      </c>
      <c r="B596" s="90">
        <v>46052.0</v>
      </c>
      <c r="C596" s="55">
        <v>1.0</v>
      </c>
      <c r="D596" s="97" t="s">
        <v>177</v>
      </c>
      <c r="E596" s="201" t="s">
        <v>610</v>
      </c>
      <c r="F596" s="202"/>
      <c r="G596" s="194" t="s">
        <v>587</v>
      </c>
      <c r="H596" s="195" t="s">
        <v>632</v>
      </c>
      <c r="I596" s="196">
        <v>0.0</v>
      </c>
      <c r="J596" s="179">
        <f>IF(A596="RAPPI",(VLOOKUP(TRIM(D596), CATALOGO!F:G, 2, FALSE) * C596)+I596,IFERROR(IF(COUNTIF('RESTAURANTESDESCUENTOS 2026'!A:A,TRIM(A596))&gt;0,((VLOOKUP(TRIM(D596), CATALOGO!A:B, 2, FALSE) * C596)*(1-VALUE(SUBSTITUTE(VLOOKUP(TRIM(A596),'RESTAURANTESDESCUENTOS 2026'!A:B,2,FALSE),"%",""))/100)+I596),(VLOOKUP(TRIM(D596), CATALOGO!A:B, 2, FALSE) * C596+I596)),""))</f>
        <v>86250</v>
      </c>
      <c r="K596" s="196">
        <v>13000.0</v>
      </c>
      <c r="L596" s="87" t="s">
        <v>587</v>
      </c>
      <c r="M596" s="197" t="s">
        <v>587</v>
      </c>
      <c r="N596" s="168"/>
    </row>
    <row r="597" ht="22.5" hidden="1" customHeight="1">
      <c r="A597" s="137" t="s">
        <v>603</v>
      </c>
      <c r="B597" s="90">
        <v>46052.0</v>
      </c>
      <c r="C597" s="55">
        <v>1.0</v>
      </c>
      <c r="D597" s="97" t="s">
        <v>601</v>
      </c>
      <c r="E597" s="201">
        <v>6694.0</v>
      </c>
      <c r="F597" s="202"/>
      <c r="G597" s="194" t="s">
        <v>587</v>
      </c>
      <c r="H597" s="195" t="s">
        <v>603</v>
      </c>
      <c r="I597" s="196"/>
      <c r="J597" s="179">
        <f>IF(A597="RAPPI",(VLOOKUP(TRIM(D597), CATALOGO!F:G, 2, FALSE) * C597)+I597,IFERROR(IF(COUNTIF('RESTAURANTESDESCUENTOS 2026'!A:A,TRIM(A597))&gt;0,((VLOOKUP(TRIM(D597), CATALOGO!A:B, 2, FALSE) * C597)*(1-VALUE(SUBSTITUTE(VLOOKUP(TRIM(A597),'RESTAURANTESDESCUENTOS 2026'!A:B,2,FALSE),"%",""))/100)+I597),(VLOOKUP(TRIM(D597), CATALOGO!A:B, 2, FALSE) * C597+I597)),""))</f>
        <v>53000</v>
      </c>
      <c r="K597" s="196"/>
      <c r="L597" s="87"/>
      <c r="M597" s="197" t="s">
        <v>587</v>
      </c>
      <c r="N597" s="168"/>
    </row>
    <row r="598" ht="22.5" hidden="1" customHeight="1">
      <c r="A598" s="137" t="s">
        <v>603</v>
      </c>
      <c r="B598" s="90">
        <v>46052.0</v>
      </c>
      <c r="C598" s="55">
        <v>1.0</v>
      </c>
      <c r="D598" s="97" t="s">
        <v>708</v>
      </c>
      <c r="E598" s="201">
        <v>6694.0</v>
      </c>
      <c r="F598" s="202"/>
      <c r="G598" s="194" t="s">
        <v>587</v>
      </c>
      <c r="H598" s="195" t="s">
        <v>603</v>
      </c>
      <c r="I598" s="196"/>
      <c r="J598" s="179">
        <f>IF(A598="RAPPI",(VLOOKUP(TRIM(D598), CATALOGO!F:G, 2, FALSE) * C598)+I598,IFERROR(IF(COUNTIF('RESTAURANTESDESCUENTOS 2026'!A:A,TRIM(A598))&gt;0,((VLOOKUP(TRIM(D598), CATALOGO!A:B, 2, FALSE) * C598)*(1-VALUE(SUBSTITUTE(VLOOKUP(TRIM(A598),'RESTAURANTESDESCUENTOS 2026'!A:B,2,FALSE),"%",""))/100)+I598),(VLOOKUP(TRIM(D598), CATALOGO!A:B, 2, FALSE) * C598+I598)),""))</f>
        <v>53000</v>
      </c>
      <c r="K598" s="196"/>
      <c r="L598" s="87"/>
      <c r="M598" s="197" t="s">
        <v>587</v>
      </c>
      <c r="N598" s="168"/>
    </row>
    <row r="599" ht="22.5" hidden="1" customHeight="1">
      <c r="A599" s="137" t="s">
        <v>603</v>
      </c>
      <c r="B599" s="90">
        <v>46052.0</v>
      </c>
      <c r="C599" s="55">
        <v>1.0</v>
      </c>
      <c r="D599" s="97" t="s">
        <v>640</v>
      </c>
      <c r="E599" s="201">
        <v>6694.0</v>
      </c>
      <c r="F599" s="202"/>
      <c r="G599" s="194" t="s">
        <v>587</v>
      </c>
      <c r="H599" s="195" t="s">
        <v>603</v>
      </c>
      <c r="I599" s="196"/>
      <c r="J599" s="179">
        <f>IF(A599="RAPPI",(VLOOKUP(TRIM(D599), CATALOGO!F:G, 2, FALSE) * C599)+I599,IFERROR(IF(COUNTIF('RESTAURANTESDESCUENTOS 2026'!A:A,TRIM(A599))&gt;0,((VLOOKUP(TRIM(D599), CATALOGO!A:B, 2, FALSE) * C599)*(1-VALUE(SUBSTITUTE(VLOOKUP(TRIM(A599),'RESTAURANTESDESCUENTOS 2026'!A:B,2,FALSE),"%",""))/100)+I599),(VLOOKUP(TRIM(D599), CATALOGO!A:B, 2, FALSE) * C599+I599)),""))</f>
        <v>53000</v>
      </c>
      <c r="K599" s="196"/>
      <c r="L599" s="87"/>
      <c r="M599" s="197" t="s">
        <v>587</v>
      </c>
      <c r="N599" s="168"/>
    </row>
    <row r="600" ht="22.5" hidden="1" customHeight="1">
      <c r="A600" s="137" t="s">
        <v>828</v>
      </c>
      <c r="B600" s="90">
        <v>46052.0</v>
      </c>
      <c r="C600" s="55">
        <v>1.0</v>
      </c>
      <c r="D600" s="97" t="s">
        <v>176</v>
      </c>
      <c r="E600" s="201"/>
      <c r="F600" s="202"/>
      <c r="G600" s="194" t="s">
        <v>35</v>
      </c>
      <c r="H600" s="198"/>
      <c r="I600" s="196"/>
      <c r="J600" s="179">
        <f>IF(A600="RAPPI",(VLOOKUP(TRIM(D600), CATALOGO!F:G, 2, FALSE) * C600)+I600,IFERROR(IF(COUNTIF('RESTAURANTESDESCUENTOS 2026'!A:A,TRIM(A600))&gt;0,((VLOOKUP(TRIM(D600), CATALOGO!A:B, 2, FALSE) * C600)*(1-VALUE(SUBSTITUTE(VLOOKUP(TRIM(A600),'RESTAURANTESDESCUENTOS 2026'!A:B,2,FALSE),"%",""))/100)+I600),(VLOOKUP(TRIM(D600), CATALOGO!A:B, 2, FALSE) * C600+I600)),""))</f>
        <v>50000</v>
      </c>
      <c r="K600" s="196"/>
      <c r="L600" s="87"/>
      <c r="M600" s="197" t="s">
        <v>587</v>
      </c>
      <c r="N600" s="168"/>
    </row>
    <row r="601" ht="22.5" hidden="1" customHeight="1">
      <c r="A601" s="137" t="s">
        <v>828</v>
      </c>
      <c r="B601" s="90">
        <v>46052.0</v>
      </c>
      <c r="C601" s="55">
        <v>1.0</v>
      </c>
      <c r="D601" s="97" t="s">
        <v>182</v>
      </c>
      <c r="E601" s="201"/>
      <c r="F601" s="202"/>
      <c r="G601" s="194" t="s">
        <v>35</v>
      </c>
      <c r="H601" s="198"/>
      <c r="I601" s="196"/>
      <c r="J601" s="179">
        <f>IF(A601="RAPPI",(VLOOKUP(TRIM(D601), CATALOGO!F:G, 2, FALSE) * C601)+I601,IFERROR(IF(COUNTIF('RESTAURANTESDESCUENTOS 2026'!A:A,TRIM(A601))&gt;0,((VLOOKUP(TRIM(D601), CATALOGO!A:B, 2, FALSE) * C601)*(1-VALUE(SUBSTITUTE(VLOOKUP(TRIM(A601),'RESTAURANTESDESCUENTOS 2026'!A:B,2,FALSE),"%",""))/100)+I601),(VLOOKUP(TRIM(D601), CATALOGO!A:B, 2, FALSE) * C601+I601)),""))</f>
        <v>37000</v>
      </c>
      <c r="K601" s="196"/>
      <c r="L601" s="87"/>
      <c r="M601" s="197" t="s">
        <v>587</v>
      </c>
      <c r="N601" s="168"/>
    </row>
    <row r="602" ht="22.5" hidden="1" customHeight="1">
      <c r="A602" s="137" t="s">
        <v>828</v>
      </c>
      <c r="B602" s="90">
        <v>46052.0</v>
      </c>
      <c r="C602" s="55">
        <v>1.0</v>
      </c>
      <c r="D602" s="97" t="s">
        <v>620</v>
      </c>
      <c r="E602" s="201"/>
      <c r="F602" s="202"/>
      <c r="G602" s="194" t="s">
        <v>35</v>
      </c>
      <c r="H602" s="198"/>
      <c r="I602" s="196"/>
      <c r="J602" s="179">
        <f>IF(A602="RAPPI",(VLOOKUP(TRIM(D602), CATALOGO!F:G, 2, FALSE) * C602)+I602,IFERROR(IF(COUNTIF('RESTAURANTESDESCUENTOS 2026'!A:A,TRIM(A602))&gt;0,((VLOOKUP(TRIM(D602), CATALOGO!A:B, 2, FALSE) * C602)*(1-VALUE(SUBSTITUTE(VLOOKUP(TRIM(A602),'RESTAURANTESDESCUENTOS 2026'!A:B,2,FALSE),"%",""))/100)+I602),(VLOOKUP(TRIM(D602), CATALOGO!A:B, 2, FALSE) * C602+I602)),""))</f>
        <v>0</v>
      </c>
      <c r="K602" s="196"/>
      <c r="L602" s="87"/>
      <c r="M602" s="197" t="s">
        <v>587</v>
      </c>
      <c r="N602" s="168"/>
    </row>
    <row r="603" ht="22.5" hidden="1" customHeight="1">
      <c r="A603" s="137" t="s">
        <v>828</v>
      </c>
      <c r="B603" s="90">
        <v>46052.0</v>
      </c>
      <c r="C603" s="55">
        <v>1.0</v>
      </c>
      <c r="D603" s="97" t="s">
        <v>669</v>
      </c>
      <c r="E603" s="201"/>
      <c r="F603" s="202"/>
      <c r="G603" s="194" t="s">
        <v>35</v>
      </c>
      <c r="H603" s="198"/>
      <c r="I603" s="196"/>
      <c r="J603" s="179">
        <f>IF(A603="RAPPI",(VLOOKUP(TRIM(D603), CATALOGO!F:G, 2, FALSE) * C603)+I603,IFERROR(IF(COUNTIF('RESTAURANTESDESCUENTOS 2026'!A:A,TRIM(A603))&gt;0,((VLOOKUP(TRIM(D603), CATALOGO!A:B, 2, FALSE) * C603)*(1-VALUE(SUBSTITUTE(VLOOKUP(TRIM(A603),'RESTAURANTESDESCUENTOS 2026'!A:B,2,FALSE),"%",""))/100)+I603),(VLOOKUP(TRIM(D603), CATALOGO!A:B, 2, FALSE) * C603+I603)),""))</f>
        <v>0</v>
      </c>
      <c r="K603" s="196"/>
      <c r="L603" s="87"/>
      <c r="M603" s="197" t="s">
        <v>587</v>
      </c>
      <c r="N603" s="168"/>
    </row>
    <row r="604" ht="22.5" hidden="1" customHeight="1">
      <c r="A604" s="137" t="s">
        <v>828</v>
      </c>
      <c r="B604" s="90">
        <v>46052.0</v>
      </c>
      <c r="C604" s="55">
        <v>1.0</v>
      </c>
      <c r="D604" s="97" t="s">
        <v>639</v>
      </c>
      <c r="E604" s="201"/>
      <c r="F604" s="202"/>
      <c r="G604" s="194" t="s">
        <v>35</v>
      </c>
      <c r="H604" s="198"/>
      <c r="I604" s="196"/>
      <c r="J604" s="179">
        <f>IF(A604="RAPPI",(VLOOKUP(TRIM(D604), CATALOGO!F:G, 2, FALSE) * C604)+I604,IFERROR(IF(COUNTIF('RESTAURANTESDESCUENTOS 2026'!A:A,TRIM(A604))&gt;0,((VLOOKUP(TRIM(D604), CATALOGO!A:B, 2, FALSE) * C604)*(1-VALUE(SUBSTITUTE(VLOOKUP(TRIM(A604),'RESTAURANTESDESCUENTOS 2026'!A:B,2,FALSE),"%",""))/100)+I604),(VLOOKUP(TRIM(D604), CATALOGO!A:B, 2, FALSE) * C604+I604)),""))</f>
        <v>0</v>
      </c>
      <c r="K604" s="196"/>
      <c r="L604" s="87"/>
      <c r="M604" s="197" t="s">
        <v>587</v>
      </c>
      <c r="N604" s="168"/>
    </row>
    <row r="605" ht="22.5" hidden="1" customHeight="1">
      <c r="A605" s="137" t="s">
        <v>828</v>
      </c>
      <c r="B605" s="90">
        <v>46052.0</v>
      </c>
      <c r="C605" s="55">
        <v>1.0</v>
      </c>
      <c r="D605" s="97" t="s">
        <v>236</v>
      </c>
      <c r="E605" s="201"/>
      <c r="F605" s="202"/>
      <c r="G605" s="194" t="s">
        <v>35</v>
      </c>
      <c r="H605" s="198"/>
      <c r="I605" s="196"/>
      <c r="J605" s="179">
        <f>IF(A605="RAPPI",(VLOOKUP(TRIM(D605), CATALOGO!F:G, 2, FALSE) * C605)+I605,IFERROR(IF(COUNTIF('RESTAURANTESDESCUENTOS 2026'!A:A,TRIM(A605))&gt;0,((VLOOKUP(TRIM(D605), CATALOGO!A:B, 2, FALSE) * C605)*(1-VALUE(SUBSTITUTE(VLOOKUP(TRIM(A605),'RESTAURANTESDESCUENTOS 2026'!A:B,2,FALSE),"%",""))/100)+I605),(VLOOKUP(TRIM(D605), CATALOGO!A:B, 2, FALSE) * C605+I605)),""))</f>
        <v>0</v>
      </c>
      <c r="K605" s="196"/>
      <c r="L605" s="87"/>
      <c r="M605" s="197" t="s">
        <v>587</v>
      </c>
      <c r="N605" s="168"/>
    </row>
    <row r="606" ht="22.5" hidden="1" customHeight="1">
      <c r="A606" s="137" t="s">
        <v>597</v>
      </c>
      <c r="B606" s="90">
        <v>46052.0</v>
      </c>
      <c r="C606" s="55">
        <v>5.0</v>
      </c>
      <c r="D606" s="97" t="s">
        <v>178</v>
      </c>
      <c r="E606" s="201" t="s">
        <v>552</v>
      </c>
      <c r="F606" s="202"/>
      <c r="G606" s="194" t="s">
        <v>587</v>
      </c>
      <c r="H606" s="195" t="s">
        <v>588</v>
      </c>
      <c r="I606" s="196">
        <v>0.0</v>
      </c>
      <c r="J606" s="199">
        <v>0.0</v>
      </c>
      <c r="K606" s="196">
        <v>70000.0</v>
      </c>
      <c r="L606" s="87"/>
      <c r="M606" s="197" t="s">
        <v>587</v>
      </c>
      <c r="N606" s="168"/>
    </row>
    <row r="607" ht="22.5" hidden="1" customHeight="1">
      <c r="A607" s="137" t="s">
        <v>597</v>
      </c>
      <c r="B607" s="90">
        <v>46052.0</v>
      </c>
      <c r="C607" s="55">
        <v>4.0</v>
      </c>
      <c r="D607" s="97" t="s">
        <v>177</v>
      </c>
      <c r="E607" s="201"/>
      <c r="F607" s="202"/>
      <c r="G607" s="194" t="s">
        <v>587</v>
      </c>
      <c r="H607" s="195" t="s">
        <v>588</v>
      </c>
      <c r="I607" s="196">
        <v>0.0</v>
      </c>
      <c r="J607" s="199">
        <v>0.0</v>
      </c>
      <c r="K607" s="196">
        <v>0.0</v>
      </c>
      <c r="L607" s="87"/>
      <c r="M607" s="197" t="s">
        <v>587</v>
      </c>
      <c r="N607" s="168"/>
    </row>
    <row r="608" ht="22.5" hidden="1" customHeight="1">
      <c r="A608" s="137" t="s">
        <v>603</v>
      </c>
      <c r="B608" s="90">
        <v>46052.0</v>
      </c>
      <c r="C608" s="55">
        <v>1.0</v>
      </c>
      <c r="D608" s="97" t="s">
        <v>653</v>
      </c>
      <c r="E608" s="201">
        <v>9285.0</v>
      </c>
      <c r="F608" s="202"/>
      <c r="G608" s="194" t="s">
        <v>587</v>
      </c>
      <c r="H608" s="195" t="s">
        <v>603</v>
      </c>
      <c r="I608" s="196"/>
      <c r="J608" s="179">
        <f>IF(A608="RAPPI",(VLOOKUP(TRIM(D608), CATALOGO!F:G, 2, FALSE) * C608)+I608,IFERROR(IF(COUNTIF('RESTAURANTESDESCUENTOS 2026'!A:A,TRIM(A608))&gt;0,((VLOOKUP(TRIM(D608), CATALOGO!A:B, 2, FALSE) * C608)*(1-VALUE(SUBSTITUTE(VLOOKUP(TRIM(A608),'RESTAURANTESDESCUENTOS 2026'!A:B,2,FALSE),"%",""))/100)+I608),(VLOOKUP(TRIM(D608), CATALOGO!A:B, 2, FALSE) * C608+I608)),""))</f>
        <v>123000</v>
      </c>
      <c r="K608" s="196"/>
      <c r="L608" s="87"/>
      <c r="M608" s="197" t="s">
        <v>587</v>
      </c>
      <c r="N608" s="168"/>
    </row>
    <row r="609" ht="22.5" hidden="1" customHeight="1">
      <c r="A609" s="137" t="s">
        <v>603</v>
      </c>
      <c r="B609" s="90">
        <v>46052.0</v>
      </c>
      <c r="C609" s="55">
        <v>1.0</v>
      </c>
      <c r="D609" s="97" t="s">
        <v>176</v>
      </c>
      <c r="E609" s="201">
        <v>8992.0</v>
      </c>
      <c r="F609" s="202"/>
      <c r="G609" s="194" t="s">
        <v>587</v>
      </c>
      <c r="H609" s="195" t="s">
        <v>603</v>
      </c>
      <c r="I609" s="196"/>
      <c r="J609" s="179">
        <f>IF(A609="RAPPI",(VLOOKUP(TRIM(D609), CATALOGO!F:G, 2, FALSE) * C609)+I609,IFERROR(IF(COUNTIF('RESTAURANTESDESCUENTOS 2026'!A:A,TRIM(A609))&gt;0,((VLOOKUP(TRIM(D609), CATALOGO!A:B, 2, FALSE) * C609)*(1-VALUE(SUBSTITUTE(VLOOKUP(TRIM(A609),'RESTAURANTESDESCUENTOS 2026'!A:B,2,FALSE),"%",""))/100)+I609),(VLOOKUP(TRIM(D609), CATALOGO!A:B, 2, FALSE) * C609+I609)),""))</f>
        <v>50000</v>
      </c>
      <c r="K609" s="196"/>
      <c r="L609" s="87"/>
      <c r="M609" s="197" t="s">
        <v>587</v>
      </c>
      <c r="N609" s="168"/>
    </row>
    <row r="610" ht="22.5" hidden="1" customHeight="1">
      <c r="A610" s="137" t="s">
        <v>605</v>
      </c>
      <c r="B610" s="90">
        <v>46052.0</v>
      </c>
      <c r="C610" s="55">
        <v>1.0</v>
      </c>
      <c r="D610" s="97" t="s">
        <v>192</v>
      </c>
      <c r="E610" s="201" t="s">
        <v>607</v>
      </c>
      <c r="F610" s="202"/>
      <c r="G610" s="194" t="s">
        <v>35</v>
      </c>
      <c r="H610" s="198"/>
      <c r="I610" s="196"/>
      <c r="J610" s="179">
        <f>IF(A610="RAPPI",(VLOOKUP(TRIM(D610), CATALOGO!F:G, 2, FALSE) * C610)+I610,IFERROR(IF(COUNTIF('RESTAURANTESDESCUENTOS 2026'!A:A,TRIM(A610))&gt;0,((VLOOKUP(TRIM(D610), CATALOGO!A:B, 2, FALSE) * C610)*(1-VALUE(SUBSTITUTE(VLOOKUP(TRIM(A610),'RESTAURANTESDESCUENTOS 2026'!A:B,2,FALSE),"%",""))/100)+I610),(VLOOKUP(TRIM(D610), CATALOGO!A:B, 2, FALSE) * C610+I610)),""))</f>
        <v>55000</v>
      </c>
      <c r="K610" s="196"/>
      <c r="L610" s="87"/>
      <c r="M610" s="197" t="s">
        <v>587</v>
      </c>
      <c r="N610" s="168"/>
    </row>
    <row r="611" ht="22.5" hidden="1" customHeight="1">
      <c r="A611" s="137" t="s">
        <v>829</v>
      </c>
      <c r="B611" s="90">
        <v>46052.0</v>
      </c>
      <c r="C611" s="200">
        <v>1.0</v>
      </c>
      <c r="D611" s="97" t="s">
        <v>602</v>
      </c>
      <c r="E611" s="201" t="s">
        <v>645</v>
      </c>
      <c r="F611" s="202"/>
      <c r="G611" s="194" t="s">
        <v>587</v>
      </c>
      <c r="H611" s="195" t="s">
        <v>632</v>
      </c>
      <c r="I611" s="196">
        <v>13000.0</v>
      </c>
      <c r="J611" s="179">
        <f>IF(A611="RAPPI",(VLOOKUP(TRIM(D611), CATALOGO!F:G, 2, FALSE) * C611)+I611,IFERROR(IF(COUNTIF('RESTAURANTESDESCUENTOS 2026'!A:A,TRIM(A611))&gt;0,((VLOOKUP(TRIM(D611), CATALOGO!A:B, 2, FALSE) * C611)*(1-VALUE(SUBSTITUTE(VLOOKUP(TRIM(A611),'RESTAURANTESDESCUENTOS 2026'!A:B,2,FALSE),"%",""))/100)+I611),(VLOOKUP(TRIM(D611), CATALOGO!A:B, 2, FALSE) * C611+I611)),""))</f>
        <v>35000</v>
      </c>
      <c r="K611" s="196">
        <v>13000.0</v>
      </c>
      <c r="L611" s="87"/>
      <c r="M611" s="197" t="s">
        <v>587</v>
      </c>
      <c r="N611" s="168"/>
    </row>
    <row r="612" ht="22.5" hidden="1" customHeight="1">
      <c r="A612" s="137" t="s">
        <v>603</v>
      </c>
      <c r="B612" s="90">
        <v>46052.0</v>
      </c>
      <c r="C612" s="55">
        <v>1.0</v>
      </c>
      <c r="D612" s="97" t="s">
        <v>601</v>
      </c>
      <c r="E612" s="201">
        <v>2346.0</v>
      </c>
      <c r="F612" s="202"/>
      <c r="G612" s="194" t="s">
        <v>587</v>
      </c>
      <c r="H612" s="195" t="s">
        <v>603</v>
      </c>
      <c r="I612" s="196"/>
      <c r="J612" s="179">
        <f>IF(A612="RAPPI",(VLOOKUP(TRIM(D612), CATALOGO!F:G, 2, FALSE) * C612)+I612,IFERROR(IF(COUNTIF('RESTAURANTESDESCUENTOS 2026'!A:A,TRIM(A612))&gt;0,((VLOOKUP(TRIM(D612), CATALOGO!A:B, 2, FALSE) * C612)*(1-VALUE(SUBSTITUTE(VLOOKUP(TRIM(A612),'RESTAURANTESDESCUENTOS 2026'!A:B,2,FALSE),"%",""))/100)+I612),(VLOOKUP(TRIM(D612), CATALOGO!A:B, 2, FALSE) * C612+I612)),""))</f>
        <v>53000</v>
      </c>
      <c r="K612" s="196"/>
      <c r="L612" s="87"/>
      <c r="M612" s="197" t="s">
        <v>587</v>
      </c>
      <c r="N612" s="168"/>
    </row>
    <row r="613" ht="22.5" hidden="1" customHeight="1">
      <c r="A613" s="137" t="s">
        <v>830</v>
      </c>
      <c r="B613" s="90">
        <v>46052.0</v>
      </c>
      <c r="C613" s="55">
        <v>1.0</v>
      </c>
      <c r="D613" s="97" t="s">
        <v>640</v>
      </c>
      <c r="E613" s="201"/>
      <c r="F613" s="202"/>
      <c r="G613" s="194" t="s">
        <v>587</v>
      </c>
      <c r="H613" s="195" t="s">
        <v>632</v>
      </c>
      <c r="I613" s="196">
        <v>12000.0</v>
      </c>
      <c r="J613" s="179">
        <f>IF(A613="RAPPI",(VLOOKUP(TRIM(D613), CATALOGO!F:G, 2, FALSE) * C613)+I613,IFERROR(IF(COUNTIF('RESTAURANTESDESCUENTOS 2026'!A:A,TRIM(A613))&gt;0,((VLOOKUP(TRIM(D613), CATALOGO!A:B, 2, FALSE) * C613)*(1-VALUE(SUBSTITUTE(VLOOKUP(TRIM(A613),'RESTAURANTESDESCUENTOS 2026'!A:B,2,FALSE),"%",""))/100)+I613),(VLOOKUP(TRIM(D613), CATALOGO!A:B, 2, FALSE) * C613+I613)),""))</f>
        <v>65000</v>
      </c>
      <c r="K613" s="196">
        <v>12000.0</v>
      </c>
      <c r="L613" s="87"/>
      <c r="M613" s="197" t="s">
        <v>587</v>
      </c>
      <c r="N613" s="168"/>
    </row>
    <row r="614" ht="22.5" hidden="1" customHeight="1">
      <c r="A614" s="137" t="s">
        <v>603</v>
      </c>
      <c r="B614" s="90">
        <v>46052.0</v>
      </c>
      <c r="C614" s="55">
        <v>1.0</v>
      </c>
      <c r="D614" s="97" t="s">
        <v>187</v>
      </c>
      <c r="E614" s="201">
        <v>8595.0</v>
      </c>
      <c r="F614" s="202"/>
      <c r="G614" s="194" t="s">
        <v>587</v>
      </c>
      <c r="H614" s="195" t="s">
        <v>603</v>
      </c>
      <c r="I614" s="196"/>
      <c r="J614" s="179">
        <f>IF(A614="RAPPI",(VLOOKUP(TRIM(D614), CATALOGO!F:G, 2, FALSE) * C614)+I614,IFERROR(IF(COUNTIF('RESTAURANTESDESCUENTOS 2026'!A:A,TRIM(A614))&gt;0,((VLOOKUP(TRIM(D614), CATALOGO!A:B, 2, FALSE) * C614)*(1-VALUE(SUBSTITUTE(VLOOKUP(TRIM(A614),'RESTAURANTESDESCUENTOS 2026'!A:B,2,FALSE),"%",""))/100)+I614),(VLOOKUP(TRIM(D614), CATALOGO!A:B, 2, FALSE) * C614+I614)),""))</f>
        <v>55000</v>
      </c>
      <c r="K614" s="196"/>
      <c r="L614" s="87"/>
      <c r="M614" s="197" t="s">
        <v>587</v>
      </c>
      <c r="N614" s="168"/>
    </row>
    <row r="615" ht="22.5" hidden="1" customHeight="1">
      <c r="A615" s="137" t="s">
        <v>603</v>
      </c>
      <c r="B615" s="90">
        <v>46052.0</v>
      </c>
      <c r="C615" s="55">
        <v>1.0</v>
      </c>
      <c r="D615" s="97" t="s">
        <v>186</v>
      </c>
      <c r="E615" s="201">
        <v>8595.0</v>
      </c>
      <c r="F615" s="202"/>
      <c r="G615" s="194" t="s">
        <v>587</v>
      </c>
      <c r="H615" s="195" t="s">
        <v>603</v>
      </c>
      <c r="I615" s="196"/>
      <c r="J615" s="179">
        <f>IF(A615="RAPPI",(VLOOKUP(TRIM(D615), CATALOGO!F:G, 2, FALSE) * C615)+I615,IFERROR(IF(COUNTIF('RESTAURANTESDESCUENTOS 2026'!A:A,TRIM(A615))&gt;0,((VLOOKUP(TRIM(D615), CATALOGO!A:B, 2, FALSE) * C615)*(1-VALUE(SUBSTITUTE(VLOOKUP(TRIM(A615),'RESTAURANTESDESCUENTOS 2026'!A:B,2,FALSE),"%",""))/100)+I615),(VLOOKUP(TRIM(D615), CATALOGO!A:B, 2, FALSE) * C615+I615)),""))</f>
        <v>55000</v>
      </c>
      <c r="K615" s="196"/>
      <c r="L615" s="87"/>
      <c r="M615" s="197" t="s">
        <v>587</v>
      </c>
      <c r="N615" s="168"/>
    </row>
    <row r="616" ht="22.5" hidden="1" customHeight="1">
      <c r="A616" s="137" t="s">
        <v>603</v>
      </c>
      <c r="B616" s="90">
        <v>46052.0</v>
      </c>
      <c r="C616" s="55">
        <v>1.0</v>
      </c>
      <c r="D616" s="97" t="s">
        <v>199</v>
      </c>
      <c r="E616" s="201">
        <v>8595.0</v>
      </c>
      <c r="F616" s="202"/>
      <c r="G616" s="194" t="s">
        <v>587</v>
      </c>
      <c r="H616" s="195" t="s">
        <v>603</v>
      </c>
      <c r="I616" s="196"/>
      <c r="J616" s="179">
        <f>IF(A616="RAPPI",(VLOOKUP(TRIM(D616), CATALOGO!F:G, 2, FALSE) * C616)+I616,IFERROR(IF(COUNTIF('RESTAURANTESDESCUENTOS 2026'!A:A,TRIM(A616))&gt;0,((VLOOKUP(TRIM(D616), CATALOGO!A:B, 2, FALSE) * C616)*(1-VALUE(SUBSTITUTE(VLOOKUP(TRIM(A616),'RESTAURANTESDESCUENTOS 2026'!A:B,2,FALSE),"%",""))/100)+I616),(VLOOKUP(TRIM(D616), CATALOGO!A:B, 2, FALSE) * C616+I616)),""))</f>
        <v>55000</v>
      </c>
      <c r="K616" s="196"/>
      <c r="L616" s="87"/>
      <c r="M616" s="197" t="s">
        <v>587</v>
      </c>
      <c r="N616" s="168"/>
    </row>
    <row r="617" ht="22.5" hidden="1" customHeight="1">
      <c r="A617" s="137" t="s">
        <v>603</v>
      </c>
      <c r="B617" s="90">
        <v>46052.0</v>
      </c>
      <c r="C617" s="55">
        <v>1.0</v>
      </c>
      <c r="D617" s="97" t="s">
        <v>678</v>
      </c>
      <c r="E617" s="201">
        <v>3722.0</v>
      </c>
      <c r="F617" s="202"/>
      <c r="G617" s="194" t="s">
        <v>587</v>
      </c>
      <c r="H617" s="195" t="s">
        <v>603</v>
      </c>
      <c r="I617" s="196"/>
      <c r="J617" s="179">
        <f>IF(A617="RAPPI",(VLOOKUP(TRIM(D617), CATALOGO!F:G, 2, FALSE) * C617)+I617,IFERROR(IF(COUNTIF('RESTAURANTESDESCUENTOS 2026'!A:A,TRIM(A617))&gt;0,((VLOOKUP(TRIM(D617), CATALOGO!A:B, 2, FALSE) * C617)*(1-VALUE(SUBSTITUTE(VLOOKUP(TRIM(A617),'RESTAURANTESDESCUENTOS 2026'!A:B,2,FALSE),"%",""))/100)+I617),(VLOOKUP(TRIM(D617), CATALOGO!A:B, 2, FALSE) * C617+I617)),""))</f>
        <v>123000</v>
      </c>
      <c r="K617" s="196"/>
      <c r="L617" s="87"/>
      <c r="M617" s="197" t="s">
        <v>587</v>
      </c>
      <c r="N617" s="168"/>
    </row>
    <row r="618" ht="22.5" hidden="1" customHeight="1">
      <c r="A618" s="137" t="s">
        <v>831</v>
      </c>
      <c r="B618" s="90">
        <v>46052.0</v>
      </c>
      <c r="C618" s="55">
        <v>1.0</v>
      </c>
      <c r="D618" s="97" t="s">
        <v>182</v>
      </c>
      <c r="E618" s="201"/>
      <c r="F618" s="202"/>
      <c r="G618" s="194" t="s">
        <v>587</v>
      </c>
      <c r="H618" s="195" t="s">
        <v>588</v>
      </c>
      <c r="I618" s="196">
        <v>14000.0</v>
      </c>
      <c r="J618" s="179">
        <f>IF(A618="RAPPI",(VLOOKUP(TRIM(D618), CATALOGO!F:G, 2, FALSE) * C618)+I618,IFERROR(IF(COUNTIF('RESTAURANTESDESCUENTOS 2026'!A:A,TRIM(A618))&gt;0,((VLOOKUP(TRIM(D618), CATALOGO!A:B, 2, FALSE) * C618)*(1-VALUE(SUBSTITUTE(VLOOKUP(TRIM(A618),'RESTAURANTESDESCUENTOS 2026'!A:B,2,FALSE),"%",""))/100)+I618),(VLOOKUP(TRIM(D618), CATALOGO!A:B, 2, FALSE) * C618+I618)),""))</f>
        <v>51000</v>
      </c>
      <c r="K618" s="196">
        <v>22000.0</v>
      </c>
      <c r="L618" s="87"/>
      <c r="M618" s="197" t="s">
        <v>587</v>
      </c>
      <c r="N618" s="168"/>
    </row>
    <row r="619" ht="22.5" hidden="1" customHeight="1">
      <c r="A619" s="228" t="s">
        <v>831</v>
      </c>
      <c r="B619" s="123">
        <v>46052.0</v>
      </c>
      <c r="C619" s="62">
        <v>2.0</v>
      </c>
      <c r="D619" s="97" t="s">
        <v>639</v>
      </c>
      <c r="E619" s="201"/>
      <c r="F619" s="202"/>
      <c r="G619" s="194" t="s">
        <v>587</v>
      </c>
      <c r="H619" s="195" t="s">
        <v>588</v>
      </c>
      <c r="I619" s="196">
        <v>0.0</v>
      </c>
      <c r="J619" s="179">
        <f>IF(A619="RAPPI",(VLOOKUP(TRIM(D619), CATALOGO!F:G, 2, FALSE) * C619)+I619,IFERROR(IF(COUNTIF('RESTAURANTESDESCUENTOS 2026'!A:A,TRIM(A619))&gt;0,((VLOOKUP(TRIM(D619), CATALOGO!A:B, 2, FALSE) * C619)*(1-VALUE(SUBSTITUTE(VLOOKUP(TRIM(A619),'RESTAURANTESDESCUENTOS 2026'!A:B,2,FALSE),"%",""))/100)+I619),(VLOOKUP(TRIM(D619), CATALOGO!A:B, 2, FALSE) * C619+I619)),""))</f>
        <v>0</v>
      </c>
      <c r="K619" s="196">
        <v>0.0</v>
      </c>
      <c r="L619" s="87"/>
      <c r="M619" s="197" t="s">
        <v>587</v>
      </c>
      <c r="N619" s="168"/>
    </row>
    <row r="620" ht="22.5" hidden="1" customHeight="1">
      <c r="A620" s="228" t="s">
        <v>831</v>
      </c>
      <c r="B620" s="123">
        <v>46052.0</v>
      </c>
      <c r="C620" s="62">
        <v>2.0</v>
      </c>
      <c r="D620" s="97" t="s">
        <v>236</v>
      </c>
      <c r="E620" s="201"/>
      <c r="F620" s="202"/>
      <c r="G620" s="194" t="s">
        <v>587</v>
      </c>
      <c r="H620" s="195" t="s">
        <v>588</v>
      </c>
      <c r="I620" s="196">
        <v>0.0</v>
      </c>
      <c r="J620" s="179">
        <f>IF(A620="RAPPI",(VLOOKUP(TRIM(D620), CATALOGO!F:G, 2, FALSE) * C620)+I620,IFERROR(IF(COUNTIF('RESTAURANTESDESCUENTOS 2026'!A:A,TRIM(A620))&gt;0,((VLOOKUP(TRIM(D620), CATALOGO!A:B, 2, FALSE) * C620)*(1-VALUE(SUBSTITUTE(VLOOKUP(TRIM(A620),'RESTAURANTESDESCUENTOS 2026'!A:B,2,FALSE),"%",""))/100)+I620),(VLOOKUP(TRIM(D620), CATALOGO!A:B, 2, FALSE) * C620+I620)),""))</f>
        <v>0</v>
      </c>
      <c r="K620" s="196">
        <v>0.0</v>
      </c>
      <c r="L620" s="87"/>
      <c r="M620" s="197" t="s">
        <v>587</v>
      </c>
      <c r="N620" s="168"/>
    </row>
    <row r="621" ht="22.5" hidden="1" customHeight="1">
      <c r="A621" s="137" t="s">
        <v>603</v>
      </c>
      <c r="B621" s="90">
        <v>46052.0</v>
      </c>
      <c r="C621" s="55">
        <v>1.0</v>
      </c>
      <c r="D621" s="97" t="s">
        <v>186</v>
      </c>
      <c r="E621" s="201">
        <v>1221.0</v>
      </c>
      <c r="F621" s="202"/>
      <c r="G621" s="194" t="s">
        <v>587</v>
      </c>
      <c r="H621" s="195" t="s">
        <v>603</v>
      </c>
      <c r="I621" s="196"/>
      <c r="J621" s="179">
        <f>IF(A621="RAPPI",(VLOOKUP(TRIM(D621), CATALOGO!F:G, 2, FALSE) * C621)+I621,IFERROR(IF(COUNTIF('RESTAURANTESDESCUENTOS 2026'!A:A,TRIM(A621))&gt;0,((VLOOKUP(TRIM(D621), CATALOGO!A:B, 2, FALSE) * C621)*(1-VALUE(SUBSTITUTE(VLOOKUP(TRIM(A621),'RESTAURANTESDESCUENTOS 2026'!A:B,2,FALSE),"%",""))/100)+I621),(VLOOKUP(TRIM(D621), CATALOGO!A:B, 2, FALSE) * C621+I621)),""))</f>
        <v>55000</v>
      </c>
      <c r="K621" s="196"/>
      <c r="L621" s="87"/>
      <c r="M621" s="197" t="s">
        <v>587</v>
      </c>
      <c r="N621" s="168"/>
    </row>
    <row r="622" ht="22.5" hidden="1" customHeight="1">
      <c r="A622" s="137" t="s">
        <v>831</v>
      </c>
      <c r="B622" s="90">
        <v>46052.0</v>
      </c>
      <c r="C622" s="55">
        <v>1.0</v>
      </c>
      <c r="D622" s="97" t="s">
        <v>182</v>
      </c>
      <c r="E622" s="201" t="s">
        <v>645</v>
      </c>
      <c r="F622" s="202"/>
      <c r="G622" s="194" t="s">
        <v>587</v>
      </c>
      <c r="H622" s="195" t="s">
        <v>588</v>
      </c>
      <c r="I622" s="196">
        <v>10000.0</v>
      </c>
      <c r="J622" s="179">
        <f>IF(A622="RAPPI",(VLOOKUP(TRIM(D622), CATALOGO!F:G, 2, FALSE) * C622)+I622,IFERROR(IF(COUNTIF('RESTAURANTESDESCUENTOS 2026'!A:A,TRIM(A622))&gt;0,((VLOOKUP(TRIM(D622), CATALOGO!A:B, 2, FALSE) * C622)*(1-VALUE(SUBSTITUTE(VLOOKUP(TRIM(A622),'RESTAURANTESDESCUENTOS 2026'!A:B,2,FALSE),"%",""))/100)+I622),(VLOOKUP(TRIM(D622), CATALOGO!A:B, 2, FALSE) * C622+I622)),""))</f>
        <v>47000</v>
      </c>
      <c r="K622" s="196">
        <v>16000.0</v>
      </c>
      <c r="L622" s="87"/>
      <c r="M622" s="197" t="s">
        <v>587</v>
      </c>
      <c r="N622" s="168"/>
    </row>
    <row r="623" ht="22.5" hidden="1" customHeight="1">
      <c r="A623" s="228" t="s">
        <v>831</v>
      </c>
      <c r="B623" s="123">
        <v>46052.0</v>
      </c>
      <c r="C623" s="62">
        <v>2.0</v>
      </c>
      <c r="D623" s="97" t="s">
        <v>669</v>
      </c>
      <c r="E623" s="201"/>
      <c r="F623" s="202"/>
      <c r="G623" s="194" t="s">
        <v>587</v>
      </c>
      <c r="H623" s="195" t="s">
        <v>588</v>
      </c>
      <c r="I623" s="196">
        <v>0.0</v>
      </c>
      <c r="J623" s="179">
        <f>IF(A623="RAPPI",(VLOOKUP(TRIM(D623), CATALOGO!F:G, 2, FALSE) * C623)+I623,IFERROR(IF(COUNTIF('RESTAURANTESDESCUENTOS 2026'!A:A,TRIM(A623))&gt;0,((VLOOKUP(TRIM(D623), CATALOGO!A:B, 2, FALSE) * C623)*(1-VALUE(SUBSTITUTE(VLOOKUP(TRIM(A623),'RESTAURANTESDESCUENTOS 2026'!A:B,2,FALSE),"%",""))/100)+I623),(VLOOKUP(TRIM(D623), CATALOGO!A:B, 2, FALSE) * C623+I623)),""))</f>
        <v>0</v>
      </c>
      <c r="K623" s="196">
        <v>0.0</v>
      </c>
      <c r="L623" s="87"/>
      <c r="M623" s="197" t="s">
        <v>587</v>
      </c>
      <c r="N623" s="168"/>
    </row>
    <row r="624" ht="22.5" hidden="1" customHeight="1">
      <c r="A624" s="228" t="s">
        <v>831</v>
      </c>
      <c r="B624" s="123">
        <v>46052.0</v>
      </c>
      <c r="C624" s="62">
        <v>2.0</v>
      </c>
      <c r="D624" s="97" t="s">
        <v>620</v>
      </c>
      <c r="E624" s="201"/>
      <c r="F624" s="202"/>
      <c r="G624" s="194" t="s">
        <v>587</v>
      </c>
      <c r="H624" s="195" t="s">
        <v>588</v>
      </c>
      <c r="I624" s="196">
        <v>0.0</v>
      </c>
      <c r="J624" s="179">
        <f>IF(A624="RAPPI",(VLOOKUP(TRIM(D624), CATALOGO!F:G, 2, FALSE) * C624)+I624,IFERROR(IF(COUNTIF('RESTAURANTESDESCUENTOS 2026'!A:A,TRIM(A624))&gt;0,((VLOOKUP(TRIM(D624), CATALOGO!A:B, 2, FALSE) * C624)*(1-VALUE(SUBSTITUTE(VLOOKUP(TRIM(A624),'RESTAURANTESDESCUENTOS 2026'!A:B,2,FALSE),"%",""))/100)+I624),(VLOOKUP(TRIM(D624), CATALOGO!A:B, 2, FALSE) * C624+I624)),""))</f>
        <v>0</v>
      </c>
      <c r="K624" s="196">
        <v>0.0</v>
      </c>
      <c r="L624" s="87"/>
      <c r="M624" s="197" t="s">
        <v>587</v>
      </c>
      <c r="N624" s="168"/>
    </row>
    <row r="625" ht="22.5" hidden="1" customHeight="1">
      <c r="A625" s="229" t="s">
        <v>43</v>
      </c>
      <c r="B625" s="123">
        <v>46052.0</v>
      </c>
      <c r="C625" s="66">
        <v>2.0</v>
      </c>
      <c r="D625" s="97" t="s">
        <v>177</v>
      </c>
      <c r="E625" s="201" t="s">
        <v>799</v>
      </c>
      <c r="F625" s="202"/>
      <c r="G625" s="194" t="s">
        <v>587</v>
      </c>
      <c r="H625" s="195" t="s">
        <v>588</v>
      </c>
      <c r="I625" s="196">
        <v>0.0</v>
      </c>
      <c r="J625" s="179">
        <f>IF(A625="RAPPI",(VLOOKUP(TRIM(D625), CATALOGO!F:G, 2, FALSE) * C625)+I625,IFERROR(IF(COUNTIF('RESTAURANTESDESCUENTOS 2026'!A:A,TRIM(A625))&gt;0,((VLOOKUP(TRIM(D625), CATALOGO!A:B, 2, FALSE) * C625)*(1-VALUE(SUBSTITUTE(VLOOKUP(TRIM(A625),'RESTAURANTESDESCUENTOS 2026'!A:B,2,FALSE),"%",""))/100)+I625),(VLOOKUP(TRIM(D625), CATALOGO!A:B, 2, FALSE) * C625+I625)),""))</f>
        <v>172500</v>
      </c>
      <c r="K625" s="196">
        <v>11000.0</v>
      </c>
      <c r="L625" s="87" t="s">
        <v>587</v>
      </c>
      <c r="M625" s="197" t="s">
        <v>587</v>
      </c>
      <c r="N625" s="168"/>
    </row>
    <row r="626" ht="22.5" hidden="1" customHeight="1">
      <c r="A626" s="229" t="s">
        <v>605</v>
      </c>
      <c r="B626" s="123">
        <v>46052.0</v>
      </c>
      <c r="C626" s="66">
        <v>1.0</v>
      </c>
      <c r="D626" s="97" t="s">
        <v>177</v>
      </c>
      <c r="E626" s="201" t="s">
        <v>832</v>
      </c>
      <c r="F626" s="202"/>
      <c r="G626" s="194" t="s">
        <v>35</v>
      </c>
      <c r="H626" s="198"/>
      <c r="I626" s="196"/>
      <c r="J626" s="179">
        <f>IF(A626="RAPPI",(VLOOKUP(TRIM(D626), CATALOGO!F:G, 2, FALSE) * C626)+I626,IFERROR(IF(COUNTIF('RESTAURANTESDESCUENTOS 2026'!A:A,TRIM(A626))&gt;0,((VLOOKUP(TRIM(D626), CATALOGO!A:B, 2, FALSE) * C626)*(1-VALUE(SUBSTITUTE(VLOOKUP(TRIM(A626),'RESTAURANTESDESCUENTOS 2026'!A:B,2,FALSE),"%",""))/100)+I626),(VLOOKUP(TRIM(D626), CATALOGO!A:B, 2, FALSE) * C626+I626)),""))</f>
        <v>115000</v>
      </c>
      <c r="K626" s="196"/>
      <c r="L626" s="87"/>
      <c r="M626" s="197" t="s">
        <v>587</v>
      </c>
      <c r="N626" s="168"/>
    </row>
    <row r="627" ht="22.5" hidden="1" customHeight="1">
      <c r="A627" s="229" t="s">
        <v>10</v>
      </c>
      <c r="B627" s="123">
        <v>46052.0</v>
      </c>
      <c r="C627" s="66">
        <v>1.0</v>
      </c>
      <c r="D627" s="97" t="s">
        <v>178</v>
      </c>
      <c r="E627" s="201" t="s">
        <v>610</v>
      </c>
      <c r="F627" s="202"/>
      <c r="G627" s="194" t="s">
        <v>587</v>
      </c>
      <c r="H627" s="195" t="s">
        <v>588</v>
      </c>
      <c r="I627" s="196">
        <v>10000.0</v>
      </c>
      <c r="J627" s="179">
        <f>IF(A627="RAPPI",(VLOOKUP(TRIM(D627), CATALOGO!F:G, 2, FALSE) * C627)+I627,IFERROR(IF(COUNTIF('RESTAURANTESDESCUENTOS 2026'!A:A,TRIM(A627))&gt;0,((VLOOKUP(TRIM(D627), CATALOGO!A:B, 2, FALSE) * C627)*(1-VALUE(SUBSTITUTE(VLOOKUP(TRIM(A627),'RESTAURANTESDESCUENTOS 2026'!A:B,2,FALSE),"%",""))/100)+I627),(VLOOKUP(TRIM(D627), CATALOGO!A:B, 2, FALSE) * C627+I627)),""))</f>
        <v>122500</v>
      </c>
      <c r="K627" s="196">
        <v>14000.0</v>
      </c>
      <c r="L627" s="87" t="s">
        <v>587</v>
      </c>
      <c r="M627" s="197" t="s">
        <v>587</v>
      </c>
      <c r="N627" s="168"/>
    </row>
    <row r="628" ht="22.5" hidden="1" customHeight="1">
      <c r="A628" s="137" t="s">
        <v>603</v>
      </c>
      <c r="B628" s="90">
        <v>46052.0</v>
      </c>
      <c r="C628" s="200">
        <v>2.0</v>
      </c>
      <c r="D628" s="97" t="s">
        <v>602</v>
      </c>
      <c r="E628" s="201">
        <v>1026.0</v>
      </c>
      <c r="F628" s="202"/>
      <c r="G628" s="194" t="s">
        <v>587</v>
      </c>
      <c r="H628" s="195" t="s">
        <v>603</v>
      </c>
      <c r="I628" s="196"/>
      <c r="J628" s="179">
        <f>IF(A628="RAPPI",(VLOOKUP(TRIM(D628), CATALOGO!F:G, 2, FALSE) * C628)+I628,IFERROR(IF(COUNTIF('RESTAURANTESDESCUENTOS 2026'!A:A,TRIM(A628))&gt;0,((VLOOKUP(TRIM(D628), CATALOGO!A:B, 2, FALSE) * C628)*(1-VALUE(SUBSTITUTE(VLOOKUP(TRIM(A628),'RESTAURANTESDESCUENTOS 2026'!A:B,2,FALSE),"%",""))/100)+I628),(VLOOKUP(TRIM(D628), CATALOGO!A:B, 2, FALSE) * C628+I628)),""))</f>
        <v>44000</v>
      </c>
      <c r="K628" s="196"/>
      <c r="L628" s="87"/>
      <c r="M628" s="197" t="s">
        <v>587</v>
      </c>
      <c r="N628" s="168"/>
    </row>
    <row r="629" ht="22.5" hidden="1" customHeight="1">
      <c r="A629" s="137" t="s">
        <v>833</v>
      </c>
      <c r="B629" s="123">
        <v>46052.0</v>
      </c>
      <c r="C629" s="55">
        <v>1.0</v>
      </c>
      <c r="D629" s="97" t="s">
        <v>178</v>
      </c>
      <c r="E629" s="201"/>
      <c r="F629" s="202"/>
      <c r="G629" s="194" t="s">
        <v>587</v>
      </c>
      <c r="H629" s="195" t="s">
        <v>588</v>
      </c>
      <c r="I629" s="196">
        <v>10000.0</v>
      </c>
      <c r="J629" s="179">
        <f>IF(A629="RAPPI",(VLOOKUP(TRIM(D629), CATALOGO!F:G, 2, FALSE) * C629)+I629,IFERROR(IF(COUNTIF('RESTAURANTESDESCUENTOS 2026'!A:A,TRIM(A629))&gt;0,((VLOOKUP(TRIM(D629), CATALOGO!A:B, 2, FALSE) * C629)*(1-VALUE(SUBSTITUTE(VLOOKUP(TRIM(A629),'RESTAURANTESDESCUENTOS 2026'!A:B,2,FALSE),"%",""))/100)+I629),(VLOOKUP(TRIM(D629), CATALOGO!A:B, 2, FALSE) * C629+I629)),""))</f>
        <v>160000</v>
      </c>
      <c r="K629" s="196">
        <v>15000.0</v>
      </c>
      <c r="L629" s="87"/>
      <c r="M629" s="197" t="s">
        <v>587</v>
      </c>
      <c r="N629" s="168"/>
    </row>
    <row r="630" ht="22.5" hidden="1" customHeight="1">
      <c r="A630" s="137" t="s">
        <v>605</v>
      </c>
      <c r="B630" s="90">
        <v>46052.0</v>
      </c>
      <c r="C630" s="200">
        <v>1.0</v>
      </c>
      <c r="D630" s="97" t="s">
        <v>628</v>
      </c>
      <c r="E630" s="201" t="s">
        <v>606</v>
      </c>
      <c r="F630" s="202"/>
      <c r="G630" s="194" t="s">
        <v>35</v>
      </c>
      <c r="H630" s="198"/>
      <c r="I630" s="196"/>
      <c r="J630" s="179">
        <f>IF(A630="RAPPI",(VLOOKUP(TRIM(D630), CATALOGO!F:G, 2, FALSE) * C630)+I630,IFERROR(IF(COUNTIF('RESTAURANTESDESCUENTOS 2026'!A:A,TRIM(A630))&gt;0,((VLOOKUP(TRIM(D630), CATALOGO!A:B, 2, FALSE) * C630)*(1-VALUE(SUBSTITUTE(VLOOKUP(TRIM(A630),'RESTAURANTESDESCUENTOS 2026'!A:B,2,FALSE),"%",""))/100)+I630),(VLOOKUP(TRIM(D630), CATALOGO!A:B, 2, FALSE) * C630+I630)),""))</f>
        <v>22000</v>
      </c>
      <c r="K630" s="196"/>
      <c r="L630" s="87"/>
      <c r="M630" s="197" t="s">
        <v>587</v>
      </c>
      <c r="N630" s="168"/>
    </row>
    <row r="631" ht="22.5" hidden="1" customHeight="1">
      <c r="A631" s="137" t="s">
        <v>622</v>
      </c>
      <c r="B631" s="90">
        <v>46052.0</v>
      </c>
      <c r="C631" s="55">
        <v>1.0</v>
      </c>
      <c r="D631" s="97" t="s">
        <v>178</v>
      </c>
      <c r="E631" s="201" t="s">
        <v>28</v>
      </c>
      <c r="F631" s="202"/>
      <c r="G631" s="194" t="s">
        <v>35</v>
      </c>
      <c r="H631" s="198"/>
      <c r="I631" s="196"/>
      <c r="J631" s="199">
        <v>0.0</v>
      </c>
      <c r="K631" s="196"/>
      <c r="L631" s="87"/>
      <c r="M631" s="197" t="s">
        <v>587</v>
      </c>
      <c r="N631" s="168"/>
    </row>
    <row r="632" ht="22.5" hidden="1" customHeight="1">
      <c r="A632" s="137" t="s">
        <v>603</v>
      </c>
      <c r="B632" s="90">
        <v>46052.0</v>
      </c>
      <c r="C632" s="200">
        <v>1.0</v>
      </c>
      <c r="D632" s="97" t="s">
        <v>628</v>
      </c>
      <c r="E632" s="201">
        <v>4855.0</v>
      </c>
      <c r="F632" s="202"/>
      <c r="G632" s="194" t="s">
        <v>587</v>
      </c>
      <c r="H632" s="195" t="s">
        <v>603</v>
      </c>
      <c r="I632" s="196"/>
      <c r="J632" s="179">
        <f>IF(A632="RAPPI",(VLOOKUP(TRIM(D632), CATALOGO!F:G, 2, FALSE) * C632)+I632,IFERROR(IF(COUNTIF('RESTAURANTESDESCUENTOS 2026'!A:A,TRIM(A632))&gt;0,((VLOOKUP(TRIM(D632), CATALOGO!A:B, 2, FALSE) * C632)*(1-VALUE(SUBSTITUTE(VLOOKUP(TRIM(A632),'RESTAURANTESDESCUENTOS 2026'!A:B,2,FALSE),"%",""))/100)+I632),(VLOOKUP(TRIM(D632), CATALOGO!A:B, 2, FALSE) * C632+I632)),""))</f>
        <v>22000</v>
      </c>
      <c r="K632" s="196"/>
      <c r="L632" s="87"/>
      <c r="M632" s="197" t="s">
        <v>587</v>
      </c>
      <c r="N632" s="168"/>
    </row>
    <row r="633" ht="22.5" hidden="1" customHeight="1">
      <c r="A633" s="137" t="s">
        <v>603</v>
      </c>
      <c r="B633" s="90">
        <v>46052.0</v>
      </c>
      <c r="C633" s="200">
        <v>1.0</v>
      </c>
      <c r="D633" s="97" t="s">
        <v>604</v>
      </c>
      <c r="E633" s="201">
        <v>1368.0</v>
      </c>
      <c r="F633" s="202"/>
      <c r="G633" s="194" t="s">
        <v>587</v>
      </c>
      <c r="H633" s="195" t="s">
        <v>603</v>
      </c>
      <c r="I633" s="196"/>
      <c r="J633" s="179">
        <f>IF(A633="RAPPI",(VLOOKUP(TRIM(D633), CATALOGO!F:G, 2, FALSE) * C633)+I633,IFERROR(IF(COUNTIF('RESTAURANTESDESCUENTOS 2026'!A:A,TRIM(A633))&gt;0,((VLOOKUP(TRIM(D633), CATALOGO!A:B, 2, FALSE) * C633)*(1-VALUE(SUBSTITUTE(VLOOKUP(TRIM(A633),'RESTAURANTESDESCUENTOS 2026'!A:B,2,FALSE),"%",""))/100)+I633),(VLOOKUP(TRIM(D633), CATALOGO!A:B, 2, FALSE) * C633+I633)),""))</f>
        <v>22000</v>
      </c>
      <c r="K633" s="196"/>
      <c r="L633" s="87"/>
      <c r="M633" s="197" t="s">
        <v>587</v>
      </c>
      <c r="N633" s="168"/>
    </row>
    <row r="634" ht="22.5" hidden="1" customHeight="1">
      <c r="A634" s="137" t="s">
        <v>603</v>
      </c>
      <c r="B634" s="90">
        <v>46052.0</v>
      </c>
      <c r="C634" s="200">
        <v>1.0</v>
      </c>
      <c r="D634" s="97" t="s">
        <v>602</v>
      </c>
      <c r="E634" s="201">
        <v>1368.0</v>
      </c>
      <c r="F634" s="202"/>
      <c r="G634" s="194" t="s">
        <v>587</v>
      </c>
      <c r="H634" s="195" t="s">
        <v>603</v>
      </c>
      <c r="I634" s="196"/>
      <c r="J634" s="179">
        <f>IF(A634="RAPPI",(VLOOKUP(TRIM(D634), CATALOGO!F:G, 2, FALSE) * C634)+I634,IFERROR(IF(COUNTIF('RESTAURANTESDESCUENTOS 2026'!A:A,TRIM(A634))&gt;0,((VLOOKUP(TRIM(D634), CATALOGO!A:B, 2, FALSE) * C634)*(1-VALUE(SUBSTITUTE(VLOOKUP(TRIM(A634),'RESTAURANTESDESCUENTOS 2026'!A:B,2,FALSE),"%",""))/100)+I634),(VLOOKUP(TRIM(D634), CATALOGO!A:B, 2, FALSE) * C634+I634)),""))</f>
        <v>22000</v>
      </c>
      <c r="K634" s="196"/>
      <c r="L634" s="87"/>
      <c r="M634" s="197" t="s">
        <v>587</v>
      </c>
      <c r="N634" s="168"/>
    </row>
    <row r="635" ht="22.5" hidden="1" customHeight="1">
      <c r="A635" s="137" t="s">
        <v>603</v>
      </c>
      <c r="B635" s="90">
        <v>46052.0</v>
      </c>
      <c r="C635" s="200">
        <v>2.0</v>
      </c>
      <c r="D635" s="97" t="s">
        <v>604</v>
      </c>
      <c r="E635" s="201">
        <v>7001.0</v>
      </c>
      <c r="F635" s="202"/>
      <c r="G635" s="194" t="s">
        <v>587</v>
      </c>
      <c r="H635" s="195" t="s">
        <v>603</v>
      </c>
      <c r="I635" s="196"/>
      <c r="J635" s="179">
        <f>IF(A635="RAPPI",(VLOOKUP(TRIM(D635), CATALOGO!F:G, 2, FALSE) * C635)+I635,IFERROR(IF(COUNTIF('RESTAURANTESDESCUENTOS 2026'!A:A,TRIM(A635))&gt;0,((VLOOKUP(TRIM(D635), CATALOGO!A:B, 2, FALSE) * C635)*(1-VALUE(SUBSTITUTE(VLOOKUP(TRIM(A635),'RESTAURANTESDESCUENTOS 2026'!A:B,2,FALSE),"%",""))/100)+I635),(VLOOKUP(TRIM(D635), CATALOGO!A:B, 2, FALSE) * C635+I635)),""))</f>
        <v>44000</v>
      </c>
      <c r="K635" s="196"/>
      <c r="L635" s="87"/>
      <c r="M635" s="197" t="s">
        <v>587</v>
      </c>
      <c r="N635" s="168"/>
    </row>
    <row r="636" ht="22.5" hidden="1" customHeight="1">
      <c r="A636" s="137" t="s">
        <v>834</v>
      </c>
      <c r="B636" s="90">
        <v>46053.0</v>
      </c>
      <c r="C636" s="55">
        <v>1.0</v>
      </c>
      <c r="D636" s="97" t="s">
        <v>203</v>
      </c>
      <c r="E636" s="201"/>
      <c r="F636" s="202"/>
      <c r="G636" s="194" t="s">
        <v>35</v>
      </c>
      <c r="H636" s="198"/>
      <c r="I636" s="196"/>
      <c r="J636" s="179">
        <f>IF(A636="RAPPI",(VLOOKUP(TRIM(D636), CATALOGO!F:G, 2, FALSE) * C636)+I636,IFERROR(IF(COUNTIF('RESTAURANTESDESCUENTOS 2026'!A:A,TRIM(A636))&gt;0,((VLOOKUP(TRIM(D636), CATALOGO!A:B, 2, FALSE) * C636)*(1-VALUE(SUBSTITUTE(VLOOKUP(TRIM(A636),'RESTAURANTESDESCUENTOS 2026'!A:B,2,FALSE),"%",""))/100)+I636),(VLOOKUP(TRIM(D636), CATALOGO!A:B, 2, FALSE) * C636+I636)),""))</f>
        <v>154000</v>
      </c>
      <c r="K636" s="196"/>
      <c r="L636" s="87"/>
      <c r="M636" s="197" t="s">
        <v>587</v>
      </c>
      <c r="N636" s="168"/>
    </row>
    <row r="637" ht="22.5" hidden="1" customHeight="1">
      <c r="A637" s="137" t="s">
        <v>80</v>
      </c>
      <c r="B637" s="90">
        <v>46053.0</v>
      </c>
      <c r="C637" s="55">
        <v>2.0</v>
      </c>
      <c r="D637" s="97" t="s">
        <v>178</v>
      </c>
      <c r="E637" s="201" t="s">
        <v>552</v>
      </c>
      <c r="F637" s="202"/>
      <c r="G637" s="194" t="s">
        <v>35</v>
      </c>
      <c r="H637" s="198"/>
      <c r="I637" s="196">
        <v>0.0</v>
      </c>
      <c r="J637" s="179">
        <f>IF(A637="RAPPI",(VLOOKUP(TRIM(D637), CATALOGO!F:G, 2, FALSE) * C637)+I637,IFERROR(IF(COUNTIF('RESTAURANTESDESCUENTOS 2026'!A:A,TRIM(A637))&gt;0,((VLOOKUP(TRIM(D637), CATALOGO!A:B, 2, FALSE) * C637)*(1-VALUE(SUBSTITUTE(VLOOKUP(TRIM(A637),'RESTAURANTESDESCUENTOS 2026'!A:B,2,FALSE),"%",""))/100)+I637),(VLOOKUP(TRIM(D637), CATALOGO!A:B, 2, FALSE) * C637+I637)),""))</f>
        <v>225000</v>
      </c>
      <c r="K637" s="196"/>
      <c r="L637" s="87" t="s">
        <v>587</v>
      </c>
      <c r="M637" s="197" t="s">
        <v>587</v>
      </c>
      <c r="N637" s="168"/>
    </row>
    <row r="638" ht="22.5" hidden="1" customHeight="1">
      <c r="A638" s="137" t="s">
        <v>55</v>
      </c>
      <c r="B638" s="90">
        <v>46053.0</v>
      </c>
      <c r="C638" s="55">
        <v>1.0</v>
      </c>
      <c r="D638" s="97" t="s">
        <v>178</v>
      </c>
      <c r="E638" s="201" t="s">
        <v>552</v>
      </c>
      <c r="F638" s="202"/>
      <c r="G638" s="194" t="s">
        <v>587</v>
      </c>
      <c r="H638" s="195" t="s">
        <v>632</v>
      </c>
      <c r="I638" s="196">
        <v>10000.0</v>
      </c>
      <c r="J638" s="179">
        <f>IF(A638="RAPPI",(VLOOKUP(TRIM(D638), CATALOGO!F:G, 2, FALSE) * C638)+I638,IFERROR(IF(COUNTIF('RESTAURANTESDESCUENTOS 2026'!A:A,TRIM(A638))&gt;0,((VLOOKUP(TRIM(D638), CATALOGO!A:B, 2, FALSE) * C638)*(1-VALUE(SUBSTITUTE(VLOOKUP(TRIM(A638),'RESTAURANTESDESCUENTOS 2026'!A:B,2,FALSE),"%",""))/100)+I638),(VLOOKUP(TRIM(D638), CATALOGO!A:B, 2, FALSE) * C638+I638)),""))</f>
        <v>122500</v>
      </c>
      <c r="K638" s="196">
        <v>10000.0</v>
      </c>
      <c r="L638" s="87" t="s">
        <v>587</v>
      </c>
      <c r="M638" s="197" t="s">
        <v>587</v>
      </c>
      <c r="N638" s="168"/>
    </row>
    <row r="639" ht="22.5" hidden="1" customHeight="1">
      <c r="A639" s="137" t="s">
        <v>106</v>
      </c>
      <c r="B639" s="90">
        <v>46053.0</v>
      </c>
      <c r="C639" s="55">
        <v>1.0</v>
      </c>
      <c r="D639" s="97" t="s">
        <v>178</v>
      </c>
      <c r="E639" s="201" t="s">
        <v>610</v>
      </c>
      <c r="F639" s="202"/>
      <c r="G639" s="194" t="s">
        <v>587</v>
      </c>
      <c r="H639" s="195" t="s">
        <v>632</v>
      </c>
      <c r="I639" s="196">
        <v>8000.0</v>
      </c>
      <c r="J639" s="179">
        <f>IF(A639="RAPPI",(VLOOKUP(TRIM(D639), CATALOGO!F:G, 2, FALSE) * C639)+I639,IFERROR(IF(COUNTIF('RESTAURANTESDESCUENTOS 2026'!A:A,TRIM(A639))&gt;0,((VLOOKUP(TRIM(D639), CATALOGO!A:B, 2, FALSE) * C639)*(1-VALUE(SUBSTITUTE(VLOOKUP(TRIM(A639),'RESTAURANTESDESCUENTOS 2026'!A:B,2,FALSE),"%",""))/100)+I639),(VLOOKUP(TRIM(D639), CATALOGO!A:B, 2, FALSE) * C639+I639)),""))</f>
        <v>105125</v>
      </c>
      <c r="K639" s="196">
        <v>10000.0</v>
      </c>
      <c r="L639" s="87" t="s">
        <v>587</v>
      </c>
      <c r="M639" s="197" t="s">
        <v>587</v>
      </c>
      <c r="N639" s="168"/>
    </row>
    <row r="640" ht="22.5" hidden="1" customHeight="1">
      <c r="A640" s="137" t="s">
        <v>21</v>
      </c>
      <c r="B640" s="90">
        <v>46053.0</v>
      </c>
      <c r="C640" s="55">
        <v>1.0</v>
      </c>
      <c r="D640" s="97" t="s">
        <v>178</v>
      </c>
      <c r="E640" s="201" t="s">
        <v>610</v>
      </c>
      <c r="F640" s="202"/>
      <c r="G640" s="194" t="s">
        <v>587</v>
      </c>
      <c r="H640" s="195" t="s">
        <v>588</v>
      </c>
      <c r="I640" s="196">
        <v>15000.0</v>
      </c>
      <c r="J640" s="179">
        <f>IF(A640="RAPPI",(VLOOKUP(TRIM(D640), CATALOGO!F:G, 2, FALSE) * C640)+I640,IFERROR(IF(COUNTIF('RESTAURANTESDESCUENTOS 2026'!A:A,TRIM(A640))&gt;0,((VLOOKUP(TRIM(D640), CATALOGO!A:B, 2, FALSE) * C640)*(1-VALUE(SUBSTITUTE(VLOOKUP(TRIM(A640),'RESTAURANTESDESCUENTOS 2026'!A:B,2,FALSE),"%",""))/100)+I640),(VLOOKUP(TRIM(D640), CATALOGO!A:B, 2, FALSE) * C640+I640)),""))</f>
        <v>127500</v>
      </c>
      <c r="K640" s="196">
        <v>15000.0</v>
      </c>
      <c r="L640" s="87" t="s">
        <v>587</v>
      </c>
      <c r="M640" s="197" t="s">
        <v>587</v>
      </c>
      <c r="N640" s="168"/>
    </row>
    <row r="641" ht="22.5" hidden="1" customHeight="1">
      <c r="A641" s="137" t="s">
        <v>835</v>
      </c>
      <c r="B641" s="90">
        <v>46053.0</v>
      </c>
      <c r="C641" s="55">
        <v>1.0</v>
      </c>
      <c r="D641" s="97" t="s">
        <v>617</v>
      </c>
      <c r="E641" s="201"/>
      <c r="F641" s="202"/>
      <c r="G641" s="194" t="s">
        <v>35</v>
      </c>
      <c r="H641" s="198"/>
      <c r="I641" s="196"/>
      <c r="J641" s="179">
        <f>IF(A641="RAPPI",(VLOOKUP(TRIM(D641), CATALOGO!F:G, 2, FALSE) * C641)+I641,IFERROR(IF(COUNTIF('RESTAURANTESDESCUENTOS 2026'!A:A,TRIM(A641))&gt;0,((VLOOKUP(TRIM(D641), CATALOGO!A:B, 2, FALSE) * C641)*(1-VALUE(SUBSTITUTE(VLOOKUP(TRIM(A641),'RESTAURANTESDESCUENTOS 2026'!A:B,2,FALSE),"%",""))/100)+I641),(VLOOKUP(TRIM(D641), CATALOGO!A:B, 2, FALSE) * C641+I641)),""))</f>
        <v>123000</v>
      </c>
      <c r="K641" s="196"/>
      <c r="L641" s="87"/>
      <c r="M641" s="197" t="s">
        <v>587</v>
      </c>
      <c r="N641" s="168"/>
    </row>
    <row r="642" ht="22.5" hidden="1" customHeight="1">
      <c r="A642" s="137" t="s">
        <v>21</v>
      </c>
      <c r="B642" s="90">
        <v>46053.0</v>
      </c>
      <c r="C642" s="55">
        <v>1.0</v>
      </c>
      <c r="D642" s="97" t="s">
        <v>178</v>
      </c>
      <c r="E642" s="201" t="s">
        <v>836</v>
      </c>
      <c r="F642" s="202"/>
      <c r="G642" s="194" t="s">
        <v>587</v>
      </c>
      <c r="H642" s="195" t="s">
        <v>588</v>
      </c>
      <c r="I642" s="196">
        <v>0.0</v>
      </c>
      <c r="J642" s="199">
        <v>0.0</v>
      </c>
      <c r="K642" s="196">
        <v>29000.0</v>
      </c>
      <c r="L642" s="87"/>
      <c r="M642" s="197" t="s">
        <v>587</v>
      </c>
      <c r="N642" s="168"/>
    </row>
    <row r="643" ht="22.5" hidden="1" customHeight="1">
      <c r="A643" s="137" t="s">
        <v>605</v>
      </c>
      <c r="B643" s="90">
        <v>46053.0</v>
      </c>
      <c r="C643" s="55">
        <v>1.0</v>
      </c>
      <c r="D643" s="97" t="s">
        <v>177</v>
      </c>
      <c r="E643" s="201" t="s">
        <v>607</v>
      </c>
      <c r="F643" s="202"/>
      <c r="G643" s="194" t="s">
        <v>35</v>
      </c>
      <c r="H643" s="198"/>
      <c r="I643" s="196"/>
      <c r="J643" s="179">
        <f>IF(A643="RAPPI",(VLOOKUP(TRIM(D643), CATALOGO!F:G, 2, FALSE) * C643)+I643,IFERROR(IF(COUNTIF('RESTAURANTESDESCUENTOS 2026'!A:A,TRIM(A643))&gt;0,((VLOOKUP(TRIM(D643), CATALOGO!A:B, 2, FALSE) * C643)*(1-VALUE(SUBSTITUTE(VLOOKUP(TRIM(A643),'RESTAURANTESDESCUENTOS 2026'!A:B,2,FALSE),"%",""))/100)+I643),(VLOOKUP(TRIM(D643), CATALOGO!A:B, 2, FALSE) * C643+I643)),""))</f>
        <v>115000</v>
      </c>
      <c r="K643" s="196"/>
      <c r="L643" s="87"/>
      <c r="M643" s="197" t="s">
        <v>587</v>
      </c>
      <c r="N643" s="168"/>
    </row>
    <row r="644" ht="22.5" hidden="1" customHeight="1">
      <c r="A644" s="137" t="s">
        <v>603</v>
      </c>
      <c r="B644" s="90">
        <v>46053.0</v>
      </c>
      <c r="C644" s="55">
        <v>1.0</v>
      </c>
      <c r="D644" s="97" t="s">
        <v>697</v>
      </c>
      <c r="E644" s="201">
        <v>8537.0</v>
      </c>
      <c r="F644" s="202"/>
      <c r="G644" s="194" t="s">
        <v>587</v>
      </c>
      <c r="H644" s="195" t="s">
        <v>603</v>
      </c>
      <c r="I644" s="196"/>
      <c r="J644" s="179">
        <f>IF(A644="RAPPI",(VLOOKUP(TRIM(D644), CATALOGO!F:G, 2, FALSE) * C644)+I644,IFERROR(IF(COUNTIF('RESTAURANTESDESCUENTOS 2026'!A:A,TRIM(A644))&gt;0,((VLOOKUP(TRIM(D644), CATALOGO!A:B, 2, FALSE) * C644)*(1-VALUE(SUBSTITUTE(VLOOKUP(TRIM(A644),'RESTAURANTESDESCUENTOS 2026'!A:B,2,FALSE),"%",""))/100)+I644),(VLOOKUP(TRIM(D644), CATALOGO!A:B, 2, FALSE) * C644+I644)),""))</f>
        <v>163000</v>
      </c>
      <c r="K644" s="196"/>
      <c r="L644" s="87"/>
      <c r="M644" s="197" t="s">
        <v>587</v>
      </c>
      <c r="N644" s="168"/>
    </row>
    <row r="645" ht="22.5" hidden="1" customHeight="1">
      <c r="A645" s="137" t="s">
        <v>837</v>
      </c>
      <c r="B645" s="90">
        <v>46053.0</v>
      </c>
      <c r="C645" s="55">
        <v>1.0</v>
      </c>
      <c r="D645" s="97" t="s">
        <v>824</v>
      </c>
      <c r="E645" s="201"/>
      <c r="F645" s="202"/>
      <c r="G645" s="194" t="s">
        <v>35</v>
      </c>
      <c r="H645" s="198"/>
      <c r="I645" s="196"/>
      <c r="J645" s="179">
        <f>IF(A645="RAPPI",(VLOOKUP(TRIM(D645), CATALOGO!F:G, 2, FALSE) * C645)+I645,IFERROR(IF(COUNTIF('RESTAURANTESDESCUENTOS 2026'!A:A,TRIM(A645))&gt;0,((VLOOKUP(TRIM(D645), CATALOGO!A:B, 2, FALSE) * C645)*(1-VALUE(SUBSTITUTE(VLOOKUP(TRIM(A645),'RESTAURANTESDESCUENTOS 2026'!A:B,2,FALSE),"%",""))/100)+I645),(VLOOKUP(TRIM(D645), CATALOGO!A:B, 2, FALSE) * C645+I645)),""))</f>
        <v>123000</v>
      </c>
      <c r="K645" s="196"/>
      <c r="L645" s="87"/>
      <c r="M645" s="197" t="s">
        <v>587</v>
      </c>
      <c r="N645" s="168"/>
    </row>
    <row r="646" ht="22.5" hidden="1" customHeight="1">
      <c r="A646" s="137" t="s">
        <v>838</v>
      </c>
      <c r="B646" s="90">
        <v>46053.0</v>
      </c>
      <c r="C646" s="55">
        <v>1.0</v>
      </c>
      <c r="D646" s="97" t="s">
        <v>653</v>
      </c>
      <c r="E646" s="201"/>
      <c r="F646" s="202"/>
      <c r="G646" s="194" t="s">
        <v>587</v>
      </c>
      <c r="H646" s="195" t="s">
        <v>588</v>
      </c>
      <c r="I646" s="196">
        <v>12000.0</v>
      </c>
      <c r="J646" s="179">
        <f>IF(A646="RAPPI",(VLOOKUP(TRIM(D646), CATALOGO!F:G, 2, FALSE) * C646)+I646,IFERROR(IF(COUNTIF('RESTAURANTESDESCUENTOS 2026'!A:A,TRIM(A646))&gt;0,((VLOOKUP(TRIM(D646), CATALOGO!A:B, 2, FALSE) * C646)*(1-VALUE(SUBSTITUTE(VLOOKUP(TRIM(A646),'RESTAURANTESDESCUENTOS 2026'!A:B,2,FALSE),"%",""))/100)+I646),(VLOOKUP(TRIM(D646), CATALOGO!A:B, 2, FALSE) * C646+I646)),""))</f>
        <v>135000</v>
      </c>
      <c r="K646" s="196">
        <v>14500.0</v>
      </c>
      <c r="L646" s="87"/>
      <c r="M646" s="197" t="s">
        <v>587</v>
      </c>
      <c r="N646" s="168"/>
    </row>
    <row r="647" ht="22.5" hidden="1" customHeight="1">
      <c r="A647" s="137" t="s">
        <v>603</v>
      </c>
      <c r="B647" s="90">
        <v>46053.0</v>
      </c>
      <c r="C647" s="55">
        <v>1.0</v>
      </c>
      <c r="D647" s="97" t="s">
        <v>176</v>
      </c>
      <c r="E647" s="201">
        <v>2047.0</v>
      </c>
      <c r="F647" s="202"/>
      <c r="G647" s="194" t="s">
        <v>587</v>
      </c>
      <c r="H647" s="195" t="s">
        <v>603</v>
      </c>
      <c r="I647" s="196"/>
      <c r="J647" s="179">
        <f>IF(A647="RAPPI",(VLOOKUP(TRIM(D647), CATALOGO!F:G, 2, FALSE) * C647)+I647,IFERROR(IF(COUNTIF('RESTAURANTESDESCUENTOS 2026'!A:A,TRIM(A647))&gt;0,((VLOOKUP(TRIM(D647), CATALOGO!A:B, 2, FALSE) * C647)*(1-VALUE(SUBSTITUTE(VLOOKUP(TRIM(A647),'RESTAURANTESDESCUENTOS 2026'!A:B,2,FALSE),"%",""))/100)+I647),(VLOOKUP(TRIM(D647), CATALOGO!A:B, 2, FALSE) * C647+I647)),""))</f>
        <v>50000</v>
      </c>
      <c r="K647" s="196"/>
      <c r="L647" s="87"/>
      <c r="M647" s="197" t="s">
        <v>587</v>
      </c>
      <c r="N647" s="168"/>
    </row>
    <row r="648" ht="22.5" hidden="1" customHeight="1">
      <c r="A648" s="137" t="s">
        <v>605</v>
      </c>
      <c r="B648" s="90">
        <v>46053.0</v>
      </c>
      <c r="C648" s="55">
        <v>1.0</v>
      </c>
      <c r="D648" s="97" t="s">
        <v>176</v>
      </c>
      <c r="E648" s="201" t="s">
        <v>606</v>
      </c>
      <c r="F648" s="202"/>
      <c r="G648" s="194" t="s">
        <v>35</v>
      </c>
      <c r="H648" s="198"/>
      <c r="I648" s="196"/>
      <c r="J648" s="179">
        <f>IF(A648="RAPPI",(VLOOKUP(TRIM(D648), CATALOGO!F:G, 2, FALSE) * C648)+I648,IFERROR(IF(COUNTIF('RESTAURANTESDESCUENTOS 2026'!A:A,TRIM(A648))&gt;0,((VLOOKUP(TRIM(D648), CATALOGO!A:B, 2, FALSE) * C648)*(1-VALUE(SUBSTITUTE(VLOOKUP(TRIM(A648),'RESTAURANTESDESCUENTOS 2026'!A:B,2,FALSE),"%",""))/100)+I648),(VLOOKUP(TRIM(D648), CATALOGO!A:B, 2, FALSE) * C648+I648)),""))</f>
        <v>50000</v>
      </c>
      <c r="K648" s="196"/>
      <c r="L648" s="87"/>
      <c r="M648" s="197" t="s">
        <v>587</v>
      </c>
      <c r="N648" s="168"/>
    </row>
    <row r="649" ht="22.5" hidden="1" customHeight="1">
      <c r="A649" s="137" t="s">
        <v>605</v>
      </c>
      <c r="B649" s="90">
        <v>46053.0</v>
      </c>
      <c r="C649" s="55">
        <v>1.0</v>
      </c>
      <c r="D649" s="97" t="s">
        <v>177</v>
      </c>
      <c r="E649" s="201" t="s">
        <v>607</v>
      </c>
      <c r="F649" s="202"/>
      <c r="G649" s="194" t="s">
        <v>35</v>
      </c>
      <c r="H649" s="198"/>
      <c r="I649" s="196"/>
      <c r="J649" s="179">
        <f>IF(A649="RAPPI",(VLOOKUP(TRIM(D649), CATALOGO!F:G, 2, FALSE) * C649)+I649,IFERROR(IF(COUNTIF('RESTAURANTESDESCUENTOS 2026'!A:A,TRIM(A649))&gt;0,((VLOOKUP(TRIM(D649), CATALOGO!A:B, 2, FALSE) * C649)*(1-VALUE(SUBSTITUTE(VLOOKUP(TRIM(A649),'RESTAURANTESDESCUENTOS 2026'!A:B,2,FALSE),"%",""))/100)+I649),(VLOOKUP(TRIM(D649), CATALOGO!A:B, 2, FALSE) * C649+I649)),""))</f>
        <v>115000</v>
      </c>
      <c r="K649" s="196"/>
      <c r="L649" s="87"/>
      <c r="M649" s="197" t="s">
        <v>587</v>
      </c>
      <c r="N649" s="168"/>
    </row>
    <row r="650" ht="22.5" hidden="1" customHeight="1">
      <c r="A650" s="137" t="s">
        <v>605</v>
      </c>
      <c r="B650" s="90">
        <v>46053.0</v>
      </c>
      <c r="C650" s="55">
        <v>1.0</v>
      </c>
      <c r="D650" s="97" t="s">
        <v>177</v>
      </c>
      <c r="E650" s="201" t="s">
        <v>607</v>
      </c>
      <c r="F650" s="202"/>
      <c r="G650" s="194" t="s">
        <v>35</v>
      </c>
      <c r="H650" s="198"/>
      <c r="I650" s="196"/>
      <c r="J650" s="179">
        <f>IF(A650="RAPPI",(VLOOKUP(TRIM(D650), CATALOGO!F:G, 2, FALSE) * C650)+I650,IFERROR(IF(COUNTIF('RESTAURANTESDESCUENTOS 2026'!A:A,TRIM(A650))&gt;0,((VLOOKUP(TRIM(D650), CATALOGO!A:B, 2, FALSE) * C650)*(1-VALUE(SUBSTITUTE(VLOOKUP(TRIM(A650),'RESTAURANTESDESCUENTOS 2026'!A:B,2,FALSE),"%",""))/100)+I650),(VLOOKUP(TRIM(D650), CATALOGO!A:B, 2, FALSE) * C650+I650)),""))</f>
        <v>115000</v>
      </c>
      <c r="K650" s="196"/>
      <c r="L650" s="87"/>
      <c r="M650" s="197" t="s">
        <v>587</v>
      </c>
      <c r="N650" s="168"/>
    </row>
    <row r="651" ht="22.5" hidden="1" customHeight="1">
      <c r="A651" s="137" t="s">
        <v>605</v>
      </c>
      <c r="B651" s="90">
        <v>46053.0</v>
      </c>
      <c r="C651" s="55">
        <v>1.0</v>
      </c>
      <c r="D651" s="97" t="s">
        <v>176</v>
      </c>
      <c r="E651" s="201" t="s">
        <v>606</v>
      </c>
      <c r="F651" s="202"/>
      <c r="G651" s="194" t="s">
        <v>35</v>
      </c>
      <c r="H651" s="198"/>
      <c r="I651" s="196"/>
      <c r="J651" s="179">
        <f>IF(A651="RAPPI",(VLOOKUP(TRIM(D651), CATALOGO!F:G, 2, FALSE) * C651)+I651,IFERROR(IF(COUNTIF('RESTAURANTESDESCUENTOS 2026'!A:A,TRIM(A651))&gt;0,((VLOOKUP(TRIM(D651), CATALOGO!A:B, 2, FALSE) * C651)*(1-VALUE(SUBSTITUTE(VLOOKUP(TRIM(A651),'RESTAURANTESDESCUENTOS 2026'!A:B,2,FALSE),"%",""))/100)+I651),(VLOOKUP(TRIM(D651), CATALOGO!A:B, 2, FALSE) * C651+I651)),""))</f>
        <v>50000</v>
      </c>
      <c r="K651" s="196"/>
      <c r="L651" s="87"/>
      <c r="M651" s="197" t="s">
        <v>587</v>
      </c>
      <c r="N651" s="168"/>
    </row>
    <row r="652" ht="22.5" hidden="1" customHeight="1">
      <c r="A652" s="137" t="s">
        <v>839</v>
      </c>
      <c r="B652" s="90">
        <v>46053.0</v>
      </c>
      <c r="C652" s="55">
        <v>1.0</v>
      </c>
      <c r="D652" s="97" t="s">
        <v>178</v>
      </c>
      <c r="E652" s="201"/>
      <c r="F652" s="202"/>
      <c r="G652" s="194" t="s">
        <v>35</v>
      </c>
      <c r="H652" s="198"/>
      <c r="I652" s="196"/>
      <c r="J652" s="179">
        <f>IF(A652="RAPPI",(VLOOKUP(TRIM(D652), CATALOGO!F:G, 2, FALSE) * C652)+I652,IFERROR(IF(COUNTIF('RESTAURANTESDESCUENTOS 2026'!A:A,TRIM(A652))&gt;0,((VLOOKUP(TRIM(D652), CATALOGO!A:B, 2, FALSE) * C652)*(1-VALUE(SUBSTITUTE(VLOOKUP(TRIM(A652),'RESTAURANTESDESCUENTOS 2026'!A:B,2,FALSE),"%",""))/100)+I652),(VLOOKUP(TRIM(D652), CATALOGO!A:B, 2, FALSE) * C652+I652)),""))</f>
        <v>150000</v>
      </c>
      <c r="K652" s="196"/>
      <c r="L652" s="87"/>
      <c r="M652" s="197" t="s">
        <v>587</v>
      </c>
      <c r="N652" s="168"/>
    </row>
    <row r="653" ht="22.5" hidden="1" customHeight="1">
      <c r="A653" s="137" t="s">
        <v>603</v>
      </c>
      <c r="B653" s="90">
        <v>46053.0</v>
      </c>
      <c r="C653" s="200">
        <v>1.0</v>
      </c>
      <c r="D653" s="97" t="s">
        <v>604</v>
      </c>
      <c r="E653" s="201">
        <v>8786.0</v>
      </c>
      <c r="F653" s="202"/>
      <c r="G653" s="194" t="s">
        <v>587</v>
      </c>
      <c r="H653" s="195" t="s">
        <v>603</v>
      </c>
      <c r="I653" s="196"/>
      <c r="J653" s="179">
        <f>IF(A653="RAPPI",(VLOOKUP(TRIM(D653), CATALOGO!F:G, 2, FALSE) * C653)+I653,IFERROR(IF(COUNTIF('RESTAURANTESDESCUENTOS 2026'!A:A,TRIM(A653))&gt;0,((VLOOKUP(TRIM(D653), CATALOGO!A:B, 2, FALSE) * C653)*(1-VALUE(SUBSTITUTE(VLOOKUP(TRIM(A653),'RESTAURANTESDESCUENTOS 2026'!A:B,2,FALSE),"%",""))/100)+I653),(VLOOKUP(TRIM(D653), CATALOGO!A:B, 2, FALSE) * C653+I653)),""))</f>
        <v>22000</v>
      </c>
      <c r="K653" s="196"/>
      <c r="L653" s="87"/>
      <c r="M653" s="197" t="s">
        <v>587</v>
      </c>
      <c r="N653" s="168"/>
    </row>
    <row r="654" ht="22.5" hidden="1" customHeight="1">
      <c r="A654" s="230" t="s">
        <v>40</v>
      </c>
      <c r="B654" s="90">
        <v>46055.0</v>
      </c>
      <c r="C654" s="55">
        <v>1.0</v>
      </c>
      <c r="D654" s="97" t="s">
        <v>177</v>
      </c>
      <c r="E654" s="201" t="s">
        <v>610</v>
      </c>
      <c r="F654" s="202"/>
      <c r="G654" s="194" t="s">
        <v>587</v>
      </c>
      <c r="H654" s="195" t="s">
        <v>632</v>
      </c>
      <c r="I654" s="196">
        <v>0.0</v>
      </c>
      <c r="J654" s="179">
        <f>IF(A654="RAPPI",(VLOOKUP(TRIM(D654), CATALOGO!F:G, 2, FALSE) * C654)+I654,IFERROR(IF(COUNTIF('RESTAURANTESDESCUENTOS 2026'!A:A,TRIM(A654))&gt;0,((VLOOKUP(TRIM(D654), CATALOGO!A:B, 2, FALSE) * C654)*(1-VALUE(SUBSTITUTE(VLOOKUP(TRIM(A654),'RESTAURANTESDESCUENTOS 2026'!A:B,2,FALSE),"%",""))/100)+I654),(VLOOKUP(TRIM(D654), CATALOGO!A:B, 2, FALSE) * C654+I654)),""))</f>
        <v>86250</v>
      </c>
      <c r="K654" s="196">
        <v>10000.0</v>
      </c>
      <c r="L654" s="87" t="s">
        <v>587</v>
      </c>
      <c r="M654" s="197" t="s">
        <v>587</v>
      </c>
      <c r="N654" s="168"/>
    </row>
    <row r="655" ht="22.5" hidden="1" customHeight="1">
      <c r="A655" s="137" t="s">
        <v>96</v>
      </c>
      <c r="B655" s="90">
        <v>46055.0</v>
      </c>
      <c r="C655" s="55">
        <v>1.0</v>
      </c>
      <c r="D655" s="97" t="s">
        <v>178</v>
      </c>
      <c r="E655" s="201"/>
      <c r="F655" s="202"/>
      <c r="G655" s="194" t="s">
        <v>587</v>
      </c>
      <c r="H655" s="195" t="s">
        <v>632</v>
      </c>
      <c r="I655" s="196">
        <v>5000.0</v>
      </c>
      <c r="J655" s="179">
        <f>IF(A655="RAPPI",(VLOOKUP(TRIM(D655), CATALOGO!F:G, 2, FALSE) * C655)+I655,IFERROR(IF(COUNTIF('RESTAURANTESDESCUENTOS 2026'!A:A,TRIM(A655))&gt;0,((VLOOKUP(TRIM(D655), CATALOGO!A:B, 2, FALSE) * C655)*(1-VALUE(SUBSTITUTE(VLOOKUP(TRIM(A655),'RESTAURANTESDESCUENTOS 2026'!A:B,2,FALSE),"%",""))/100)+I655),(VLOOKUP(TRIM(D655), CATALOGO!A:B, 2, FALSE) * C655+I655)),""))</f>
        <v>110000</v>
      </c>
      <c r="K655" s="196">
        <v>10000.0</v>
      </c>
      <c r="L655" s="87" t="s">
        <v>587</v>
      </c>
      <c r="M655" s="197" t="s">
        <v>587</v>
      </c>
      <c r="N655" s="168"/>
    </row>
    <row r="656" ht="22.5" hidden="1" customHeight="1">
      <c r="A656" s="137" t="s">
        <v>99</v>
      </c>
      <c r="B656" s="90">
        <v>46055.0</v>
      </c>
      <c r="C656" s="55">
        <v>2.0</v>
      </c>
      <c r="D656" s="97" t="s">
        <v>178</v>
      </c>
      <c r="E656" s="201"/>
      <c r="F656" s="202"/>
      <c r="G656" s="194" t="s">
        <v>587</v>
      </c>
      <c r="H656" s="195" t="s">
        <v>632</v>
      </c>
      <c r="I656" s="196">
        <v>5000.0</v>
      </c>
      <c r="J656" s="179">
        <f>IF(A656="RAPPI",(VLOOKUP(TRIM(D656), CATALOGO!F:G, 2, FALSE) * C656)+I656,IFERROR(IF(COUNTIF('RESTAURANTESDESCUENTOS 2026'!A:A,TRIM(A656))&gt;0,((VLOOKUP(TRIM(D656), CATALOGO!A:B, 2, FALSE) * C656)*(1-VALUE(SUBSTITUTE(VLOOKUP(TRIM(A656),'RESTAURANTESDESCUENTOS 2026'!A:B,2,FALSE),"%",""))/100)+I656),(VLOOKUP(TRIM(D656), CATALOGO!A:B, 2, FALSE) * C656+I656)),""))</f>
        <v>215000</v>
      </c>
      <c r="K656" s="196">
        <v>10000.0</v>
      </c>
      <c r="L656" s="87" t="s">
        <v>587</v>
      </c>
      <c r="M656" s="197" t="s">
        <v>587</v>
      </c>
      <c r="N656" s="168"/>
    </row>
    <row r="657" ht="22.5" hidden="1" customHeight="1">
      <c r="A657" s="137" t="s">
        <v>55</v>
      </c>
      <c r="B657" s="90">
        <v>46055.0</v>
      </c>
      <c r="C657" s="55">
        <v>1.0</v>
      </c>
      <c r="D657" s="97" t="s">
        <v>178</v>
      </c>
      <c r="E657" s="201"/>
      <c r="F657" s="202"/>
      <c r="G657" s="194" t="s">
        <v>587</v>
      </c>
      <c r="H657" s="195" t="s">
        <v>632</v>
      </c>
      <c r="I657" s="196">
        <v>10000.0</v>
      </c>
      <c r="J657" s="179">
        <f>IF(A657="RAPPI",(VLOOKUP(TRIM(D657), CATALOGO!F:G, 2, FALSE) * C657)+I657,IFERROR(IF(COUNTIF('RESTAURANTESDESCUENTOS 2026'!A:A,TRIM(A657))&gt;0,((VLOOKUP(TRIM(D657), CATALOGO!A:B, 2, FALSE) * C657)*(1-VALUE(SUBSTITUTE(VLOOKUP(TRIM(A657),'RESTAURANTESDESCUENTOS 2026'!A:B,2,FALSE),"%",""))/100)+I657),(VLOOKUP(TRIM(D657), CATALOGO!A:B, 2, FALSE) * C657+I657)),""))</f>
        <v>122500</v>
      </c>
      <c r="K657" s="196">
        <v>10000.0</v>
      </c>
      <c r="L657" s="87" t="s">
        <v>587</v>
      </c>
      <c r="M657" s="197" t="s">
        <v>587</v>
      </c>
      <c r="N657" s="168"/>
    </row>
    <row r="658" ht="22.5" hidden="1" customHeight="1">
      <c r="A658" s="230" t="s">
        <v>33</v>
      </c>
      <c r="B658" s="90">
        <v>46055.0</v>
      </c>
      <c r="C658" s="55">
        <v>1.0</v>
      </c>
      <c r="D658" s="97" t="s">
        <v>177</v>
      </c>
      <c r="E658" s="201"/>
      <c r="F658" s="202"/>
      <c r="G658" s="194" t="s">
        <v>587</v>
      </c>
      <c r="H658" s="195" t="s">
        <v>632</v>
      </c>
      <c r="I658" s="196">
        <v>0.0</v>
      </c>
      <c r="J658" s="179">
        <f>IF(A658="RAPPI",(VLOOKUP(TRIM(D658), CATALOGO!F:G, 2, FALSE) * C658)+I658,IFERROR(IF(COUNTIF('RESTAURANTESDESCUENTOS 2026'!A:A,TRIM(A658))&gt;0,((VLOOKUP(TRIM(D658), CATALOGO!A:B, 2, FALSE) * C658)*(1-VALUE(SUBSTITUTE(VLOOKUP(TRIM(A658),'RESTAURANTESDESCUENTOS 2026'!A:B,2,FALSE),"%",""))/100)+I658),(VLOOKUP(TRIM(D658), CATALOGO!A:B, 2, FALSE) * C658+I658)),""))</f>
        <v>86250</v>
      </c>
      <c r="K658" s="196">
        <v>18000.0</v>
      </c>
      <c r="L658" s="87" t="s">
        <v>587</v>
      </c>
      <c r="M658" s="197" t="s">
        <v>587</v>
      </c>
      <c r="N658" s="168"/>
    </row>
    <row r="659" ht="22.5" hidden="1" customHeight="1">
      <c r="A659" s="230" t="s">
        <v>46</v>
      </c>
      <c r="B659" s="90">
        <v>46055.0</v>
      </c>
      <c r="C659" s="55">
        <v>1.0</v>
      </c>
      <c r="D659" s="97" t="s">
        <v>177</v>
      </c>
      <c r="E659" s="201"/>
      <c r="F659" s="202"/>
      <c r="G659" s="194" t="s">
        <v>587</v>
      </c>
      <c r="H659" s="195" t="s">
        <v>632</v>
      </c>
      <c r="I659" s="196">
        <v>0.0</v>
      </c>
      <c r="J659" s="179">
        <f>IF(A659="RAPPI",(VLOOKUP(TRIM(D659), CATALOGO!F:G, 2, FALSE) * C659)+I659,IFERROR(IF(COUNTIF('RESTAURANTESDESCUENTOS 2026'!A:A,TRIM(A659))&gt;0,((VLOOKUP(TRIM(D659), CATALOGO!A:B, 2, FALSE) * C659)*(1-VALUE(SUBSTITUTE(VLOOKUP(TRIM(A659),'RESTAURANTESDESCUENTOS 2026'!A:B,2,FALSE),"%",""))/100)+I659),(VLOOKUP(TRIM(D659), CATALOGO!A:B, 2, FALSE) * C659+I659)),""))</f>
        <v>86250</v>
      </c>
      <c r="K659" s="196">
        <v>0.0</v>
      </c>
      <c r="L659" s="87" t="s">
        <v>587</v>
      </c>
      <c r="M659" s="197" t="s">
        <v>587</v>
      </c>
      <c r="N659" s="168"/>
    </row>
    <row r="660" ht="22.5" hidden="1" customHeight="1">
      <c r="A660" s="137" t="s">
        <v>603</v>
      </c>
      <c r="B660" s="90">
        <v>46055.0</v>
      </c>
      <c r="C660" s="55">
        <v>1.0</v>
      </c>
      <c r="D660" s="97" t="s">
        <v>177</v>
      </c>
      <c r="E660" s="201">
        <v>7041.0</v>
      </c>
      <c r="F660" s="202"/>
      <c r="G660" s="194" t="s">
        <v>587</v>
      </c>
      <c r="H660" s="195" t="s">
        <v>603</v>
      </c>
      <c r="I660" s="196"/>
      <c r="J660" s="179">
        <f>IF(A660="RAPPI",(VLOOKUP(TRIM(D660), CATALOGO!F:G, 2, FALSE) * C660)+I660,IFERROR(IF(COUNTIF('RESTAURANTESDESCUENTOS 2026'!A:A,TRIM(A660))&gt;0,((VLOOKUP(TRIM(D660), CATALOGO!A:B, 2, FALSE) * C660)*(1-VALUE(SUBSTITUTE(VLOOKUP(TRIM(A660),'RESTAURANTESDESCUENTOS 2026'!A:B,2,FALSE),"%",""))/100)+I660),(VLOOKUP(TRIM(D660), CATALOGO!A:B, 2, FALSE) * C660+I660)),""))</f>
        <v>115000</v>
      </c>
      <c r="K660" s="196"/>
      <c r="L660" s="87"/>
      <c r="M660" s="197" t="s">
        <v>587</v>
      </c>
      <c r="N660" s="168"/>
    </row>
    <row r="661" ht="22.5" hidden="1" customHeight="1">
      <c r="A661" s="137" t="s">
        <v>603</v>
      </c>
      <c r="B661" s="90">
        <v>46055.0</v>
      </c>
      <c r="C661" s="55">
        <v>1.0</v>
      </c>
      <c r="D661" s="97" t="s">
        <v>177</v>
      </c>
      <c r="E661" s="201">
        <v>9159.0</v>
      </c>
      <c r="F661" s="202"/>
      <c r="G661" s="194" t="s">
        <v>587</v>
      </c>
      <c r="H661" s="195" t="s">
        <v>603</v>
      </c>
      <c r="I661" s="196"/>
      <c r="J661" s="179">
        <f>IF(A661="RAPPI",(VLOOKUP(TRIM(D661), CATALOGO!F:G, 2, FALSE) * C661)+I661,IFERROR(IF(COUNTIF('RESTAURANTESDESCUENTOS 2026'!A:A,TRIM(A661))&gt;0,((VLOOKUP(TRIM(D661), CATALOGO!A:B, 2, FALSE) * C661)*(1-VALUE(SUBSTITUTE(VLOOKUP(TRIM(A661),'RESTAURANTESDESCUENTOS 2026'!A:B,2,FALSE),"%",""))/100)+I661),(VLOOKUP(TRIM(D661), CATALOGO!A:B, 2, FALSE) * C661+I661)),""))</f>
        <v>115000</v>
      </c>
      <c r="K661" s="196"/>
      <c r="L661" s="87"/>
      <c r="M661" s="197" t="s">
        <v>587</v>
      </c>
      <c r="N661" s="168"/>
    </row>
    <row r="662" ht="22.5" hidden="1" customHeight="1">
      <c r="A662" s="137" t="s">
        <v>603</v>
      </c>
      <c r="B662" s="90">
        <v>46055.0</v>
      </c>
      <c r="C662" s="55">
        <v>1.0</v>
      </c>
      <c r="D662" s="97" t="s">
        <v>601</v>
      </c>
      <c r="E662" s="201">
        <v>2314.0</v>
      </c>
      <c r="F662" s="202"/>
      <c r="G662" s="194" t="s">
        <v>587</v>
      </c>
      <c r="H662" s="195" t="s">
        <v>603</v>
      </c>
      <c r="I662" s="196"/>
      <c r="J662" s="179">
        <f>IF(A662="RAPPI",(VLOOKUP(TRIM(D662), CATALOGO!F:G, 2, FALSE) * C662)+I662,IFERROR(IF(COUNTIF('RESTAURANTESDESCUENTOS 2026'!A:A,TRIM(A662))&gt;0,((VLOOKUP(TRIM(D662), CATALOGO!A:B, 2, FALSE) * C662)*(1-VALUE(SUBSTITUTE(VLOOKUP(TRIM(A662),'RESTAURANTESDESCUENTOS 2026'!A:B,2,FALSE),"%",""))/100)+I662),(VLOOKUP(TRIM(D662), CATALOGO!A:B, 2, FALSE) * C662+I662)),""))</f>
        <v>53000</v>
      </c>
      <c r="K662" s="196"/>
      <c r="L662" s="87"/>
      <c r="M662" s="197" t="s">
        <v>587</v>
      </c>
      <c r="N662" s="168"/>
    </row>
    <row r="663" ht="22.5" hidden="1" customHeight="1">
      <c r="A663" s="137" t="s">
        <v>167</v>
      </c>
      <c r="B663" s="90">
        <v>46055.0</v>
      </c>
      <c r="C663" s="55">
        <v>1.0</v>
      </c>
      <c r="D663" s="97" t="s">
        <v>697</v>
      </c>
      <c r="E663" s="201"/>
      <c r="F663" s="202"/>
      <c r="G663" s="194" t="s">
        <v>587</v>
      </c>
      <c r="H663" s="195" t="s">
        <v>632</v>
      </c>
      <c r="I663" s="196">
        <v>0.0</v>
      </c>
      <c r="J663" s="199">
        <v>0.0</v>
      </c>
      <c r="K663" s="196">
        <v>10000.0</v>
      </c>
      <c r="L663" s="87"/>
      <c r="M663" s="197" t="s">
        <v>587</v>
      </c>
      <c r="N663" s="168"/>
    </row>
    <row r="664" ht="22.5" hidden="1" customHeight="1">
      <c r="A664" s="137" t="s">
        <v>593</v>
      </c>
      <c r="B664" s="90">
        <v>46055.0</v>
      </c>
      <c r="C664" s="55">
        <v>1.0</v>
      </c>
      <c r="D664" s="97" t="s">
        <v>178</v>
      </c>
      <c r="E664" s="201"/>
      <c r="F664" s="202"/>
      <c r="G664" s="194" t="s">
        <v>35</v>
      </c>
      <c r="H664" s="198"/>
      <c r="I664" s="196"/>
      <c r="J664" s="179">
        <f>IF(A664="RAPPI",(VLOOKUP(TRIM(D664), CATALOGO!F:G, 2, FALSE) * C664)+I664,IFERROR(IF(COUNTIF('RESTAURANTESDESCUENTOS 2026'!A:A,TRIM(A664))&gt;0,((VLOOKUP(TRIM(D664), CATALOGO!A:B, 2, FALSE) * C664)*(1-VALUE(SUBSTITUTE(VLOOKUP(TRIM(A664),'RESTAURANTESDESCUENTOS 2026'!A:B,2,FALSE),"%",""))/100)+I664),(VLOOKUP(TRIM(D664), CATALOGO!A:B, 2, FALSE) * C664+I664)),""))</f>
        <v>105000</v>
      </c>
      <c r="K664" s="196"/>
      <c r="L664" s="87" t="s">
        <v>587</v>
      </c>
      <c r="M664" s="197" t="s">
        <v>587</v>
      </c>
      <c r="N664" s="168"/>
    </row>
    <row r="665" ht="22.5" hidden="1" customHeight="1">
      <c r="A665" s="137" t="s">
        <v>17</v>
      </c>
      <c r="B665" s="90">
        <v>46055.0</v>
      </c>
      <c r="C665" s="55">
        <v>1.0</v>
      </c>
      <c r="D665" s="97" t="s">
        <v>178</v>
      </c>
      <c r="E665" s="201"/>
      <c r="F665" s="202"/>
      <c r="G665" s="194" t="s">
        <v>587</v>
      </c>
      <c r="H665" s="195" t="s">
        <v>632</v>
      </c>
      <c r="I665" s="196">
        <v>10000.0</v>
      </c>
      <c r="J665" s="179">
        <f>IF(A665="RAPPI",(VLOOKUP(TRIM(D665), CATALOGO!F:G, 2, FALSE) * C665)+I665,IFERROR(IF(COUNTIF('RESTAURANTESDESCUENTOS 2026'!A:A,TRIM(A665))&gt;0,((VLOOKUP(TRIM(D665), CATALOGO!A:B, 2, FALSE) * C665)*(1-VALUE(SUBSTITUTE(VLOOKUP(TRIM(A665),'RESTAURANTESDESCUENTOS 2026'!A:B,2,FALSE),"%",""))/100)+I665),(VLOOKUP(TRIM(D665), CATALOGO!A:B, 2, FALSE) * C665+I665)),""))</f>
        <v>122500</v>
      </c>
      <c r="K665" s="196">
        <v>10000.0</v>
      </c>
      <c r="L665" s="87" t="s">
        <v>587</v>
      </c>
      <c r="M665" s="197" t="s">
        <v>587</v>
      </c>
      <c r="N665" s="168"/>
    </row>
    <row r="666" ht="22.5" hidden="1" customHeight="1">
      <c r="A666" s="137" t="s">
        <v>605</v>
      </c>
      <c r="B666" s="90">
        <v>46055.0</v>
      </c>
      <c r="C666" s="55">
        <v>1.0</v>
      </c>
      <c r="D666" s="97" t="s">
        <v>601</v>
      </c>
      <c r="E666" s="201" t="s">
        <v>630</v>
      </c>
      <c r="F666" s="202"/>
      <c r="G666" s="194" t="s">
        <v>35</v>
      </c>
      <c r="H666" s="198"/>
      <c r="I666" s="196"/>
      <c r="J666" s="179">
        <f>IF(A666="RAPPI",(VLOOKUP(TRIM(D666), CATALOGO!F:G, 2, FALSE) * C666)+I666,IFERROR(IF(COUNTIF('RESTAURANTESDESCUENTOS 2026'!A:A,TRIM(A666))&gt;0,((VLOOKUP(TRIM(D666), CATALOGO!A:B, 2, FALSE) * C666)*(1-VALUE(SUBSTITUTE(VLOOKUP(TRIM(A666),'RESTAURANTESDESCUENTOS 2026'!A:B,2,FALSE),"%",""))/100)+I666),(VLOOKUP(TRIM(D666), CATALOGO!A:B, 2, FALSE) * C666+I666)),""))</f>
        <v>53000</v>
      </c>
      <c r="K666" s="196"/>
      <c r="L666" s="87"/>
      <c r="M666" s="197" t="s">
        <v>587</v>
      </c>
      <c r="N666" s="168"/>
    </row>
    <row r="667" ht="22.5" hidden="1" customHeight="1">
      <c r="A667" s="137" t="s">
        <v>605</v>
      </c>
      <c r="B667" s="90">
        <v>46055.0</v>
      </c>
      <c r="C667" s="55">
        <v>1.0</v>
      </c>
      <c r="D667" s="97" t="s">
        <v>176</v>
      </c>
      <c r="E667" s="201" t="s">
        <v>630</v>
      </c>
      <c r="F667" s="202"/>
      <c r="G667" s="194" t="s">
        <v>35</v>
      </c>
      <c r="H667" s="198"/>
      <c r="I667" s="196"/>
      <c r="J667" s="179">
        <f>IF(A667="RAPPI",(VLOOKUP(TRIM(D667), CATALOGO!F:G, 2, FALSE) * C667)+I667,IFERROR(IF(COUNTIF('RESTAURANTESDESCUENTOS 2026'!A:A,TRIM(A667))&gt;0,((VLOOKUP(TRIM(D667), CATALOGO!A:B, 2, FALSE) * C667)*(1-VALUE(SUBSTITUTE(VLOOKUP(TRIM(A667),'RESTAURANTESDESCUENTOS 2026'!A:B,2,FALSE),"%",""))/100)+I667),(VLOOKUP(TRIM(D667), CATALOGO!A:B, 2, FALSE) * C667+I667)),""))</f>
        <v>50000</v>
      </c>
      <c r="K667" s="196"/>
      <c r="L667" s="87"/>
      <c r="M667" s="197" t="s">
        <v>587</v>
      </c>
      <c r="N667" s="168"/>
    </row>
    <row r="668" ht="22.5" hidden="1" customHeight="1">
      <c r="A668" s="137" t="s">
        <v>86</v>
      </c>
      <c r="B668" s="90">
        <v>46055.0</v>
      </c>
      <c r="C668" s="55">
        <v>1.0</v>
      </c>
      <c r="D668" s="97" t="s">
        <v>177</v>
      </c>
      <c r="E668" s="201"/>
      <c r="F668" s="202"/>
      <c r="G668" s="194" t="s">
        <v>587</v>
      </c>
      <c r="H668" s="195" t="s">
        <v>632</v>
      </c>
      <c r="I668" s="196">
        <v>0.0</v>
      </c>
      <c r="J668" s="179">
        <f>IF(A668="RAPPI",(VLOOKUP(TRIM(D668), CATALOGO!F:G, 2, FALSE) * C668)+I668,IFERROR(IF(COUNTIF('RESTAURANTESDESCUENTOS 2026'!A:A,TRIM(A668))&gt;0,((VLOOKUP(TRIM(D668), CATALOGO!A:B, 2, FALSE) * C668)*(1-VALUE(SUBSTITUTE(VLOOKUP(TRIM(A668),'RESTAURANTESDESCUENTOS 2026'!A:B,2,FALSE),"%",""))/100)+I668),(VLOOKUP(TRIM(D668), CATALOGO!A:B, 2, FALSE) * C668+I668)),""))</f>
        <v>86250</v>
      </c>
      <c r="K668" s="196">
        <v>15000.0</v>
      </c>
      <c r="L668" s="87" t="s">
        <v>587</v>
      </c>
      <c r="M668" s="197" t="s">
        <v>587</v>
      </c>
      <c r="N668" s="168"/>
    </row>
    <row r="669" ht="22.5" hidden="1" customHeight="1">
      <c r="A669" s="137" t="s">
        <v>73</v>
      </c>
      <c r="B669" s="90">
        <v>46055.0</v>
      </c>
      <c r="C669" s="55">
        <v>1.0</v>
      </c>
      <c r="D669" s="97" t="s">
        <v>178</v>
      </c>
      <c r="E669" s="201"/>
      <c r="F669" s="202"/>
      <c r="G669" s="194" t="s">
        <v>587</v>
      </c>
      <c r="H669" s="195" t="s">
        <v>632</v>
      </c>
      <c r="I669" s="196">
        <v>0.0</v>
      </c>
      <c r="J669" s="179">
        <f>IF(A669="RAPPI",(VLOOKUP(TRIM(D669), CATALOGO!F:G, 2, FALSE) * C669)+I669,IFERROR(IF(COUNTIF('RESTAURANTESDESCUENTOS 2026'!A:A,TRIM(A669))&gt;0,((VLOOKUP(TRIM(D669), CATALOGO!A:B, 2, FALSE) * C669)*(1-VALUE(SUBSTITUTE(VLOOKUP(TRIM(A669),'RESTAURANTESDESCUENTOS 2026'!A:B,2,FALSE),"%",""))/100)+I669),(VLOOKUP(TRIM(D669), CATALOGO!A:B, 2, FALSE) * C669+I669)),""))</f>
        <v>112500</v>
      </c>
      <c r="K669" s="196">
        <v>10000.0</v>
      </c>
      <c r="L669" s="87" t="s">
        <v>587</v>
      </c>
      <c r="M669" s="197" t="s">
        <v>587</v>
      </c>
      <c r="N669" s="168"/>
    </row>
    <row r="670" ht="22.5" hidden="1" customHeight="1">
      <c r="A670" s="137" t="s">
        <v>605</v>
      </c>
      <c r="B670" s="90">
        <v>46055.0</v>
      </c>
      <c r="C670" s="55">
        <v>1.0</v>
      </c>
      <c r="D670" s="97" t="s">
        <v>697</v>
      </c>
      <c r="E670" s="201" t="s">
        <v>606</v>
      </c>
      <c r="F670" s="202"/>
      <c r="G670" s="194" t="s">
        <v>35</v>
      </c>
      <c r="H670" s="198"/>
      <c r="I670" s="196"/>
      <c r="J670" s="199">
        <v>150000.0</v>
      </c>
      <c r="K670" s="196"/>
      <c r="L670" s="87"/>
      <c r="M670" s="197" t="s">
        <v>587</v>
      </c>
      <c r="N670" s="168"/>
    </row>
    <row r="671" ht="22.5" hidden="1" customHeight="1">
      <c r="A671" s="137" t="s">
        <v>603</v>
      </c>
      <c r="B671" s="90">
        <v>46055.0</v>
      </c>
      <c r="C671" s="55">
        <v>1.0</v>
      </c>
      <c r="D671" s="97" t="s">
        <v>176</v>
      </c>
      <c r="E671" s="201">
        <v>2370.0</v>
      </c>
      <c r="F671" s="202"/>
      <c r="G671" s="194" t="s">
        <v>587</v>
      </c>
      <c r="H671" s="195" t="s">
        <v>603</v>
      </c>
      <c r="I671" s="196"/>
      <c r="J671" s="179">
        <f>IF(A671="RAPPI",(VLOOKUP(TRIM(D671), CATALOGO!F:G, 2, FALSE) * C671)+I671,IFERROR(IF(COUNTIF('RESTAURANTESDESCUENTOS 2026'!A:A,TRIM(A671))&gt;0,((VLOOKUP(TRIM(D671), CATALOGO!A:B, 2, FALSE) * C671)*(1-VALUE(SUBSTITUTE(VLOOKUP(TRIM(A671),'RESTAURANTESDESCUENTOS 2026'!A:B,2,FALSE),"%",""))/100)+I671),(VLOOKUP(TRIM(D671), CATALOGO!A:B, 2, FALSE) * C671+I671)),""))</f>
        <v>50000</v>
      </c>
      <c r="K671" s="196"/>
      <c r="L671" s="87"/>
      <c r="M671" s="197" t="s">
        <v>587</v>
      </c>
      <c r="N671" s="168"/>
    </row>
    <row r="672" ht="22.5" hidden="1" customHeight="1">
      <c r="A672" s="137" t="s">
        <v>603</v>
      </c>
      <c r="B672" s="90">
        <v>46055.0</v>
      </c>
      <c r="C672" s="70">
        <v>1.0</v>
      </c>
      <c r="D672" s="97" t="s">
        <v>628</v>
      </c>
      <c r="E672" s="201">
        <v>7510.0</v>
      </c>
      <c r="F672" s="202"/>
      <c r="G672" s="194" t="s">
        <v>587</v>
      </c>
      <c r="H672" s="195" t="s">
        <v>603</v>
      </c>
      <c r="I672" s="196"/>
      <c r="J672" s="179">
        <f>IF(A672="RAPPI",(VLOOKUP(TRIM(D672), CATALOGO!F:G, 2, FALSE) * C672)+I672,IFERROR(IF(COUNTIF('RESTAURANTESDESCUENTOS 2026'!A:A,TRIM(A672))&gt;0,((VLOOKUP(TRIM(D672), CATALOGO!A:B, 2, FALSE) * C672)*(1-VALUE(SUBSTITUTE(VLOOKUP(TRIM(A672),'RESTAURANTESDESCUENTOS 2026'!A:B,2,FALSE),"%",""))/100)+I672),(VLOOKUP(TRIM(D672), CATALOGO!A:B, 2, FALSE) * C672+I672)),""))</f>
        <v>22000</v>
      </c>
      <c r="K672" s="196"/>
      <c r="L672" s="87"/>
      <c r="M672" s="197" t="s">
        <v>587</v>
      </c>
      <c r="N672" s="168"/>
    </row>
    <row r="673" ht="22.5" hidden="1" customHeight="1">
      <c r="A673" s="137" t="s">
        <v>603</v>
      </c>
      <c r="B673" s="90">
        <v>46055.0</v>
      </c>
      <c r="C673" s="70">
        <v>1.0</v>
      </c>
      <c r="D673" s="97" t="s">
        <v>628</v>
      </c>
      <c r="E673" s="201">
        <v>4257.0</v>
      </c>
      <c r="F673" s="202"/>
      <c r="G673" s="194" t="s">
        <v>587</v>
      </c>
      <c r="H673" s="195" t="s">
        <v>603</v>
      </c>
      <c r="I673" s="196"/>
      <c r="J673" s="179">
        <f>IF(A673="RAPPI",(VLOOKUP(TRIM(D673), CATALOGO!F:G, 2, FALSE) * C673)+I673,IFERROR(IF(COUNTIF('RESTAURANTESDESCUENTOS 2026'!A:A,TRIM(A673))&gt;0,((VLOOKUP(TRIM(D673), CATALOGO!A:B, 2, FALSE) * C673)*(1-VALUE(SUBSTITUTE(VLOOKUP(TRIM(A673),'RESTAURANTESDESCUENTOS 2026'!A:B,2,FALSE),"%",""))/100)+I673),(VLOOKUP(TRIM(D673), CATALOGO!A:B, 2, FALSE) * C673+I673)),""))</f>
        <v>22000</v>
      </c>
      <c r="K673" s="196"/>
      <c r="L673" s="87"/>
      <c r="M673" s="197" t="s">
        <v>587</v>
      </c>
      <c r="N673" s="168"/>
    </row>
    <row r="674" ht="22.5" hidden="1" customHeight="1">
      <c r="A674" s="137" t="s">
        <v>840</v>
      </c>
      <c r="B674" s="90">
        <v>46055.0</v>
      </c>
      <c r="C674" s="55">
        <v>1.0</v>
      </c>
      <c r="D674" s="97" t="s">
        <v>601</v>
      </c>
      <c r="E674" s="201"/>
      <c r="F674" s="202"/>
      <c r="G674" s="194" t="s">
        <v>587</v>
      </c>
      <c r="H674" s="195" t="s">
        <v>588</v>
      </c>
      <c r="I674" s="196">
        <v>15000.0</v>
      </c>
      <c r="J674" s="179">
        <f>IF(A674="RAPPI",(VLOOKUP(TRIM(D674), CATALOGO!F:G, 2, FALSE) * C674)+I674,IFERROR(IF(COUNTIF('RESTAURANTESDESCUENTOS 2026'!A:A,TRIM(A674))&gt;0,((VLOOKUP(TRIM(D674), CATALOGO!A:B, 2, FALSE) * C674)*(1-VALUE(SUBSTITUTE(VLOOKUP(TRIM(A674),'RESTAURANTESDESCUENTOS 2026'!A:B,2,FALSE),"%",""))/100)+I674),(VLOOKUP(TRIM(D674), CATALOGO!A:B, 2, FALSE) * C674+I674)),""))</f>
        <v>68000</v>
      </c>
      <c r="K674" s="196">
        <v>0.0</v>
      </c>
      <c r="L674" s="87"/>
      <c r="M674" s="197" t="s">
        <v>587</v>
      </c>
      <c r="N674" s="168"/>
    </row>
    <row r="675" ht="22.5" hidden="1" customHeight="1">
      <c r="A675" s="137" t="s">
        <v>840</v>
      </c>
      <c r="B675" s="90">
        <v>46055.0</v>
      </c>
      <c r="C675" s="55">
        <v>1.0</v>
      </c>
      <c r="D675" s="97" t="s">
        <v>657</v>
      </c>
      <c r="E675" s="201"/>
      <c r="F675" s="202"/>
      <c r="G675" s="194" t="s">
        <v>587</v>
      </c>
      <c r="H675" s="195" t="s">
        <v>588</v>
      </c>
      <c r="I675" s="196">
        <v>0.0</v>
      </c>
      <c r="J675" s="179">
        <f>IF(A675="RAPPI",(VLOOKUP(TRIM(D675), CATALOGO!F:G, 2, FALSE) * C675)+I675,IFERROR(IF(COUNTIF('RESTAURANTESDESCUENTOS 2026'!A:A,TRIM(A675))&gt;0,((VLOOKUP(TRIM(D675), CATALOGO!A:B, 2, FALSE) * C675)*(1-VALUE(SUBSTITUTE(VLOOKUP(TRIM(A675),'RESTAURANTESDESCUENTOS 2026'!A:B,2,FALSE),"%",""))/100)+I675),(VLOOKUP(TRIM(D675), CATALOGO!A:B, 2, FALSE) * C675+I675)),""))</f>
        <v>8000</v>
      </c>
      <c r="K675" s="196">
        <v>0.0</v>
      </c>
      <c r="L675" s="87"/>
      <c r="M675" s="197" t="s">
        <v>587</v>
      </c>
      <c r="N675" s="168"/>
    </row>
    <row r="676" ht="22.5" hidden="1" customHeight="1">
      <c r="A676" s="137" t="s">
        <v>603</v>
      </c>
      <c r="B676" s="90">
        <v>46055.0</v>
      </c>
      <c r="C676" s="55">
        <v>1.0</v>
      </c>
      <c r="D676" s="97" t="s">
        <v>678</v>
      </c>
      <c r="E676" s="201">
        <v>2153.0</v>
      </c>
      <c r="F676" s="202"/>
      <c r="G676" s="194" t="s">
        <v>587</v>
      </c>
      <c r="H676" s="195" t="s">
        <v>603</v>
      </c>
      <c r="I676" s="196"/>
      <c r="J676" s="179">
        <f>IF(A676="RAPPI",(VLOOKUP(TRIM(D676), CATALOGO!F:G, 2, FALSE) * C676)+I676,IFERROR(IF(COUNTIF('RESTAURANTESDESCUENTOS 2026'!A:A,TRIM(A676))&gt;0,((VLOOKUP(TRIM(D676), CATALOGO!A:B, 2, FALSE) * C676)*(1-VALUE(SUBSTITUTE(VLOOKUP(TRIM(A676),'RESTAURANTESDESCUENTOS 2026'!A:B,2,FALSE),"%",""))/100)+I676),(VLOOKUP(TRIM(D676), CATALOGO!A:B, 2, FALSE) * C676+I676)),""))</f>
        <v>123000</v>
      </c>
      <c r="K676" s="196"/>
      <c r="L676" s="87"/>
      <c r="M676" s="197" t="s">
        <v>587</v>
      </c>
      <c r="N676" s="168"/>
    </row>
    <row r="677" ht="22.5" hidden="1" customHeight="1">
      <c r="A677" s="137" t="s">
        <v>841</v>
      </c>
      <c r="B677" s="90">
        <v>46055.0</v>
      </c>
      <c r="C677" s="55">
        <v>1.0</v>
      </c>
      <c r="D677" s="97" t="s">
        <v>176</v>
      </c>
      <c r="E677" s="201"/>
      <c r="F677" s="202"/>
      <c r="G677" s="194" t="s">
        <v>587</v>
      </c>
      <c r="H677" s="195" t="s">
        <v>588</v>
      </c>
      <c r="I677" s="196">
        <v>15000.0</v>
      </c>
      <c r="J677" s="179">
        <f>IF(A677="RAPPI",(VLOOKUP(TRIM(D677), CATALOGO!F:G, 2, FALSE) * C676)+I677,IFERROR(IF(COUNTIF('RESTAURANTESDESCUENTOS 2026'!A:A,TRIM(A677))&gt;0,((VLOOKUP(TRIM(D677), CATALOGO!A:B, 2, FALSE) * C676)*(1-VALUE(SUBSTITUTE(VLOOKUP(TRIM(A677),'RESTAURANTESDESCUENTOS 2026'!A:B,2,FALSE),"%",""))/100)+I677),(VLOOKUP(TRIM(D677), CATALOGO!A:B, 2, FALSE) * C676+I677)),""))</f>
        <v>65000</v>
      </c>
      <c r="K677" s="196">
        <v>0.0</v>
      </c>
      <c r="L677" s="87"/>
      <c r="M677" s="197" t="s">
        <v>587</v>
      </c>
      <c r="N677" s="168"/>
    </row>
    <row r="678" ht="22.5" hidden="1" customHeight="1">
      <c r="A678" s="137" t="s">
        <v>134</v>
      </c>
      <c r="B678" s="90">
        <v>46056.0</v>
      </c>
      <c r="C678" s="55">
        <v>1.0</v>
      </c>
      <c r="D678" s="97" t="s">
        <v>181</v>
      </c>
      <c r="E678" s="201" t="s">
        <v>610</v>
      </c>
      <c r="F678" s="202"/>
      <c r="G678" s="194" t="s">
        <v>587</v>
      </c>
      <c r="H678" s="195" t="s">
        <v>632</v>
      </c>
      <c r="I678" s="196">
        <v>5000.0</v>
      </c>
      <c r="J678" s="199">
        <v>130300.0</v>
      </c>
      <c r="K678" s="231">
        <v>10000.0</v>
      </c>
      <c r="L678" s="87" t="s">
        <v>587</v>
      </c>
      <c r="M678" s="197" t="s">
        <v>587</v>
      </c>
      <c r="N678" s="168"/>
    </row>
    <row r="679" ht="22.5" hidden="1" customHeight="1">
      <c r="A679" s="137" t="s">
        <v>23</v>
      </c>
      <c r="B679" s="90">
        <v>46056.0</v>
      </c>
      <c r="C679" s="55">
        <v>2.0</v>
      </c>
      <c r="D679" s="97" t="s">
        <v>178</v>
      </c>
      <c r="E679" s="201" t="s">
        <v>610</v>
      </c>
      <c r="F679" s="202"/>
      <c r="G679" s="194" t="s">
        <v>587</v>
      </c>
      <c r="H679" s="195" t="s">
        <v>588</v>
      </c>
      <c r="I679" s="196">
        <v>25000.0</v>
      </c>
      <c r="J679" s="179">
        <f>IF(A679="RAPPI",(VLOOKUP(TRIM(D679), CATALOGO!F:G, 2, FALSE) * C679)+I679,IFERROR(IF(COUNTIF('RESTAURANTESDESCUENTOS 2026'!A:A,TRIM(A679))&gt;0,((VLOOKUP(TRIM(D679), CATALOGO!A:B, 2, FALSE) * C679)*(1-VALUE(SUBSTITUTE(VLOOKUP(TRIM(A679),'RESTAURANTESDESCUENTOS 2026'!A:B,2,FALSE),"%",""))/100)+I679),(VLOOKUP(TRIM(D679), CATALOGO!A:B, 2, FALSE) * C679+I679)),""))</f>
        <v>250000</v>
      </c>
      <c r="K679" s="196">
        <v>0.0</v>
      </c>
      <c r="L679" s="87" t="s">
        <v>587</v>
      </c>
      <c r="M679" s="197" t="s">
        <v>587</v>
      </c>
      <c r="N679" s="168"/>
    </row>
    <row r="680" ht="22.5" hidden="1" customHeight="1">
      <c r="A680" s="137" t="s">
        <v>769</v>
      </c>
      <c r="B680" s="90">
        <v>46056.0</v>
      </c>
      <c r="C680" s="55">
        <v>28.0</v>
      </c>
      <c r="D680" s="97" t="s">
        <v>183</v>
      </c>
      <c r="E680" s="201"/>
      <c r="F680" s="202"/>
      <c r="G680" s="194" t="s">
        <v>587</v>
      </c>
      <c r="H680" s="195" t="s">
        <v>632</v>
      </c>
      <c r="I680" s="196">
        <v>10000.0</v>
      </c>
      <c r="J680" s="199">
        <v>872400.0</v>
      </c>
      <c r="K680" s="231">
        <v>10000.0</v>
      </c>
      <c r="L680" s="87" t="s">
        <v>587</v>
      </c>
      <c r="M680" s="197" t="s">
        <v>587</v>
      </c>
      <c r="N680" s="168"/>
    </row>
    <row r="681" ht="22.5" hidden="1" customHeight="1">
      <c r="A681" s="137" t="s">
        <v>769</v>
      </c>
      <c r="B681" s="90">
        <v>46056.0</v>
      </c>
      <c r="C681" s="55">
        <v>12.0</v>
      </c>
      <c r="D681" s="97" t="s">
        <v>184</v>
      </c>
      <c r="E681" s="201"/>
      <c r="F681" s="202"/>
      <c r="G681" s="194" t="s">
        <v>587</v>
      </c>
      <c r="H681" s="195" t="s">
        <v>632</v>
      </c>
      <c r="I681" s="196">
        <v>0.0</v>
      </c>
      <c r="J681" s="199">
        <v>576000.0</v>
      </c>
      <c r="K681" s="196">
        <v>0.0</v>
      </c>
      <c r="L681" s="87" t="s">
        <v>587</v>
      </c>
      <c r="M681" s="95" t="s">
        <v>587</v>
      </c>
      <c r="N681" s="232"/>
    </row>
    <row r="682" ht="22.5" hidden="1" customHeight="1">
      <c r="A682" s="26" t="s">
        <v>128</v>
      </c>
      <c r="B682" s="90">
        <v>46056.0</v>
      </c>
      <c r="C682" s="55">
        <v>2.0</v>
      </c>
      <c r="D682" s="97" t="s">
        <v>178</v>
      </c>
      <c r="E682" s="201" t="s">
        <v>610</v>
      </c>
      <c r="F682" s="202"/>
      <c r="G682" s="194" t="s">
        <v>587</v>
      </c>
      <c r="H682" s="195" t="s">
        <v>632</v>
      </c>
      <c r="I682" s="196">
        <v>10000.0</v>
      </c>
      <c r="J682" s="179">
        <f>IF(A682="RAPPI",(VLOOKUP(TRIM(D682), CATALOGO!F:G, 2, FALSE) * C682)+I682,IFERROR(IF(COUNTIF('RESTAURANTESDESCUENTOS 2026'!A:A,TRIM(A682))&gt;0,((VLOOKUP(TRIM(D682), CATALOGO!A:B, 2, FALSE) * C682)*(1-VALUE(SUBSTITUTE(VLOOKUP(TRIM(A682),'RESTAURANTESDESCUENTOS 2026'!A:B,2,FALSE),"%",""))/100)+I682),(VLOOKUP(TRIM(D682), CATALOGO!A:B, 2, FALSE) * C682+I682)),""))</f>
        <v>220000</v>
      </c>
      <c r="K682" s="231">
        <v>14000.0</v>
      </c>
      <c r="L682" s="87" t="s">
        <v>587</v>
      </c>
      <c r="M682" s="197" t="s">
        <v>587</v>
      </c>
      <c r="N682" s="168"/>
    </row>
    <row r="683" ht="22.5" hidden="1" customHeight="1">
      <c r="A683" s="137" t="s">
        <v>842</v>
      </c>
      <c r="B683" s="90">
        <v>46056.0</v>
      </c>
      <c r="C683" s="55">
        <v>1.0</v>
      </c>
      <c r="D683" s="97" t="s">
        <v>178</v>
      </c>
      <c r="E683" s="201"/>
      <c r="F683" s="202"/>
      <c r="G683" s="194" t="s">
        <v>35</v>
      </c>
      <c r="H683" s="198"/>
      <c r="I683" s="196"/>
      <c r="J683" s="179">
        <f>IF(A683="RAPPI",(VLOOKUP(TRIM(D683), CATALOGO!F:G, 2, FALSE) * C683)+I683,IFERROR(IF(COUNTIF('RESTAURANTESDESCUENTOS 2026'!A:A,TRIM(A683))&gt;0,((VLOOKUP(TRIM(D683), CATALOGO!A:B, 2, FALSE) * C683)*(1-VALUE(SUBSTITUTE(VLOOKUP(TRIM(A683),'RESTAURANTESDESCUENTOS 2026'!A:B,2,FALSE),"%",""))/100)+I683),(VLOOKUP(TRIM(D683), CATALOGO!A:B, 2, FALSE) * C683+I683)),""))</f>
        <v>150000</v>
      </c>
      <c r="K683" s="196"/>
      <c r="L683" s="87"/>
      <c r="M683" s="197" t="s">
        <v>587</v>
      </c>
      <c r="N683" s="168"/>
    </row>
    <row r="684" ht="22.5" hidden="1" customHeight="1">
      <c r="A684" s="137" t="s">
        <v>605</v>
      </c>
      <c r="B684" s="90">
        <v>46056.0</v>
      </c>
      <c r="C684" s="55">
        <v>1.0</v>
      </c>
      <c r="D684" s="97" t="s">
        <v>176</v>
      </c>
      <c r="E684" s="201" t="s">
        <v>606</v>
      </c>
      <c r="F684" s="202"/>
      <c r="G684" s="194" t="s">
        <v>35</v>
      </c>
      <c r="H684" s="198"/>
      <c r="I684" s="196"/>
      <c r="J684" s="179">
        <f>IF(A684="RAPPI",(VLOOKUP(TRIM(D684), CATALOGO!F:G, 2, FALSE) * C684)+I684,IFERROR(IF(COUNTIF('RESTAURANTESDESCUENTOS 2026'!A:A,TRIM(A684))&gt;0,((VLOOKUP(TRIM(D684), CATALOGO!A:B, 2, FALSE) * C684)*(1-VALUE(SUBSTITUTE(VLOOKUP(TRIM(A684),'RESTAURANTESDESCUENTOS 2026'!A:B,2,FALSE),"%",""))/100)+I684),(VLOOKUP(TRIM(D684), CATALOGO!A:B, 2, FALSE) * C684+I684)),""))</f>
        <v>50000</v>
      </c>
      <c r="K684" s="196"/>
      <c r="L684" s="87"/>
      <c r="M684" s="197" t="s">
        <v>587</v>
      </c>
      <c r="N684" s="168"/>
    </row>
    <row r="685" ht="22.5" hidden="1" customHeight="1">
      <c r="A685" s="137" t="s">
        <v>843</v>
      </c>
      <c r="B685" s="90">
        <v>46056.0</v>
      </c>
      <c r="C685" s="55">
        <v>1.0</v>
      </c>
      <c r="D685" s="97" t="s">
        <v>182</v>
      </c>
      <c r="E685" s="201"/>
      <c r="F685" s="202"/>
      <c r="G685" s="194" t="s">
        <v>35</v>
      </c>
      <c r="H685" s="198"/>
      <c r="I685" s="196"/>
      <c r="J685" s="179">
        <f>IF(A685="RAPPI",(VLOOKUP(TRIM(D685), CATALOGO!F:G, 2, FALSE) * C685)+I685,IFERROR(IF(COUNTIF('RESTAURANTESDESCUENTOS 2026'!A:A,TRIM(A685))&gt;0,((VLOOKUP(TRIM(D685), CATALOGO!A:B, 2, FALSE) * C685)*(1-VALUE(SUBSTITUTE(VLOOKUP(TRIM(A685),'RESTAURANTESDESCUENTOS 2026'!A:B,2,FALSE),"%",""))/100)+I685),(VLOOKUP(TRIM(D685), CATALOGO!A:B, 2, FALSE) * C685+I685)),""))</f>
        <v>37000</v>
      </c>
      <c r="K685" s="196"/>
      <c r="L685" s="87"/>
      <c r="M685" s="197" t="s">
        <v>587</v>
      </c>
      <c r="N685" s="168"/>
    </row>
    <row r="686" ht="22.5" hidden="1" customHeight="1">
      <c r="A686" s="137" t="s">
        <v>843</v>
      </c>
      <c r="B686" s="90">
        <v>46056.0</v>
      </c>
      <c r="C686" s="55">
        <v>1.0</v>
      </c>
      <c r="D686" s="97" t="s">
        <v>620</v>
      </c>
      <c r="E686" s="201"/>
      <c r="F686" s="202"/>
      <c r="G686" s="194" t="s">
        <v>35</v>
      </c>
      <c r="H686" s="198"/>
      <c r="I686" s="196"/>
      <c r="J686" s="179">
        <f>IF(A686="RAPPI",(VLOOKUP(TRIM(D686), CATALOGO!F:G, 2, FALSE) * C686)+I686,IFERROR(IF(COUNTIF('RESTAURANTESDESCUENTOS 2026'!A:A,TRIM(A686))&gt;0,((VLOOKUP(TRIM(D686), CATALOGO!A:B, 2, FALSE) * C686)*(1-VALUE(SUBSTITUTE(VLOOKUP(TRIM(A686),'RESTAURANTESDESCUENTOS 2026'!A:B,2,FALSE),"%",""))/100)+I686),(VLOOKUP(TRIM(D686), CATALOGO!A:B, 2, FALSE) * C686+I686)),""))</f>
        <v>0</v>
      </c>
      <c r="K686" s="196"/>
      <c r="L686" s="87"/>
      <c r="M686" s="197" t="s">
        <v>587</v>
      </c>
      <c r="N686" s="168"/>
    </row>
    <row r="687" ht="22.5" hidden="1" customHeight="1">
      <c r="A687" s="137" t="s">
        <v>843</v>
      </c>
      <c r="B687" s="90">
        <v>46056.0</v>
      </c>
      <c r="C687" s="55">
        <v>1.0</v>
      </c>
      <c r="D687" s="97" t="s">
        <v>639</v>
      </c>
      <c r="E687" s="201"/>
      <c r="F687" s="202"/>
      <c r="G687" s="194" t="s">
        <v>35</v>
      </c>
      <c r="H687" s="198"/>
      <c r="I687" s="196"/>
      <c r="J687" s="179">
        <f>IF(A687="RAPPI",(VLOOKUP(TRIM(D687), CATALOGO!F:G, 2, FALSE) * C687)+I687,IFERROR(IF(COUNTIF('RESTAURANTESDESCUENTOS 2026'!A:A,TRIM(A687))&gt;0,((VLOOKUP(TRIM(D687), CATALOGO!A:B, 2, FALSE) * C687)*(1-VALUE(SUBSTITUTE(VLOOKUP(TRIM(A687),'RESTAURANTESDESCUENTOS 2026'!A:B,2,FALSE),"%",""))/100)+I687),(VLOOKUP(TRIM(D687), CATALOGO!A:B, 2, FALSE) * C687+I687)),""))</f>
        <v>0</v>
      </c>
      <c r="K687" s="196"/>
      <c r="L687" s="87"/>
      <c r="M687" s="197" t="s">
        <v>587</v>
      </c>
      <c r="N687" s="168"/>
    </row>
    <row r="688" ht="22.5" hidden="1" customHeight="1">
      <c r="A688" s="137" t="s">
        <v>843</v>
      </c>
      <c r="B688" s="90">
        <v>46056.0</v>
      </c>
      <c r="C688" s="55">
        <v>1.0</v>
      </c>
      <c r="D688" s="97" t="s">
        <v>669</v>
      </c>
      <c r="E688" s="201"/>
      <c r="F688" s="202"/>
      <c r="G688" s="194" t="s">
        <v>35</v>
      </c>
      <c r="H688" s="198"/>
      <c r="I688" s="196"/>
      <c r="J688" s="179">
        <f>IF(A688="RAPPI",(VLOOKUP(TRIM(D688), CATALOGO!F:G, 2, FALSE) * C688)+I688,IFERROR(IF(COUNTIF('RESTAURANTESDESCUENTOS 2026'!A:A,TRIM(A688))&gt;0,((VLOOKUP(TRIM(D688), CATALOGO!A:B, 2, FALSE) * C688)*(1-VALUE(SUBSTITUTE(VLOOKUP(TRIM(A688),'RESTAURANTESDESCUENTOS 2026'!A:B,2,FALSE),"%",""))/100)+I688),(VLOOKUP(TRIM(D688), CATALOGO!A:B, 2, FALSE) * C688+I688)),""))</f>
        <v>0</v>
      </c>
      <c r="K688" s="196"/>
      <c r="L688" s="87"/>
      <c r="M688" s="197" t="s">
        <v>587</v>
      </c>
      <c r="N688" s="168"/>
    </row>
    <row r="689" ht="22.5" hidden="1" customHeight="1">
      <c r="A689" s="137" t="s">
        <v>843</v>
      </c>
      <c r="B689" s="90">
        <v>46056.0</v>
      </c>
      <c r="C689" s="55">
        <v>1.0</v>
      </c>
      <c r="D689" s="97" t="s">
        <v>236</v>
      </c>
      <c r="E689" s="201"/>
      <c r="F689" s="202"/>
      <c r="G689" s="194" t="s">
        <v>35</v>
      </c>
      <c r="H689" s="198"/>
      <c r="I689" s="196"/>
      <c r="J689" s="179">
        <f>IF(A689="RAPPI",(VLOOKUP(TRIM(D689), CATALOGO!F:G, 2, FALSE) * C689)+I689,IFERROR(IF(COUNTIF('RESTAURANTESDESCUENTOS 2026'!A:A,TRIM(A689))&gt;0,((VLOOKUP(TRIM(D689), CATALOGO!A:B, 2, FALSE) * C689)*(1-VALUE(SUBSTITUTE(VLOOKUP(TRIM(A689),'RESTAURANTESDESCUENTOS 2026'!A:B,2,FALSE),"%",""))/100)+I689),(VLOOKUP(TRIM(D689), CATALOGO!A:B, 2, FALSE) * C689+I689)),""))</f>
        <v>0</v>
      </c>
      <c r="K689" s="196"/>
      <c r="L689" s="87"/>
      <c r="M689" s="197" t="s">
        <v>587</v>
      </c>
      <c r="N689" s="168"/>
    </row>
    <row r="690" ht="22.5" hidden="1" customHeight="1">
      <c r="A690" s="137" t="s">
        <v>603</v>
      </c>
      <c r="B690" s="90">
        <v>46056.0</v>
      </c>
      <c r="C690" s="70">
        <v>1.0</v>
      </c>
      <c r="D690" s="97" t="s">
        <v>602</v>
      </c>
      <c r="E690" s="201">
        <v>9121.0</v>
      </c>
      <c r="F690" s="202"/>
      <c r="G690" s="194" t="s">
        <v>587</v>
      </c>
      <c r="H690" s="195" t="s">
        <v>603</v>
      </c>
      <c r="I690" s="196"/>
      <c r="J690" s="179">
        <f>IF(A690="RAPPI",(VLOOKUP(TRIM(D690), CATALOGO!F:G, 2, FALSE) * C690)+I690,IFERROR(IF(COUNTIF('RESTAURANTESDESCUENTOS 2026'!A:A,TRIM(A690))&gt;0,((VLOOKUP(TRIM(D690), CATALOGO!A:B, 2, FALSE) * C690)*(1-VALUE(SUBSTITUTE(VLOOKUP(TRIM(A690),'RESTAURANTESDESCUENTOS 2026'!A:B,2,FALSE),"%",""))/100)+I690),(VLOOKUP(TRIM(D690), CATALOGO!A:B, 2, FALSE) * C690+I690)),""))</f>
        <v>22000</v>
      </c>
      <c r="K690" s="196"/>
      <c r="L690" s="87"/>
      <c r="M690" s="197" t="s">
        <v>587</v>
      </c>
      <c r="N690" s="168"/>
    </row>
    <row r="691" ht="22.5" hidden="1" customHeight="1">
      <c r="A691" s="137" t="s">
        <v>844</v>
      </c>
      <c r="B691" s="90">
        <v>46056.0</v>
      </c>
      <c r="C691" s="55">
        <v>1.0</v>
      </c>
      <c r="D691" s="97" t="s">
        <v>601</v>
      </c>
      <c r="E691" s="201"/>
      <c r="F691" s="202"/>
      <c r="G691" s="194" t="s">
        <v>35</v>
      </c>
      <c r="H691" s="198"/>
      <c r="I691" s="196"/>
      <c r="J691" s="179">
        <f>IF(A691="RAPPI",(VLOOKUP(TRIM(D691), CATALOGO!F:G, 2, FALSE) * C691)+I691,IFERROR(IF(COUNTIF('RESTAURANTESDESCUENTOS 2026'!A:A,TRIM(A691))&gt;0,((VLOOKUP(TRIM(D691), CATALOGO!A:B, 2, FALSE) * C691)*(1-VALUE(SUBSTITUTE(VLOOKUP(TRIM(A691),'RESTAURANTESDESCUENTOS 2026'!A:B,2,FALSE),"%",""))/100)+I691),(VLOOKUP(TRIM(D691), CATALOGO!A:B, 2, FALSE) * C691+I691)),""))</f>
        <v>53000</v>
      </c>
      <c r="K691" s="196"/>
      <c r="L691" s="87"/>
      <c r="M691" s="197" t="s">
        <v>587</v>
      </c>
      <c r="N691" s="168"/>
    </row>
    <row r="692" ht="22.5" hidden="1" customHeight="1">
      <c r="A692" s="137" t="s">
        <v>163</v>
      </c>
      <c r="B692" s="90">
        <v>46056.0</v>
      </c>
      <c r="C692" s="70">
        <v>1.0</v>
      </c>
      <c r="D692" s="97" t="s">
        <v>174</v>
      </c>
      <c r="E692" s="201" t="s">
        <v>607</v>
      </c>
      <c r="F692" s="202"/>
      <c r="G692" s="194" t="s">
        <v>35</v>
      </c>
      <c r="H692" s="198"/>
      <c r="I692" s="196"/>
      <c r="J692" s="179">
        <f>IF(A692="RAPPI",(VLOOKUP(TRIM(D692), CATALOGO!F:G, 2, FALSE) * C692)+I692,IFERROR(IF(COUNTIF('RESTAURANTESDESCUENTOS 2026'!A:A,TRIM(A692))&gt;0,((VLOOKUP(TRIM(D692), CATALOGO!A:B, 2, FALSE) * C692)*(1-VALUE(SUBSTITUTE(VLOOKUP(TRIM(A692),'RESTAURANTESDESCUENTOS 2026'!A:B,2,FALSE),"%",""))/100)+I692),(VLOOKUP(TRIM(D692), CATALOGO!A:B, 2, FALSE) * C692+I692)),""))</f>
        <v>12600</v>
      </c>
      <c r="K692" s="196"/>
      <c r="L692" s="87"/>
      <c r="M692" s="197" t="s">
        <v>587</v>
      </c>
      <c r="N692" s="168"/>
    </row>
    <row r="693" ht="22.5" hidden="1" customHeight="1">
      <c r="A693" s="137" t="s">
        <v>845</v>
      </c>
      <c r="B693" s="90">
        <v>46056.0</v>
      </c>
      <c r="C693" s="55">
        <v>1.0</v>
      </c>
      <c r="D693" s="97" t="s">
        <v>176</v>
      </c>
      <c r="E693" s="201"/>
      <c r="F693" s="202"/>
      <c r="G693" s="194" t="s">
        <v>587</v>
      </c>
      <c r="H693" s="195" t="s">
        <v>588</v>
      </c>
      <c r="I693" s="196">
        <v>14000.0</v>
      </c>
      <c r="J693" s="179">
        <f>IF(A693="RAPPI",(VLOOKUP(TRIM(D693), CATALOGO!F:G, 2, FALSE) * C693)+I693,IFERROR(IF(COUNTIF('RESTAURANTESDESCUENTOS 2026'!A:A,TRIM(A693))&gt;0,((VLOOKUP(TRIM(D693), CATALOGO!A:B, 2, FALSE) * C693)*(1-VALUE(SUBSTITUTE(VLOOKUP(TRIM(A693),'RESTAURANTESDESCUENTOS 2026'!A:B,2,FALSE),"%",""))/100)+I693),(VLOOKUP(TRIM(D693), CATALOGO!A:B, 2, FALSE) * C693+I693)),""))</f>
        <v>64000</v>
      </c>
      <c r="K693" s="231">
        <v>18000.0</v>
      </c>
      <c r="L693" s="87"/>
      <c r="M693" s="197" t="s">
        <v>587</v>
      </c>
      <c r="N693" s="168"/>
    </row>
    <row r="694" ht="22.5" hidden="1" customHeight="1">
      <c r="A694" s="137" t="s">
        <v>605</v>
      </c>
      <c r="B694" s="90">
        <v>46056.0</v>
      </c>
      <c r="C694" s="70">
        <v>1.0</v>
      </c>
      <c r="D694" s="97" t="s">
        <v>174</v>
      </c>
      <c r="E694" s="201" t="s">
        <v>606</v>
      </c>
      <c r="F694" s="202"/>
      <c r="G694" s="194" t="s">
        <v>35</v>
      </c>
      <c r="H694" s="198"/>
      <c r="I694" s="196"/>
      <c r="J694" s="179">
        <f>IF(A694="RAPPI",(VLOOKUP(TRIM(D694), CATALOGO!F:G, 2, FALSE) * C694)+I694,IFERROR(IF(COUNTIF('RESTAURANTESDESCUENTOS 2026'!A:A,TRIM(A694))&gt;0,((VLOOKUP(TRIM(D694), CATALOGO!A:B, 2, FALSE) * C694)*(1-VALUE(SUBSTITUTE(VLOOKUP(TRIM(A694),'RESTAURANTESDESCUENTOS 2026'!A:B,2,FALSE),"%",""))/100)+I694),(VLOOKUP(TRIM(D694), CATALOGO!A:B, 2, FALSE) * C694+I694)),""))</f>
        <v>18000</v>
      </c>
      <c r="K694" s="196"/>
      <c r="L694" s="87"/>
      <c r="M694" s="197" t="s">
        <v>587</v>
      </c>
      <c r="N694" s="168"/>
    </row>
    <row r="695" ht="22.5" hidden="1" customHeight="1">
      <c r="A695" s="137" t="s">
        <v>605</v>
      </c>
      <c r="B695" s="90">
        <v>46056.0</v>
      </c>
      <c r="C695" s="70">
        <v>1.0</v>
      </c>
      <c r="D695" s="97" t="s">
        <v>628</v>
      </c>
      <c r="E695" s="201" t="s">
        <v>630</v>
      </c>
      <c r="F695" s="202"/>
      <c r="G695" s="194" t="s">
        <v>35</v>
      </c>
      <c r="H695" s="198"/>
      <c r="I695" s="196"/>
      <c r="J695" s="179">
        <f>IF(A695="RAPPI",(VLOOKUP(TRIM(D695), CATALOGO!F:G, 2, FALSE) * C695)+I695,IFERROR(IF(COUNTIF('RESTAURANTESDESCUENTOS 2026'!A:A,TRIM(A695))&gt;0,((VLOOKUP(TRIM(D695), CATALOGO!A:B, 2, FALSE) * C695)*(1-VALUE(SUBSTITUTE(VLOOKUP(TRIM(A695),'RESTAURANTESDESCUENTOS 2026'!A:B,2,FALSE),"%",""))/100)+I695),(VLOOKUP(TRIM(D695), CATALOGO!A:B, 2, FALSE) * C695+I695)),""))</f>
        <v>22000</v>
      </c>
      <c r="K695" s="196"/>
      <c r="L695" s="87"/>
      <c r="M695" s="197" t="s">
        <v>587</v>
      </c>
      <c r="N695" s="168"/>
    </row>
    <row r="696" ht="22.5" hidden="1" customHeight="1">
      <c r="A696" s="137" t="s">
        <v>605</v>
      </c>
      <c r="B696" s="90">
        <v>46056.0</v>
      </c>
      <c r="C696" s="70">
        <v>1.0</v>
      </c>
      <c r="D696" s="97" t="s">
        <v>757</v>
      </c>
      <c r="E696" s="201" t="s">
        <v>846</v>
      </c>
      <c r="F696" s="202"/>
      <c r="G696" s="194" t="s">
        <v>35</v>
      </c>
      <c r="H696" s="198"/>
      <c r="I696" s="196"/>
      <c r="J696" s="179">
        <f>IF(A696="RAPPI",(VLOOKUP(TRIM(D696), CATALOGO!F:G, 2, FALSE) * C696)+I696,IFERROR(IF(COUNTIF('RESTAURANTESDESCUENTOS 2026'!A:A,TRIM(A696))&gt;0,((VLOOKUP(TRIM(D696), CATALOGO!A:B, 2, FALSE) * C696)*(1-VALUE(SUBSTITUTE(VLOOKUP(TRIM(A696),'RESTAURANTESDESCUENTOS 2026'!A:B,2,FALSE),"%",""))/100)+I696),(VLOOKUP(TRIM(D696), CATALOGO!A:B, 2, FALSE) * C696+I696)),""))</f>
        <v>22000</v>
      </c>
      <c r="K696" s="196"/>
      <c r="L696" s="87"/>
      <c r="M696" s="197" t="s">
        <v>587</v>
      </c>
      <c r="N696" s="168"/>
    </row>
    <row r="697" ht="22.5" hidden="1" customHeight="1">
      <c r="A697" s="137" t="s">
        <v>603</v>
      </c>
      <c r="B697" s="90">
        <v>46056.0</v>
      </c>
      <c r="C697" s="55">
        <v>1.0</v>
      </c>
      <c r="D697" s="97" t="s">
        <v>176</v>
      </c>
      <c r="E697" s="201">
        <v>3162.0</v>
      </c>
      <c r="F697" s="202"/>
      <c r="G697" s="194" t="s">
        <v>587</v>
      </c>
      <c r="H697" s="195" t="s">
        <v>603</v>
      </c>
      <c r="I697" s="196"/>
      <c r="J697" s="179">
        <f>IF(A697="RAPPI",(VLOOKUP(TRIM(D697), CATALOGO!F:G, 2, FALSE) * C697)+I697,IFERROR(IF(COUNTIF('RESTAURANTESDESCUENTOS 2026'!A:A,TRIM(A697))&gt;0,((VLOOKUP(TRIM(D697), CATALOGO!A:B, 2, FALSE) * C697)*(1-VALUE(SUBSTITUTE(VLOOKUP(TRIM(A697),'RESTAURANTESDESCUENTOS 2026'!A:B,2,FALSE),"%",""))/100)+I697),(VLOOKUP(TRIM(D697), CATALOGO!A:B, 2, FALSE) * C697+I697)),""))</f>
        <v>50000</v>
      </c>
      <c r="K697" s="196"/>
      <c r="L697" s="87"/>
      <c r="M697" s="197" t="s">
        <v>587</v>
      </c>
      <c r="N697" s="168"/>
    </row>
    <row r="698" ht="22.5" hidden="1" customHeight="1">
      <c r="A698" s="137" t="s">
        <v>603</v>
      </c>
      <c r="B698" s="90">
        <v>46056.0</v>
      </c>
      <c r="C698" s="55">
        <v>1.0</v>
      </c>
      <c r="D698" s="97" t="s">
        <v>601</v>
      </c>
      <c r="E698" s="201">
        <v>2894.0</v>
      </c>
      <c r="F698" s="202"/>
      <c r="G698" s="194" t="s">
        <v>587</v>
      </c>
      <c r="H698" s="195" t="s">
        <v>603</v>
      </c>
      <c r="I698" s="196"/>
      <c r="J698" s="179">
        <f>IF(A698="RAPPI",(VLOOKUP(TRIM(D698), CATALOGO!F:G, 2, FALSE) * C698)+I698,IFERROR(IF(COUNTIF('RESTAURANTESDESCUENTOS 2026'!A:A,TRIM(A698))&gt;0,((VLOOKUP(TRIM(D698), CATALOGO!A:B, 2, FALSE) * C698)*(1-VALUE(SUBSTITUTE(VLOOKUP(TRIM(A698),'RESTAURANTESDESCUENTOS 2026'!A:B,2,FALSE),"%",""))/100)+I698),(VLOOKUP(TRIM(D698), CATALOGO!A:B, 2, FALSE) * C698+I698)),""))</f>
        <v>53000</v>
      </c>
      <c r="K698" s="196"/>
      <c r="L698" s="87"/>
      <c r="M698" s="197" t="s">
        <v>587</v>
      </c>
      <c r="N698" s="168"/>
    </row>
    <row r="699" ht="22.5" hidden="1" customHeight="1">
      <c r="A699" s="137" t="s">
        <v>622</v>
      </c>
      <c r="B699" s="90">
        <v>46056.0</v>
      </c>
      <c r="C699" s="55">
        <v>1.0</v>
      </c>
      <c r="D699" s="97" t="s">
        <v>178</v>
      </c>
      <c r="E699" s="201" t="s">
        <v>28</v>
      </c>
      <c r="F699" s="202"/>
      <c r="G699" s="194" t="s">
        <v>35</v>
      </c>
      <c r="H699" s="198"/>
      <c r="I699" s="196"/>
      <c r="J699" s="199">
        <v>0.0</v>
      </c>
      <c r="K699" s="196"/>
      <c r="L699" s="87"/>
      <c r="M699" s="197" t="s">
        <v>587</v>
      </c>
      <c r="N699" s="168"/>
    </row>
    <row r="700" ht="22.5" hidden="1" customHeight="1">
      <c r="A700" s="137" t="s">
        <v>605</v>
      </c>
      <c r="B700" s="90">
        <v>46056.0</v>
      </c>
      <c r="C700" s="55">
        <v>1.0</v>
      </c>
      <c r="D700" s="97" t="s">
        <v>178</v>
      </c>
      <c r="E700" s="201" t="s">
        <v>607</v>
      </c>
      <c r="F700" s="202"/>
      <c r="G700" s="194" t="s">
        <v>35</v>
      </c>
      <c r="H700" s="198"/>
      <c r="I700" s="196"/>
      <c r="J700" s="179">
        <f>IF(A700="RAPPI",(VLOOKUP(TRIM(D700), CATALOGO!F:G, 2, FALSE) * C700)+I700,IFERROR(IF(COUNTIF('RESTAURANTESDESCUENTOS 2026'!A:A,TRIM(A700))&gt;0,((VLOOKUP(TRIM(D700), CATALOGO!A:B, 2, FALSE) * C700)*(1-VALUE(SUBSTITUTE(VLOOKUP(TRIM(A700),'RESTAURANTESDESCUENTOS 2026'!A:B,2,FALSE),"%",""))/100)+I700),(VLOOKUP(TRIM(D700), CATALOGO!A:B, 2, FALSE) * C700+I700)),""))</f>
        <v>150000</v>
      </c>
      <c r="K700" s="196"/>
      <c r="L700" s="87"/>
      <c r="M700" s="197" t="s">
        <v>587</v>
      </c>
      <c r="N700" s="168"/>
    </row>
    <row r="701" ht="22.5" hidden="1" customHeight="1">
      <c r="A701" s="137" t="s">
        <v>156</v>
      </c>
      <c r="B701" s="90">
        <v>46056.0</v>
      </c>
      <c r="C701" s="55">
        <v>1.0</v>
      </c>
      <c r="D701" s="97" t="s">
        <v>177</v>
      </c>
      <c r="E701" s="201" t="s">
        <v>648</v>
      </c>
      <c r="F701" s="202"/>
      <c r="G701" s="194" t="s">
        <v>587</v>
      </c>
      <c r="H701" s="195" t="s">
        <v>588</v>
      </c>
      <c r="I701" s="196">
        <v>10000.0</v>
      </c>
      <c r="J701" s="199">
        <v>88750.0</v>
      </c>
      <c r="K701" s="231">
        <v>10000.0</v>
      </c>
      <c r="L701" s="87"/>
      <c r="M701" s="197" t="s">
        <v>587</v>
      </c>
      <c r="N701" s="168"/>
    </row>
    <row r="702" ht="22.5" hidden="1" customHeight="1">
      <c r="A702" s="137" t="s">
        <v>603</v>
      </c>
      <c r="B702" s="90">
        <v>46056.0</v>
      </c>
      <c r="C702" s="55">
        <v>1.0</v>
      </c>
      <c r="D702" s="97" t="s">
        <v>176</v>
      </c>
      <c r="E702" s="201">
        <v>5604.0</v>
      </c>
      <c r="F702" s="202"/>
      <c r="G702" s="194" t="s">
        <v>587</v>
      </c>
      <c r="H702" s="195" t="s">
        <v>603</v>
      </c>
      <c r="I702" s="196"/>
      <c r="J702" s="179">
        <f>IF(A702="RAPPI",(VLOOKUP(TRIM(D702), CATALOGO!F:G, 2, FALSE) * C702)+I702,IFERROR(IF(COUNTIF('RESTAURANTESDESCUENTOS 2026'!A:A,TRIM(A702))&gt;0,((VLOOKUP(TRIM(D702), CATALOGO!A:B, 2, FALSE) * C702)*(1-VALUE(SUBSTITUTE(VLOOKUP(TRIM(A702),'RESTAURANTESDESCUENTOS 2026'!A:B,2,FALSE),"%",""))/100)+I702),(VLOOKUP(TRIM(D702), CATALOGO!A:B, 2, FALSE) * C702+I702)),""))</f>
        <v>50000</v>
      </c>
      <c r="K702" s="196"/>
      <c r="L702" s="87"/>
      <c r="M702" s="197" t="s">
        <v>587</v>
      </c>
      <c r="N702" s="168"/>
    </row>
    <row r="703" ht="22.5" hidden="1" customHeight="1">
      <c r="A703" s="137" t="s">
        <v>605</v>
      </c>
      <c r="B703" s="90">
        <v>46056.0</v>
      </c>
      <c r="C703" s="55">
        <v>1.0</v>
      </c>
      <c r="D703" s="97" t="s">
        <v>176</v>
      </c>
      <c r="E703" s="201" t="s">
        <v>606</v>
      </c>
      <c r="F703" s="202"/>
      <c r="G703" s="194" t="s">
        <v>35</v>
      </c>
      <c r="H703" s="198"/>
      <c r="I703" s="196"/>
      <c r="J703" s="179">
        <f>IF(A703="RAPPI",(VLOOKUP(TRIM(D703), CATALOGO!F:G, 2, FALSE) * C703)+I703,IFERROR(IF(COUNTIF('RESTAURANTESDESCUENTOS 2026'!A:A,TRIM(A703))&gt;0,((VLOOKUP(TRIM(D703), CATALOGO!A:B, 2, FALSE) * C703)*(1-VALUE(SUBSTITUTE(VLOOKUP(TRIM(A703),'RESTAURANTESDESCUENTOS 2026'!A:B,2,FALSE),"%",""))/100)+I703),(VLOOKUP(TRIM(D703), CATALOGO!A:B, 2, FALSE) * C703+I703)),""))</f>
        <v>50000</v>
      </c>
      <c r="K703" s="196"/>
      <c r="L703" s="87"/>
      <c r="M703" s="197" t="s">
        <v>587</v>
      </c>
      <c r="N703" s="168"/>
    </row>
    <row r="704" ht="22.5" hidden="1" customHeight="1">
      <c r="A704" s="137" t="s">
        <v>605</v>
      </c>
      <c r="B704" s="90">
        <v>46056.0</v>
      </c>
      <c r="C704" s="70">
        <v>1.0</v>
      </c>
      <c r="D704" s="97" t="s">
        <v>174</v>
      </c>
      <c r="E704" s="201" t="s">
        <v>607</v>
      </c>
      <c r="F704" s="202"/>
      <c r="G704" s="194" t="s">
        <v>35</v>
      </c>
      <c r="H704" s="198"/>
      <c r="I704" s="196"/>
      <c r="J704" s="179">
        <f>IF(A704="RAPPI",(VLOOKUP(TRIM(D704), CATALOGO!F:G, 2, FALSE) * C704)+I704,IFERROR(IF(COUNTIF('RESTAURANTESDESCUENTOS 2026'!A:A,TRIM(A704))&gt;0,((VLOOKUP(TRIM(D704), CATALOGO!A:B, 2, FALSE) * C704)*(1-VALUE(SUBSTITUTE(VLOOKUP(TRIM(A704),'RESTAURANTESDESCUENTOS 2026'!A:B,2,FALSE),"%",""))/100)+I704),(VLOOKUP(TRIM(D704), CATALOGO!A:B, 2, FALSE) * C704+I704)),""))</f>
        <v>18000</v>
      </c>
      <c r="K704" s="196"/>
      <c r="L704" s="87"/>
      <c r="M704" s="197" t="s">
        <v>587</v>
      </c>
      <c r="N704" s="168"/>
    </row>
    <row r="705" ht="22.5" hidden="1" customHeight="1">
      <c r="A705" s="137" t="s">
        <v>605</v>
      </c>
      <c r="B705" s="90">
        <v>46056.0</v>
      </c>
      <c r="C705" s="55">
        <v>1.0</v>
      </c>
      <c r="D705" s="97" t="s">
        <v>676</v>
      </c>
      <c r="E705" s="201" t="s">
        <v>607</v>
      </c>
      <c r="F705" s="202"/>
      <c r="G705" s="194" t="s">
        <v>35</v>
      </c>
      <c r="H705" s="198"/>
      <c r="I705" s="196"/>
      <c r="J705" s="179">
        <f>IF(A705="RAPPI",(VLOOKUP(TRIM(D705), CATALOGO!F:G, 2, FALSE) * C705)+I705,IFERROR(IF(COUNTIF('RESTAURANTESDESCUENTOS 2026'!A:A,TRIM(A705))&gt;0,((VLOOKUP(TRIM(D705), CATALOGO!A:B, 2, FALSE) * C705)*(1-VALUE(SUBSTITUTE(VLOOKUP(TRIM(A705),'RESTAURANTESDESCUENTOS 2026'!A:B,2,FALSE),"%",""))/100)+I705),(VLOOKUP(TRIM(D705), CATALOGO!A:B, 2, FALSE) * C705+I705)),""))</f>
        <v>8000</v>
      </c>
      <c r="K705" s="196"/>
      <c r="L705" s="87"/>
      <c r="M705" s="197" t="s">
        <v>587</v>
      </c>
      <c r="N705" s="168"/>
    </row>
    <row r="706" ht="22.5" hidden="1" customHeight="1">
      <c r="A706" s="137" t="s">
        <v>25</v>
      </c>
      <c r="B706" s="90">
        <v>46057.0</v>
      </c>
      <c r="C706" s="55">
        <v>2.0</v>
      </c>
      <c r="D706" s="97" t="s">
        <v>178</v>
      </c>
      <c r="E706" s="201" t="s">
        <v>552</v>
      </c>
      <c r="F706" s="202"/>
      <c r="G706" s="194" t="s">
        <v>587</v>
      </c>
      <c r="H706" s="195" t="s">
        <v>588</v>
      </c>
      <c r="I706" s="196">
        <v>0.0</v>
      </c>
      <c r="J706" s="179">
        <f>IF(A706="RAPPI",(VLOOKUP(TRIM(D706), CATALOGO!F:G, 2, FALSE) * C706)+I706,IFERROR(IF(COUNTIF('RESTAURANTESDESCUENTOS 2026'!A:A,TRIM(A706))&gt;0,((VLOOKUP(TRIM(D706), CATALOGO!A:B, 2, FALSE) * C706)*(1-VALUE(SUBSTITUTE(VLOOKUP(TRIM(A706),'RESTAURANTESDESCUENTOS 2026'!A:B,2,FALSE),"%",""))/100)+I706),(VLOOKUP(TRIM(D706), CATALOGO!A:B, 2, FALSE) * C706+I706)),""))</f>
        <v>225000</v>
      </c>
      <c r="K706" s="196">
        <v>0.0</v>
      </c>
      <c r="L706" s="87" t="s">
        <v>587</v>
      </c>
      <c r="M706" s="197" t="s">
        <v>587</v>
      </c>
      <c r="N706" s="168"/>
    </row>
    <row r="707" ht="22.5" hidden="1" customHeight="1">
      <c r="A707" s="137" t="s">
        <v>10</v>
      </c>
      <c r="B707" s="90">
        <v>46057.0</v>
      </c>
      <c r="C707" s="55">
        <v>2.0</v>
      </c>
      <c r="D707" s="97" t="s">
        <v>178</v>
      </c>
      <c r="E707" s="201" t="s">
        <v>799</v>
      </c>
      <c r="F707" s="202"/>
      <c r="G707" s="194" t="s">
        <v>587</v>
      </c>
      <c r="H707" s="195" t="s">
        <v>753</v>
      </c>
      <c r="I707" s="196">
        <v>10000.0</v>
      </c>
      <c r="J707" s="179">
        <f>IF(A707="RAPPI",(VLOOKUP(TRIM(D707), CATALOGO!F:G, 2, FALSE) * C707)+I707,IFERROR(IF(COUNTIF('RESTAURANTESDESCUENTOS 2026'!A:A,TRIM(A707))&gt;0,((VLOOKUP(TRIM(D707), CATALOGO!A:B, 2, FALSE) * C707)*(1-VALUE(SUBSTITUTE(VLOOKUP(TRIM(A707),'RESTAURANTESDESCUENTOS 2026'!A:B,2,FALSE),"%",""))/100)+I707),(VLOOKUP(TRIM(D707), CATALOGO!A:B, 2, FALSE) * C707+I707)),""))</f>
        <v>235000</v>
      </c>
      <c r="K707" s="231">
        <v>10000.0</v>
      </c>
      <c r="L707" s="87" t="s">
        <v>587</v>
      </c>
      <c r="M707" s="197" t="s">
        <v>587</v>
      </c>
      <c r="N707" s="168"/>
    </row>
    <row r="708" ht="22.5" hidden="1" customHeight="1">
      <c r="A708" s="137" t="s">
        <v>847</v>
      </c>
      <c r="B708" s="90">
        <v>46057.0</v>
      </c>
      <c r="C708" s="55">
        <v>1.0</v>
      </c>
      <c r="D708" s="97" t="s">
        <v>653</v>
      </c>
      <c r="E708" s="70" t="s">
        <v>715</v>
      </c>
      <c r="F708" s="212"/>
      <c r="G708" s="194" t="s">
        <v>587</v>
      </c>
      <c r="H708" s="195" t="s">
        <v>588</v>
      </c>
      <c r="I708" s="196">
        <v>12000.0</v>
      </c>
      <c r="J708" s="179">
        <f>IF(A708="RAPPI",(VLOOKUP(TRIM(D708), CATALOGO!F:G, 2, FALSE) * C708)+I708,IFERROR(IF(COUNTIF('RESTAURANTESDESCUENTOS 2026'!A:A,TRIM(A708))&gt;0,((VLOOKUP(TRIM(D708), CATALOGO!A:B, 2, FALSE) * C708)*(1-VALUE(SUBSTITUTE(VLOOKUP(TRIM(A708),'RESTAURANTESDESCUENTOS 2026'!A:B,2,FALSE),"%",""))/100)+I708),(VLOOKUP(TRIM(D708), CATALOGO!A:B, 2, FALSE) * C708+I708)),""))</f>
        <v>135000</v>
      </c>
      <c r="K708" s="231">
        <v>12000.0</v>
      </c>
      <c r="L708" s="87"/>
      <c r="M708" s="197" t="s">
        <v>587</v>
      </c>
      <c r="N708" s="168"/>
    </row>
    <row r="709" ht="22.5" hidden="1" customHeight="1">
      <c r="A709" s="137" t="s">
        <v>605</v>
      </c>
      <c r="B709" s="90">
        <v>46057.0</v>
      </c>
      <c r="C709" s="70">
        <v>1.0</v>
      </c>
      <c r="D709" s="97" t="s">
        <v>174</v>
      </c>
      <c r="E709" s="201" t="s">
        <v>606</v>
      </c>
      <c r="F709" s="202"/>
      <c r="G709" s="194" t="s">
        <v>35</v>
      </c>
      <c r="H709" s="198"/>
      <c r="I709" s="196"/>
      <c r="J709" s="179">
        <f>IF(A709="RAPPI",(VLOOKUP(TRIM(D709), CATALOGO!F:G, 2, FALSE) * C709)+I709,IFERROR(IF(COUNTIF('RESTAURANTESDESCUENTOS 2026'!A:A,TRIM(A709))&gt;0,((VLOOKUP(TRIM(D709), CATALOGO!A:B, 2, FALSE) * C709)*(1-VALUE(SUBSTITUTE(VLOOKUP(TRIM(A709),'RESTAURANTESDESCUENTOS 2026'!A:B,2,FALSE),"%",""))/100)+I709),(VLOOKUP(TRIM(D709), CATALOGO!A:B, 2, FALSE) * C709+I709)),""))</f>
        <v>18000</v>
      </c>
      <c r="K709" s="196"/>
      <c r="L709" s="87"/>
      <c r="M709" s="197" t="s">
        <v>587</v>
      </c>
      <c r="N709" s="168"/>
    </row>
    <row r="710" ht="22.5" hidden="1" customHeight="1">
      <c r="A710" s="137" t="s">
        <v>49</v>
      </c>
      <c r="B710" s="90">
        <v>46057.0</v>
      </c>
      <c r="C710" s="55">
        <v>2.0</v>
      </c>
      <c r="D710" s="97" t="s">
        <v>177</v>
      </c>
      <c r="E710" s="201" t="s">
        <v>610</v>
      </c>
      <c r="F710" s="202"/>
      <c r="G710" s="194" t="s">
        <v>587</v>
      </c>
      <c r="H710" s="198"/>
      <c r="I710" s="196">
        <v>0.0</v>
      </c>
      <c r="J710" s="179">
        <f>IF(A710="RAPPI",(VLOOKUP(TRIM(D710), CATALOGO!F:G, 2, FALSE) * C710)+I710,IFERROR(IF(COUNTIF('RESTAURANTESDESCUENTOS 2026'!A:A,TRIM(A710))&gt;0,((VLOOKUP(TRIM(D710), CATALOGO!A:B, 2, FALSE) * C710)*(1-VALUE(SUBSTITUTE(VLOOKUP(TRIM(A710),'RESTAURANTESDESCUENTOS 2026'!A:B,2,FALSE),"%",""))/100)+I710),(VLOOKUP(TRIM(D710), CATALOGO!A:B, 2, FALSE) * C710+I710)),""))</f>
        <v>172500</v>
      </c>
      <c r="K710" s="196">
        <v>0.0</v>
      </c>
      <c r="L710" s="87" t="s">
        <v>587</v>
      </c>
      <c r="M710" s="197" t="s">
        <v>587</v>
      </c>
      <c r="N710" s="168"/>
    </row>
    <row r="711" ht="22.5" hidden="1" customHeight="1">
      <c r="A711" s="137" t="s">
        <v>848</v>
      </c>
      <c r="B711" s="90">
        <v>46057.0</v>
      </c>
      <c r="C711" s="55">
        <v>1.0</v>
      </c>
      <c r="D711" s="97" t="s">
        <v>179</v>
      </c>
      <c r="E711" s="201"/>
      <c r="F711" s="202"/>
      <c r="G711" s="194" t="s">
        <v>587</v>
      </c>
      <c r="H711" s="195" t="s">
        <v>588</v>
      </c>
      <c r="I711" s="196">
        <v>14000.0</v>
      </c>
      <c r="J711" s="179">
        <f>IF(A711="RAPPI",(VLOOKUP(TRIM(D711), CATALOGO!F:G, 2, FALSE) * C711)+I711,IFERROR(IF(COUNTIF('RESTAURANTESDESCUENTOS 2026'!A:A,TRIM(A711))&gt;0,((VLOOKUP(TRIM(D711), CATALOGO!A:B, 2, FALSE) * C711)*(1-VALUE(SUBSTITUTE(VLOOKUP(TRIM(A711),'RESTAURANTESDESCUENTOS 2026'!A:B,2,FALSE),"%",""))/100)+I711),(VLOOKUP(TRIM(D711), CATALOGO!A:B, 2, FALSE) * C711+I711)),""))</f>
        <v>69000</v>
      </c>
      <c r="K711" s="231">
        <v>14000.0</v>
      </c>
      <c r="L711" s="87"/>
      <c r="M711" s="197" t="s">
        <v>587</v>
      </c>
      <c r="N711" s="168"/>
    </row>
    <row r="712" ht="22.5" hidden="1" customHeight="1">
      <c r="A712" s="137" t="s">
        <v>30</v>
      </c>
      <c r="B712" s="90">
        <v>46057.0</v>
      </c>
      <c r="C712" s="55">
        <v>2.0</v>
      </c>
      <c r="D712" s="97" t="s">
        <v>178</v>
      </c>
      <c r="E712" s="201" t="s">
        <v>610</v>
      </c>
      <c r="F712" s="202"/>
      <c r="G712" s="194" t="s">
        <v>587</v>
      </c>
      <c r="H712" s="195" t="s">
        <v>588</v>
      </c>
      <c r="I712" s="196">
        <v>25000.0</v>
      </c>
      <c r="J712" s="179">
        <f>IF(A712="RAPPI",(VLOOKUP(TRIM(D712), CATALOGO!F:G, 2, FALSE) * C712)+I712,IFERROR(IF(COUNTIF('RESTAURANTESDESCUENTOS 2026'!A:A,TRIM(A712))&gt;0,((VLOOKUP(TRIM(D712), CATALOGO!A:B, 2, FALSE) * C712)*(1-VALUE(SUBSTITUTE(VLOOKUP(TRIM(A712),'RESTAURANTESDESCUENTOS 2026'!A:B,2,FALSE),"%",""))/100)+I712),(VLOOKUP(TRIM(D712), CATALOGO!A:B, 2, FALSE) * C712+I712)),""))</f>
        <v>250000</v>
      </c>
      <c r="K712" s="196">
        <v>0.0</v>
      </c>
      <c r="L712" s="87" t="s">
        <v>587</v>
      </c>
      <c r="M712" s="197" t="s">
        <v>587</v>
      </c>
      <c r="N712" s="168"/>
    </row>
    <row r="713" ht="22.5" hidden="1" customHeight="1">
      <c r="A713" s="137" t="s">
        <v>623</v>
      </c>
      <c r="B713" s="90">
        <v>46057.0</v>
      </c>
      <c r="C713" s="55">
        <v>1.0</v>
      </c>
      <c r="D713" s="97" t="s">
        <v>186</v>
      </c>
      <c r="E713" s="201"/>
      <c r="F713" s="202"/>
      <c r="G713" s="194" t="s">
        <v>587</v>
      </c>
      <c r="H713" s="195" t="s">
        <v>588</v>
      </c>
      <c r="I713" s="196">
        <v>10000.0</v>
      </c>
      <c r="J713" s="179">
        <f>IF(A713="RAPPI",(VLOOKUP(TRIM(D713), CATALOGO!F:G, 2, FALSE) * C713)+I713,IFERROR(IF(COUNTIF('RESTAURANTESDESCUENTOS 2026'!A:A,TRIM(A713))&gt;0,((VLOOKUP(TRIM(D713), CATALOGO!A:B, 2, FALSE) * C713)*(1-VALUE(SUBSTITUTE(VLOOKUP(TRIM(A713),'RESTAURANTESDESCUENTOS 2026'!A:B,2,FALSE),"%",""))/100)+I713),(VLOOKUP(TRIM(D713), CATALOGO!A:B, 2, FALSE) * C713+I713)),""))</f>
        <v>65000</v>
      </c>
      <c r="K713" s="231">
        <v>10000.0</v>
      </c>
      <c r="L713" s="87"/>
      <c r="M713" s="197" t="s">
        <v>587</v>
      </c>
      <c r="N713" s="168"/>
    </row>
    <row r="714" ht="22.5" hidden="1" customHeight="1">
      <c r="A714" s="137" t="s">
        <v>597</v>
      </c>
      <c r="B714" s="90">
        <v>46057.0</v>
      </c>
      <c r="C714" s="55">
        <v>4.0</v>
      </c>
      <c r="D714" s="97" t="s">
        <v>176</v>
      </c>
      <c r="E714" s="201"/>
      <c r="F714" s="202"/>
      <c r="G714" s="194" t="s">
        <v>587</v>
      </c>
      <c r="H714" s="195" t="s">
        <v>588</v>
      </c>
      <c r="I714" s="196">
        <v>0.0</v>
      </c>
      <c r="J714" s="199">
        <v>0.0</v>
      </c>
      <c r="K714" s="231">
        <v>80000.0</v>
      </c>
      <c r="L714" s="87"/>
      <c r="M714" s="197" t="s">
        <v>587</v>
      </c>
      <c r="N714" s="168"/>
    </row>
    <row r="715" ht="24.0" hidden="1" customHeight="1">
      <c r="A715" s="137" t="s">
        <v>603</v>
      </c>
      <c r="B715" s="90">
        <v>46057.0</v>
      </c>
      <c r="C715" s="55">
        <v>1.0</v>
      </c>
      <c r="D715" s="97" t="s">
        <v>601</v>
      </c>
      <c r="E715" s="201">
        <v>3942.0</v>
      </c>
      <c r="F715" s="202"/>
      <c r="G715" s="194" t="s">
        <v>587</v>
      </c>
      <c r="H715" s="195" t="s">
        <v>603</v>
      </c>
      <c r="I715" s="196"/>
      <c r="J715" s="179">
        <f>IF(A715="RAPPI",(VLOOKUP(TRIM(D715), CATALOGO!F:G, 2, FALSE) * C715)+I715,IFERROR(IF(COUNTIF('RESTAURANTESDESCUENTOS 2026'!A:A,TRIM(A715))&gt;0,((VLOOKUP(TRIM(D715), CATALOGO!A:B, 2, FALSE) * C715)*(1-VALUE(SUBSTITUTE(VLOOKUP(TRIM(A715),'RESTAURANTESDESCUENTOS 2026'!A:B,2,FALSE),"%",""))/100)+I715),(VLOOKUP(TRIM(D715), CATALOGO!A:B, 2, FALSE) * C715+I715)),""))</f>
        <v>53000</v>
      </c>
      <c r="K715" s="196"/>
      <c r="L715" s="87"/>
      <c r="M715" s="197" t="s">
        <v>587</v>
      </c>
      <c r="N715" s="168"/>
      <c r="P715" s="99" t="s">
        <v>849</v>
      </c>
    </row>
    <row r="716" ht="22.5" hidden="1" customHeight="1">
      <c r="A716" s="137" t="s">
        <v>603</v>
      </c>
      <c r="B716" s="90">
        <v>46057.0</v>
      </c>
      <c r="C716" s="55">
        <v>1.0</v>
      </c>
      <c r="D716" s="97" t="s">
        <v>654</v>
      </c>
      <c r="E716" s="201">
        <v>3942.0</v>
      </c>
      <c r="F716" s="202"/>
      <c r="G716" s="194" t="s">
        <v>587</v>
      </c>
      <c r="H716" s="195" t="s">
        <v>603</v>
      </c>
      <c r="I716" s="196"/>
      <c r="J716" s="179">
        <f>IF(A716="RAPPI",(VLOOKUP(TRIM(D716), CATALOGO!F:G, 2, FALSE) * C716)+I716,IFERROR(IF(COUNTIF('RESTAURANTESDESCUENTOS 2026'!A:A,TRIM(A716))&gt;0,((VLOOKUP(TRIM(D716), CATALOGO!A:B, 2, FALSE) * C716)*(1-VALUE(SUBSTITUTE(VLOOKUP(TRIM(A716),'RESTAURANTESDESCUENTOS 2026'!A:B,2,FALSE),"%",""))/100)+I716),(VLOOKUP(TRIM(D716), CATALOGO!A:B, 2, FALSE) * C716+I716)),""))</f>
        <v>4000</v>
      </c>
      <c r="K716" s="196"/>
      <c r="L716" s="87"/>
      <c r="M716" s="197" t="s">
        <v>587</v>
      </c>
      <c r="N716" s="168"/>
    </row>
    <row r="717" ht="22.5" hidden="1" customHeight="1">
      <c r="A717" s="137" t="s">
        <v>605</v>
      </c>
      <c r="B717" s="90">
        <v>46057.0</v>
      </c>
      <c r="C717" s="55">
        <v>1.0</v>
      </c>
      <c r="D717" s="97" t="s">
        <v>176</v>
      </c>
      <c r="E717" s="201" t="s">
        <v>607</v>
      </c>
      <c r="F717" s="202"/>
      <c r="G717" s="194" t="s">
        <v>35</v>
      </c>
      <c r="H717" s="198"/>
      <c r="I717" s="196"/>
      <c r="J717" s="179">
        <f>IF(A717="RAPPI",(VLOOKUP(TRIM(D717), CATALOGO!F:G, 2, FALSE) * C717)+I717,IFERROR(IF(COUNTIF('RESTAURANTESDESCUENTOS 2026'!A:A,TRIM(A717))&gt;0,((VLOOKUP(TRIM(D717), CATALOGO!A:B, 2, FALSE) * C717)*(1-VALUE(SUBSTITUTE(VLOOKUP(TRIM(A717),'RESTAURANTESDESCUENTOS 2026'!A:B,2,FALSE),"%",""))/100)+I717),(VLOOKUP(TRIM(D717), CATALOGO!A:B, 2, FALSE) * C717+I717)),""))</f>
        <v>50000</v>
      </c>
      <c r="K717" s="196"/>
      <c r="L717" s="87"/>
      <c r="M717" s="197" t="s">
        <v>587</v>
      </c>
      <c r="N717" s="168"/>
    </row>
    <row r="718" ht="22.5" hidden="1" customHeight="1">
      <c r="A718" s="137" t="s">
        <v>850</v>
      </c>
      <c r="B718" s="90">
        <v>46057.0</v>
      </c>
      <c r="C718" s="55">
        <v>1.0</v>
      </c>
      <c r="D718" s="97" t="s">
        <v>179</v>
      </c>
      <c r="E718" s="201"/>
      <c r="F718" s="202"/>
      <c r="G718" s="194" t="s">
        <v>35</v>
      </c>
      <c r="H718" s="198"/>
      <c r="I718" s="196"/>
      <c r="J718" s="179">
        <f>IF(A718="RAPPI",(VLOOKUP(TRIM(D718), CATALOGO!F:G, 2, FALSE) * C718)+I718,IFERROR(IF(COUNTIF('RESTAURANTESDESCUENTOS 2026'!A:A,TRIM(A718))&gt;0,((VLOOKUP(TRIM(D718), CATALOGO!A:B, 2, FALSE) * C718)*(1-VALUE(SUBSTITUTE(VLOOKUP(TRIM(A718),'RESTAURANTESDESCUENTOS 2026'!A:B,2,FALSE),"%",""))/100)+I718),(VLOOKUP(TRIM(D718), CATALOGO!A:B, 2, FALSE) * C718+I718)),""))</f>
        <v>55000</v>
      </c>
      <c r="K718" s="196"/>
      <c r="L718" s="87"/>
      <c r="M718" s="197" t="s">
        <v>587</v>
      </c>
      <c r="N718" s="168"/>
    </row>
    <row r="719" ht="22.5" hidden="1" customHeight="1">
      <c r="A719" s="137" t="s">
        <v>850</v>
      </c>
      <c r="B719" s="90">
        <v>46057.0</v>
      </c>
      <c r="C719" s="55">
        <v>1.0</v>
      </c>
      <c r="D719" s="97" t="s">
        <v>182</v>
      </c>
      <c r="E719" s="201"/>
      <c r="F719" s="202"/>
      <c r="G719" s="194" t="s">
        <v>35</v>
      </c>
      <c r="H719" s="198"/>
      <c r="I719" s="196"/>
      <c r="J719" s="179">
        <f>IF(A719="RAPPI",(VLOOKUP(TRIM(D719), CATALOGO!F:G, 2, FALSE) * C719)+I719,IFERROR(IF(COUNTIF('RESTAURANTESDESCUENTOS 2026'!A:A,TRIM(A719))&gt;0,((VLOOKUP(TRIM(D719), CATALOGO!A:B, 2, FALSE) * C719)*(1-VALUE(SUBSTITUTE(VLOOKUP(TRIM(A719),'RESTAURANTESDESCUENTOS 2026'!A:B,2,FALSE),"%",""))/100)+I719),(VLOOKUP(TRIM(D719), CATALOGO!A:B, 2, FALSE) * C719+I719)),""))</f>
        <v>37000</v>
      </c>
      <c r="K719" s="196"/>
      <c r="L719" s="87"/>
      <c r="M719" s="197" t="s">
        <v>587</v>
      </c>
      <c r="N719" s="168"/>
    </row>
    <row r="720" ht="22.5" hidden="1" customHeight="1">
      <c r="A720" s="137" t="s">
        <v>850</v>
      </c>
      <c r="B720" s="90">
        <v>46057.0</v>
      </c>
      <c r="C720" s="55">
        <v>2.0</v>
      </c>
      <c r="D720" s="97" t="s">
        <v>620</v>
      </c>
      <c r="E720" s="201"/>
      <c r="F720" s="202"/>
      <c r="G720" s="194" t="s">
        <v>35</v>
      </c>
      <c r="H720" s="198"/>
      <c r="I720" s="196"/>
      <c r="J720" s="179">
        <f>IF(A720="RAPPI",(VLOOKUP(TRIM(D720), CATALOGO!F:G, 2, FALSE) * C720)+I720,IFERROR(IF(COUNTIF('RESTAURANTESDESCUENTOS 2026'!A:A,TRIM(A720))&gt;0,((VLOOKUP(TRIM(D720), CATALOGO!A:B, 2, FALSE) * C720)*(1-VALUE(SUBSTITUTE(VLOOKUP(TRIM(A720),'RESTAURANTESDESCUENTOS 2026'!A:B,2,FALSE),"%",""))/100)+I720),(VLOOKUP(TRIM(D720), CATALOGO!A:B, 2, FALSE) * C720+I720)),""))</f>
        <v>0</v>
      </c>
      <c r="K720" s="196"/>
      <c r="L720" s="87"/>
      <c r="M720" s="197" t="s">
        <v>587</v>
      </c>
      <c r="N720" s="168"/>
    </row>
    <row r="721" ht="22.5" hidden="1" customHeight="1">
      <c r="A721" s="137" t="s">
        <v>603</v>
      </c>
      <c r="B721" s="90">
        <v>46057.0</v>
      </c>
      <c r="C721" s="55">
        <v>1.0</v>
      </c>
      <c r="D721" s="97" t="s">
        <v>601</v>
      </c>
      <c r="E721" s="201">
        <v>9273.0</v>
      </c>
      <c r="F721" s="202"/>
      <c r="G721" s="194" t="s">
        <v>587</v>
      </c>
      <c r="H721" s="195" t="s">
        <v>603</v>
      </c>
      <c r="I721" s="196"/>
      <c r="J721" s="179">
        <f>IF(A721="RAPPI",(VLOOKUP(TRIM(D721), CATALOGO!F:G, 2, FALSE) * C721)+I721,IFERROR(IF(COUNTIF('RESTAURANTESDESCUENTOS 2026'!A:A,TRIM(A721))&gt;0,((VLOOKUP(TRIM(D721), CATALOGO!A:B, 2, FALSE) * C721)*(1-VALUE(SUBSTITUTE(VLOOKUP(TRIM(A721),'RESTAURANTESDESCUENTOS 2026'!A:B,2,FALSE),"%",""))/100)+I721),(VLOOKUP(TRIM(D721), CATALOGO!A:B, 2, FALSE) * C721+I721)),""))</f>
        <v>53000</v>
      </c>
      <c r="K721" s="196"/>
      <c r="L721" s="87"/>
      <c r="M721" s="197" t="s">
        <v>587</v>
      </c>
      <c r="N721" s="168"/>
    </row>
    <row r="722" ht="22.5" hidden="1" customHeight="1">
      <c r="A722" s="137" t="s">
        <v>603</v>
      </c>
      <c r="B722" s="90">
        <v>46057.0</v>
      </c>
      <c r="C722" s="55">
        <v>1.0</v>
      </c>
      <c r="D722" s="97" t="s">
        <v>708</v>
      </c>
      <c r="E722" s="201">
        <v>4023.0</v>
      </c>
      <c r="F722" s="202"/>
      <c r="G722" s="194" t="s">
        <v>587</v>
      </c>
      <c r="H722" s="195" t="s">
        <v>603</v>
      </c>
      <c r="I722" s="196"/>
      <c r="J722" s="179">
        <f>IF(A722="RAPPI",(VLOOKUP(TRIM(D722), CATALOGO!F:G, 2, FALSE) * C722)+I722,IFERROR(IF(COUNTIF('RESTAURANTESDESCUENTOS 2026'!A:A,TRIM(A722))&gt;0,((VLOOKUP(TRIM(D722), CATALOGO!A:B, 2, FALSE) * C722)*(1-VALUE(SUBSTITUTE(VLOOKUP(TRIM(A722),'RESTAURANTESDESCUENTOS 2026'!A:B,2,FALSE),"%",""))/100)+I722),(VLOOKUP(TRIM(D722), CATALOGO!A:B, 2, FALSE) * C722+I722)),""))</f>
        <v>53000</v>
      </c>
      <c r="K722" s="196"/>
      <c r="L722" s="87"/>
      <c r="M722" s="197" t="s">
        <v>587</v>
      </c>
      <c r="N722" s="168"/>
    </row>
    <row r="723" ht="22.5" hidden="1" customHeight="1">
      <c r="A723" s="137" t="s">
        <v>55</v>
      </c>
      <c r="B723" s="90">
        <v>46057.0</v>
      </c>
      <c r="C723" s="55">
        <v>2.0</v>
      </c>
      <c r="D723" s="97" t="s">
        <v>178</v>
      </c>
      <c r="E723" s="201" t="s">
        <v>552</v>
      </c>
      <c r="F723" s="202"/>
      <c r="G723" s="194" t="s">
        <v>587</v>
      </c>
      <c r="H723" s="195" t="s">
        <v>588</v>
      </c>
      <c r="I723" s="196">
        <v>10000.0</v>
      </c>
      <c r="J723" s="179">
        <f>IF(A723="RAPPI",(VLOOKUP(TRIM(D723), CATALOGO!F:G, 2, FALSE) * C723)+I723,IFERROR(IF(COUNTIF('RESTAURANTESDESCUENTOS 2026'!A:A,TRIM(A723))&gt;0,((VLOOKUP(TRIM(D723), CATALOGO!A:B, 2, FALSE) * C723)*(1-VALUE(SUBSTITUTE(VLOOKUP(TRIM(A723),'RESTAURANTESDESCUENTOS 2026'!A:B,2,FALSE),"%",""))/100)+I723),(VLOOKUP(TRIM(D723), CATALOGO!A:B, 2, FALSE) * C723+I723)),""))</f>
        <v>235000</v>
      </c>
      <c r="K723" s="231">
        <v>10000.0</v>
      </c>
      <c r="L723" s="87" t="s">
        <v>587</v>
      </c>
      <c r="M723" s="197" t="s">
        <v>587</v>
      </c>
      <c r="N723" s="168"/>
    </row>
    <row r="724" ht="22.5" hidden="1" customHeight="1">
      <c r="A724" s="137" t="s">
        <v>603</v>
      </c>
      <c r="B724" s="90">
        <v>46057.0</v>
      </c>
      <c r="C724" s="70">
        <v>1.0</v>
      </c>
      <c r="D724" s="97" t="s">
        <v>628</v>
      </c>
      <c r="E724" s="201">
        <v>1741.0</v>
      </c>
      <c r="F724" s="202"/>
      <c r="G724" s="194" t="s">
        <v>587</v>
      </c>
      <c r="H724" s="195" t="s">
        <v>603</v>
      </c>
      <c r="I724" s="196"/>
      <c r="J724" s="179">
        <f>IF(A724="RAPPI",(VLOOKUP(TRIM(D724), CATALOGO!F:G, 2, FALSE) * C724)+I724,IFERROR(IF(COUNTIF('RESTAURANTESDESCUENTOS 2026'!A:A,TRIM(A724))&gt;0,((VLOOKUP(TRIM(D724), CATALOGO!A:B, 2, FALSE) * C724)*(1-VALUE(SUBSTITUTE(VLOOKUP(TRIM(A724),'RESTAURANTESDESCUENTOS 2026'!A:B,2,FALSE),"%",""))/100)+I724),(VLOOKUP(TRIM(D724), CATALOGO!A:B, 2, FALSE) * C724+I724)),""))</f>
        <v>22000</v>
      </c>
      <c r="K724" s="196"/>
      <c r="L724" s="87"/>
      <c r="M724" s="197" t="s">
        <v>587</v>
      </c>
      <c r="N724" s="168"/>
    </row>
    <row r="725" ht="22.5" hidden="1" customHeight="1">
      <c r="A725" s="137" t="s">
        <v>605</v>
      </c>
      <c r="B725" s="90">
        <v>46057.0</v>
      </c>
      <c r="C725" s="70">
        <v>2.0</v>
      </c>
      <c r="D725" s="97" t="s">
        <v>602</v>
      </c>
      <c r="E725" s="201" t="s">
        <v>606</v>
      </c>
      <c r="F725" s="202"/>
      <c r="G725" s="194" t="s">
        <v>35</v>
      </c>
      <c r="H725" s="198"/>
      <c r="I725" s="196"/>
      <c r="J725" s="179">
        <f>IF(A725="RAPPI",(VLOOKUP(TRIM(D725), CATALOGO!F:G, 2, FALSE) * C725)+I725,IFERROR(IF(COUNTIF('RESTAURANTESDESCUENTOS 2026'!A:A,TRIM(A725))&gt;0,((VLOOKUP(TRIM(D725), CATALOGO!A:B, 2, FALSE) * C725)*(1-VALUE(SUBSTITUTE(VLOOKUP(TRIM(A725),'RESTAURANTESDESCUENTOS 2026'!A:B,2,FALSE),"%",""))/100)+I725),(VLOOKUP(TRIM(D725), CATALOGO!A:B, 2, FALSE) * C725+I725)),""))</f>
        <v>44000</v>
      </c>
      <c r="K725" s="196"/>
      <c r="L725" s="87"/>
      <c r="M725" s="197" t="s">
        <v>587</v>
      </c>
      <c r="N725" s="168"/>
    </row>
    <row r="726" ht="22.5" hidden="1" customHeight="1">
      <c r="A726" s="137" t="s">
        <v>52</v>
      </c>
      <c r="B726" s="90">
        <v>46058.0</v>
      </c>
      <c r="C726" s="55">
        <v>1.0</v>
      </c>
      <c r="D726" s="97" t="s">
        <v>177</v>
      </c>
      <c r="E726" s="201" t="s">
        <v>610</v>
      </c>
      <c r="F726" s="202"/>
      <c r="G726" s="194" t="s">
        <v>587</v>
      </c>
      <c r="H726" s="195" t="s">
        <v>632</v>
      </c>
      <c r="I726" s="196">
        <v>0.0</v>
      </c>
      <c r="J726" s="179">
        <f>IF(A726="RAPPI",(VLOOKUP(TRIM(D726), CATALOGO!F:G, 2, FALSE) * C726)+I726,IFERROR(IF(COUNTIF('RESTAURANTESDESCUENTOS 2026'!A:A,TRIM(A726))&gt;0,((VLOOKUP(TRIM(D726), CATALOGO!A:B, 2, FALSE) * C726)*(1-VALUE(SUBSTITUTE(VLOOKUP(TRIM(A726),'RESTAURANTESDESCUENTOS 2026'!A:B,2,FALSE),"%",""))/100)+I726),(VLOOKUP(TRIM(D726), CATALOGO!A:B, 2, FALSE) * C726+I726)),""))</f>
        <v>86250</v>
      </c>
      <c r="K726" s="196">
        <v>12000.0</v>
      </c>
      <c r="L726" s="87" t="s">
        <v>587</v>
      </c>
      <c r="M726" s="197" t="s">
        <v>587</v>
      </c>
      <c r="N726" s="168"/>
    </row>
    <row r="727" ht="22.5" hidden="1" customHeight="1">
      <c r="A727" s="137" t="s">
        <v>88</v>
      </c>
      <c r="B727" s="90">
        <v>46058.0</v>
      </c>
      <c r="C727" s="55">
        <v>1.0</v>
      </c>
      <c r="D727" s="97" t="s">
        <v>177</v>
      </c>
      <c r="E727" s="201" t="s">
        <v>610</v>
      </c>
      <c r="F727" s="202"/>
      <c r="G727" s="194" t="s">
        <v>587</v>
      </c>
      <c r="H727" s="195" t="s">
        <v>632</v>
      </c>
      <c r="I727" s="196">
        <v>10000.0</v>
      </c>
      <c r="J727" s="179">
        <f>IF(A727="RAPPI",(VLOOKUP(TRIM(D727), CATALOGO!F:G, 2, FALSE) * C727)+I727,IFERROR(IF(COUNTIF('RESTAURANTESDESCUENTOS 2026'!A:A,TRIM(A727))&gt;0,((VLOOKUP(TRIM(D727), CATALOGO!A:B, 2, FALSE) * C727)*(1-VALUE(SUBSTITUTE(VLOOKUP(TRIM(A727),'RESTAURANTESDESCUENTOS 2026'!A:B,2,FALSE),"%",""))/100)+I727),(VLOOKUP(TRIM(D727), CATALOGO!A:B, 2, FALSE) * C727+I727)),""))</f>
        <v>96250</v>
      </c>
      <c r="K727" s="196">
        <v>15000.0</v>
      </c>
      <c r="L727" s="87" t="s">
        <v>587</v>
      </c>
      <c r="M727" s="197" t="s">
        <v>587</v>
      </c>
      <c r="N727" s="168"/>
    </row>
    <row r="728" ht="22.5" hidden="1" customHeight="1">
      <c r="A728" s="137" t="s">
        <v>38</v>
      </c>
      <c r="B728" s="90">
        <v>46058.0</v>
      </c>
      <c r="C728" s="55">
        <v>1.0</v>
      </c>
      <c r="D728" s="97" t="s">
        <v>177</v>
      </c>
      <c r="E728" s="201" t="s">
        <v>610</v>
      </c>
      <c r="F728" s="202"/>
      <c r="G728" s="194" t="s">
        <v>587</v>
      </c>
      <c r="H728" s="195" t="s">
        <v>632</v>
      </c>
      <c r="I728" s="196">
        <v>0.0</v>
      </c>
      <c r="J728" s="179">
        <f>IF(A728="RAPPI",(VLOOKUP(TRIM(D728), CATALOGO!F:G, 2, FALSE) * C728)+I728,IFERROR(IF(COUNTIF('RESTAURANTESDESCUENTOS 2026'!A:A,TRIM(A728))&gt;0,((VLOOKUP(TRIM(D728), CATALOGO!A:B, 2, FALSE) * C728)*(1-VALUE(SUBSTITUTE(VLOOKUP(TRIM(A728),'RESTAURANTESDESCUENTOS 2026'!A:B,2,FALSE),"%",""))/100)+I728),(VLOOKUP(TRIM(D728), CATALOGO!A:B, 2, FALSE) * C728+I728)),""))</f>
        <v>86250</v>
      </c>
      <c r="K728" s="196">
        <v>15000.0</v>
      </c>
      <c r="L728" s="87" t="s">
        <v>587</v>
      </c>
      <c r="M728" s="197" t="s">
        <v>587</v>
      </c>
      <c r="N728" s="168"/>
    </row>
    <row r="729" ht="22.5" hidden="1" customHeight="1">
      <c r="A729" s="137" t="s">
        <v>55</v>
      </c>
      <c r="B729" s="90">
        <v>46058.0</v>
      </c>
      <c r="C729" s="55">
        <v>8.0</v>
      </c>
      <c r="D729" s="97" t="s">
        <v>182</v>
      </c>
      <c r="E729" s="201" t="s">
        <v>851</v>
      </c>
      <c r="F729" s="202"/>
      <c r="G729" s="194" t="s">
        <v>587</v>
      </c>
      <c r="H729" s="195" t="s">
        <v>632</v>
      </c>
      <c r="I729" s="196">
        <v>10000.0</v>
      </c>
      <c r="J729" s="179">
        <f>IF(A729="RAPPI",(VLOOKUP(TRIM(D729), CATALOGO!F:G, 2, FALSE) * C729)+I729,IFERROR(IF(COUNTIF('RESTAURANTESDESCUENTOS 2026'!A:A,TRIM(A729))&gt;0,((VLOOKUP(TRIM(D729), CATALOGO!A:B, 2, FALSE) * C729)*(1-VALUE(SUBSTITUTE(VLOOKUP(TRIM(A729),'RESTAURANTESDESCUENTOS 2026'!A:B,2,FALSE),"%",""))/100)+I729),(VLOOKUP(TRIM(D729), CATALOGO!A:B, 2, FALSE) * C729+I729)),""))</f>
        <v>232000</v>
      </c>
      <c r="K729" s="196">
        <v>10000.0</v>
      </c>
      <c r="L729" s="87" t="s">
        <v>587</v>
      </c>
      <c r="M729" s="197" t="s">
        <v>587</v>
      </c>
      <c r="N729" s="168"/>
    </row>
    <row r="730" ht="22.5" hidden="1" customHeight="1">
      <c r="A730" s="137" t="s">
        <v>43</v>
      </c>
      <c r="B730" s="90">
        <v>46058.0</v>
      </c>
      <c r="C730" s="55">
        <v>2.0</v>
      </c>
      <c r="D730" s="97" t="s">
        <v>177</v>
      </c>
      <c r="E730" s="201" t="s">
        <v>610</v>
      </c>
      <c r="F730" s="202"/>
      <c r="G730" s="194" t="s">
        <v>587</v>
      </c>
      <c r="H730" s="195" t="s">
        <v>632</v>
      </c>
      <c r="I730" s="196">
        <v>0.0</v>
      </c>
      <c r="J730" s="179">
        <f>IF(A730="RAPPI",(VLOOKUP(TRIM(D730), CATALOGO!F:G, 2, FALSE) * C730)+I730,IFERROR(IF(COUNTIF('RESTAURANTESDESCUENTOS 2026'!A:A,TRIM(A730))&gt;0,((VLOOKUP(TRIM(D730), CATALOGO!A:B, 2, FALSE) * C730)*(1-VALUE(SUBSTITUTE(VLOOKUP(TRIM(A730),'RESTAURANTESDESCUENTOS 2026'!A:B,2,FALSE),"%",""))/100)+I730),(VLOOKUP(TRIM(D730), CATALOGO!A:B, 2, FALSE) * C730+I730)),""))</f>
        <v>172500</v>
      </c>
      <c r="K730" s="196">
        <v>10000.0</v>
      </c>
      <c r="L730" s="87" t="s">
        <v>587</v>
      </c>
      <c r="M730" s="197" t="s">
        <v>587</v>
      </c>
      <c r="N730" s="168"/>
    </row>
    <row r="731" ht="22.5" hidden="1" customHeight="1">
      <c r="A731" s="137" t="s">
        <v>40</v>
      </c>
      <c r="B731" s="90">
        <v>46058.0</v>
      </c>
      <c r="C731" s="55">
        <v>1.0</v>
      </c>
      <c r="D731" s="97" t="s">
        <v>177</v>
      </c>
      <c r="E731" s="201" t="s">
        <v>610</v>
      </c>
      <c r="F731" s="202"/>
      <c r="G731" s="194" t="s">
        <v>587</v>
      </c>
      <c r="H731" s="195" t="s">
        <v>632</v>
      </c>
      <c r="I731" s="196">
        <v>0.0</v>
      </c>
      <c r="J731" s="179">
        <f>IF(A731="RAPPI",(VLOOKUP(TRIM(D731), CATALOGO!F:G, 2, FALSE) * C731)+I731,IFERROR(IF(COUNTIF('RESTAURANTESDESCUENTOS 2026'!A:A,TRIM(A731))&gt;0,((VLOOKUP(TRIM(D731), CATALOGO!A:B, 2, FALSE) * C731)*(1-VALUE(SUBSTITUTE(VLOOKUP(TRIM(A731),'RESTAURANTESDESCUENTOS 2026'!A:B,2,FALSE),"%",""))/100)+I731),(VLOOKUP(TRIM(D731), CATALOGO!A:B, 2, FALSE) * C731+I731)),""))</f>
        <v>86250</v>
      </c>
      <c r="K731" s="196">
        <v>10000.0</v>
      </c>
      <c r="L731" s="87" t="s">
        <v>587</v>
      </c>
      <c r="M731" s="197" t="s">
        <v>587</v>
      </c>
      <c r="N731" s="168"/>
    </row>
    <row r="732" ht="22.5" hidden="1" customHeight="1">
      <c r="A732" s="137" t="s">
        <v>852</v>
      </c>
      <c r="B732" s="90">
        <v>46058.0</v>
      </c>
      <c r="C732" s="55">
        <v>3.0</v>
      </c>
      <c r="D732" s="97" t="s">
        <v>182</v>
      </c>
      <c r="E732" s="201" t="s">
        <v>853</v>
      </c>
      <c r="F732" s="202"/>
      <c r="G732" s="194" t="s">
        <v>587</v>
      </c>
      <c r="H732" s="195" t="s">
        <v>632</v>
      </c>
      <c r="I732" s="196">
        <v>0.0</v>
      </c>
      <c r="J732" s="199">
        <v>0.0</v>
      </c>
      <c r="K732" s="196">
        <v>10000.0</v>
      </c>
      <c r="L732" s="87"/>
      <c r="M732" s="197" t="s">
        <v>587</v>
      </c>
      <c r="N732" s="168"/>
    </row>
    <row r="733" ht="22.5" hidden="1" customHeight="1">
      <c r="A733" s="137" t="s">
        <v>852</v>
      </c>
      <c r="B733" s="90">
        <v>46058.0</v>
      </c>
      <c r="C733" s="55">
        <v>6.0</v>
      </c>
      <c r="D733" s="97" t="s">
        <v>620</v>
      </c>
      <c r="E733" s="201"/>
      <c r="F733" s="202"/>
      <c r="G733" s="194" t="s">
        <v>587</v>
      </c>
      <c r="H733" s="195" t="s">
        <v>632</v>
      </c>
      <c r="I733" s="196">
        <v>0.0</v>
      </c>
      <c r="J733" s="179">
        <f>IF(A733="RAPPI",(VLOOKUP(TRIM(D733), CATALOGO!F:G, 2, FALSE) * C733)+I733,IFERROR(IF(COUNTIF('RESTAURANTESDESCUENTOS 2026'!A:A,TRIM(A733))&gt;0,((VLOOKUP(TRIM(D733), CATALOGO!A:B, 2, FALSE) * C733)*(1-VALUE(SUBSTITUTE(VLOOKUP(TRIM(A733),'RESTAURANTESDESCUENTOS 2026'!A:B,2,FALSE),"%",""))/100)+I733),(VLOOKUP(TRIM(D733), CATALOGO!A:B, 2, FALSE) * C733+I733)),""))</f>
        <v>0</v>
      </c>
      <c r="K733" s="196">
        <v>0.0</v>
      </c>
      <c r="L733" s="87"/>
      <c r="M733" s="197" t="s">
        <v>587</v>
      </c>
      <c r="N733" s="168"/>
    </row>
    <row r="734" ht="22.5" hidden="1" customHeight="1">
      <c r="A734" s="137" t="s">
        <v>852</v>
      </c>
      <c r="B734" s="90">
        <v>46058.0</v>
      </c>
      <c r="C734" s="55">
        <v>6.0</v>
      </c>
      <c r="D734" s="97" t="s">
        <v>236</v>
      </c>
      <c r="E734" s="201"/>
      <c r="F734" s="202"/>
      <c r="G734" s="194" t="s">
        <v>587</v>
      </c>
      <c r="H734" s="195" t="s">
        <v>632</v>
      </c>
      <c r="I734" s="196">
        <v>0.0</v>
      </c>
      <c r="J734" s="179">
        <f>IF(A734="RAPPI",(VLOOKUP(TRIM(D734), CATALOGO!F:G, 2, FALSE) * C734)+I734,IFERROR(IF(COUNTIF('RESTAURANTESDESCUENTOS 2026'!A:A,TRIM(A734))&gt;0,((VLOOKUP(TRIM(D734), CATALOGO!A:B, 2, FALSE) * C734)*(1-VALUE(SUBSTITUTE(VLOOKUP(TRIM(A734),'RESTAURANTESDESCUENTOS 2026'!A:B,2,FALSE),"%",""))/100)+I734),(VLOOKUP(TRIM(D734), CATALOGO!A:B, 2, FALSE) * C734+I734)),""))</f>
        <v>0</v>
      </c>
      <c r="K734" s="196">
        <v>0.0</v>
      </c>
      <c r="L734" s="87"/>
      <c r="M734" s="197" t="s">
        <v>587</v>
      </c>
      <c r="N734" s="168"/>
    </row>
    <row r="735" ht="22.5" hidden="1" customHeight="1">
      <c r="A735" s="137" t="s">
        <v>605</v>
      </c>
      <c r="B735" s="90">
        <v>46058.0</v>
      </c>
      <c r="C735" s="55">
        <v>1.0</v>
      </c>
      <c r="D735" s="97" t="s">
        <v>177</v>
      </c>
      <c r="E735" s="201"/>
      <c r="F735" s="202"/>
      <c r="G735" s="194" t="s">
        <v>35</v>
      </c>
      <c r="H735" s="198"/>
      <c r="I735" s="196"/>
      <c r="J735" s="179">
        <f>IF(A735="RAPPI",(VLOOKUP(TRIM(D735), CATALOGO!F:G, 2, FALSE) * C735)+I735,IFERROR(IF(COUNTIF('RESTAURANTESDESCUENTOS 2026'!A:A,TRIM(A735))&gt;0,((VLOOKUP(TRIM(D735), CATALOGO!A:B, 2, FALSE) * C735)*(1-VALUE(SUBSTITUTE(VLOOKUP(TRIM(A735),'RESTAURANTESDESCUENTOS 2026'!A:B,2,FALSE),"%",""))/100)+I735),(VLOOKUP(TRIM(D735), CATALOGO!A:B, 2, FALSE) * C735+I735)),""))</f>
        <v>115000</v>
      </c>
      <c r="K735" s="196"/>
      <c r="L735" s="87"/>
      <c r="M735" s="197" t="s">
        <v>587</v>
      </c>
      <c r="N735" s="168"/>
    </row>
    <row r="736" ht="22.5" hidden="1" customHeight="1">
      <c r="A736" s="137" t="s">
        <v>854</v>
      </c>
      <c r="B736" s="90">
        <v>46058.0</v>
      </c>
      <c r="C736" s="55">
        <v>1.0</v>
      </c>
      <c r="D736" s="97" t="s">
        <v>653</v>
      </c>
      <c r="E736" s="70" t="s">
        <v>855</v>
      </c>
      <c r="F736" s="212"/>
      <c r="G736" s="194" t="s">
        <v>587</v>
      </c>
      <c r="H736" s="195" t="s">
        <v>632</v>
      </c>
      <c r="I736" s="196">
        <v>12000.0</v>
      </c>
      <c r="J736" s="179">
        <f>IF(A736="RAPPI",(VLOOKUP(TRIM(D736), CATALOGO!F:G, 2, FALSE) * C736)+I736,IFERROR(IF(COUNTIF('RESTAURANTESDESCUENTOS 2026'!A:A,TRIM(A736))&gt;0,((VLOOKUP(TRIM(D736), CATALOGO!A:B, 2, FALSE) * C736)*(1-VALUE(SUBSTITUTE(VLOOKUP(TRIM(A736),'RESTAURANTESDESCUENTOS 2026'!A:B,2,FALSE),"%",""))/100)+I736),(VLOOKUP(TRIM(D736), CATALOGO!A:B, 2, FALSE) * C736+I736)),""))</f>
        <v>135000</v>
      </c>
      <c r="K736" s="196">
        <v>12000.0</v>
      </c>
      <c r="L736" s="87"/>
      <c r="M736" s="197" t="s">
        <v>587</v>
      </c>
      <c r="N736" s="168"/>
    </row>
    <row r="737" ht="22.5" hidden="1" customHeight="1">
      <c r="A737" s="137" t="s">
        <v>597</v>
      </c>
      <c r="B737" s="90">
        <v>46058.0</v>
      </c>
      <c r="C737" s="55">
        <v>7.0</v>
      </c>
      <c r="D737" s="97" t="s">
        <v>178</v>
      </c>
      <c r="E737" s="16" t="s">
        <v>552</v>
      </c>
      <c r="F737" s="41"/>
      <c r="G737" s="194" t="s">
        <v>35</v>
      </c>
      <c r="H737" s="198"/>
      <c r="I737" s="196"/>
      <c r="J737" s="199">
        <v>0.0</v>
      </c>
      <c r="K737" s="196"/>
      <c r="L737" s="87"/>
      <c r="M737" s="197" t="s">
        <v>587</v>
      </c>
      <c r="N737" s="168"/>
    </row>
    <row r="738" ht="22.5" hidden="1" customHeight="1">
      <c r="A738" s="137" t="s">
        <v>597</v>
      </c>
      <c r="B738" s="90">
        <v>46058.0</v>
      </c>
      <c r="C738" s="55">
        <v>7.0</v>
      </c>
      <c r="D738" s="97" t="s">
        <v>176</v>
      </c>
      <c r="E738" s="201"/>
      <c r="F738" s="202"/>
      <c r="G738" s="194" t="s">
        <v>35</v>
      </c>
      <c r="H738" s="198"/>
      <c r="I738" s="196"/>
      <c r="J738" s="199">
        <v>0.0</v>
      </c>
      <c r="K738" s="196"/>
      <c r="L738" s="87"/>
      <c r="M738" s="197" t="s">
        <v>587</v>
      </c>
      <c r="N738" s="168"/>
    </row>
    <row r="739" ht="22.5" hidden="1" customHeight="1">
      <c r="A739" s="137" t="s">
        <v>603</v>
      </c>
      <c r="B739" s="90">
        <v>46058.0</v>
      </c>
      <c r="C739" s="55">
        <v>1.0</v>
      </c>
      <c r="D739" s="97" t="s">
        <v>601</v>
      </c>
      <c r="E739" s="201">
        <v>185.0</v>
      </c>
      <c r="F739" s="202"/>
      <c r="G739" s="194" t="s">
        <v>587</v>
      </c>
      <c r="H739" s="195" t="s">
        <v>603</v>
      </c>
      <c r="I739" s="196"/>
      <c r="J739" s="199">
        <v>52000.0</v>
      </c>
      <c r="K739" s="196"/>
      <c r="L739" s="87"/>
      <c r="M739" s="197" t="s">
        <v>587</v>
      </c>
      <c r="N739" s="168"/>
    </row>
    <row r="740" ht="22.5" hidden="1" customHeight="1">
      <c r="A740" s="137" t="s">
        <v>856</v>
      </c>
      <c r="B740" s="90">
        <v>46058.0</v>
      </c>
      <c r="C740" s="55">
        <v>1.0</v>
      </c>
      <c r="D740" s="97" t="s">
        <v>180</v>
      </c>
      <c r="E740" s="201"/>
      <c r="F740" s="202"/>
      <c r="G740" s="194" t="s">
        <v>587</v>
      </c>
      <c r="H740" s="195" t="s">
        <v>632</v>
      </c>
      <c r="I740" s="196">
        <v>10000.0</v>
      </c>
      <c r="J740" s="179">
        <f>IF(A740="RAPPI",(VLOOKUP(TRIM(D740), CATALOGO!F:G, 2, FALSE) * C740)+I740,IFERROR(IF(COUNTIF('RESTAURANTESDESCUENTOS 2026'!A:A,TRIM(A740))&gt;0,((VLOOKUP(TRIM(D740), CATALOGO!A:B, 2, FALSE) * C740)*(1-VALUE(SUBSTITUTE(VLOOKUP(TRIM(A740),'RESTAURANTESDESCUENTOS 2026'!A:B,2,FALSE),"%",""))/100)+I740),(VLOOKUP(TRIM(D740), CATALOGO!A:B, 2, FALSE) * C740+I740)),""))</f>
        <v>159000</v>
      </c>
      <c r="K740" s="196">
        <v>10000.0</v>
      </c>
      <c r="L740" s="87"/>
      <c r="M740" s="197" t="s">
        <v>587</v>
      </c>
      <c r="N740" s="168"/>
    </row>
    <row r="741" ht="22.5" hidden="1" customHeight="1">
      <c r="A741" s="137" t="s">
        <v>857</v>
      </c>
      <c r="B741" s="90">
        <v>46058.0</v>
      </c>
      <c r="C741" s="55">
        <v>1.0</v>
      </c>
      <c r="D741" s="97" t="s">
        <v>176</v>
      </c>
      <c r="E741" s="201"/>
      <c r="F741" s="202"/>
      <c r="G741" s="194" t="s">
        <v>587</v>
      </c>
      <c r="H741" s="195" t="s">
        <v>588</v>
      </c>
      <c r="I741" s="196">
        <v>15000.0</v>
      </c>
      <c r="J741" s="179">
        <f>IF(A741="RAPPI",(VLOOKUP(TRIM(D741), CATALOGO!F:G, 2, FALSE) * C741)+I741,IFERROR(IF(COUNTIF('RESTAURANTESDESCUENTOS 2026'!A:A,TRIM(A741))&gt;0,((VLOOKUP(TRIM(D741), CATALOGO!A:B, 2, FALSE) * C741)*(1-VALUE(SUBSTITUTE(VLOOKUP(TRIM(A741),'RESTAURANTESDESCUENTOS 2026'!A:B,2,FALSE),"%",""))/100)+I741),(VLOOKUP(TRIM(D741), CATALOGO!A:B, 2, FALSE) * C741+I741)),""))</f>
        <v>65000</v>
      </c>
      <c r="K741" s="231">
        <v>16000.0</v>
      </c>
      <c r="L741" s="87"/>
      <c r="M741" s="197" t="s">
        <v>587</v>
      </c>
      <c r="N741" s="168"/>
    </row>
    <row r="742" ht="22.5" hidden="1" customHeight="1">
      <c r="A742" s="137" t="s">
        <v>858</v>
      </c>
      <c r="B742" s="90">
        <v>46058.0</v>
      </c>
      <c r="C742" s="55">
        <v>1.0</v>
      </c>
      <c r="D742" s="97" t="s">
        <v>182</v>
      </c>
      <c r="E742" s="201" t="s">
        <v>645</v>
      </c>
      <c r="F742" s="202"/>
      <c r="G742" s="194" t="s">
        <v>587</v>
      </c>
      <c r="H742" s="195" t="s">
        <v>588</v>
      </c>
      <c r="I742" s="196">
        <v>10000.0</v>
      </c>
      <c r="J742" s="179">
        <f>IF(A742="RAPPI",(VLOOKUP(TRIM(D742), CATALOGO!F:G, 2, FALSE) * C742)+I742,IFERROR(IF(COUNTIF('RESTAURANTESDESCUENTOS 2026'!A:A,TRIM(A742))&gt;0,((VLOOKUP(TRIM(D742), CATALOGO!A:B, 2, FALSE) * C742)*(1-VALUE(SUBSTITUTE(VLOOKUP(TRIM(A742),'RESTAURANTESDESCUENTOS 2026'!A:B,2,FALSE),"%",""))/100)+I742),(VLOOKUP(TRIM(D742), CATALOGO!A:B, 2, FALSE) * C742+I742)),""))</f>
        <v>47000</v>
      </c>
      <c r="K742" s="231">
        <v>10000.0</v>
      </c>
      <c r="L742" s="87"/>
      <c r="M742" s="197" t="s">
        <v>587</v>
      </c>
      <c r="N742" s="168"/>
    </row>
    <row r="743" ht="22.5" hidden="1" customHeight="1">
      <c r="A743" s="137" t="s">
        <v>858</v>
      </c>
      <c r="B743" s="90">
        <v>46058.0</v>
      </c>
      <c r="C743" s="55">
        <v>1.0</v>
      </c>
      <c r="D743" s="97" t="s">
        <v>620</v>
      </c>
      <c r="E743" s="201"/>
      <c r="F743" s="202"/>
      <c r="G743" s="194" t="s">
        <v>587</v>
      </c>
      <c r="H743" s="195" t="s">
        <v>588</v>
      </c>
      <c r="I743" s="196">
        <v>0.0</v>
      </c>
      <c r="J743" s="179">
        <f>IF(A743="RAPPI",(VLOOKUP(TRIM(D743), CATALOGO!F:G, 2, FALSE) * C743)+I743,IFERROR(IF(COUNTIF('RESTAURANTESDESCUENTOS 2026'!A:A,TRIM(A743))&gt;0,((VLOOKUP(TRIM(D743), CATALOGO!A:B, 2, FALSE) * C743)*(1-VALUE(SUBSTITUTE(VLOOKUP(TRIM(A743),'RESTAURANTESDESCUENTOS 2026'!A:B,2,FALSE),"%",""))/100)+I743),(VLOOKUP(TRIM(D743), CATALOGO!A:B, 2, FALSE) * C743+I743)),""))</f>
        <v>0</v>
      </c>
      <c r="K743" s="196">
        <v>0.0</v>
      </c>
      <c r="L743" s="87"/>
      <c r="M743" s="197" t="s">
        <v>587</v>
      </c>
      <c r="N743" s="168"/>
    </row>
    <row r="744" ht="22.5" hidden="1" customHeight="1">
      <c r="A744" s="137" t="s">
        <v>858</v>
      </c>
      <c r="B744" s="90">
        <v>46058.0</v>
      </c>
      <c r="C744" s="55">
        <v>1.0</v>
      </c>
      <c r="D744" s="97" t="s">
        <v>669</v>
      </c>
      <c r="E744" s="201"/>
      <c r="F744" s="202"/>
      <c r="G744" s="194" t="s">
        <v>587</v>
      </c>
      <c r="H744" s="195" t="s">
        <v>588</v>
      </c>
      <c r="I744" s="196">
        <v>0.0</v>
      </c>
      <c r="J744" s="179">
        <f>IF(A744="RAPPI",(VLOOKUP(TRIM(D744), CATALOGO!F:G, 2, FALSE) * C744)+I744,IFERROR(IF(COUNTIF('RESTAURANTESDESCUENTOS 2026'!A:A,TRIM(A744))&gt;0,((VLOOKUP(TRIM(D744), CATALOGO!A:B, 2, FALSE) * C744)*(1-VALUE(SUBSTITUTE(VLOOKUP(TRIM(A744),'RESTAURANTESDESCUENTOS 2026'!A:B,2,FALSE),"%",""))/100)+I744),(VLOOKUP(TRIM(D744), CATALOGO!A:B, 2, FALSE) * C744+I744)),""))</f>
        <v>0</v>
      </c>
      <c r="K744" s="196">
        <v>0.0</v>
      </c>
      <c r="L744" s="87"/>
      <c r="M744" s="197" t="s">
        <v>587</v>
      </c>
      <c r="N744" s="168"/>
    </row>
    <row r="745" ht="22.5" hidden="1" customHeight="1">
      <c r="A745" s="137" t="s">
        <v>858</v>
      </c>
      <c r="B745" s="90">
        <v>46058.0</v>
      </c>
      <c r="C745" s="55">
        <v>1.0</v>
      </c>
      <c r="D745" s="97" t="s">
        <v>236</v>
      </c>
      <c r="E745" s="201"/>
      <c r="F745" s="202"/>
      <c r="G745" s="194" t="s">
        <v>587</v>
      </c>
      <c r="H745" s="195" t="s">
        <v>588</v>
      </c>
      <c r="I745" s="196">
        <v>0.0</v>
      </c>
      <c r="J745" s="179">
        <f>IF(A745="RAPPI",(VLOOKUP(TRIM(D745), CATALOGO!F:G, 2, FALSE) * C745)+I745,IFERROR(IF(COUNTIF('RESTAURANTESDESCUENTOS 2026'!A:A,TRIM(A745))&gt;0,((VLOOKUP(TRIM(D745), CATALOGO!A:B, 2, FALSE) * C745)*(1-VALUE(SUBSTITUTE(VLOOKUP(TRIM(A745),'RESTAURANTESDESCUENTOS 2026'!A:B,2,FALSE),"%",""))/100)+I745),(VLOOKUP(TRIM(D745), CATALOGO!A:B, 2, FALSE) * C745+I745)),""))</f>
        <v>0</v>
      </c>
      <c r="K745" s="196">
        <v>0.0</v>
      </c>
      <c r="L745" s="87"/>
      <c r="M745" s="197" t="s">
        <v>587</v>
      </c>
      <c r="N745" s="168"/>
    </row>
    <row r="746" ht="22.5" hidden="1" customHeight="1">
      <c r="A746" s="137" t="s">
        <v>858</v>
      </c>
      <c r="B746" s="90">
        <v>46058.0</v>
      </c>
      <c r="C746" s="55">
        <v>1.0</v>
      </c>
      <c r="D746" s="97" t="s">
        <v>639</v>
      </c>
      <c r="E746" s="201"/>
      <c r="F746" s="202"/>
      <c r="G746" s="194" t="s">
        <v>587</v>
      </c>
      <c r="H746" s="195" t="s">
        <v>588</v>
      </c>
      <c r="I746" s="196">
        <v>0.0</v>
      </c>
      <c r="J746" s="179">
        <f>IF(A746="RAPPI",(VLOOKUP(TRIM(D746), CATALOGO!F:G, 2, FALSE) * C746)+I746,IFERROR(IF(COUNTIF('RESTAURANTESDESCUENTOS 2026'!A:A,TRIM(A746))&gt;0,((VLOOKUP(TRIM(D746), CATALOGO!A:B, 2, FALSE) * C746)*(1-VALUE(SUBSTITUTE(VLOOKUP(TRIM(A746),'RESTAURANTESDESCUENTOS 2026'!A:B,2,FALSE),"%",""))/100)+I746),(VLOOKUP(TRIM(D746), CATALOGO!A:B, 2, FALSE) * C746+I746)),""))</f>
        <v>0</v>
      </c>
      <c r="K746" s="196">
        <v>0.0</v>
      </c>
      <c r="L746" s="87"/>
      <c r="M746" s="197" t="s">
        <v>587</v>
      </c>
      <c r="N746" s="168"/>
    </row>
    <row r="747" ht="22.5" hidden="1" customHeight="1">
      <c r="A747" s="137" t="s">
        <v>603</v>
      </c>
      <c r="B747" s="90">
        <v>46058.0</v>
      </c>
      <c r="C747" s="55">
        <v>1.0</v>
      </c>
      <c r="D747" s="97" t="s">
        <v>179</v>
      </c>
      <c r="E747" s="201">
        <v>9466.0</v>
      </c>
      <c r="F747" s="202"/>
      <c r="G747" s="194" t="s">
        <v>587</v>
      </c>
      <c r="H747" s="195" t="s">
        <v>603</v>
      </c>
      <c r="I747" s="196"/>
      <c r="J747" s="179">
        <f>IF(A747="RAPPI",(VLOOKUP(TRIM(D747), CATALOGO!F:G, 2, FALSE) * C747)+I747,IFERROR(IF(COUNTIF('RESTAURANTESDESCUENTOS 2026'!A:A,TRIM(A747))&gt;0,((VLOOKUP(TRIM(D747), CATALOGO!A:B, 2, FALSE) * C747)*(1-VALUE(SUBSTITUTE(VLOOKUP(TRIM(A747),'RESTAURANTESDESCUENTOS 2026'!A:B,2,FALSE),"%",""))/100)+I747),(VLOOKUP(TRIM(D747), CATALOGO!A:B, 2, FALSE) * C747+I747)),""))</f>
        <v>55000</v>
      </c>
      <c r="K747" s="196"/>
      <c r="L747" s="87"/>
      <c r="M747" s="197" t="s">
        <v>587</v>
      </c>
      <c r="N747" s="168"/>
    </row>
    <row r="748" ht="22.5" hidden="1" customHeight="1">
      <c r="A748" s="137" t="s">
        <v>605</v>
      </c>
      <c r="B748" s="90">
        <v>46058.0</v>
      </c>
      <c r="C748" s="55">
        <v>1.0</v>
      </c>
      <c r="D748" s="97" t="s">
        <v>653</v>
      </c>
      <c r="E748" s="201" t="s">
        <v>859</v>
      </c>
      <c r="F748" s="202"/>
      <c r="G748" s="194" t="s">
        <v>35</v>
      </c>
      <c r="H748" s="198"/>
      <c r="I748" s="196"/>
      <c r="J748" s="179">
        <f>IF(A748="RAPPI",(VLOOKUP(TRIM(D748), CATALOGO!F:G, 2, FALSE) * C748)+I748,IFERROR(IF(COUNTIF('RESTAURANTESDESCUENTOS 2026'!A:A,TRIM(A748))&gt;0,((VLOOKUP(TRIM(D748), CATALOGO!A:B, 2, FALSE) * C748)*(1-VALUE(SUBSTITUTE(VLOOKUP(TRIM(A748),'RESTAURANTESDESCUENTOS 2026'!A:B,2,FALSE),"%",""))/100)+I748),(VLOOKUP(TRIM(D748), CATALOGO!A:B, 2, FALSE) * C748+I748)),""))</f>
        <v>123000</v>
      </c>
      <c r="K748" s="196"/>
      <c r="L748" s="87"/>
      <c r="M748" s="197" t="s">
        <v>587</v>
      </c>
      <c r="N748" s="168"/>
    </row>
    <row r="749" ht="22.5" hidden="1" customHeight="1">
      <c r="A749" s="137" t="s">
        <v>603</v>
      </c>
      <c r="B749" s="90">
        <v>46058.0</v>
      </c>
      <c r="C749" s="55">
        <v>1.0</v>
      </c>
      <c r="D749" s="97" t="s">
        <v>739</v>
      </c>
      <c r="E749" s="201">
        <v>1861.0</v>
      </c>
      <c r="F749" s="202"/>
      <c r="G749" s="194" t="s">
        <v>587</v>
      </c>
      <c r="H749" s="195" t="s">
        <v>603</v>
      </c>
      <c r="I749" s="196"/>
      <c r="J749" s="179">
        <f>IF(A749="RAPPI",(VLOOKUP(TRIM(D749), CATALOGO!F:G, 2, FALSE) * C749)+I749,IFERROR(IF(COUNTIF('RESTAURANTESDESCUENTOS 2026'!A:A,TRIM(A749))&gt;0,((VLOOKUP(TRIM(D749), CATALOGO!A:B, 2, FALSE) * C749)*(1-VALUE(SUBSTITUTE(VLOOKUP(TRIM(A749),'RESTAURANTESDESCUENTOS 2026'!A:B,2,FALSE),"%",""))/100)+I749),(VLOOKUP(TRIM(D749), CATALOGO!A:B, 2, FALSE) * C749+I749)),""))</f>
        <v>163000</v>
      </c>
      <c r="K749" s="196"/>
      <c r="L749" s="87"/>
      <c r="M749" s="197" t="s">
        <v>587</v>
      </c>
      <c r="N749" s="168"/>
    </row>
    <row r="750" ht="22.5" hidden="1" customHeight="1">
      <c r="A750" s="137" t="s">
        <v>603</v>
      </c>
      <c r="B750" s="90">
        <v>46058.0</v>
      </c>
      <c r="C750" s="55">
        <v>1.0</v>
      </c>
      <c r="D750" s="97" t="s">
        <v>179</v>
      </c>
      <c r="E750" s="201">
        <v>8553.0</v>
      </c>
      <c r="F750" s="202"/>
      <c r="G750" s="194" t="s">
        <v>587</v>
      </c>
      <c r="H750" s="195" t="s">
        <v>603</v>
      </c>
      <c r="I750" s="196"/>
      <c r="J750" s="179">
        <f>IF(A750="RAPPI",(VLOOKUP(TRIM(D750), CATALOGO!F:G, 2, FALSE) * C750)+I750,IFERROR(IF(COUNTIF('RESTAURANTESDESCUENTOS 2026'!A:A,TRIM(A750))&gt;0,((VLOOKUP(TRIM(D750), CATALOGO!A:B, 2, FALSE) * C750)*(1-VALUE(SUBSTITUTE(VLOOKUP(TRIM(A750),'RESTAURANTESDESCUENTOS 2026'!A:B,2,FALSE),"%",""))/100)+I750),(VLOOKUP(TRIM(D750), CATALOGO!A:B, 2, FALSE) * C750+I750)),""))</f>
        <v>55000</v>
      </c>
      <c r="K750" s="196"/>
      <c r="L750" s="87"/>
      <c r="M750" s="197" t="s">
        <v>587</v>
      </c>
      <c r="N750" s="168"/>
    </row>
    <row r="751" ht="22.5" hidden="1" customHeight="1">
      <c r="A751" s="137" t="s">
        <v>603</v>
      </c>
      <c r="B751" s="90">
        <v>46058.0</v>
      </c>
      <c r="C751" s="70">
        <v>1.0</v>
      </c>
      <c r="D751" s="97" t="s">
        <v>602</v>
      </c>
      <c r="E751" s="201">
        <v>8553.0</v>
      </c>
      <c r="F751" s="202"/>
      <c r="G751" s="194" t="s">
        <v>587</v>
      </c>
      <c r="H751" s="195" t="s">
        <v>603</v>
      </c>
      <c r="I751" s="196"/>
      <c r="J751" s="179">
        <f>IF(A751="RAPPI",(VLOOKUP(TRIM(D751), CATALOGO!F:G, 2, FALSE) * C751)+I751,IFERROR(IF(COUNTIF('RESTAURANTESDESCUENTOS 2026'!A:A,TRIM(A751))&gt;0,((VLOOKUP(TRIM(D751), CATALOGO!A:B, 2, FALSE) * C751)*(1-VALUE(SUBSTITUTE(VLOOKUP(TRIM(A751),'RESTAURANTESDESCUENTOS 2026'!A:B,2,FALSE),"%",""))/100)+I751),(VLOOKUP(TRIM(D751), CATALOGO!A:B, 2, FALSE) * C751+I751)),""))</f>
        <v>22000</v>
      </c>
      <c r="K751" s="196"/>
      <c r="L751" s="87"/>
      <c r="M751" s="197" t="s">
        <v>587</v>
      </c>
      <c r="N751" s="168"/>
    </row>
    <row r="752" ht="22.5" hidden="1" customHeight="1">
      <c r="A752" s="137" t="s">
        <v>860</v>
      </c>
      <c r="B752" s="90">
        <v>46058.0</v>
      </c>
      <c r="C752" s="55">
        <v>1.0</v>
      </c>
      <c r="D752" s="97" t="s">
        <v>186</v>
      </c>
      <c r="E752" s="201"/>
      <c r="F752" s="202"/>
      <c r="G752" s="194" t="s">
        <v>35</v>
      </c>
      <c r="H752" s="198"/>
      <c r="I752" s="196"/>
      <c r="J752" s="179">
        <f>IF(A752="RAPPI",(VLOOKUP(TRIM(D752), CATALOGO!F:G, 2, FALSE) * C752)+I752,IFERROR(IF(COUNTIF('RESTAURANTESDESCUENTOS 2026'!A:A,TRIM(A752))&gt;0,((VLOOKUP(TRIM(D752), CATALOGO!A:B, 2, FALSE) * C752)*(1-VALUE(SUBSTITUTE(VLOOKUP(TRIM(A752),'RESTAURANTESDESCUENTOS 2026'!A:B,2,FALSE),"%",""))/100)+I752),(VLOOKUP(TRIM(D752), CATALOGO!A:B, 2, FALSE) * C752+I752)),""))</f>
        <v>55000</v>
      </c>
      <c r="K752" s="196"/>
      <c r="L752" s="87"/>
      <c r="M752" s="197" t="s">
        <v>587</v>
      </c>
      <c r="N752" s="168"/>
    </row>
    <row r="753" ht="22.5" hidden="1" customHeight="1">
      <c r="A753" s="137" t="s">
        <v>769</v>
      </c>
      <c r="B753" s="90">
        <v>46059.0</v>
      </c>
      <c r="C753" s="55">
        <v>28.0</v>
      </c>
      <c r="D753" s="97" t="s">
        <v>183</v>
      </c>
      <c r="E753" s="201"/>
      <c r="F753" s="202"/>
      <c r="G753" s="194" t="s">
        <v>587</v>
      </c>
      <c r="H753" s="195" t="s">
        <v>632</v>
      </c>
      <c r="I753" s="196">
        <v>0.0</v>
      </c>
      <c r="J753" s="179">
        <f>IF(A753="RAPPI",(VLOOKUP(TRIM(D753), CATALOGO!F:G, 2, FALSE) * C753)+I753,IFERROR(IF(COUNTIF('RESTAURANTESDESCUENTOS 2026'!A:A,TRIM(A753))&gt;0,((VLOOKUP(TRIM(D753), CATALOGO!A:B, 2, FALSE) * C753)*(1-VALUE(SUBSTITUTE(VLOOKUP(TRIM(A753),'RESTAURANTESDESCUENTOS 2026'!A:B,2,FALSE),"%",""))/100)+I753),(VLOOKUP(TRIM(D753), CATALOGO!A:B, 2, FALSE) * C753+I753)),""))</f>
        <v>431200</v>
      </c>
      <c r="K753" s="196">
        <v>10000.0</v>
      </c>
      <c r="L753" s="87" t="s">
        <v>587</v>
      </c>
      <c r="M753" s="197" t="s">
        <v>587</v>
      </c>
      <c r="N753" s="168"/>
    </row>
    <row r="754" ht="22.5" hidden="1" customHeight="1">
      <c r="A754" s="137" t="s">
        <v>769</v>
      </c>
      <c r="B754" s="90">
        <v>46059.0</v>
      </c>
      <c r="C754" s="55">
        <v>12.0</v>
      </c>
      <c r="D754" s="97" t="s">
        <v>184</v>
      </c>
      <c r="E754" s="201"/>
      <c r="F754" s="202"/>
      <c r="G754" s="194" t="s">
        <v>587</v>
      </c>
      <c r="H754" s="195" t="s">
        <v>632</v>
      </c>
      <c r="I754" s="196">
        <v>0.0</v>
      </c>
      <c r="J754" s="179">
        <f>IF(A754="RAPPI",(VLOOKUP(TRIM(D754), CATALOGO!F:G, 2, FALSE) * C754)+I754,IFERROR(IF(COUNTIF('RESTAURANTESDESCUENTOS 2026'!A:A,TRIM(A754))&gt;0,((VLOOKUP(TRIM(D754), CATALOGO!A:B, 2, FALSE) * C754)*(1-VALUE(SUBSTITUTE(VLOOKUP(TRIM(A754),'RESTAURANTESDESCUENTOS 2026'!A:B,2,FALSE),"%",""))/100)+I754),(VLOOKUP(TRIM(D754), CATALOGO!A:B, 2, FALSE) * C754+I754)),""))</f>
        <v>288000</v>
      </c>
      <c r="K754" s="196">
        <v>0.0</v>
      </c>
      <c r="L754" s="87" t="s">
        <v>587</v>
      </c>
      <c r="M754" s="95" t="s">
        <v>587</v>
      </c>
      <c r="N754" s="232"/>
    </row>
    <row r="755" ht="22.5" hidden="1" customHeight="1">
      <c r="A755" s="137" t="s">
        <v>755</v>
      </c>
      <c r="B755" s="90">
        <v>46059.0</v>
      </c>
      <c r="C755" s="55">
        <v>1.0</v>
      </c>
      <c r="D755" s="97" t="s">
        <v>197</v>
      </c>
      <c r="E755" s="201"/>
      <c r="F755" s="202"/>
      <c r="G755" s="194" t="s">
        <v>587</v>
      </c>
      <c r="H755" s="195" t="s">
        <v>588</v>
      </c>
      <c r="I755" s="196">
        <v>10000.0</v>
      </c>
      <c r="J755" s="199">
        <v>60000.0</v>
      </c>
      <c r="K755" s="196">
        <v>10000.0</v>
      </c>
      <c r="L755" s="87"/>
      <c r="M755" s="197" t="s">
        <v>587</v>
      </c>
      <c r="N755" s="168"/>
    </row>
    <row r="756" ht="22.5" hidden="1" customHeight="1">
      <c r="A756" s="137" t="s">
        <v>861</v>
      </c>
      <c r="B756" s="90">
        <v>46059.0</v>
      </c>
      <c r="C756" s="55">
        <v>1.0</v>
      </c>
      <c r="D756" s="97" t="s">
        <v>178</v>
      </c>
      <c r="E756" s="201"/>
      <c r="F756" s="202"/>
      <c r="G756" s="194" t="s">
        <v>35</v>
      </c>
      <c r="H756" s="198"/>
      <c r="I756" s="196"/>
      <c r="J756" s="179">
        <f>IF(A756="RAPPI",(VLOOKUP(TRIM(D756), CATALOGO!F:G, 2, FALSE) * C756)+I756,IFERROR(IF(COUNTIF('RESTAURANTESDESCUENTOS 2026'!A:A,TRIM(A756))&gt;0,((VLOOKUP(TRIM(D756), CATALOGO!A:B, 2, FALSE) * C756)*(1-VALUE(SUBSTITUTE(VLOOKUP(TRIM(A756),'RESTAURANTESDESCUENTOS 2026'!A:B,2,FALSE),"%",""))/100)+I756),(VLOOKUP(TRIM(D756), CATALOGO!A:B, 2, FALSE) * C756+I756)),""))</f>
        <v>150000</v>
      </c>
      <c r="K756" s="196"/>
      <c r="L756" s="87"/>
      <c r="M756" s="197" t="s">
        <v>587</v>
      </c>
      <c r="N756" s="168"/>
    </row>
    <row r="757" ht="22.5" hidden="1" customHeight="1">
      <c r="A757" s="137" t="s">
        <v>861</v>
      </c>
      <c r="B757" s="90">
        <v>46059.0</v>
      </c>
      <c r="C757" s="55">
        <v>1.0</v>
      </c>
      <c r="D757" s="97" t="s">
        <v>176</v>
      </c>
      <c r="E757" s="201"/>
      <c r="F757" s="202"/>
      <c r="G757" s="194" t="s">
        <v>35</v>
      </c>
      <c r="H757" s="198"/>
      <c r="I757" s="196"/>
      <c r="J757" s="179">
        <f>IF(A757="RAPPI",(VLOOKUP(TRIM(D757), CATALOGO!F:G, 2, FALSE) * C757)+I757,IFERROR(IF(COUNTIF('RESTAURANTESDESCUENTOS 2026'!A:A,TRIM(A757))&gt;0,((VLOOKUP(TRIM(D757), CATALOGO!A:B, 2, FALSE) * C757)*(1-VALUE(SUBSTITUTE(VLOOKUP(TRIM(A757),'RESTAURANTESDESCUENTOS 2026'!A:B,2,FALSE),"%",""))/100)+I757),(VLOOKUP(TRIM(D757), CATALOGO!A:B, 2, FALSE) * C757+I757)),""))</f>
        <v>50000</v>
      </c>
      <c r="K757" s="196"/>
      <c r="L757" s="87"/>
      <c r="M757" s="197" t="s">
        <v>587</v>
      </c>
      <c r="N757" s="168"/>
    </row>
    <row r="758" ht="22.5" hidden="1" customHeight="1">
      <c r="A758" s="137" t="s">
        <v>605</v>
      </c>
      <c r="B758" s="90">
        <v>46059.0</v>
      </c>
      <c r="C758" s="55">
        <v>1.0</v>
      </c>
      <c r="D758" s="97" t="s">
        <v>176</v>
      </c>
      <c r="E758" s="201" t="s">
        <v>606</v>
      </c>
      <c r="F758" s="202"/>
      <c r="G758" s="194" t="s">
        <v>35</v>
      </c>
      <c r="H758" s="198"/>
      <c r="I758" s="196"/>
      <c r="J758" s="179">
        <f>IF(A758="RAPPI",(VLOOKUP(TRIM(D758), CATALOGO!F:G, 2, FALSE) * C758)+I758,IFERROR(IF(COUNTIF('RESTAURANTESDESCUENTOS 2026'!A:A,TRIM(A758))&gt;0,((VLOOKUP(TRIM(D758), CATALOGO!A:B, 2, FALSE) * C758)*(1-VALUE(SUBSTITUTE(VLOOKUP(TRIM(A758),'RESTAURANTESDESCUENTOS 2026'!A:B,2,FALSE),"%",""))/100)+I758),(VLOOKUP(TRIM(D758), CATALOGO!A:B, 2, FALSE) * C758+I758)),""))</f>
        <v>50000</v>
      </c>
      <c r="K758" s="196"/>
      <c r="L758" s="87"/>
      <c r="M758" s="197" t="s">
        <v>587</v>
      </c>
      <c r="N758" s="168"/>
    </row>
    <row r="759" ht="22.5" hidden="1" customHeight="1">
      <c r="A759" s="137" t="s">
        <v>862</v>
      </c>
      <c r="B759" s="90">
        <v>46059.0</v>
      </c>
      <c r="C759" s="55">
        <v>1.0</v>
      </c>
      <c r="D759" s="97" t="s">
        <v>177</v>
      </c>
      <c r="E759" s="201"/>
      <c r="F759" s="202"/>
      <c r="G759" s="194" t="s">
        <v>35</v>
      </c>
      <c r="H759" s="198"/>
      <c r="I759" s="196"/>
      <c r="J759" s="179">
        <f>IF(A759="RAPPI",(VLOOKUP(TRIM(D759), CATALOGO!F:G, 2, FALSE) * C759)+I759,IFERROR(IF(COUNTIF('RESTAURANTESDESCUENTOS 2026'!A:A,TRIM(A759))&gt;0,((VLOOKUP(TRIM(D759), CATALOGO!A:B, 2, FALSE) * C759)*(1-VALUE(SUBSTITUTE(VLOOKUP(TRIM(A759),'RESTAURANTESDESCUENTOS 2026'!A:B,2,FALSE),"%",""))/100)+I759),(VLOOKUP(TRIM(D759), CATALOGO!A:B, 2, FALSE) * C759+I759)),""))</f>
        <v>115000</v>
      </c>
      <c r="K759" s="196"/>
      <c r="L759" s="87"/>
      <c r="M759" s="197" t="s">
        <v>587</v>
      </c>
      <c r="N759" s="168"/>
    </row>
    <row r="760" ht="22.5" hidden="1" customHeight="1">
      <c r="A760" s="137" t="s">
        <v>603</v>
      </c>
      <c r="B760" s="90">
        <v>46059.0</v>
      </c>
      <c r="C760" s="70">
        <v>2.0</v>
      </c>
      <c r="D760" s="97" t="s">
        <v>174</v>
      </c>
      <c r="E760" s="201">
        <v>2959.0</v>
      </c>
      <c r="F760" s="202"/>
      <c r="G760" s="194" t="s">
        <v>587</v>
      </c>
      <c r="H760" s="195" t="s">
        <v>603</v>
      </c>
      <c r="I760" s="196"/>
      <c r="J760" s="179">
        <f>IF(A760="RAPPI",(VLOOKUP(TRIM(D760), CATALOGO!F:G, 2, FALSE) * C760)+I760,IFERROR(IF(COUNTIF('RESTAURANTESDESCUENTOS 2026'!A:A,TRIM(A760))&gt;0,((VLOOKUP(TRIM(D760), CATALOGO!A:B, 2, FALSE) * C760)*(1-VALUE(SUBSTITUTE(VLOOKUP(TRIM(A760),'RESTAURANTESDESCUENTOS 2026'!A:B,2,FALSE),"%",""))/100)+I760),(VLOOKUP(TRIM(D760), CATALOGO!A:B, 2, FALSE) * C760+I760)),""))</f>
        <v>36000</v>
      </c>
      <c r="K760" s="196"/>
      <c r="L760" s="87"/>
      <c r="M760" s="197" t="s">
        <v>587</v>
      </c>
      <c r="N760" s="168"/>
    </row>
    <row r="761" ht="22.5" hidden="1" customHeight="1">
      <c r="A761" s="137" t="s">
        <v>863</v>
      </c>
      <c r="B761" s="90">
        <v>46059.0</v>
      </c>
      <c r="C761" s="55">
        <v>1.0</v>
      </c>
      <c r="D761" s="97" t="s">
        <v>176</v>
      </c>
      <c r="E761" s="201" t="s">
        <v>864</v>
      </c>
      <c r="F761" s="202"/>
      <c r="G761" s="194" t="s">
        <v>35</v>
      </c>
      <c r="H761" s="198"/>
      <c r="I761" s="196"/>
      <c r="J761" s="179">
        <f>IF(A761="RAPPI",(VLOOKUP(TRIM(D761), CATALOGO!F:G, 2, FALSE) * C761)+I761,IFERROR(IF(COUNTIF('RESTAURANTESDESCUENTOS 2026'!A:A,TRIM(A761))&gt;0,((VLOOKUP(TRIM(D761), CATALOGO!A:B, 2, FALSE) * C761)*(1-VALUE(SUBSTITUTE(VLOOKUP(TRIM(A761),'RESTAURANTESDESCUENTOS 2026'!A:B,2,FALSE),"%",""))/100)+I761),(VLOOKUP(TRIM(D761), CATALOGO!A:B, 2, FALSE) * C761+I761)),""))</f>
        <v>50000</v>
      </c>
      <c r="K761" s="196"/>
      <c r="L761" s="87"/>
      <c r="M761" s="197" t="s">
        <v>587</v>
      </c>
      <c r="N761" s="168"/>
    </row>
    <row r="762" ht="22.5" hidden="1" customHeight="1">
      <c r="A762" s="137" t="s">
        <v>603</v>
      </c>
      <c r="B762" s="90">
        <v>46059.0</v>
      </c>
      <c r="C762" s="55">
        <v>1.0</v>
      </c>
      <c r="D762" s="97" t="s">
        <v>640</v>
      </c>
      <c r="E762" s="201">
        <v>4812.0</v>
      </c>
      <c r="F762" s="202"/>
      <c r="G762" s="194" t="s">
        <v>587</v>
      </c>
      <c r="H762" s="195" t="s">
        <v>603</v>
      </c>
      <c r="I762" s="196"/>
      <c r="J762" s="179">
        <f>IF(A762="RAPPI",(VLOOKUP(TRIM(D762), CATALOGO!F:G, 2, FALSE) * C762)+I762,IFERROR(IF(COUNTIF('RESTAURANTESDESCUENTOS 2026'!A:A,TRIM(A762))&gt;0,((VLOOKUP(TRIM(D762), CATALOGO!A:B, 2, FALSE) * C762)*(1-VALUE(SUBSTITUTE(VLOOKUP(TRIM(A762),'RESTAURANTESDESCUENTOS 2026'!A:B,2,FALSE),"%",""))/100)+I762),(VLOOKUP(TRIM(D762), CATALOGO!A:B, 2, FALSE) * C762+I762)),""))</f>
        <v>53000</v>
      </c>
      <c r="K762" s="196"/>
      <c r="L762" s="87"/>
      <c r="M762" s="197" t="s">
        <v>587</v>
      </c>
      <c r="N762" s="168"/>
    </row>
    <row r="763" ht="22.5" hidden="1" customHeight="1">
      <c r="A763" s="137" t="s">
        <v>603</v>
      </c>
      <c r="B763" s="90">
        <v>46059.0</v>
      </c>
      <c r="C763" s="70">
        <v>1.0</v>
      </c>
      <c r="D763" s="97" t="s">
        <v>602</v>
      </c>
      <c r="E763" s="201">
        <v>4584.0</v>
      </c>
      <c r="F763" s="202"/>
      <c r="G763" s="194" t="s">
        <v>587</v>
      </c>
      <c r="H763" s="195" t="s">
        <v>603</v>
      </c>
      <c r="I763" s="196"/>
      <c r="J763" s="179">
        <f>IF(A763="RAPPI",(VLOOKUP(TRIM(D763), CATALOGO!F:G, 2, FALSE) * C763)+I763,IFERROR(IF(COUNTIF('RESTAURANTESDESCUENTOS 2026'!A:A,TRIM(A763))&gt;0,((VLOOKUP(TRIM(D763), CATALOGO!A:B, 2, FALSE) * C763)*(1-VALUE(SUBSTITUTE(VLOOKUP(TRIM(A763),'RESTAURANTESDESCUENTOS 2026'!A:B,2,FALSE),"%",""))/100)+I763),(VLOOKUP(TRIM(D763), CATALOGO!A:B, 2, FALSE) * C763+I763)),""))</f>
        <v>22000</v>
      </c>
      <c r="K763" s="196"/>
      <c r="L763" s="87"/>
      <c r="M763" s="197" t="s">
        <v>587</v>
      </c>
      <c r="N763" s="168"/>
    </row>
    <row r="764" ht="22.5" hidden="1" customHeight="1">
      <c r="A764" s="137" t="s">
        <v>21</v>
      </c>
      <c r="B764" s="90">
        <v>46059.0</v>
      </c>
      <c r="C764" s="55">
        <v>1.0</v>
      </c>
      <c r="D764" s="97" t="s">
        <v>178</v>
      </c>
      <c r="E764" s="201" t="s">
        <v>610</v>
      </c>
      <c r="F764" s="202"/>
      <c r="G764" s="194" t="s">
        <v>587</v>
      </c>
      <c r="H764" s="195" t="s">
        <v>632</v>
      </c>
      <c r="I764" s="196">
        <v>15000.0</v>
      </c>
      <c r="J764" s="179">
        <f>IF(A764="RAPPI",(VLOOKUP(TRIM(D764), CATALOGO!F:G, 2, FALSE) * C764)+I764,IFERROR(IF(COUNTIF('RESTAURANTESDESCUENTOS 2026'!A:A,TRIM(A764))&gt;0,((VLOOKUP(TRIM(D764), CATALOGO!A:B, 2, FALSE) * C764)*(1-VALUE(SUBSTITUTE(VLOOKUP(TRIM(A764),'RESTAURANTESDESCUENTOS 2026'!A:B,2,FALSE),"%",""))/100)+I764),(VLOOKUP(TRIM(D764), CATALOGO!A:B, 2, FALSE) * C764+I764)),""))</f>
        <v>127500</v>
      </c>
      <c r="K764" s="196">
        <v>15000.0</v>
      </c>
      <c r="L764" s="87" t="s">
        <v>587</v>
      </c>
      <c r="M764" s="197" t="s">
        <v>587</v>
      </c>
      <c r="N764" s="168"/>
    </row>
    <row r="765" ht="22.5" hidden="1" customHeight="1">
      <c r="A765" s="137" t="s">
        <v>865</v>
      </c>
      <c r="B765" s="90">
        <v>46059.0</v>
      </c>
      <c r="C765" s="55">
        <v>1.0</v>
      </c>
      <c r="D765" s="97" t="s">
        <v>177</v>
      </c>
      <c r="E765" s="201" t="s">
        <v>864</v>
      </c>
      <c r="F765" s="202"/>
      <c r="G765" s="194" t="s">
        <v>587</v>
      </c>
      <c r="H765" s="195" t="s">
        <v>632</v>
      </c>
      <c r="I765" s="196">
        <v>10000.0</v>
      </c>
      <c r="J765" s="179">
        <f>IF(A765="RAPPI",(VLOOKUP(TRIM(D765), CATALOGO!F:G, 2, FALSE) * C765)+I765,IFERROR(IF(COUNTIF('RESTAURANTESDESCUENTOS 2026'!A:A,TRIM(A765))&gt;0,((VLOOKUP(TRIM(D765), CATALOGO!A:B, 2, FALSE) * C765)*(1-VALUE(SUBSTITUTE(VLOOKUP(TRIM(A765),'RESTAURANTESDESCUENTOS 2026'!A:B,2,FALSE),"%",""))/100)+I765),(VLOOKUP(TRIM(D765), CATALOGO!A:B, 2, FALSE) * C765+I765)),""))</f>
        <v>125000</v>
      </c>
      <c r="K765" s="196">
        <v>10000.0</v>
      </c>
      <c r="L765" s="87"/>
      <c r="M765" s="197" t="s">
        <v>587</v>
      </c>
      <c r="N765" s="168"/>
    </row>
    <row r="766" ht="22.5" hidden="1" customHeight="1">
      <c r="A766" s="137" t="s">
        <v>603</v>
      </c>
      <c r="B766" s="90">
        <v>46059.0</v>
      </c>
      <c r="C766" s="55">
        <v>1.0</v>
      </c>
      <c r="D766" s="97" t="s">
        <v>177</v>
      </c>
      <c r="E766" s="201">
        <v>7783.0</v>
      </c>
      <c r="F766" s="202"/>
      <c r="G766" s="194" t="s">
        <v>587</v>
      </c>
      <c r="H766" s="195" t="s">
        <v>603</v>
      </c>
      <c r="I766" s="196"/>
      <c r="J766" s="179">
        <f>IF(A766="RAPPI",(VLOOKUP(TRIM(D766), CATALOGO!F:G, 2, FALSE) * C766)+I766,IFERROR(IF(COUNTIF('RESTAURANTESDESCUENTOS 2026'!A:A,TRIM(A766))&gt;0,((VLOOKUP(TRIM(D766), CATALOGO!A:B, 2, FALSE) * C766)*(1-VALUE(SUBSTITUTE(VLOOKUP(TRIM(A766),'RESTAURANTESDESCUENTOS 2026'!A:B,2,FALSE),"%",""))/100)+I766),(VLOOKUP(TRIM(D766), CATALOGO!A:B, 2, FALSE) * C766+I766)),""))</f>
        <v>115000</v>
      </c>
      <c r="K766" s="196"/>
      <c r="L766" s="87"/>
      <c r="M766" s="197" t="s">
        <v>587</v>
      </c>
      <c r="N766" s="168"/>
    </row>
    <row r="767" ht="22.5" hidden="1" customHeight="1">
      <c r="A767" s="137" t="s">
        <v>605</v>
      </c>
      <c r="B767" s="90">
        <v>46059.0</v>
      </c>
      <c r="C767" s="55">
        <v>1.0</v>
      </c>
      <c r="D767" s="97" t="s">
        <v>176</v>
      </c>
      <c r="E767" s="201" t="s">
        <v>606</v>
      </c>
      <c r="F767" s="202"/>
      <c r="G767" s="194" t="s">
        <v>35</v>
      </c>
      <c r="H767" s="198"/>
      <c r="I767" s="196"/>
      <c r="J767" s="179">
        <f>IF(A767="RAPPI",(VLOOKUP(TRIM(D767), CATALOGO!F:G, 2, FALSE) * C767)+I767,IFERROR(IF(COUNTIF('RESTAURANTESDESCUENTOS 2026'!A:A,TRIM(A767))&gt;0,((VLOOKUP(TRIM(D767), CATALOGO!A:B, 2, FALSE) * C767)*(1-VALUE(SUBSTITUTE(VLOOKUP(TRIM(A767),'RESTAURANTESDESCUENTOS 2026'!A:B,2,FALSE),"%",""))/100)+I767),(VLOOKUP(TRIM(D767), CATALOGO!A:B, 2, FALSE) * C767+I767)),""))</f>
        <v>50000</v>
      </c>
      <c r="K767" s="196"/>
      <c r="L767" s="87"/>
      <c r="M767" s="197" t="s">
        <v>587</v>
      </c>
      <c r="N767" s="168"/>
    </row>
    <row r="768" ht="22.5" hidden="1" customHeight="1">
      <c r="A768" s="137" t="s">
        <v>605</v>
      </c>
      <c r="B768" s="90">
        <v>46059.0</v>
      </c>
      <c r="C768" s="70">
        <v>1.0</v>
      </c>
      <c r="D768" s="97" t="s">
        <v>174</v>
      </c>
      <c r="E768" s="201" t="s">
        <v>606</v>
      </c>
      <c r="F768" s="202"/>
      <c r="G768" s="194" t="s">
        <v>35</v>
      </c>
      <c r="H768" s="198"/>
      <c r="I768" s="196"/>
      <c r="J768" s="179">
        <f>IF(A768="RAPPI",(VLOOKUP(TRIM(D768), CATALOGO!F:G, 2, FALSE) * C768)+I768,IFERROR(IF(COUNTIF('RESTAURANTESDESCUENTOS 2026'!A:A,TRIM(A768))&gt;0,((VLOOKUP(TRIM(D768), CATALOGO!A:B, 2, FALSE) * C768)*(1-VALUE(SUBSTITUTE(VLOOKUP(TRIM(A768),'RESTAURANTESDESCUENTOS 2026'!A:B,2,FALSE),"%",""))/100)+I768),(VLOOKUP(TRIM(D768), CATALOGO!A:B, 2, FALSE) * C768+I768)),""))</f>
        <v>18000</v>
      </c>
      <c r="K768" s="196"/>
      <c r="L768" s="87"/>
      <c r="M768" s="197" t="s">
        <v>587</v>
      </c>
      <c r="N768" s="168"/>
    </row>
    <row r="769" ht="22.5" hidden="1" customHeight="1">
      <c r="A769" s="137" t="s">
        <v>866</v>
      </c>
      <c r="B769" s="90">
        <v>46059.0</v>
      </c>
      <c r="C769" s="55">
        <v>1.0</v>
      </c>
      <c r="D769" s="97" t="s">
        <v>177</v>
      </c>
      <c r="E769" s="201"/>
      <c r="F769" s="202"/>
      <c r="G769" s="194" t="s">
        <v>587</v>
      </c>
      <c r="H769" s="195" t="s">
        <v>632</v>
      </c>
      <c r="I769" s="196">
        <v>14000.0</v>
      </c>
      <c r="J769" s="179">
        <f>IF(A769="RAPPI",(VLOOKUP(TRIM(D769), CATALOGO!F:G, 2, FALSE) * C769)+I769,IFERROR(IF(COUNTIF('RESTAURANTESDESCUENTOS 2026'!A:A,TRIM(A769))&gt;0,((VLOOKUP(TRIM(D769), CATALOGO!A:B, 2, FALSE) * C769)*(1-VALUE(SUBSTITUTE(VLOOKUP(TRIM(A769),'RESTAURANTESDESCUENTOS 2026'!A:B,2,FALSE),"%",""))/100)+I769),(VLOOKUP(TRIM(D769), CATALOGO!A:B, 2, FALSE) * C769+I769)),""))</f>
        <v>129000</v>
      </c>
      <c r="K769" s="196">
        <v>14000.0</v>
      </c>
      <c r="L769" s="87"/>
      <c r="M769" s="197" t="s">
        <v>587</v>
      </c>
      <c r="N769" s="168"/>
    </row>
    <row r="770" ht="22.5" hidden="1" customHeight="1">
      <c r="A770" s="137" t="s">
        <v>10</v>
      </c>
      <c r="B770" s="90">
        <v>46059.0</v>
      </c>
      <c r="C770" s="55">
        <v>1.0</v>
      </c>
      <c r="D770" s="97" t="s">
        <v>178</v>
      </c>
      <c r="E770" s="201" t="s">
        <v>610</v>
      </c>
      <c r="F770" s="202"/>
      <c r="G770" s="194" t="s">
        <v>587</v>
      </c>
      <c r="H770" s="195" t="s">
        <v>632</v>
      </c>
      <c r="I770" s="196">
        <v>10000.0</v>
      </c>
      <c r="J770" s="179">
        <f>IF(A770="RAPPI",(VLOOKUP(TRIM(D770), CATALOGO!F:G, 2, FALSE) * C770)+I770,IFERROR(IF(COUNTIF('RESTAURANTESDESCUENTOS 2026'!A:A,TRIM(A770))&gt;0,((VLOOKUP(TRIM(D770), CATALOGO!A:B, 2, FALSE) * C770)*(1-VALUE(SUBSTITUTE(VLOOKUP(TRIM(A770),'RESTAURANTESDESCUENTOS 2026'!A:B,2,FALSE),"%",""))/100)+I770),(VLOOKUP(TRIM(D770), CATALOGO!A:B, 2, FALSE) * C770+I770)),""))</f>
        <v>122500</v>
      </c>
      <c r="K770" s="196">
        <v>10000.0</v>
      </c>
      <c r="L770" s="87" t="s">
        <v>587</v>
      </c>
      <c r="M770" s="197" t="s">
        <v>587</v>
      </c>
      <c r="N770" s="168"/>
    </row>
    <row r="771" ht="22.5" hidden="1" customHeight="1">
      <c r="A771" s="137" t="s">
        <v>605</v>
      </c>
      <c r="B771" s="90">
        <v>46059.0</v>
      </c>
      <c r="C771" s="55">
        <v>1.0</v>
      </c>
      <c r="D771" s="97" t="s">
        <v>176</v>
      </c>
      <c r="E771" s="201" t="s">
        <v>606</v>
      </c>
      <c r="F771" s="202"/>
      <c r="G771" s="194" t="s">
        <v>35</v>
      </c>
      <c r="H771" s="198"/>
      <c r="I771" s="196"/>
      <c r="J771" s="179">
        <f>IF(A771="RAPPI",(VLOOKUP(TRIM(D771), CATALOGO!F:G, 2, FALSE) * C771)+I771,IFERROR(IF(COUNTIF('RESTAURANTESDESCUENTOS 2026'!A:A,TRIM(A771))&gt;0,((VLOOKUP(TRIM(D771), CATALOGO!A:B, 2, FALSE) * C771)*(1-VALUE(SUBSTITUTE(VLOOKUP(TRIM(A771),'RESTAURANTESDESCUENTOS 2026'!A:B,2,FALSE),"%",""))/100)+I771),(VLOOKUP(TRIM(D771), CATALOGO!A:B, 2, FALSE) * C771+I771)),""))</f>
        <v>50000</v>
      </c>
      <c r="K771" s="196"/>
      <c r="L771" s="87"/>
      <c r="M771" s="197" t="s">
        <v>587</v>
      </c>
      <c r="N771" s="168"/>
    </row>
    <row r="772" ht="22.5" hidden="1" customHeight="1">
      <c r="A772" s="137" t="s">
        <v>605</v>
      </c>
      <c r="B772" s="90">
        <v>46059.0</v>
      </c>
      <c r="C772" s="55">
        <v>1.0</v>
      </c>
      <c r="D772" s="97" t="s">
        <v>176</v>
      </c>
      <c r="E772" s="201" t="s">
        <v>607</v>
      </c>
      <c r="F772" s="202"/>
      <c r="G772" s="194" t="s">
        <v>35</v>
      </c>
      <c r="H772" s="198"/>
      <c r="I772" s="196"/>
      <c r="J772" s="179">
        <f>IF(A772="RAPPI",(VLOOKUP(TRIM(D772), CATALOGO!F:G, 2, FALSE) * C772)+I772,IFERROR(IF(COUNTIF('RESTAURANTESDESCUENTOS 2026'!A:A,TRIM(A772))&gt;0,((VLOOKUP(TRIM(D772), CATALOGO!A:B, 2, FALSE) * C772)*(1-VALUE(SUBSTITUTE(VLOOKUP(TRIM(A772),'RESTAURANTESDESCUENTOS 2026'!A:B,2,FALSE),"%",""))/100)+I772),(VLOOKUP(TRIM(D772), CATALOGO!A:B, 2, FALSE) * C772+I772)),""))</f>
        <v>50000</v>
      </c>
      <c r="K772" s="196"/>
      <c r="L772" s="87"/>
      <c r="M772" s="197" t="s">
        <v>587</v>
      </c>
      <c r="N772" s="168"/>
    </row>
    <row r="773" ht="22.5" hidden="1" customHeight="1">
      <c r="A773" s="137" t="s">
        <v>605</v>
      </c>
      <c r="B773" s="90">
        <v>46059.0</v>
      </c>
      <c r="C773" s="70">
        <v>1.0</v>
      </c>
      <c r="D773" s="97" t="s">
        <v>174</v>
      </c>
      <c r="E773" s="201" t="s">
        <v>607</v>
      </c>
      <c r="F773" s="202"/>
      <c r="G773" s="194" t="s">
        <v>35</v>
      </c>
      <c r="H773" s="198"/>
      <c r="I773" s="196"/>
      <c r="J773" s="179">
        <f>IF(A773="RAPPI",(VLOOKUP(TRIM(D773), CATALOGO!F:G, 2, FALSE) * C773)+I773,IFERROR(IF(COUNTIF('RESTAURANTESDESCUENTOS 2026'!A:A,TRIM(A773))&gt;0,((VLOOKUP(TRIM(D773), CATALOGO!A:B, 2, FALSE) * C773)*(1-VALUE(SUBSTITUTE(VLOOKUP(TRIM(A773),'RESTAURANTESDESCUENTOS 2026'!A:B,2,FALSE),"%",""))/100)+I773),(VLOOKUP(TRIM(D773), CATALOGO!A:B, 2, FALSE) * C773+I773)),""))</f>
        <v>18000</v>
      </c>
      <c r="K773" s="196"/>
      <c r="L773" s="87"/>
      <c r="M773" s="197" t="s">
        <v>587</v>
      </c>
      <c r="N773" s="168"/>
    </row>
    <row r="774" ht="22.5" hidden="1" customHeight="1">
      <c r="A774" s="137" t="s">
        <v>622</v>
      </c>
      <c r="B774" s="90">
        <v>46059.0</v>
      </c>
      <c r="C774" s="55">
        <v>1.0</v>
      </c>
      <c r="D774" s="97" t="s">
        <v>178</v>
      </c>
      <c r="E774" s="201" t="s">
        <v>28</v>
      </c>
      <c r="F774" s="202"/>
      <c r="G774" s="194" t="s">
        <v>35</v>
      </c>
      <c r="H774" s="198"/>
      <c r="I774" s="196"/>
      <c r="J774" s="199">
        <v>0.0</v>
      </c>
      <c r="K774" s="196"/>
      <c r="L774" s="87"/>
      <c r="M774" s="197" t="s">
        <v>587</v>
      </c>
      <c r="N774" s="168"/>
    </row>
    <row r="775" ht="22.5" hidden="1" customHeight="1">
      <c r="A775" s="137" t="s">
        <v>603</v>
      </c>
      <c r="B775" s="90">
        <v>46059.0</v>
      </c>
      <c r="C775" s="55">
        <v>1.0</v>
      </c>
      <c r="D775" s="97" t="s">
        <v>179</v>
      </c>
      <c r="E775" s="201">
        <v>7303.0</v>
      </c>
      <c r="F775" s="202"/>
      <c r="G775" s="194" t="s">
        <v>587</v>
      </c>
      <c r="H775" s="195" t="s">
        <v>603</v>
      </c>
      <c r="I775" s="196"/>
      <c r="J775" s="179">
        <f>IF(A775="RAPPI",(VLOOKUP(TRIM(D775), CATALOGO!F:G, 2, FALSE) * C775)+I775,IFERROR(IF(COUNTIF('RESTAURANTESDESCUENTOS 2026'!A:A,TRIM(A775))&gt;0,((VLOOKUP(TRIM(D775), CATALOGO!A:B, 2, FALSE) * C775)*(1-VALUE(SUBSTITUTE(VLOOKUP(TRIM(A775),'RESTAURANTESDESCUENTOS 2026'!A:B,2,FALSE),"%",""))/100)+I775),(VLOOKUP(TRIM(D775), CATALOGO!A:B, 2, FALSE) * C775+I775)),""))</f>
        <v>55000</v>
      </c>
      <c r="K775" s="196"/>
      <c r="L775" s="87"/>
      <c r="M775" s="197" t="s">
        <v>587</v>
      </c>
      <c r="N775" s="168"/>
    </row>
    <row r="776" ht="22.5" hidden="1" customHeight="1">
      <c r="A776" s="137" t="s">
        <v>603</v>
      </c>
      <c r="B776" s="90">
        <v>46059.0</v>
      </c>
      <c r="C776" s="55">
        <v>1.0</v>
      </c>
      <c r="D776" s="97" t="s">
        <v>601</v>
      </c>
      <c r="E776" s="201">
        <v>1438.0</v>
      </c>
      <c r="F776" s="202"/>
      <c r="G776" s="194" t="s">
        <v>587</v>
      </c>
      <c r="H776" s="195" t="s">
        <v>603</v>
      </c>
      <c r="I776" s="196"/>
      <c r="J776" s="179">
        <f>IF(A776="RAPPI",(VLOOKUP(TRIM(D776), CATALOGO!F:G, 2, FALSE) * C776)+I776,IFERROR(IF(COUNTIF('RESTAURANTESDESCUENTOS 2026'!A:A,TRIM(A776))&gt;0,((VLOOKUP(TRIM(D776), CATALOGO!A:B, 2, FALSE) * C776)*(1-VALUE(SUBSTITUTE(VLOOKUP(TRIM(A776),'RESTAURANTESDESCUENTOS 2026'!A:B,2,FALSE),"%",""))/100)+I776),(VLOOKUP(TRIM(D776), CATALOGO!A:B, 2, FALSE) * C776+I776)),""))</f>
        <v>53000</v>
      </c>
      <c r="K776" s="196"/>
      <c r="L776" s="87"/>
      <c r="M776" s="197" t="s">
        <v>587</v>
      </c>
      <c r="N776" s="168"/>
    </row>
    <row r="777" ht="22.5" hidden="1" customHeight="1">
      <c r="A777" s="137" t="s">
        <v>603</v>
      </c>
      <c r="B777" s="90">
        <v>46059.0</v>
      </c>
      <c r="C777" s="55">
        <v>1.0</v>
      </c>
      <c r="D777" s="97" t="s">
        <v>640</v>
      </c>
      <c r="E777" s="201">
        <v>1438.0</v>
      </c>
      <c r="F777" s="202"/>
      <c r="G777" s="194" t="s">
        <v>587</v>
      </c>
      <c r="H777" s="195" t="s">
        <v>603</v>
      </c>
      <c r="I777" s="196"/>
      <c r="J777" s="179">
        <f>IF(A777="RAPPI",(VLOOKUP(TRIM(D777), CATALOGO!F:G, 2, FALSE) * C777)+I777,IFERROR(IF(COUNTIF('RESTAURANTESDESCUENTOS 2026'!A:A,TRIM(A777))&gt;0,((VLOOKUP(TRIM(D777), CATALOGO!A:B, 2, FALSE) * C777)*(1-VALUE(SUBSTITUTE(VLOOKUP(TRIM(A777),'RESTAURANTESDESCUENTOS 2026'!A:B,2,FALSE),"%",""))/100)+I777),(VLOOKUP(TRIM(D777), CATALOGO!A:B, 2, FALSE) * C777+I777)),""))</f>
        <v>53000</v>
      </c>
      <c r="K777" s="196"/>
      <c r="L777" s="87"/>
      <c r="M777" s="197" t="s">
        <v>587</v>
      </c>
      <c r="N777" s="168"/>
    </row>
    <row r="778" ht="22.5" hidden="1" customHeight="1">
      <c r="A778" s="137" t="s">
        <v>603</v>
      </c>
      <c r="B778" s="90">
        <v>46059.0</v>
      </c>
      <c r="C778" s="55">
        <v>1.0</v>
      </c>
      <c r="D778" s="97" t="s">
        <v>176</v>
      </c>
      <c r="E778" s="201">
        <v>4357.0</v>
      </c>
      <c r="F778" s="202"/>
      <c r="G778" s="194" t="s">
        <v>587</v>
      </c>
      <c r="H778" s="195" t="s">
        <v>603</v>
      </c>
      <c r="I778" s="196"/>
      <c r="J778" s="179">
        <f>IF(A778="RAPPI",(VLOOKUP(TRIM(D778), CATALOGO!F:G, 2, FALSE) * C778)+I778,IFERROR(IF(COUNTIF('RESTAURANTESDESCUENTOS 2026'!A:A,TRIM(A778))&gt;0,((VLOOKUP(TRIM(D778), CATALOGO!A:B, 2, FALSE) * C778)*(1-VALUE(SUBSTITUTE(VLOOKUP(TRIM(A778),'RESTAURANTESDESCUENTOS 2026'!A:B,2,FALSE),"%",""))/100)+I778),(VLOOKUP(TRIM(D778), CATALOGO!A:B, 2, FALSE) * C778+I778)),""))</f>
        <v>50000</v>
      </c>
      <c r="K778" s="196"/>
      <c r="L778" s="87"/>
      <c r="M778" s="197" t="s">
        <v>587</v>
      </c>
      <c r="N778" s="168"/>
    </row>
    <row r="779" ht="22.5" hidden="1" customHeight="1">
      <c r="A779" s="137" t="s">
        <v>605</v>
      </c>
      <c r="B779" s="90">
        <v>46059.0</v>
      </c>
      <c r="C779" s="55">
        <v>1.0</v>
      </c>
      <c r="D779" s="97" t="s">
        <v>176</v>
      </c>
      <c r="E779" s="201" t="s">
        <v>606</v>
      </c>
      <c r="F779" s="202"/>
      <c r="G779" s="194" t="s">
        <v>35</v>
      </c>
      <c r="H779" s="198"/>
      <c r="I779" s="196"/>
      <c r="J779" s="179">
        <f>IF(A779="RAPPI",(VLOOKUP(TRIM(D779), CATALOGO!F:G, 2, FALSE) * C779)+I779,IFERROR(IF(COUNTIF('RESTAURANTESDESCUENTOS 2026'!A:A,TRIM(A779))&gt;0,((VLOOKUP(TRIM(D779), CATALOGO!A:B, 2, FALSE) * C779)*(1-VALUE(SUBSTITUTE(VLOOKUP(TRIM(A779),'RESTAURANTESDESCUENTOS 2026'!A:B,2,FALSE),"%",""))/100)+I779),(VLOOKUP(TRIM(D779), CATALOGO!A:B, 2, FALSE) * C779+I779)),""))</f>
        <v>50000</v>
      </c>
      <c r="K779" s="196"/>
      <c r="L779" s="87"/>
      <c r="M779" s="197" t="s">
        <v>587</v>
      </c>
      <c r="N779" s="168"/>
    </row>
    <row r="780" ht="22.5" hidden="1" customHeight="1">
      <c r="A780" s="137" t="s">
        <v>605</v>
      </c>
      <c r="B780" s="90">
        <v>46059.0</v>
      </c>
      <c r="C780" s="55">
        <v>1.0</v>
      </c>
      <c r="D780" s="97" t="s">
        <v>179</v>
      </c>
      <c r="E780" s="201" t="s">
        <v>606</v>
      </c>
      <c r="F780" s="202"/>
      <c r="G780" s="194" t="s">
        <v>35</v>
      </c>
      <c r="H780" s="198"/>
      <c r="I780" s="196"/>
      <c r="J780" s="179">
        <f>IF(A780="RAPPI",(VLOOKUP(TRIM(D780), CATALOGO!F:G, 2, FALSE) * C780)+I780,IFERROR(IF(COUNTIF('RESTAURANTESDESCUENTOS 2026'!A:A,TRIM(A780))&gt;0,((VLOOKUP(TRIM(D780), CATALOGO!A:B, 2, FALSE) * C780)*(1-VALUE(SUBSTITUTE(VLOOKUP(TRIM(A780),'RESTAURANTESDESCUENTOS 2026'!A:B,2,FALSE),"%",""))/100)+I780),(VLOOKUP(TRIM(D780), CATALOGO!A:B, 2, FALSE) * C780+I780)),""))</f>
        <v>55000</v>
      </c>
      <c r="K780" s="196"/>
      <c r="L780" s="87"/>
      <c r="M780" s="197" t="s">
        <v>587</v>
      </c>
      <c r="N780" s="168"/>
    </row>
    <row r="781" ht="22.5" hidden="1" customHeight="1">
      <c r="A781" s="137" t="s">
        <v>605</v>
      </c>
      <c r="B781" s="90">
        <v>46059.0</v>
      </c>
      <c r="C781" s="55">
        <v>1.0</v>
      </c>
      <c r="D781" s="97" t="s">
        <v>180</v>
      </c>
      <c r="E781" s="201" t="s">
        <v>606</v>
      </c>
      <c r="F781" s="202"/>
      <c r="G781" s="194" t="s">
        <v>35</v>
      </c>
      <c r="H781" s="198"/>
      <c r="I781" s="196"/>
      <c r="J781" s="179">
        <f>IF(A781="RAPPI",(VLOOKUP(TRIM(D781), CATALOGO!F:G, 2, FALSE) * C781)+I781,IFERROR(IF(COUNTIF('RESTAURANTESDESCUENTOS 2026'!A:A,TRIM(A781))&gt;0,((VLOOKUP(TRIM(D781), CATALOGO!A:B, 2, FALSE) * C781)*(1-VALUE(SUBSTITUTE(VLOOKUP(TRIM(A781),'RESTAURANTESDESCUENTOS 2026'!A:B,2,FALSE),"%",""))/100)+I781),(VLOOKUP(TRIM(D781), CATALOGO!A:B, 2, FALSE) * C781+I781)),""))</f>
        <v>149000</v>
      </c>
      <c r="K781" s="196"/>
      <c r="L781" s="87"/>
      <c r="M781" s="197" t="s">
        <v>587</v>
      </c>
      <c r="N781" s="168"/>
    </row>
    <row r="782" ht="22.5" hidden="1" customHeight="1">
      <c r="A782" s="137" t="s">
        <v>605</v>
      </c>
      <c r="B782" s="90">
        <v>46059.0</v>
      </c>
      <c r="C782" s="70">
        <v>2.0</v>
      </c>
      <c r="D782" s="97" t="s">
        <v>174</v>
      </c>
      <c r="E782" s="201" t="s">
        <v>606</v>
      </c>
      <c r="F782" s="202"/>
      <c r="G782" s="194" t="s">
        <v>35</v>
      </c>
      <c r="H782" s="198"/>
      <c r="I782" s="196"/>
      <c r="J782" s="179">
        <f>IF(A782="RAPPI",(VLOOKUP(TRIM(D782), CATALOGO!F:G, 2, FALSE) * C782)+I782,IFERROR(IF(COUNTIF('RESTAURANTESDESCUENTOS 2026'!A:A,TRIM(A782))&gt;0,((VLOOKUP(TRIM(D782), CATALOGO!A:B, 2, FALSE) * C782)*(1-VALUE(SUBSTITUTE(VLOOKUP(TRIM(A782),'RESTAURANTESDESCUENTOS 2026'!A:B,2,FALSE),"%",""))/100)+I782),(VLOOKUP(TRIM(D782), CATALOGO!A:B, 2, FALSE) * C782+I782)),""))</f>
        <v>36000</v>
      </c>
      <c r="K782" s="196"/>
      <c r="L782" s="87"/>
      <c r="M782" s="197" t="s">
        <v>587</v>
      </c>
      <c r="N782" s="168"/>
    </row>
    <row r="783" ht="22.5" hidden="1" customHeight="1">
      <c r="A783" s="137" t="s">
        <v>867</v>
      </c>
      <c r="B783" s="90">
        <v>46059.0</v>
      </c>
      <c r="C783" s="55">
        <v>1.0</v>
      </c>
      <c r="D783" s="97" t="s">
        <v>177</v>
      </c>
      <c r="E783" s="201"/>
      <c r="F783" s="202"/>
      <c r="G783" s="194" t="s">
        <v>587</v>
      </c>
      <c r="H783" s="195" t="s">
        <v>588</v>
      </c>
      <c r="I783" s="196">
        <v>13000.0</v>
      </c>
      <c r="J783" s="179">
        <f>IF(A783="RAPPI",(VLOOKUP(TRIM(D783), CATALOGO!F:G, 2, FALSE) * C783)+I783,IFERROR(IF(COUNTIF('RESTAURANTESDESCUENTOS 2026'!A:A,TRIM(A783))&gt;0,((VLOOKUP(TRIM(D783), CATALOGO!A:B, 2, FALSE) * C783)*(1-VALUE(SUBSTITUTE(VLOOKUP(TRIM(A783),'RESTAURANTESDESCUENTOS 2026'!A:B,2,FALSE),"%",""))/100)+I783),(VLOOKUP(TRIM(D783), CATALOGO!A:B, 2, FALSE) * C783+I783)),""))</f>
        <v>128000</v>
      </c>
      <c r="K783" s="196">
        <v>13000.0</v>
      </c>
      <c r="L783" s="87"/>
      <c r="M783" s="197" t="s">
        <v>587</v>
      </c>
      <c r="N783" s="168"/>
    </row>
    <row r="784" ht="22.5" hidden="1" customHeight="1">
      <c r="A784" s="137" t="s">
        <v>603</v>
      </c>
      <c r="B784" s="90">
        <v>46059.0</v>
      </c>
      <c r="C784" s="55">
        <v>1.0</v>
      </c>
      <c r="D784" s="97" t="s">
        <v>179</v>
      </c>
      <c r="E784" s="201" t="s">
        <v>868</v>
      </c>
      <c r="F784" s="202"/>
      <c r="G784" s="194" t="s">
        <v>587</v>
      </c>
      <c r="H784" s="195" t="s">
        <v>603</v>
      </c>
      <c r="I784" s="196"/>
      <c r="J784" s="179">
        <f>IF(A784="RAPPI",(VLOOKUP(TRIM(D784), CATALOGO!F:G, 2, FALSE) * C784)+I784,IFERROR(IF(COUNTIF('RESTAURANTESDESCUENTOS 2026'!A:A,TRIM(A784))&gt;0,((VLOOKUP(TRIM(D784), CATALOGO!A:B, 2, FALSE) * C784)*(1-VALUE(SUBSTITUTE(VLOOKUP(TRIM(A784),'RESTAURANTESDESCUENTOS 2026'!A:B,2,FALSE),"%",""))/100)+I784),(VLOOKUP(TRIM(D784), CATALOGO!A:B, 2, FALSE) * C784+I784)),""))</f>
        <v>55000</v>
      </c>
      <c r="K784" s="196"/>
      <c r="L784" s="87"/>
      <c r="M784" s="197" t="s">
        <v>587</v>
      </c>
      <c r="N784" s="168"/>
    </row>
    <row r="785" ht="22.5" hidden="1" customHeight="1">
      <c r="A785" s="137" t="s">
        <v>605</v>
      </c>
      <c r="B785" s="90">
        <v>46059.0</v>
      </c>
      <c r="C785" s="55">
        <v>1.0</v>
      </c>
      <c r="D785" s="97" t="s">
        <v>179</v>
      </c>
      <c r="E785" s="201" t="s">
        <v>606</v>
      </c>
      <c r="F785" s="202"/>
      <c r="G785" s="194" t="s">
        <v>35</v>
      </c>
      <c r="H785" s="198"/>
      <c r="I785" s="196"/>
      <c r="J785" s="179">
        <f>IF(A785="RAPPI",(VLOOKUP(TRIM(D785), CATALOGO!F:G, 2, FALSE) * C785)+I785,IFERROR(IF(COUNTIF('RESTAURANTESDESCUENTOS 2026'!A:A,TRIM(A785))&gt;0,((VLOOKUP(TRIM(D785), CATALOGO!A:B, 2, FALSE) * C785)*(1-VALUE(SUBSTITUTE(VLOOKUP(TRIM(A785),'RESTAURANTESDESCUENTOS 2026'!A:B,2,FALSE),"%",""))/100)+I785),(VLOOKUP(TRIM(D785), CATALOGO!A:B, 2, FALSE) * C785+I785)),""))</f>
        <v>55000</v>
      </c>
      <c r="K785" s="196"/>
      <c r="L785" s="87"/>
      <c r="M785" s="197" t="s">
        <v>587</v>
      </c>
      <c r="N785" s="168"/>
    </row>
    <row r="786" ht="22.5" hidden="1" customHeight="1">
      <c r="A786" s="137" t="s">
        <v>603</v>
      </c>
      <c r="B786" s="90">
        <v>46059.0</v>
      </c>
      <c r="C786" s="55">
        <v>1.0</v>
      </c>
      <c r="D786" s="97" t="s">
        <v>180</v>
      </c>
      <c r="E786" s="201">
        <v>4183.0</v>
      </c>
      <c r="F786" s="202"/>
      <c r="G786" s="194" t="s">
        <v>587</v>
      </c>
      <c r="H786" s="195" t="s">
        <v>603</v>
      </c>
      <c r="I786" s="196"/>
      <c r="J786" s="179">
        <f>IF(A786="RAPPI",(VLOOKUP(TRIM(D786), CATALOGO!F:G, 2, FALSE) * C786)+I786,IFERROR(IF(COUNTIF('RESTAURANTESDESCUENTOS 2026'!A:A,TRIM(A786))&gt;0,((VLOOKUP(TRIM(D786), CATALOGO!A:B, 2, FALSE) * C786)*(1-VALUE(SUBSTITUTE(VLOOKUP(TRIM(A786),'RESTAURANTESDESCUENTOS 2026'!A:B,2,FALSE),"%",""))/100)+I786),(VLOOKUP(TRIM(D786), CATALOGO!A:B, 2, FALSE) * C786+I786)),""))</f>
        <v>149000</v>
      </c>
      <c r="K786" s="196"/>
      <c r="L786" s="87"/>
      <c r="M786" s="197" t="s">
        <v>587</v>
      </c>
      <c r="N786" s="168"/>
    </row>
    <row r="787" ht="22.5" hidden="1" customHeight="1">
      <c r="A787" s="137" t="s">
        <v>869</v>
      </c>
      <c r="B787" s="90">
        <v>46059.0</v>
      </c>
      <c r="C787" s="55">
        <v>1.0</v>
      </c>
      <c r="D787" s="97" t="s">
        <v>178</v>
      </c>
      <c r="E787" s="201"/>
      <c r="F787" s="202"/>
      <c r="G787" s="194" t="s">
        <v>35</v>
      </c>
      <c r="H787" s="198"/>
      <c r="I787" s="196"/>
      <c r="J787" s="179">
        <f>IF(A787="RAPPI",(VLOOKUP(TRIM(D787), CATALOGO!F:G, 2, FALSE) * C787)+I787,IFERROR(IF(COUNTIF('RESTAURANTESDESCUENTOS 2026'!A:A,TRIM(A787))&gt;0,((VLOOKUP(TRIM(D787), CATALOGO!A:B, 2, FALSE) * C787)*(1-VALUE(SUBSTITUTE(VLOOKUP(TRIM(A787),'RESTAURANTESDESCUENTOS 2026'!A:B,2,FALSE),"%",""))/100)+I787),(VLOOKUP(TRIM(D787), CATALOGO!A:B, 2, FALSE) * C787+I787)),""))</f>
        <v>150000</v>
      </c>
      <c r="K787" s="196"/>
      <c r="L787" s="87"/>
      <c r="M787" s="197" t="s">
        <v>587</v>
      </c>
      <c r="N787" s="168"/>
    </row>
    <row r="788" ht="22.5" hidden="1" customHeight="1">
      <c r="A788" s="137" t="s">
        <v>605</v>
      </c>
      <c r="B788" s="90">
        <v>46059.0</v>
      </c>
      <c r="C788" s="55">
        <v>1.0</v>
      </c>
      <c r="D788" s="97" t="s">
        <v>179</v>
      </c>
      <c r="E788" s="201" t="s">
        <v>606</v>
      </c>
      <c r="F788" s="202"/>
      <c r="G788" s="194" t="s">
        <v>35</v>
      </c>
      <c r="H788" s="198"/>
      <c r="I788" s="196"/>
      <c r="J788" s="179">
        <f>IF(A788="RAPPI",(VLOOKUP(TRIM(D788), CATALOGO!F:G, 2, FALSE) * C788)+I788,IFERROR(IF(COUNTIF('RESTAURANTESDESCUENTOS 2026'!A:A,TRIM(A788))&gt;0,((VLOOKUP(TRIM(D788), CATALOGO!A:B, 2, FALSE) * C788)*(1-VALUE(SUBSTITUTE(VLOOKUP(TRIM(A788),'RESTAURANTESDESCUENTOS 2026'!A:B,2,FALSE),"%",""))/100)+I788),(VLOOKUP(TRIM(D788), CATALOGO!A:B, 2, FALSE) * C788+I788)),""))</f>
        <v>55000</v>
      </c>
      <c r="K788" s="196"/>
      <c r="L788" s="87"/>
      <c r="M788" s="197" t="s">
        <v>587</v>
      </c>
      <c r="N788" s="168"/>
    </row>
    <row r="789" ht="22.5" hidden="1" customHeight="1">
      <c r="A789" s="137" t="s">
        <v>870</v>
      </c>
      <c r="B789" s="90">
        <v>46059.0</v>
      </c>
      <c r="C789" s="55">
        <v>1.0</v>
      </c>
      <c r="D789" s="97" t="s">
        <v>179</v>
      </c>
      <c r="E789" s="201"/>
      <c r="F789" s="202"/>
      <c r="G789" s="194" t="s">
        <v>587</v>
      </c>
      <c r="H789" s="195" t="s">
        <v>588</v>
      </c>
      <c r="I789" s="196">
        <v>10000.0</v>
      </c>
      <c r="J789" s="179">
        <f>IF(A789="RAPPI",(VLOOKUP(TRIM(D789), CATALOGO!F:G, 2, FALSE) * C789)+I789,IFERROR(IF(COUNTIF('RESTAURANTESDESCUENTOS 2026'!A:A,TRIM(A789))&gt;0,((VLOOKUP(TRIM(D789), CATALOGO!A:B, 2, FALSE) * C789)*(1-VALUE(SUBSTITUTE(VLOOKUP(TRIM(A789),'RESTAURANTESDESCUENTOS 2026'!A:B,2,FALSE),"%",""))/100)+I789),(VLOOKUP(TRIM(D789), CATALOGO!A:B, 2, FALSE) * C789+I789)),""))</f>
        <v>65000</v>
      </c>
      <c r="K789" s="196">
        <v>12500.0</v>
      </c>
      <c r="L789" s="87"/>
      <c r="M789" s="197" t="s">
        <v>587</v>
      </c>
      <c r="N789" s="168"/>
    </row>
    <row r="790" ht="22.5" hidden="1" customHeight="1">
      <c r="A790" s="137" t="s">
        <v>871</v>
      </c>
      <c r="B790" s="90">
        <v>46060.0</v>
      </c>
      <c r="C790" s="55">
        <v>1.0</v>
      </c>
      <c r="D790" s="97" t="s">
        <v>178</v>
      </c>
      <c r="E790" s="201"/>
      <c r="F790" s="202"/>
      <c r="G790" s="194" t="s">
        <v>35</v>
      </c>
      <c r="H790" s="198"/>
      <c r="I790" s="196"/>
      <c r="J790" s="199">
        <v>139000.0</v>
      </c>
      <c r="K790" s="196"/>
      <c r="L790" s="87"/>
      <c r="M790" s="197" t="s">
        <v>587</v>
      </c>
      <c r="N790" s="168"/>
    </row>
    <row r="791" ht="22.5" hidden="1" customHeight="1">
      <c r="A791" s="137" t="s">
        <v>872</v>
      </c>
      <c r="B791" s="90">
        <v>46060.0</v>
      </c>
      <c r="C791" s="55">
        <v>1.0</v>
      </c>
      <c r="D791" s="97" t="s">
        <v>203</v>
      </c>
      <c r="E791" s="201" t="s">
        <v>645</v>
      </c>
      <c r="F791" s="202"/>
      <c r="G791" s="194" t="s">
        <v>35</v>
      </c>
      <c r="H791" s="198"/>
      <c r="I791" s="196"/>
      <c r="J791" s="199">
        <v>140000.0</v>
      </c>
      <c r="K791" s="196"/>
      <c r="L791" s="87"/>
      <c r="M791" s="197" t="s">
        <v>587</v>
      </c>
      <c r="N791" s="168"/>
    </row>
    <row r="792" ht="22.5" hidden="1" customHeight="1">
      <c r="A792" s="137" t="s">
        <v>873</v>
      </c>
      <c r="B792" s="90">
        <v>46060.0</v>
      </c>
      <c r="C792" s="55">
        <v>1.0</v>
      </c>
      <c r="D792" s="97" t="s">
        <v>180</v>
      </c>
      <c r="E792" s="201" t="s">
        <v>874</v>
      </c>
      <c r="F792" s="202"/>
      <c r="G792" s="194" t="s">
        <v>587</v>
      </c>
      <c r="H792" s="195" t="s">
        <v>632</v>
      </c>
      <c r="I792" s="196">
        <v>14000.0</v>
      </c>
      <c r="J792" s="179">
        <f>IF(A792="RAPPI",(VLOOKUP(TRIM(D792), CATALOGO!F:G, 2, FALSE) * C792)+I792,IFERROR(IF(COUNTIF('RESTAURANTESDESCUENTOS 2026'!A:A,TRIM(A792))&gt;0,((VLOOKUP(TRIM(D792), CATALOGO!A:B, 2, FALSE) * C792)*(1-VALUE(SUBSTITUTE(VLOOKUP(TRIM(A792),'RESTAURANTESDESCUENTOS 2026'!A:B,2,FALSE),"%",""))/100)+I792),(VLOOKUP(TRIM(D792), CATALOGO!A:B, 2, FALSE) * C792+I792)),""))</f>
        <v>163000</v>
      </c>
      <c r="K792" s="196">
        <v>14000.0</v>
      </c>
      <c r="L792" s="87"/>
      <c r="M792" s="197" t="s">
        <v>587</v>
      </c>
      <c r="N792" s="168"/>
    </row>
    <row r="793" ht="22.5" hidden="1" customHeight="1">
      <c r="A793" s="137" t="s">
        <v>875</v>
      </c>
      <c r="B793" s="90">
        <v>46060.0</v>
      </c>
      <c r="C793" s="55">
        <v>2.0</v>
      </c>
      <c r="D793" s="97" t="s">
        <v>180</v>
      </c>
      <c r="E793" s="201"/>
      <c r="F793" s="202"/>
      <c r="G793" s="194" t="s">
        <v>587</v>
      </c>
      <c r="H793" s="195" t="s">
        <v>632</v>
      </c>
      <c r="I793" s="196">
        <v>10000.0</v>
      </c>
      <c r="J793" s="179">
        <f>IF(A793="RAPPI",(VLOOKUP(TRIM(D793), CATALOGO!F:G, 2, FALSE) * C793)+I793,IFERROR(IF(COUNTIF('RESTAURANTESDESCUENTOS 2026'!A:A,TRIM(A793))&gt;0,((VLOOKUP(TRIM(D793), CATALOGO!A:B, 2, FALSE) * C793)*(1-VALUE(SUBSTITUTE(VLOOKUP(TRIM(A793),'RESTAURANTESDESCUENTOS 2026'!A:B,2,FALSE),"%",""))/100)+I793),(VLOOKUP(TRIM(D793), CATALOGO!A:B, 2, FALSE) * C793+I793)),""))</f>
        <v>308000</v>
      </c>
      <c r="K793" s="196">
        <v>10000.0</v>
      </c>
      <c r="L793" s="87"/>
      <c r="M793" s="197" t="s">
        <v>587</v>
      </c>
      <c r="N793" s="168"/>
    </row>
    <row r="794" ht="22.5" hidden="1" customHeight="1">
      <c r="A794" s="137" t="s">
        <v>876</v>
      </c>
      <c r="B794" s="90">
        <v>46060.0</v>
      </c>
      <c r="C794" s="55">
        <v>1.0</v>
      </c>
      <c r="D794" s="97" t="s">
        <v>237</v>
      </c>
      <c r="E794" s="201" t="s">
        <v>864</v>
      </c>
      <c r="F794" s="202"/>
      <c r="G794" s="194" t="s">
        <v>35</v>
      </c>
      <c r="H794" s="198"/>
      <c r="I794" s="196"/>
      <c r="J794" s="179">
        <f>IF(A794="RAPPI",(VLOOKUP(TRIM(D794), CATALOGO!F:G, 2, FALSE) * C794)+I794,IFERROR(IF(COUNTIF('RESTAURANTESDESCUENTOS 2026'!A:A,TRIM(A794))&gt;0,((VLOOKUP(TRIM(D794), CATALOGO!A:B, 2, FALSE) * C794)*(1-VALUE(SUBSTITUTE(VLOOKUP(TRIM(A794),'RESTAURANTESDESCUENTOS 2026'!A:B,2,FALSE),"%",""))/100)+I794),(VLOOKUP(TRIM(D794), CATALOGO!A:B, 2, FALSE) * C794+I794)),""))</f>
        <v>233000</v>
      </c>
      <c r="K794" s="196"/>
      <c r="L794" s="87"/>
      <c r="M794" s="197" t="s">
        <v>587</v>
      </c>
      <c r="N794" s="168"/>
    </row>
    <row r="795" ht="22.5" hidden="1" customHeight="1">
      <c r="A795" s="137" t="s">
        <v>877</v>
      </c>
      <c r="B795" s="90">
        <v>46060.0</v>
      </c>
      <c r="C795" s="55">
        <v>1.0</v>
      </c>
      <c r="D795" s="97" t="s">
        <v>182</v>
      </c>
      <c r="E795" s="201"/>
      <c r="F795" s="202"/>
      <c r="G795" s="194" t="s">
        <v>35</v>
      </c>
      <c r="H795" s="198"/>
      <c r="I795" s="196"/>
      <c r="J795" s="179">
        <f>IF(A795="RAPPI",(VLOOKUP(TRIM(D795), CATALOGO!F:G, 2, FALSE) * C795)+I795,IFERROR(IF(COUNTIF('RESTAURANTESDESCUENTOS 2026'!A:A,TRIM(A795))&gt;0,((VLOOKUP(TRIM(D795), CATALOGO!A:B, 2, FALSE) * C795)*(1-VALUE(SUBSTITUTE(VLOOKUP(TRIM(A795),'RESTAURANTESDESCUENTOS 2026'!A:B,2,FALSE),"%",""))/100)+I795),(VLOOKUP(TRIM(D795), CATALOGO!A:B, 2, FALSE) * C795+I795)),""))</f>
        <v>37000</v>
      </c>
      <c r="K795" s="196"/>
      <c r="L795" s="87"/>
      <c r="M795" s="197" t="s">
        <v>587</v>
      </c>
      <c r="N795" s="168"/>
    </row>
    <row r="796" ht="22.5" hidden="1" customHeight="1">
      <c r="A796" s="137" t="s">
        <v>877</v>
      </c>
      <c r="B796" s="90">
        <v>46060.0</v>
      </c>
      <c r="C796" s="55">
        <v>2.0</v>
      </c>
      <c r="D796" s="97" t="s">
        <v>236</v>
      </c>
      <c r="E796" s="201"/>
      <c r="F796" s="202"/>
      <c r="G796" s="194" t="s">
        <v>35</v>
      </c>
      <c r="H796" s="198"/>
      <c r="I796" s="196"/>
      <c r="J796" s="179">
        <f>IF(A796="RAPPI",(VLOOKUP(TRIM(D796), CATALOGO!F:G, 2, FALSE) * C796)+I796,IFERROR(IF(COUNTIF('RESTAURANTESDESCUENTOS 2026'!A:A,TRIM(A796))&gt;0,((VLOOKUP(TRIM(D796), CATALOGO!A:B, 2, FALSE) * C796)*(1-VALUE(SUBSTITUTE(VLOOKUP(TRIM(A796),'RESTAURANTESDESCUENTOS 2026'!A:B,2,FALSE),"%",""))/100)+I796),(VLOOKUP(TRIM(D796), CATALOGO!A:B, 2, FALSE) * C796+I796)),""))</f>
        <v>0</v>
      </c>
      <c r="K796" s="196"/>
      <c r="L796" s="87"/>
      <c r="M796" s="197" t="s">
        <v>587</v>
      </c>
      <c r="N796" s="168"/>
    </row>
    <row r="797" ht="22.5" hidden="1" customHeight="1">
      <c r="A797" s="137" t="s">
        <v>877</v>
      </c>
      <c r="B797" s="90">
        <v>46060.0</v>
      </c>
      <c r="C797" s="55">
        <v>2.0</v>
      </c>
      <c r="D797" s="97" t="s">
        <v>620</v>
      </c>
      <c r="E797" s="201"/>
      <c r="F797" s="202"/>
      <c r="G797" s="194" t="s">
        <v>35</v>
      </c>
      <c r="H797" s="198"/>
      <c r="I797" s="196"/>
      <c r="J797" s="179">
        <f>IF(A797="RAPPI",(VLOOKUP(TRIM(D797), CATALOGO!F:G, 2, FALSE) * C797)+I797,IFERROR(IF(COUNTIF('RESTAURANTESDESCUENTOS 2026'!A:A,TRIM(A797))&gt;0,((VLOOKUP(TRIM(D797), CATALOGO!A:B, 2, FALSE) * C797)*(1-VALUE(SUBSTITUTE(VLOOKUP(TRIM(A797),'RESTAURANTESDESCUENTOS 2026'!A:B,2,FALSE),"%",""))/100)+I797),(VLOOKUP(TRIM(D797), CATALOGO!A:B, 2, FALSE) * C797+I797)),""))</f>
        <v>0</v>
      </c>
      <c r="K797" s="196"/>
      <c r="L797" s="87"/>
      <c r="M797" s="197" t="s">
        <v>587</v>
      </c>
      <c r="N797" s="168"/>
    </row>
    <row r="798" ht="22.5" hidden="1" customHeight="1">
      <c r="A798" s="137" t="s">
        <v>877</v>
      </c>
      <c r="B798" s="90">
        <v>46060.0</v>
      </c>
      <c r="C798" s="55">
        <v>1.0</v>
      </c>
      <c r="D798" s="97" t="s">
        <v>195</v>
      </c>
      <c r="E798" s="201"/>
      <c r="F798" s="202"/>
      <c r="G798" s="194" t="s">
        <v>35</v>
      </c>
      <c r="H798" s="198"/>
      <c r="I798" s="196"/>
      <c r="J798" s="179">
        <f>IF(A798="RAPPI",(VLOOKUP(TRIM(D798), CATALOGO!F:G, 2, FALSE) * C798)+I798,IFERROR(IF(COUNTIF('RESTAURANTESDESCUENTOS 2026'!A:A,TRIM(A798))&gt;0,((VLOOKUP(TRIM(D798), CATALOGO!A:B, 2, FALSE) * C798)*(1-VALUE(SUBSTITUTE(VLOOKUP(TRIM(A798),'RESTAURANTESDESCUENTOS 2026'!A:B,2,FALSE),"%",""))/100)+I798),(VLOOKUP(TRIM(D798), CATALOGO!A:B, 2, FALSE) * C798+I798)),""))</f>
        <v>37000</v>
      </c>
      <c r="K798" s="196"/>
      <c r="L798" s="87"/>
      <c r="M798" s="197" t="s">
        <v>587</v>
      </c>
      <c r="N798" s="168"/>
    </row>
    <row r="799" ht="22.5" hidden="1" customHeight="1">
      <c r="A799" s="137" t="s">
        <v>877</v>
      </c>
      <c r="B799" s="90">
        <v>46060.0</v>
      </c>
      <c r="C799" s="55">
        <v>1.0</v>
      </c>
      <c r="D799" s="97" t="s">
        <v>220</v>
      </c>
      <c r="E799" s="201"/>
      <c r="F799" s="202"/>
      <c r="G799" s="194" t="s">
        <v>35</v>
      </c>
      <c r="H799" s="198"/>
      <c r="I799" s="196"/>
      <c r="J799" s="179">
        <f>IF(A799="RAPPI",(VLOOKUP(TRIM(D799), CATALOGO!F:G, 2, FALSE) * C799)+I799,IFERROR(IF(COUNTIF('RESTAURANTESDESCUENTOS 2026'!A:A,TRIM(A799))&gt;0,((VLOOKUP(TRIM(D799), CATALOGO!A:B, 2, FALSE) * C799)*(1-VALUE(SUBSTITUTE(VLOOKUP(TRIM(A799),'RESTAURANTESDESCUENTOS 2026'!A:B,2,FALSE),"%",""))/100)+I799),(VLOOKUP(TRIM(D799), CATALOGO!A:B, 2, FALSE) * C799+I799)),""))</f>
        <v>37000</v>
      </c>
      <c r="K799" s="196"/>
      <c r="L799" s="87"/>
      <c r="M799" s="197" t="s">
        <v>587</v>
      </c>
      <c r="N799" s="168"/>
    </row>
    <row r="800" ht="22.5" hidden="1" customHeight="1">
      <c r="A800" s="137" t="s">
        <v>106</v>
      </c>
      <c r="B800" s="90">
        <v>46060.0</v>
      </c>
      <c r="C800" s="55">
        <v>1.0</v>
      </c>
      <c r="D800" s="97" t="s">
        <v>178</v>
      </c>
      <c r="E800" s="201" t="s">
        <v>610</v>
      </c>
      <c r="F800" s="202"/>
      <c r="G800" s="194" t="s">
        <v>587</v>
      </c>
      <c r="H800" s="195" t="s">
        <v>632</v>
      </c>
      <c r="I800" s="196">
        <v>8000.0</v>
      </c>
      <c r="J800" s="179">
        <f>IF(A800="RAPPI",(VLOOKUP(TRIM(D800), CATALOGO!F:G, 2, FALSE) * C800)+I800,IFERROR(IF(COUNTIF('RESTAURANTESDESCUENTOS 2026'!A:A,TRIM(A800))&gt;0,((VLOOKUP(TRIM(D800), CATALOGO!A:B, 2, FALSE) * C800)*(1-VALUE(SUBSTITUTE(VLOOKUP(TRIM(A800),'RESTAURANTESDESCUENTOS 2026'!A:B,2,FALSE),"%",""))/100)+I800),(VLOOKUP(TRIM(D800), CATALOGO!A:B, 2, FALSE) * C800+I800)),""))</f>
        <v>105125</v>
      </c>
      <c r="K800" s="196">
        <v>10000.0</v>
      </c>
      <c r="L800" s="87" t="s">
        <v>587</v>
      </c>
      <c r="M800" s="197" t="s">
        <v>587</v>
      </c>
      <c r="N800" s="168"/>
    </row>
    <row r="801" ht="22.5" hidden="1" customHeight="1">
      <c r="A801" s="137" t="s">
        <v>55</v>
      </c>
      <c r="B801" s="90">
        <v>46060.0</v>
      </c>
      <c r="C801" s="55">
        <v>3.0</v>
      </c>
      <c r="D801" s="97" t="s">
        <v>178</v>
      </c>
      <c r="E801" s="201" t="s">
        <v>686</v>
      </c>
      <c r="F801" s="202"/>
      <c r="G801" s="194" t="s">
        <v>587</v>
      </c>
      <c r="H801" s="195" t="s">
        <v>632</v>
      </c>
      <c r="I801" s="196">
        <v>10000.0</v>
      </c>
      <c r="J801" s="179">
        <f>IF(A801="RAPPI",(VLOOKUP(TRIM(D801), CATALOGO!F:G, 2, FALSE) * C801)+I801,IFERROR(IF(COUNTIF('RESTAURANTESDESCUENTOS 2026'!A:A,TRIM(A801))&gt;0,((VLOOKUP(TRIM(D801), CATALOGO!A:B, 2, FALSE) * C801)*(1-VALUE(SUBSTITUTE(VLOOKUP(TRIM(A801),'RESTAURANTESDESCUENTOS 2026'!A:B,2,FALSE),"%",""))/100)+I801),(VLOOKUP(TRIM(D801), CATALOGO!A:B, 2, FALSE) * C801+I801)),""))</f>
        <v>347500</v>
      </c>
      <c r="K801" s="196">
        <v>10000.0</v>
      </c>
      <c r="L801" s="87" t="s">
        <v>587</v>
      </c>
      <c r="M801" s="197" t="s">
        <v>587</v>
      </c>
      <c r="N801" s="168"/>
    </row>
    <row r="802" ht="22.5" hidden="1" customHeight="1">
      <c r="A802" s="137" t="s">
        <v>605</v>
      </c>
      <c r="B802" s="90">
        <v>46060.0</v>
      </c>
      <c r="C802" s="55">
        <v>1.0</v>
      </c>
      <c r="D802" s="97" t="s">
        <v>739</v>
      </c>
      <c r="E802" s="201" t="s">
        <v>607</v>
      </c>
      <c r="F802" s="202"/>
      <c r="G802" s="194" t="s">
        <v>35</v>
      </c>
      <c r="H802" s="198"/>
      <c r="I802" s="196"/>
      <c r="J802" s="179">
        <f>IF(A802="RAPPI",(VLOOKUP(TRIM(D802), CATALOGO!F:G, 2, FALSE) * C802)+I802,IFERROR(IF(COUNTIF('RESTAURANTESDESCUENTOS 2026'!A:A,TRIM(A802))&gt;0,((VLOOKUP(TRIM(D802), CATALOGO!A:B, 2, FALSE) * C802)*(1-VALUE(SUBSTITUTE(VLOOKUP(TRIM(A802),'RESTAURANTESDESCUENTOS 2026'!A:B,2,FALSE),"%",""))/100)+I802),(VLOOKUP(TRIM(D802), CATALOGO!A:B, 2, FALSE) * C802+I802)),""))</f>
        <v>163000</v>
      </c>
      <c r="K802" s="196"/>
      <c r="L802" s="87"/>
      <c r="M802" s="197" t="s">
        <v>587</v>
      </c>
      <c r="N802" s="168"/>
    </row>
    <row r="803" ht="22.5" hidden="1" customHeight="1">
      <c r="A803" s="137" t="s">
        <v>878</v>
      </c>
      <c r="B803" s="90">
        <v>46060.0</v>
      </c>
      <c r="C803" s="55">
        <v>1.0</v>
      </c>
      <c r="D803" s="97" t="s">
        <v>180</v>
      </c>
      <c r="E803" s="201"/>
      <c r="F803" s="202"/>
      <c r="G803" s="194" t="s">
        <v>587</v>
      </c>
      <c r="H803" s="195" t="s">
        <v>632</v>
      </c>
      <c r="I803" s="196">
        <v>10000.0</v>
      </c>
      <c r="J803" s="179">
        <f>IF(A803="RAPPI",(VLOOKUP(TRIM(D803), CATALOGO!F:G, 2, FALSE) * C803)+I803,IFERROR(IF(COUNTIF('RESTAURANTESDESCUENTOS 2026'!A:A,TRIM(A803))&gt;0,((VLOOKUP(TRIM(D803), CATALOGO!A:B, 2, FALSE) * C803)*(1-VALUE(SUBSTITUTE(VLOOKUP(TRIM(A803),'RESTAURANTESDESCUENTOS 2026'!A:B,2,FALSE),"%",""))/100)+I803),(VLOOKUP(TRIM(D803), CATALOGO!A:B, 2, FALSE) * C803+I803)),""))</f>
        <v>159000</v>
      </c>
      <c r="K803" s="196">
        <v>10000.0</v>
      </c>
      <c r="L803" s="87"/>
      <c r="M803" s="197" t="s">
        <v>587</v>
      </c>
      <c r="N803" s="168"/>
    </row>
    <row r="804" ht="22.5" hidden="1" customHeight="1">
      <c r="A804" s="137" t="s">
        <v>605</v>
      </c>
      <c r="B804" s="90">
        <v>46060.0</v>
      </c>
      <c r="C804" s="55">
        <v>1.0</v>
      </c>
      <c r="D804" s="97" t="s">
        <v>653</v>
      </c>
      <c r="E804" s="201" t="s">
        <v>607</v>
      </c>
      <c r="F804" s="202"/>
      <c r="G804" s="194" t="s">
        <v>35</v>
      </c>
      <c r="H804" s="198"/>
      <c r="I804" s="196"/>
      <c r="J804" s="179">
        <f>IF(A804="RAPPI",(VLOOKUP(TRIM(D804), CATALOGO!F:G, 2, FALSE) * C804)+I804,IFERROR(IF(COUNTIF('RESTAURANTESDESCUENTOS 2026'!A:A,TRIM(A804))&gt;0,((VLOOKUP(TRIM(D804), CATALOGO!A:B, 2, FALSE) * C804)*(1-VALUE(SUBSTITUTE(VLOOKUP(TRIM(A804),'RESTAURANTESDESCUENTOS 2026'!A:B,2,FALSE),"%",""))/100)+I804),(VLOOKUP(TRIM(D804), CATALOGO!A:B, 2, FALSE) * C804+I804)),""))</f>
        <v>123000</v>
      </c>
      <c r="K804" s="196"/>
      <c r="L804" s="87"/>
      <c r="M804" s="197" t="s">
        <v>587</v>
      </c>
      <c r="N804" s="168"/>
    </row>
    <row r="805" ht="22.5" hidden="1" customHeight="1">
      <c r="A805" s="137" t="s">
        <v>17</v>
      </c>
      <c r="B805" s="90">
        <v>46060.0</v>
      </c>
      <c r="C805" s="55">
        <v>1.0</v>
      </c>
      <c r="D805" s="97" t="s">
        <v>178</v>
      </c>
      <c r="E805" s="201" t="s">
        <v>610</v>
      </c>
      <c r="F805" s="202"/>
      <c r="G805" s="194" t="s">
        <v>587</v>
      </c>
      <c r="H805" s="195" t="s">
        <v>632</v>
      </c>
      <c r="I805" s="196">
        <v>10000.0</v>
      </c>
      <c r="J805" s="179">
        <f>IF(A805="RAPPI",(VLOOKUP(TRIM(D805), CATALOGO!F:G, 2, FALSE) * C805)+I805,IFERROR(IF(COUNTIF('RESTAURANTESDESCUENTOS 2026'!A:A,TRIM(A805))&gt;0,((VLOOKUP(TRIM(D805), CATALOGO!A:B, 2, FALSE) * C805)*(1-VALUE(SUBSTITUTE(VLOOKUP(TRIM(A805),'RESTAURANTESDESCUENTOS 2026'!A:B,2,FALSE),"%",""))/100)+I805),(VLOOKUP(TRIM(D805), CATALOGO!A:B, 2, FALSE) * C805+I805)),""))</f>
        <v>122500</v>
      </c>
      <c r="K805" s="196">
        <v>10000.0</v>
      </c>
      <c r="L805" s="87" t="s">
        <v>587</v>
      </c>
      <c r="M805" s="197" t="s">
        <v>587</v>
      </c>
      <c r="N805" s="168"/>
    </row>
    <row r="806" ht="22.5" hidden="1" customHeight="1">
      <c r="A806" s="137" t="s">
        <v>879</v>
      </c>
      <c r="B806" s="90">
        <v>46060.0</v>
      </c>
      <c r="C806" s="55">
        <v>1.0</v>
      </c>
      <c r="D806" s="97" t="s">
        <v>177</v>
      </c>
      <c r="E806" s="201" t="s">
        <v>645</v>
      </c>
      <c r="F806" s="202"/>
      <c r="G806" s="194" t="s">
        <v>587</v>
      </c>
      <c r="H806" s="195" t="s">
        <v>632</v>
      </c>
      <c r="I806" s="196">
        <v>14000.0</v>
      </c>
      <c r="J806" s="179">
        <f>IF(A806="RAPPI",(VLOOKUP(TRIM(D806), CATALOGO!F:G, 2, FALSE) * C806)+I806,IFERROR(IF(COUNTIF('RESTAURANTESDESCUENTOS 2026'!A:A,TRIM(A806))&gt;0,((VLOOKUP(TRIM(D806), CATALOGO!A:B, 2, FALSE) * C806)*(1-VALUE(SUBSTITUTE(VLOOKUP(TRIM(A806),'RESTAURANTESDESCUENTOS 2026'!A:B,2,FALSE),"%",""))/100)+I806),(VLOOKUP(TRIM(D806), CATALOGO!A:B, 2, FALSE) * C806+I806)),""))</f>
        <v>129000</v>
      </c>
      <c r="K806" s="196">
        <v>14000.0</v>
      </c>
      <c r="L806" s="87"/>
      <c r="M806" s="197" t="s">
        <v>587</v>
      </c>
      <c r="N806" s="168"/>
    </row>
    <row r="807" ht="22.5" hidden="1" customHeight="1">
      <c r="A807" s="137" t="s">
        <v>603</v>
      </c>
      <c r="B807" s="90">
        <v>46060.0</v>
      </c>
      <c r="C807" s="55">
        <v>1.0</v>
      </c>
      <c r="D807" s="97" t="s">
        <v>824</v>
      </c>
      <c r="E807" s="201">
        <v>68.0</v>
      </c>
      <c r="F807" s="202"/>
      <c r="G807" s="194" t="s">
        <v>587</v>
      </c>
      <c r="H807" s="195" t="s">
        <v>603</v>
      </c>
      <c r="I807" s="196"/>
      <c r="J807" s="179">
        <f>IF(A807="RAPPI",(VLOOKUP(TRIM(D807), CATALOGO!F:G, 2, FALSE) * C807)+I807,IFERROR(IF(COUNTIF('RESTAURANTESDESCUENTOS 2026'!A:A,TRIM(A807))&gt;0,((VLOOKUP(TRIM(D807), CATALOGO!A:B, 2, FALSE) * C807)*(1-VALUE(SUBSTITUTE(VLOOKUP(TRIM(A807),'RESTAURANTESDESCUENTOS 2026'!A:B,2,FALSE),"%",""))/100)+I807),(VLOOKUP(TRIM(D807), CATALOGO!A:B, 2, FALSE) * C807+I807)),""))</f>
        <v>123000</v>
      </c>
      <c r="K807" s="196"/>
      <c r="L807" s="87"/>
      <c r="M807" s="197" t="s">
        <v>587</v>
      </c>
      <c r="N807" s="168"/>
    </row>
    <row r="808" ht="22.5" hidden="1" customHeight="1">
      <c r="A808" s="137" t="s">
        <v>605</v>
      </c>
      <c r="B808" s="90">
        <v>46060.0</v>
      </c>
      <c r="C808" s="55">
        <v>1.0</v>
      </c>
      <c r="D808" s="97" t="s">
        <v>176</v>
      </c>
      <c r="E808" s="201" t="s">
        <v>880</v>
      </c>
      <c r="F808" s="202"/>
      <c r="G808" s="194" t="s">
        <v>35</v>
      </c>
      <c r="H808" s="198"/>
      <c r="I808" s="196"/>
      <c r="J808" s="179">
        <f>IF(A808="RAPPI",(VLOOKUP(TRIM(D808), CATALOGO!F:G, 2, FALSE) * C808)+I808,IFERROR(IF(COUNTIF('RESTAURANTESDESCUENTOS 2026'!A:A,TRIM(A808))&gt;0,((VLOOKUP(TRIM(D808), CATALOGO!A:B, 2, FALSE) * C808)*(1-VALUE(SUBSTITUTE(VLOOKUP(TRIM(A808),'RESTAURANTESDESCUENTOS 2026'!A:B,2,FALSE),"%",""))/100)+I808),(VLOOKUP(TRIM(D808), CATALOGO!A:B, 2, FALSE) * C808+I808)),""))</f>
        <v>50000</v>
      </c>
      <c r="K808" s="196"/>
      <c r="L808" s="87"/>
      <c r="M808" s="197" t="s">
        <v>587</v>
      </c>
      <c r="N808" s="168"/>
    </row>
    <row r="809" ht="22.5" hidden="1" customHeight="1">
      <c r="A809" s="137" t="s">
        <v>603</v>
      </c>
      <c r="B809" s="90">
        <v>46060.0</v>
      </c>
      <c r="C809" s="55">
        <v>1.0</v>
      </c>
      <c r="D809" s="97" t="s">
        <v>187</v>
      </c>
      <c r="E809" s="201">
        <v>7980.0</v>
      </c>
      <c r="F809" s="202"/>
      <c r="G809" s="194" t="s">
        <v>587</v>
      </c>
      <c r="H809" s="195" t="s">
        <v>603</v>
      </c>
      <c r="I809" s="196"/>
      <c r="J809" s="179">
        <f>IF(A809="RAPPI",(VLOOKUP(TRIM(D809), CATALOGO!F:G, 2, FALSE) * C809)+I809,IFERROR(IF(COUNTIF('RESTAURANTESDESCUENTOS 2026'!A:A,TRIM(A809))&gt;0,((VLOOKUP(TRIM(D809), CATALOGO!A:B, 2, FALSE) * C809)*(1-VALUE(SUBSTITUTE(VLOOKUP(TRIM(A809),'RESTAURANTESDESCUENTOS 2026'!A:B,2,FALSE),"%",""))/100)+I809),(VLOOKUP(TRIM(D809), CATALOGO!A:B, 2, FALSE) * C809+I809)),""))</f>
        <v>55000</v>
      </c>
      <c r="K809" s="196"/>
      <c r="L809" s="87"/>
      <c r="M809" s="197" t="s">
        <v>587</v>
      </c>
      <c r="N809" s="168"/>
    </row>
    <row r="810" ht="22.5" hidden="1" customHeight="1">
      <c r="A810" s="137" t="s">
        <v>603</v>
      </c>
      <c r="B810" s="90">
        <v>46060.0</v>
      </c>
      <c r="C810" s="55">
        <v>1.0</v>
      </c>
      <c r="D810" s="97" t="s">
        <v>657</v>
      </c>
      <c r="E810" s="201">
        <v>7980.0</v>
      </c>
      <c r="F810" s="202"/>
      <c r="G810" s="194" t="s">
        <v>587</v>
      </c>
      <c r="H810" s="195" t="s">
        <v>603</v>
      </c>
      <c r="I810" s="196"/>
      <c r="J810" s="179">
        <f>IF(A810="RAPPI",(VLOOKUP(TRIM(D810), CATALOGO!F:G, 2, FALSE) * C810)+I810,IFERROR(IF(COUNTIF('RESTAURANTESDESCUENTOS 2026'!A:A,TRIM(A810))&gt;0,((VLOOKUP(TRIM(D810), CATALOGO!A:B, 2, FALSE) * C810)*(1-VALUE(SUBSTITUTE(VLOOKUP(TRIM(A810),'RESTAURANTESDESCUENTOS 2026'!A:B,2,FALSE),"%",""))/100)+I810),(VLOOKUP(TRIM(D810), CATALOGO!A:B, 2, FALSE) * C810+I810)),""))</f>
        <v>8000</v>
      </c>
      <c r="K810" s="196"/>
      <c r="L810" s="87"/>
      <c r="M810" s="197" t="s">
        <v>587</v>
      </c>
      <c r="N810" s="168"/>
    </row>
    <row r="811" ht="23.25" hidden="1" customHeight="1">
      <c r="A811" s="137" t="s">
        <v>603</v>
      </c>
      <c r="B811" s="90">
        <v>46060.0</v>
      </c>
      <c r="C811" s="55">
        <v>1.0</v>
      </c>
      <c r="D811" s="97" t="s">
        <v>696</v>
      </c>
      <c r="E811" s="201">
        <v>7980.0</v>
      </c>
      <c r="F811" s="202"/>
      <c r="G811" s="194" t="s">
        <v>587</v>
      </c>
      <c r="H811" s="195" t="s">
        <v>603</v>
      </c>
      <c r="I811" s="196"/>
      <c r="J811" s="179">
        <f>IF(A811="RAPPI",(VLOOKUP(TRIM(D811), CATALOGO!F:G, 2, FALSE) * C811)+I811,IFERROR(IF(COUNTIF('RESTAURANTESDESCUENTOS 2026'!A:A,TRIM(A811))&gt;0,((VLOOKUP(TRIM(D811), CATALOGO!A:B, 2, FALSE) * C811)*(1-VALUE(SUBSTITUTE(VLOOKUP(TRIM(A811),'RESTAURANTESDESCUENTOS 2026'!A:B,2,FALSE),"%",""))/100)+I811),(VLOOKUP(TRIM(D811), CATALOGO!A:B, 2, FALSE) * C811+I811)),""))</f>
        <v>4000</v>
      </c>
      <c r="K811" s="196"/>
      <c r="L811" s="87"/>
      <c r="M811" s="197" t="s">
        <v>587</v>
      </c>
      <c r="N811" s="168"/>
      <c r="P811" s="99" t="s">
        <v>881</v>
      </c>
    </row>
    <row r="812" ht="22.5" hidden="1" customHeight="1">
      <c r="A812" s="137" t="s">
        <v>605</v>
      </c>
      <c r="B812" s="90">
        <v>46060.0</v>
      </c>
      <c r="C812" s="70">
        <v>1.0</v>
      </c>
      <c r="D812" s="97" t="s">
        <v>628</v>
      </c>
      <c r="E812" s="201" t="s">
        <v>607</v>
      </c>
      <c r="F812" s="202"/>
      <c r="G812" s="194" t="s">
        <v>35</v>
      </c>
      <c r="H812" s="198"/>
      <c r="I812" s="196"/>
      <c r="J812" s="179">
        <f>IF(A812="RAPPI",(VLOOKUP(TRIM(D812), CATALOGO!F:G, 2, FALSE) * C812)+I812,IFERROR(IF(COUNTIF('RESTAURANTESDESCUENTOS 2026'!A:A,TRIM(A812))&gt;0,((VLOOKUP(TRIM(D812), CATALOGO!A:B, 2, FALSE) * C812)*(1-VALUE(SUBSTITUTE(VLOOKUP(TRIM(A812),'RESTAURANTESDESCUENTOS 2026'!A:B,2,FALSE),"%",""))/100)+I812),(VLOOKUP(TRIM(D812), CATALOGO!A:B, 2, FALSE) * C812+I812)),""))</f>
        <v>22000</v>
      </c>
      <c r="K812" s="196"/>
      <c r="L812" s="87"/>
      <c r="M812" s="197" t="s">
        <v>587</v>
      </c>
      <c r="N812" s="168"/>
    </row>
    <row r="813" ht="22.5" hidden="1" customHeight="1">
      <c r="A813" s="137" t="s">
        <v>882</v>
      </c>
      <c r="B813" s="90">
        <v>46060.0</v>
      </c>
      <c r="C813" s="55">
        <v>1.0</v>
      </c>
      <c r="D813" s="97" t="s">
        <v>739</v>
      </c>
      <c r="E813" s="201"/>
      <c r="F813" s="202"/>
      <c r="G813" s="194" t="s">
        <v>587</v>
      </c>
      <c r="H813" s="195" t="s">
        <v>588</v>
      </c>
      <c r="I813" s="196">
        <v>13000.0</v>
      </c>
      <c r="J813" s="179">
        <f>IF(A813="RAPPI",(VLOOKUP(TRIM(D813), CATALOGO!F:G, 2, FALSE) * C813)+I813,IFERROR(IF(COUNTIF('RESTAURANTESDESCUENTOS 2026'!A:A,TRIM(A813))&gt;0,((VLOOKUP(TRIM(D813), CATALOGO!A:B, 2, FALSE) * C813)*(1-VALUE(SUBSTITUTE(VLOOKUP(TRIM(A813),'RESTAURANTESDESCUENTOS 2026'!A:B,2,FALSE),"%",""))/100)+I813),(VLOOKUP(TRIM(D813), CATALOGO!A:B, 2, FALSE) * C813+I813)),""))</f>
        <v>176000</v>
      </c>
      <c r="K813" s="196">
        <v>13000.0</v>
      </c>
      <c r="L813" s="87"/>
      <c r="M813" s="197" t="s">
        <v>587</v>
      </c>
      <c r="N813" s="168"/>
    </row>
    <row r="814" ht="22.5" hidden="1" customHeight="1">
      <c r="A814" s="137" t="s">
        <v>883</v>
      </c>
      <c r="B814" s="90">
        <v>46060.0</v>
      </c>
      <c r="C814" s="55">
        <v>1.0</v>
      </c>
      <c r="D814" s="97" t="s">
        <v>653</v>
      </c>
      <c r="E814" s="201"/>
      <c r="F814" s="202"/>
      <c r="G814" s="194" t="s">
        <v>587</v>
      </c>
      <c r="H814" s="195" t="s">
        <v>588</v>
      </c>
      <c r="I814" s="196">
        <v>10000.0</v>
      </c>
      <c r="J814" s="179">
        <f>IF(A814="RAPPI",(VLOOKUP(TRIM(D814), CATALOGO!F:G, 2, FALSE) * C814)+I814,IFERROR(IF(COUNTIF('RESTAURANTESDESCUENTOS 2026'!A:A,TRIM(A814))&gt;0,((VLOOKUP(TRIM(D814), CATALOGO!A:B, 2, FALSE) * C814)*(1-VALUE(SUBSTITUTE(VLOOKUP(TRIM(A814),'RESTAURANTESDESCUENTOS 2026'!A:B,2,FALSE),"%",""))/100)+I814),(VLOOKUP(TRIM(D814), CATALOGO!A:B, 2, FALSE) * C814+I814)),""))</f>
        <v>133000</v>
      </c>
      <c r="K814" s="196">
        <v>12000.0</v>
      </c>
      <c r="L814" s="87"/>
      <c r="M814" s="197" t="s">
        <v>587</v>
      </c>
      <c r="N814" s="168"/>
    </row>
    <row r="815" ht="22.5" hidden="1" customHeight="1">
      <c r="A815" s="137" t="s">
        <v>884</v>
      </c>
      <c r="B815" s="90">
        <v>46060.0</v>
      </c>
      <c r="C815" s="55">
        <v>2.0</v>
      </c>
      <c r="D815" s="97" t="s">
        <v>177</v>
      </c>
      <c r="E815" s="201"/>
      <c r="F815" s="202"/>
      <c r="G815" s="194" t="s">
        <v>587</v>
      </c>
      <c r="H815" s="195" t="s">
        <v>588</v>
      </c>
      <c r="I815" s="196">
        <v>10000.0</v>
      </c>
      <c r="J815" s="179">
        <f>IF(A815="RAPPI",(VLOOKUP(TRIM(D815), CATALOGO!F:G, 2, FALSE) * C815)+I815,IFERROR(IF(COUNTIF('RESTAURANTESDESCUENTOS 2026'!A:A,TRIM(A815))&gt;0,((VLOOKUP(TRIM(D815), CATALOGO!A:B, 2, FALSE) * C815)*(1-VALUE(SUBSTITUTE(VLOOKUP(TRIM(A815),'RESTAURANTESDESCUENTOS 2026'!A:B,2,FALSE),"%",""))/100)+I815),(VLOOKUP(TRIM(D815), CATALOGO!A:B, 2, FALSE) * C815+I815)),""))</f>
        <v>240000</v>
      </c>
      <c r="K815" s="196">
        <v>13500.0</v>
      </c>
      <c r="L815" s="87"/>
      <c r="M815" s="197" t="s">
        <v>587</v>
      </c>
      <c r="N815" s="168"/>
    </row>
    <row r="816" ht="22.5" hidden="1" customHeight="1">
      <c r="A816" s="137" t="s">
        <v>603</v>
      </c>
      <c r="B816" s="90">
        <v>46060.0</v>
      </c>
      <c r="C816" s="55">
        <v>1.0</v>
      </c>
      <c r="D816" s="97" t="s">
        <v>601</v>
      </c>
      <c r="E816" s="201">
        <v>5286.0</v>
      </c>
      <c r="F816" s="202"/>
      <c r="G816" s="194" t="s">
        <v>587</v>
      </c>
      <c r="H816" s="195" t="s">
        <v>603</v>
      </c>
      <c r="I816" s="196"/>
      <c r="J816" s="179">
        <f>IF(A816="RAPPI",(VLOOKUP(TRIM(D816), CATALOGO!F:G, 2, FALSE) * C816)+I816,IFERROR(IF(COUNTIF('RESTAURANTESDESCUENTOS 2026'!A:A,TRIM(A816))&gt;0,((VLOOKUP(TRIM(D816), CATALOGO!A:B, 2, FALSE) * C816)*(1-VALUE(SUBSTITUTE(VLOOKUP(TRIM(A816),'RESTAURANTESDESCUENTOS 2026'!A:B,2,FALSE),"%",""))/100)+I816),(VLOOKUP(TRIM(D816), CATALOGO!A:B, 2, FALSE) * C816+I816)),""))</f>
        <v>53000</v>
      </c>
      <c r="K816" s="196"/>
      <c r="L816" s="87"/>
      <c r="M816" s="197" t="s">
        <v>587</v>
      </c>
      <c r="N816" s="168"/>
    </row>
    <row r="817" ht="22.5" hidden="1" customHeight="1">
      <c r="A817" s="137" t="s">
        <v>603</v>
      </c>
      <c r="B817" s="90">
        <v>46060.0</v>
      </c>
      <c r="C817" s="55">
        <v>1.0</v>
      </c>
      <c r="D817" s="97" t="s">
        <v>708</v>
      </c>
      <c r="E817" s="201">
        <v>823.0</v>
      </c>
      <c r="F817" s="202"/>
      <c r="G817" s="194" t="s">
        <v>587</v>
      </c>
      <c r="H817" s="195" t="s">
        <v>603</v>
      </c>
      <c r="I817" s="196"/>
      <c r="J817" s="179">
        <f>IF(A817="RAPPI",(VLOOKUP(TRIM(D817), CATALOGO!F:G, 2, FALSE) * C817)+I817,IFERROR(IF(COUNTIF('RESTAURANTESDESCUENTOS 2026'!A:A,TRIM(A817))&gt;0,((VLOOKUP(TRIM(D817), CATALOGO!A:B, 2, FALSE) * C817)*(1-VALUE(SUBSTITUTE(VLOOKUP(TRIM(A817),'RESTAURANTESDESCUENTOS 2026'!A:B,2,FALSE),"%",""))/100)+I817),(VLOOKUP(TRIM(D817), CATALOGO!A:B, 2, FALSE) * C817+I817)),""))</f>
        <v>53000</v>
      </c>
      <c r="K817" s="196"/>
      <c r="L817" s="87"/>
      <c r="M817" s="197" t="s">
        <v>587</v>
      </c>
      <c r="N817" s="168"/>
    </row>
    <row r="818" ht="22.5" hidden="1" customHeight="1">
      <c r="A818" s="137" t="s">
        <v>603</v>
      </c>
      <c r="B818" s="90">
        <v>46060.0</v>
      </c>
      <c r="C818" s="55">
        <v>1.0</v>
      </c>
      <c r="D818" s="97" t="s">
        <v>182</v>
      </c>
      <c r="E818" s="201">
        <v>823.0</v>
      </c>
      <c r="F818" s="202"/>
      <c r="G818" s="194" t="s">
        <v>587</v>
      </c>
      <c r="H818" s="195" t="s">
        <v>603</v>
      </c>
      <c r="I818" s="196"/>
      <c r="J818" s="179">
        <f>IF(A818="RAPPI",(VLOOKUP(TRIM(D818), CATALOGO!F:G, 2, FALSE) * C818)+I818,IFERROR(IF(COUNTIF('RESTAURANTESDESCUENTOS 2026'!A:A,TRIM(A818))&gt;0,((VLOOKUP(TRIM(D818), CATALOGO!A:B, 2, FALSE) * C818)*(1-VALUE(SUBSTITUTE(VLOOKUP(TRIM(A818),'RESTAURANTESDESCUENTOS 2026'!A:B,2,FALSE),"%",""))/100)+I818),(VLOOKUP(TRIM(D818), CATALOGO!A:B, 2, FALSE) * C818+I818)),""))</f>
        <v>37000</v>
      </c>
      <c r="K818" s="196"/>
      <c r="L818" s="87"/>
      <c r="M818" s="197" t="s">
        <v>587</v>
      </c>
      <c r="N818" s="168"/>
    </row>
    <row r="819" ht="22.5" hidden="1" customHeight="1">
      <c r="A819" s="137" t="s">
        <v>603</v>
      </c>
      <c r="B819" s="90">
        <v>46060.0</v>
      </c>
      <c r="C819" s="55">
        <v>4.0</v>
      </c>
      <c r="D819" s="97" t="s">
        <v>236</v>
      </c>
      <c r="E819" s="201">
        <v>823.0</v>
      </c>
      <c r="F819" s="202"/>
      <c r="G819" s="194" t="s">
        <v>587</v>
      </c>
      <c r="H819" s="195" t="s">
        <v>603</v>
      </c>
      <c r="I819" s="196"/>
      <c r="J819" s="179">
        <f>IF(A819="RAPPI",(VLOOKUP(TRIM(D819), CATALOGO!F:G, 2, FALSE) * C819)+I819,IFERROR(IF(COUNTIF('RESTAURANTESDESCUENTOS 2026'!A:A,TRIM(A819))&gt;0,((VLOOKUP(TRIM(D819), CATALOGO!A:B, 2, FALSE) * C819)*(1-VALUE(SUBSTITUTE(VLOOKUP(TRIM(A819),'RESTAURANTESDESCUENTOS 2026'!A:B,2,FALSE),"%",""))/100)+I819),(VLOOKUP(TRIM(D819), CATALOGO!A:B, 2, FALSE) * C819+I819)),""))</f>
        <v>0</v>
      </c>
      <c r="K819" s="196"/>
      <c r="L819" s="87"/>
      <c r="M819" s="197" t="s">
        <v>587</v>
      </c>
      <c r="N819" s="168"/>
    </row>
    <row r="820" ht="22.5" hidden="1" customHeight="1">
      <c r="A820" s="137" t="s">
        <v>603</v>
      </c>
      <c r="B820" s="90">
        <v>46060.0</v>
      </c>
      <c r="C820" s="55">
        <v>1.0</v>
      </c>
      <c r="D820" s="97" t="s">
        <v>177</v>
      </c>
      <c r="E820" s="201">
        <v>9932.0</v>
      </c>
      <c r="F820" s="202"/>
      <c r="G820" s="194" t="s">
        <v>587</v>
      </c>
      <c r="H820" s="195" t="s">
        <v>603</v>
      </c>
      <c r="I820" s="196"/>
      <c r="J820" s="179">
        <f>IF(A820="RAPPI",(VLOOKUP(TRIM(D820), CATALOGO!F:G, 2, FALSE) * C820)+I820,IFERROR(IF(COUNTIF('RESTAURANTESDESCUENTOS 2026'!A:A,TRIM(A820))&gt;0,((VLOOKUP(TRIM(D820), CATALOGO!A:B, 2, FALSE) * C820)*(1-VALUE(SUBSTITUTE(VLOOKUP(TRIM(A820),'RESTAURANTESDESCUENTOS 2026'!A:B,2,FALSE),"%",""))/100)+I820),(VLOOKUP(TRIM(D820), CATALOGO!A:B, 2, FALSE) * C820+I820)),""))</f>
        <v>115000</v>
      </c>
      <c r="K820" s="196"/>
      <c r="L820" s="87"/>
      <c r="M820" s="197" t="s">
        <v>587</v>
      </c>
      <c r="N820" s="168"/>
    </row>
    <row r="821" ht="22.5" hidden="1" customHeight="1">
      <c r="A821" s="137" t="s">
        <v>603</v>
      </c>
      <c r="B821" s="90">
        <v>46060.0</v>
      </c>
      <c r="C821" s="55">
        <v>1.0</v>
      </c>
      <c r="D821" s="97" t="s">
        <v>696</v>
      </c>
      <c r="E821" s="201">
        <v>9932.0</v>
      </c>
      <c r="F821" s="202"/>
      <c r="G821" s="194" t="s">
        <v>587</v>
      </c>
      <c r="H821" s="195" t="s">
        <v>603</v>
      </c>
      <c r="I821" s="196"/>
      <c r="J821" s="179">
        <f>IF(A821="RAPPI",(VLOOKUP(TRIM(D821), CATALOGO!F:G, 2, FALSE) * C821)+I821,IFERROR(IF(COUNTIF('RESTAURANTESDESCUENTOS 2026'!A:A,TRIM(A821))&gt;0,((VLOOKUP(TRIM(D821), CATALOGO!A:B, 2, FALSE) * C821)*(1-VALUE(SUBSTITUTE(VLOOKUP(TRIM(A821),'RESTAURANTESDESCUENTOS 2026'!A:B,2,FALSE),"%",""))/100)+I821),(VLOOKUP(TRIM(D821), CATALOGO!A:B, 2, FALSE) * C821+I821)),""))</f>
        <v>4000</v>
      </c>
      <c r="K821" s="196"/>
      <c r="L821" s="87"/>
      <c r="M821" s="197" t="s">
        <v>587</v>
      </c>
      <c r="N821" s="168"/>
    </row>
    <row r="822" ht="22.5" hidden="1" customHeight="1">
      <c r="A822" s="137" t="s">
        <v>605</v>
      </c>
      <c r="B822" s="90">
        <v>46060.0</v>
      </c>
      <c r="C822" s="55">
        <v>1.0</v>
      </c>
      <c r="D822" s="97" t="s">
        <v>653</v>
      </c>
      <c r="E822" s="201" t="s">
        <v>606</v>
      </c>
      <c r="F822" s="202"/>
      <c r="G822" s="194" t="s">
        <v>35</v>
      </c>
      <c r="H822" s="198"/>
      <c r="I822" s="196"/>
      <c r="J822" s="179">
        <f>IF(A822="RAPPI",(VLOOKUP(TRIM(D822), CATALOGO!F:G, 2, FALSE) * C822)+I822,IFERROR(IF(COUNTIF('RESTAURANTESDESCUENTOS 2026'!A:A,TRIM(A822))&gt;0,((VLOOKUP(TRIM(D822), CATALOGO!A:B, 2, FALSE) * C822)*(1-VALUE(SUBSTITUTE(VLOOKUP(TRIM(A822),'RESTAURANTESDESCUENTOS 2026'!A:B,2,FALSE),"%",""))/100)+I822),(VLOOKUP(TRIM(D822), CATALOGO!A:B, 2, FALSE) * C822+I822)),""))</f>
        <v>123000</v>
      </c>
      <c r="K822" s="196"/>
      <c r="L822" s="87"/>
      <c r="M822" s="197" t="s">
        <v>587</v>
      </c>
      <c r="N822" s="168"/>
    </row>
    <row r="823" ht="22.5" hidden="1" customHeight="1">
      <c r="A823" s="137" t="s">
        <v>885</v>
      </c>
      <c r="B823" s="90">
        <v>46060.0</v>
      </c>
      <c r="C823" s="55">
        <v>1.0</v>
      </c>
      <c r="D823" s="97" t="s">
        <v>601</v>
      </c>
      <c r="E823" s="201"/>
      <c r="F823" s="202"/>
      <c r="G823" s="194" t="s">
        <v>587</v>
      </c>
      <c r="H823" s="195" t="s">
        <v>588</v>
      </c>
      <c r="I823" s="196">
        <v>14000.0</v>
      </c>
      <c r="J823" s="179">
        <f>IF(A823="RAPPI",(VLOOKUP(TRIM(D823), CATALOGO!F:G, 2, FALSE) * C823)+I823,IFERROR(IF(COUNTIF('RESTAURANTESDESCUENTOS 2026'!A:A,TRIM(A823))&gt;0,((VLOOKUP(TRIM(D823), CATALOGO!A:B, 2, FALSE) * C823)*(1-VALUE(SUBSTITUTE(VLOOKUP(TRIM(A823),'RESTAURANTESDESCUENTOS 2026'!A:B,2,FALSE),"%",""))/100)+I823),(VLOOKUP(TRIM(D823), CATALOGO!A:B, 2, FALSE) * C823+I823)),""))</f>
        <v>67000</v>
      </c>
      <c r="K823" s="196">
        <v>14000.0</v>
      </c>
      <c r="L823" s="87"/>
      <c r="M823" s="197" t="s">
        <v>587</v>
      </c>
      <c r="N823" s="168"/>
    </row>
    <row r="824" ht="22.5" hidden="1" customHeight="1">
      <c r="A824" s="137" t="s">
        <v>603</v>
      </c>
      <c r="B824" s="90">
        <v>46060.0</v>
      </c>
      <c r="C824" s="55">
        <v>1.0</v>
      </c>
      <c r="D824" s="97" t="s">
        <v>708</v>
      </c>
      <c r="E824" s="201">
        <v>5139.0</v>
      </c>
      <c r="F824" s="202"/>
      <c r="G824" s="194" t="s">
        <v>587</v>
      </c>
      <c r="H824" s="195" t="s">
        <v>603</v>
      </c>
      <c r="I824" s="196"/>
      <c r="J824" s="179">
        <f>IF(A824="RAPPI",(VLOOKUP(TRIM(D824), CATALOGO!F:G, 2, FALSE) * C824)+I824,IFERROR(IF(COUNTIF('RESTAURANTESDESCUENTOS 2026'!A:A,TRIM(A824))&gt;0,((VLOOKUP(TRIM(D824), CATALOGO!A:B, 2, FALSE) * C824)*(1-VALUE(SUBSTITUTE(VLOOKUP(TRIM(A824),'RESTAURANTESDESCUENTOS 2026'!A:B,2,FALSE),"%",""))/100)+I824),(VLOOKUP(TRIM(D824), CATALOGO!A:B, 2, FALSE) * C824+I824)),""))</f>
        <v>53000</v>
      </c>
      <c r="K824" s="196"/>
      <c r="L824" s="87"/>
      <c r="M824" s="197" t="s">
        <v>587</v>
      </c>
      <c r="N824" s="168"/>
    </row>
    <row r="825" ht="22.5" hidden="1" customHeight="1">
      <c r="A825" s="137" t="s">
        <v>603</v>
      </c>
      <c r="B825" s="90">
        <v>46060.0</v>
      </c>
      <c r="C825" s="55">
        <v>1.0</v>
      </c>
      <c r="D825" s="97" t="s">
        <v>601</v>
      </c>
      <c r="E825" s="201">
        <v>505.0</v>
      </c>
      <c r="F825" s="202"/>
      <c r="G825" s="194" t="s">
        <v>587</v>
      </c>
      <c r="H825" s="195" t="s">
        <v>603</v>
      </c>
      <c r="I825" s="196"/>
      <c r="J825" s="179">
        <f>IF(A825="RAPPI",(VLOOKUP(TRIM(D825), CATALOGO!F:G, 2, FALSE) * C825)+I825,IFERROR(IF(COUNTIF('RESTAURANTESDESCUENTOS 2026'!A:A,TRIM(A825))&gt;0,((VLOOKUP(TRIM(D825), CATALOGO!A:B, 2, FALSE) * C825)*(1-VALUE(SUBSTITUTE(VLOOKUP(TRIM(A825),'RESTAURANTESDESCUENTOS 2026'!A:B,2,FALSE),"%",""))/100)+I825),(VLOOKUP(TRIM(D825), CATALOGO!A:B, 2, FALSE) * C825+I825)),""))</f>
        <v>53000</v>
      </c>
      <c r="K825" s="196"/>
      <c r="L825" s="87"/>
      <c r="M825" s="197" t="s">
        <v>587</v>
      </c>
      <c r="N825" s="168"/>
    </row>
    <row r="826" ht="22.5" hidden="1" customHeight="1">
      <c r="A826" s="137" t="s">
        <v>603</v>
      </c>
      <c r="B826" s="90">
        <v>46060.0</v>
      </c>
      <c r="C826" s="55">
        <v>1.0</v>
      </c>
      <c r="D826" s="97" t="s">
        <v>640</v>
      </c>
      <c r="E826" s="201">
        <v>505.0</v>
      </c>
      <c r="F826" s="202"/>
      <c r="G826" s="194" t="s">
        <v>587</v>
      </c>
      <c r="H826" s="195" t="s">
        <v>603</v>
      </c>
      <c r="I826" s="196"/>
      <c r="J826" s="179">
        <f>IF(A826="RAPPI",(VLOOKUP(TRIM(D826), CATALOGO!F:G, 2, FALSE) * C826)+I826,IFERROR(IF(COUNTIF('RESTAURANTESDESCUENTOS 2026'!A:A,TRIM(A826))&gt;0,((VLOOKUP(TRIM(D826), CATALOGO!A:B, 2, FALSE) * C826)*(1-VALUE(SUBSTITUTE(VLOOKUP(TRIM(A826),'RESTAURANTESDESCUENTOS 2026'!A:B,2,FALSE),"%",""))/100)+I826),(VLOOKUP(TRIM(D826), CATALOGO!A:B, 2, FALSE) * C826+I826)),""))</f>
        <v>53000</v>
      </c>
      <c r="K826" s="196"/>
      <c r="L826" s="87"/>
      <c r="M826" s="197" t="s">
        <v>587</v>
      </c>
      <c r="N826" s="168"/>
    </row>
    <row r="827" ht="22.5" hidden="1" customHeight="1">
      <c r="A827" s="137" t="s">
        <v>886</v>
      </c>
      <c r="B827" s="90">
        <v>46060.0</v>
      </c>
      <c r="C827" s="55">
        <v>1.0</v>
      </c>
      <c r="D827" s="97" t="s">
        <v>177</v>
      </c>
      <c r="E827" s="201"/>
      <c r="F827" s="202"/>
      <c r="G827" s="194" t="s">
        <v>587</v>
      </c>
      <c r="H827" s="195" t="s">
        <v>588</v>
      </c>
      <c r="I827" s="196">
        <v>13000.0</v>
      </c>
      <c r="J827" s="179">
        <f>IF(A827="RAPPI",(VLOOKUP(TRIM(D827), CATALOGO!F:G, 2, FALSE) * C827)+I827,IFERROR(IF(COUNTIF('RESTAURANTESDESCUENTOS 2026'!A:A,TRIM(A827))&gt;0,((VLOOKUP(TRIM(D827), CATALOGO!A:B, 2, FALSE) * C827)*(1-VALUE(SUBSTITUTE(VLOOKUP(TRIM(A827),'RESTAURANTESDESCUENTOS 2026'!A:B,2,FALSE),"%",""))/100)+I827),(VLOOKUP(TRIM(D827), CATALOGO!A:B, 2, FALSE) * C827+I827)),""))</f>
        <v>128000</v>
      </c>
      <c r="K827" s="196">
        <v>13000.0</v>
      </c>
      <c r="L827" s="87"/>
      <c r="M827" s="197" t="s">
        <v>587</v>
      </c>
      <c r="N827" s="168"/>
    </row>
    <row r="828" ht="22.5" hidden="1" customHeight="1">
      <c r="A828" s="137" t="s">
        <v>605</v>
      </c>
      <c r="B828" s="90">
        <v>46060.0</v>
      </c>
      <c r="C828" s="55">
        <v>1.0</v>
      </c>
      <c r="D828" s="97" t="s">
        <v>176</v>
      </c>
      <c r="E828" s="201" t="s">
        <v>607</v>
      </c>
      <c r="F828" s="202"/>
      <c r="G828" s="194" t="s">
        <v>35</v>
      </c>
      <c r="H828" s="198"/>
      <c r="I828" s="196"/>
      <c r="J828" s="179">
        <f>IF(A828="RAPPI",(VLOOKUP(TRIM(D828), CATALOGO!F:G, 2, FALSE) * C828)+I828,IFERROR(IF(COUNTIF('RESTAURANTESDESCUENTOS 2026'!A:A,TRIM(A828))&gt;0,((VLOOKUP(TRIM(D828), CATALOGO!A:B, 2, FALSE) * C828)*(1-VALUE(SUBSTITUTE(VLOOKUP(TRIM(A828),'RESTAURANTESDESCUENTOS 2026'!A:B,2,FALSE),"%",""))/100)+I828),(VLOOKUP(TRIM(D828), CATALOGO!A:B, 2, FALSE) * C828+I828)),""))</f>
        <v>50000</v>
      </c>
      <c r="K828" s="196"/>
      <c r="L828" s="87"/>
      <c r="M828" s="197" t="s">
        <v>587</v>
      </c>
      <c r="N828" s="168"/>
    </row>
    <row r="829" ht="22.5" hidden="1" customHeight="1">
      <c r="A829" s="137" t="s">
        <v>603</v>
      </c>
      <c r="B829" s="90">
        <v>46060.0</v>
      </c>
      <c r="C829" s="55">
        <v>1.0</v>
      </c>
      <c r="D829" s="97" t="s">
        <v>186</v>
      </c>
      <c r="E829" s="201">
        <v>3820.0</v>
      </c>
      <c r="F829" s="202"/>
      <c r="G829" s="194" t="s">
        <v>587</v>
      </c>
      <c r="H829" s="195" t="s">
        <v>603</v>
      </c>
      <c r="I829" s="196"/>
      <c r="J829" s="179">
        <f>IF(A829="RAPPI",(VLOOKUP(TRIM(D829), CATALOGO!F:G, 2, FALSE) * C829)+I829,IFERROR(IF(COUNTIF('RESTAURANTESDESCUENTOS 2026'!A:A,TRIM(A829))&gt;0,((VLOOKUP(TRIM(D829), CATALOGO!A:B, 2, FALSE) * C829)*(1-VALUE(SUBSTITUTE(VLOOKUP(TRIM(A829),'RESTAURANTESDESCUENTOS 2026'!A:B,2,FALSE),"%",""))/100)+I829),(VLOOKUP(TRIM(D829), CATALOGO!A:B, 2, FALSE) * C829+I829)),""))</f>
        <v>55000</v>
      </c>
      <c r="K829" s="196"/>
      <c r="L829" s="87"/>
      <c r="M829" s="197" t="s">
        <v>587</v>
      </c>
      <c r="N829" s="168"/>
    </row>
    <row r="830" ht="22.5" hidden="1" customHeight="1">
      <c r="A830" s="137" t="s">
        <v>605</v>
      </c>
      <c r="B830" s="90">
        <v>46060.0</v>
      </c>
      <c r="C830" s="70">
        <v>1.0</v>
      </c>
      <c r="D830" s="97" t="s">
        <v>604</v>
      </c>
      <c r="E830" s="201" t="s">
        <v>606</v>
      </c>
      <c r="F830" s="202"/>
      <c r="G830" s="194" t="s">
        <v>35</v>
      </c>
      <c r="H830" s="198"/>
      <c r="I830" s="196"/>
      <c r="J830" s="179">
        <f>IF(A830="RAPPI",(VLOOKUP(TRIM(D830), CATALOGO!F:G, 2, FALSE) * C830)+I830,IFERROR(IF(COUNTIF('RESTAURANTESDESCUENTOS 2026'!A:A,TRIM(A830))&gt;0,((VLOOKUP(TRIM(D830), CATALOGO!A:B, 2, FALSE) * C830)*(1-VALUE(SUBSTITUTE(VLOOKUP(TRIM(A830),'RESTAURANTESDESCUENTOS 2026'!A:B,2,FALSE),"%",""))/100)+I830),(VLOOKUP(TRIM(D830), CATALOGO!A:B, 2, FALSE) * C830+I830)),""))</f>
        <v>22000</v>
      </c>
      <c r="K830" s="196"/>
      <c r="L830" s="87"/>
      <c r="M830" s="197" t="s">
        <v>587</v>
      </c>
      <c r="N830" s="168"/>
    </row>
    <row r="831" ht="22.5" hidden="1" customHeight="1">
      <c r="A831" s="137" t="s">
        <v>603</v>
      </c>
      <c r="B831" s="90">
        <v>46060.0</v>
      </c>
      <c r="C831" s="55">
        <v>1.0</v>
      </c>
      <c r="D831" s="97" t="s">
        <v>653</v>
      </c>
      <c r="E831" s="201">
        <v>962.0</v>
      </c>
      <c r="F831" s="202"/>
      <c r="G831" s="194" t="s">
        <v>587</v>
      </c>
      <c r="H831" s="195" t="s">
        <v>603</v>
      </c>
      <c r="I831" s="196"/>
      <c r="J831" s="179">
        <f>IF(A831="RAPPI",(VLOOKUP(TRIM(D831), CATALOGO!F:G, 2, FALSE) * C831)+I831,IFERROR(IF(COUNTIF('RESTAURANTESDESCUENTOS 2026'!A:A,TRIM(A831))&gt;0,((VLOOKUP(TRIM(D831), CATALOGO!A:B, 2, FALSE) * C831)*(1-VALUE(SUBSTITUTE(VLOOKUP(TRIM(A831),'RESTAURANTESDESCUENTOS 2026'!A:B,2,FALSE),"%",""))/100)+I831),(VLOOKUP(TRIM(D831), CATALOGO!A:B, 2, FALSE) * C831+I831)),""))</f>
        <v>123000</v>
      </c>
      <c r="K831" s="196"/>
      <c r="L831" s="87"/>
      <c r="M831" s="197" t="s">
        <v>587</v>
      </c>
      <c r="N831" s="168"/>
    </row>
    <row r="832" ht="22.5" hidden="1" customHeight="1">
      <c r="A832" s="137" t="s">
        <v>623</v>
      </c>
      <c r="B832" s="90">
        <v>46062.0</v>
      </c>
      <c r="C832" s="55">
        <v>1.0</v>
      </c>
      <c r="D832" s="97" t="s">
        <v>189</v>
      </c>
      <c r="E832" s="201"/>
      <c r="F832" s="202"/>
      <c r="G832" s="194" t="s">
        <v>587</v>
      </c>
      <c r="H832" s="195" t="s">
        <v>753</v>
      </c>
      <c r="I832" s="196">
        <v>10000.0</v>
      </c>
      <c r="J832" s="179">
        <f>IF(A832="RAPPI",(VLOOKUP(TRIM(D832), CATALOGO!F:G, 2, FALSE) * C832)+I832,IFERROR(IF(COUNTIF('RESTAURANTESDESCUENTOS 2026'!A:A,TRIM(A832))&gt;0,((VLOOKUP(TRIM(D832), CATALOGO!A:B, 2, FALSE) * C832)*(1-VALUE(SUBSTITUTE(VLOOKUP(TRIM(A832),'RESTAURANTESDESCUENTOS 2026'!A:B,2,FALSE),"%",""))/100)+I832),(VLOOKUP(TRIM(D832), CATALOGO!A:B, 2, FALSE) * C832+I832)),""))</f>
        <v>155000</v>
      </c>
      <c r="K832" s="196">
        <v>10000.0</v>
      </c>
      <c r="L832" s="87"/>
      <c r="M832" s="197" t="s">
        <v>587</v>
      </c>
      <c r="N832" s="168"/>
    </row>
    <row r="833" ht="22.5" hidden="1" customHeight="1">
      <c r="A833" s="137" t="s">
        <v>887</v>
      </c>
      <c r="B833" s="90">
        <v>46062.0</v>
      </c>
      <c r="C833" s="55">
        <v>1.0</v>
      </c>
      <c r="D833" s="97" t="s">
        <v>203</v>
      </c>
      <c r="E833" s="201"/>
      <c r="F833" s="202"/>
      <c r="G833" s="194" t="s">
        <v>587</v>
      </c>
      <c r="H833" s="195" t="s">
        <v>588</v>
      </c>
      <c r="I833" s="196">
        <v>0.0</v>
      </c>
      <c r="J833" s="179">
        <f>IF(A833="RAPPI",(VLOOKUP(TRIM(D833), CATALOGO!F:G, 2, FALSE) * C833)+I833,IFERROR(IF(COUNTIF('RESTAURANTESDESCUENTOS 2026'!A:A,TRIM(A833))&gt;0,((VLOOKUP(TRIM(D833), CATALOGO!A:B, 2, FALSE) * C833)*(1-VALUE(SUBSTITUTE(VLOOKUP(TRIM(A833),'RESTAURANTESDESCUENTOS 2026'!A:B,2,FALSE),"%",""))/100)+I833),(VLOOKUP(TRIM(D833), CATALOGO!A:B, 2, FALSE) * C833+I833)),""))</f>
        <v>154000</v>
      </c>
      <c r="K833" s="196">
        <v>0.0</v>
      </c>
      <c r="L833" s="87" t="s">
        <v>587</v>
      </c>
      <c r="M833" s="197" t="s">
        <v>587</v>
      </c>
      <c r="N833" s="168"/>
    </row>
    <row r="834" ht="22.5" hidden="1" customHeight="1">
      <c r="A834" s="137" t="s">
        <v>887</v>
      </c>
      <c r="B834" s="90">
        <v>46062.0</v>
      </c>
      <c r="C834" s="55">
        <v>1.0</v>
      </c>
      <c r="D834" s="97" t="s">
        <v>888</v>
      </c>
      <c r="E834" s="201"/>
      <c r="F834" s="202"/>
      <c r="G834" s="194" t="s">
        <v>587</v>
      </c>
      <c r="H834" s="195" t="s">
        <v>588</v>
      </c>
      <c r="I834" s="196">
        <v>0.0</v>
      </c>
      <c r="J834" s="199">
        <v>164000.0</v>
      </c>
      <c r="K834" s="196">
        <v>0.0</v>
      </c>
      <c r="L834" s="87" t="s">
        <v>587</v>
      </c>
      <c r="M834" s="197" t="s">
        <v>587</v>
      </c>
      <c r="N834" s="168"/>
    </row>
    <row r="835" ht="22.5" hidden="1" customHeight="1">
      <c r="A835" s="137" t="s">
        <v>46</v>
      </c>
      <c r="B835" s="90">
        <v>46062.0</v>
      </c>
      <c r="C835" s="55">
        <v>1.0</v>
      </c>
      <c r="D835" s="97" t="s">
        <v>177</v>
      </c>
      <c r="E835" s="201" t="s">
        <v>610</v>
      </c>
      <c r="F835" s="202"/>
      <c r="G835" s="194" t="s">
        <v>587</v>
      </c>
      <c r="H835" s="195" t="s">
        <v>632</v>
      </c>
      <c r="I835" s="196">
        <v>0.0</v>
      </c>
      <c r="J835" s="179">
        <f>IF(A835="RAPPI",(VLOOKUP(TRIM(D835), CATALOGO!F:G, 2, FALSE) * C835)+I835,IFERROR(IF(COUNTIF('RESTAURANTESDESCUENTOS 2026'!A:A,TRIM(A835))&gt;0,((VLOOKUP(TRIM(D835), CATALOGO!A:B, 2, FALSE) * C835)*(1-VALUE(SUBSTITUTE(VLOOKUP(TRIM(A835),'RESTAURANTESDESCUENTOS 2026'!A:B,2,FALSE),"%",""))/100)+I835),(VLOOKUP(TRIM(D835), CATALOGO!A:B, 2, FALSE) * C835+I835)),""))</f>
        <v>86250</v>
      </c>
      <c r="K835" s="196">
        <v>0.0</v>
      </c>
      <c r="L835" s="87" t="s">
        <v>587</v>
      </c>
      <c r="M835" s="197" t="s">
        <v>587</v>
      </c>
      <c r="N835" s="168"/>
    </row>
    <row r="836" ht="22.5" hidden="1" customHeight="1">
      <c r="A836" s="230" t="s">
        <v>798</v>
      </c>
      <c r="B836" s="90">
        <v>46062.0</v>
      </c>
      <c r="C836" s="55">
        <v>2.0</v>
      </c>
      <c r="D836" s="97" t="s">
        <v>178</v>
      </c>
      <c r="E836" s="201" t="s">
        <v>610</v>
      </c>
      <c r="F836" s="202"/>
      <c r="G836" s="194" t="s">
        <v>587</v>
      </c>
      <c r="H836" s="195" t="s">
        <v>588</v>
      </c>
      <c r="I836" s="196">
        <v>25000.0</v>
      </c>
      <c r="J836" s="179">
        <f>IF(A836="RAPPI",(VLOOKUP(TRIM(D836), CATALOGO!F:G, 2, FALSE) * C836)+I836,IFERROR(IF(COUNTIF('RESTAURANTESDESCUENTOS 2026'!A:A,TRIM(A836))&gt;0,((VLOOKUP(TRIM(D836), CATALOGO!A:B, 2, FALSE) * C836)*(1-VALUE(SUBSTITUTE(VLOOKUP(TRIM(A836),'RESTAURANTESDESCUENTOS 2026'!A:B,2,FALSE),"%",""))/100)+I836),(VLOOKUP(TRIM(D836), CATALOGO!A:B, 2, FALSE) * C836+I836)),""))</f>
        <v>325000</v>
      </c>
      <c r="K836" s="196">
        <v>50000.0</v>
      </c>
      <c r="L836" s="87" t="s">
        <v>587</v>
      </c>
      <c r="M836" s="197" t="s">
        <v>587</v>
      </c>
      <c r="N836" s="168"/>
    </row>
    <row r="837" ht="22.5" hidden="1" customHeight="1">
      <c r="A837" s="137" t="s">
        <v>889</v>
      </c>
      <c r="B837" s="90">
        <v>46062.0</v>
      </c>
      <c r="C837" s="55">
        <v>3.0</v>
      </c>
      <c r="D837" s="97" t="s">
        <v>178</v>
      </c>
      <c r="E837" s="201" t="s">
        <v>610</v>
      </c>
      <c r="F837" s="202"/>
      <c r="G837" s="194" t="s">
        <v>587</v>
      </c>
      <c r="H837" s="195" t="s">
        <v>632</v>
      </c>
      <c r="I837" s="196">
        <v>5000.0</v>
      </c>
      <c r="J837" s="179">
        <f>IF(A837="RAPPI",(VLOOKUP(TRIM(D837), CATALOGO!F:G, 2, FALSE) * C837)+I837,IFERROR(IF(COUNTIF('RESTAURANTESDESCUENTOS 2026'!A:A,TRIM(A837))&gt;0,((VLOOKUP(TRIM(D837), CATALOGO!A:B, 2, FALSE) * C837)*(1-VALUE(SUBSTITUTE(VLOOKUP(TRIM(A837),'RESTAURANTESDESCUENTOS 2026'!A:B,2,FALSE),"%",""))/100)+I837),(VLOOKUP(TRIM(D837), CATALOGO!A:B, 2, FALSE) * C837+I837)),""))</f>
        <v>455000</v>
      </c>
      <c r="K837" s="196">
        <v>10000.0</v>
      </c>
      <c r="L837" s="87" t="s">
        <v>587</v>
      </c>
      <c r="M837" s="197" t="s">
        <v>587</v>
      </c>
      <c r="N837" s="168"/>
    </row>
    <row r="838" ht="22.5" hidden="1" customHeight="1">
      <c r="A838" s="137" t="s">
        <v>40</v>
      </c>
      <c r="B838" s="90">
        <v>46062.0</v>
      </c>
      <c r="C838" s="55">
        <v>1.0</v>
      </c>
      <c r="D838" s="97" t="s">
        <v>177</v>
      </c>
      <c r="E838" s="201" t="s">
        <v>610</v>
      </c>
      <c r="F838" s="202"/>
      <c r="G838" s="194" t="s">
        <v>587</v>
      </c>
      <c r="H838" s="195" t="s">
        <v>632</v>
      </c>
      <c r="I838" s="196">
        <v>0.0</v>
      </c>
      <c r="J838" s="179">
        <f>IF(A838="RAPPI",(VLOOKUP(TRIM(D838), CATALOGO!F:G, 2, FALSE) * C838)+I838,IFERROR(IF(COUNTIF('RESTAURANTESDESCUENTOS 2026'!A:A,TRIM(A838))&gt;0,((VLOOKUP(TRIM(D838), CATALOGO!A:B, 2, FALSE) * C838)*(1-VALUE(SUBSTITUTE(VLOOKUP(TRIM(A838),'RESTAURANTESDESCUENTOS 2026'!A:B,2,FALSE),"%",""))/100)+I838),(VLOOKUP(TRIM(D838), CATALOGO!A:B, 2, FALSE) * C838+I838)),""))</f>
        <v>86250</v>
      </c>
      <c r="K838" s="196">
        <v>10000.0</v>
      </c>
      <c r="L838" s="87" t="s">
        <v>587</v>
      </c>
      <c r="M838" s="197" t="s">
        <v>587</v>
      </c>
      <c r="N838" s="168"/>
    </row>
    <row r="839" ht="22.5" hidden="1" customHeight="1">
      <c r="A839" s="137" t="s">
        <v>890</v>
      </c>
      <c r="B839" s="90">
        <v>46062.0</v>
      </c>
      <c r="C839" s="55">
        <v>1.0</v>
      </c>
      <c r="D839" s="97" t="s">
        <v>178</v>
      </c>
      <c r="E839" s="201" t="s">
        <v>645</v>
      </c>
      <c r="F839" s="202"/>
      <c r="G839" s="194" t="s">
        <v>587</v>
      </c>
      <c r="H839" s="195" t="s">
        <v>588</v>
      </c>
      <c r="I839" s="196">
        <v>12000.0</v>
      </c>
      <c r="J839" s="179">
        <f>IF(A839="RAPPI",(VLOOKUP(TRIM(D839), CATALOGO!F:G, 2, FALSE) * C839)+I839,IFERROR(IF(COUNTIF('RESTAURANTESDESCUENTOS 2026'!A:A,TRIM(A839))&gt;0,((VLOOKUP(TRIM(D839), CATALOGO!A:B, 2, FALSE) * C839)*(1-VALUE(SUBSTITUTE(VLOOKUP(TRIM(A839),'RESTAURANTESDESCUENTOS 2026'!A:B,2,FALSE),"%",""))/100)+I839),(VLOOKUP(TRIM(D839), CATALOGO!A:B, 2, FALSE) * C839+I839)),""))</f>
        <v>162000</v>
      </c>
      <c r="K839" s="196">
        <v>12000.0</v>
      </c>
      <c r="L839" s="87"/>
      <c r="M839" s="197" t="s">
        <v>587</v>
      </c>
      <c r="N839" s="168"/>
    </row>
    <row r="840" ht="22.5" hidden="1" customHeight="1">
      <c r="A840" s="137" t="s">
        <v>891</v>
      </c>
      <c r="B840" s="90">
        <v>46062.0</v>
      </c>
      <c r="C840" s="55">
        <v>1.0</v>
      </c>
      <c r="D840" s="97" t="s">
        <v>187</v>
      </c>
      <c r="E840" s="201"/>
      <c r="F840" s="202"/>
      <c r="G840" s="194" t="s">
        <v>587</v>
      </c>
      <c r="H840" s="195" t="s">
        <v>753</v>
      </c>
      <c r="I840" s="196">
        <v>14000.0</v>
      </c>
      <c r="J840" s="179">
        <f>IF(A840="RAPPI",(VLOOKUP(TRIM(D840), CATALOGO!F:G, 2, FALSE) * C840)+I840,IFERROR(IF(COUNTIF('RESTAURANTESDESCUENTOS 2026'!A:A,TRIM(A840))&gt;0,((VLOOKUP(TRIM(D840), CATALOGO!A:B, 2, FALSE) * C840)*(1-VALUE(SUBSTITUTE(VLOOKUP(TRIM(A840),'RESTAURANTESDESCUENTOS 2026'!A:B,2,FALSE),"%",""))/100)+I840),(VLOOKUP(TRIM(D840), CATALOGO!A:B, 2, FALSE) * C840+I840)),""))</f>
        <v>69000</v>
      </c>
      <c r="K840" s="196">
        <v>14000.0</v>
      </c>
      <c r="L840" s="87"/>
      <c r="M840" s="197" t="s">
        <v>587</v>
      </c>
      <c r="N840" s="168"/>
    </row>
    <row r="841" ht="22.5" hidden="1" customHeight="1">
      <c r="A841" s="137" t="s">
        <v>891</v>
      </c>
      <c r="B841" s="90">
        <v>46062.0</v>
      </c>
      <c r="C841" s="55">
        <v>1.0</v>
      </c>
      <c r="D841" s="97" t="s">
        <v>176</v>
      </c>
      <c r="E841" s="201"/>
      <c r="F841" s="202"/>
      <c r="G841" s="194" t="s">
        <v>587</v>
      </c>
      <c r="H841" s="195" t="s">
        <v>753</v>
      </c>
      <c r="I841" s="196">
        <v>0.0</v>
      </c>
      <c r="J841" s="179">
        <f>IF(A841="RAPPI",(VLOOKUP(TRIM(D841), CATALOGO!F:G, 2, FALSE) * C841)+I841,IFERROR(IF(COUNTIF('RESTAURANTESDESCUENTOS 2026'!A:A,TRIM(A841))&gt;0,((VLOOKUP(TRIM(D841), CATALOGO!A:B, 2, FALSE) * C841)*(1-VALUE(SUBSTITUTE(VLOOKUP(TRIM(A841),'RESTAURANTESDESCUENTOS 2026'!A:B,2,FALSE),"%",""))/100)+I841),(VLOOKUP(TRIM(D841), CATALOGO!A:B, 2, FALSE) * C841+I841)),""))</f>
        <v>50000</v>
      </c>
      <c r="K841" s="196">
        <v>0.0</v>
      </c>
      <c r="L841" s="87"/>
      <c r="M841" s="197" t="s">
        <v>587</v>
      </c>
      <c r="N841" s="168"/>
    </row>
    <row r="842" ht="22.5" hidden="1" customHeight="1">
      <c r="A842" s="137" t="s">
        <v>892</v>
      </c>
      <c r="B842" s="90">
        <v>46062.0</v>
      </c>
      <c r="C842" s="55">
        <v>1.0</v>
      </c>
      <c r="D842" s="97" t="s">
        <v>640</v>
      </c>
      <c r="E842" s="201"/>
      <c r="F842" s="202"/>
      <c r="G842" s="194" t="s">
        <v>587</v>
      </c>
      <c r="H842" s="195" t="s">
        <v>753</v>
      </c>
      <c r="I842" s="196">
        <v>14000.0</v>
      </c>
      <c r="J842" s="179">
        <f>IF(A842="RAPPI",(VLOOKUP(TRIM(D842), CATALOGO!F:G, 2, FALSE) * C842)+I842,IFERROR(IF(COUNTIF('RESTAURANTESDESCUENTOS 2026'!A:A,TRIM(A842))&gt;0,((VLOOKUP(TRIM(D842), CATALOGO!A:B, 2, FALSE) * C842)*(1-VALUE(SUBSTITUTE(VLOOKUP(TRIM(A842),'RESTAURANTESDESCUENTOS 2026'!A:B,2,FALSE),"%",""))/100)+I842),(VLOOKUP(TRIM(D842), CATALOGO!A:B, 2, FALSE) * C842+I842)),""))</f>
        <v>67000</v>
      </c>
      <c r="K842" s="196">
        <v>14000.0</v>
      </c>
      <c r="L842" s="87"/>
      <c r="M842" s="197" t="s">
        <v>587</v>
      </c>
      <c r="N842" s="168"/>
    </row>
    <row r="843" ht="22.5" hidden="1" customHeight="1">
      <c r="A843" s="137" t="s">
        <v>892</v>
      </c>
      <c r="B843" s="90">
        <v>46062.0</v>
      </c>
      <c r="C843" s="55">
        <v>1.0</v>
      </c>
      <c r="D843" s="97" t="s">
        <v>176</v>
      </c>
      <c r="E843" s="201"/>
      <c r="F843" s="202"/>
      <c r="G843" s="194" t="s">
        <v>587</v>
      </c>
      <c r="H843" s="195" t="s">
        <v>753</v>
      </c>
      <c r="I843" s="196">
        <v>0.0</v>
      </c>
      <c r="J843" s="179">
        <f>IF(A843="RAPPI",(VLOOKUP(TRIM(D843), CATALOGO!F:G, 2, FALSE) * C843)+I843,IFERROR(IF(COUNTIF('RESTAURANTESDESCUENTOS 2026'!A:A,TRIM(A843))&gt;0,((VLOOKUP(TRIM(D843), CATALOGO!A:B, 2, FALSE) * C843)*(1-VALUE(SUBSTITUTE(VLOOKUP(TRIM(A843),'RESTAURANTESDESCUENTOS 2026'!A:B,2,FALSE),"%",""))/100)+I843),(VLOOKUP(TRIM(D843), CATALOGO!A:B, 2, FALSE) * C843+I843)),""))</f>
        <v>50000</v>
      </c>
      <c r="K843" s="196">
        <v>0.0</v>
      </c>
      <c r="L843" s="87"/>
      <c r="M843" s="197" t="s">
        <v>587</v>
      </c>
      <c r="N843" s="168"/>
    </row>
    <row r="844" ht="22.5" hidden="1" customHeight="1">
      <c r="A844" s="137" t="s">
        <v>25</v>
      </c>
      <c r="B844" s="90">
        <v>46062.0</v>
      </c>
      <c r="C844" s="55">
        <v>1.0</v>
      </c>
      <c r="D844" s="97" t="s">
        <v>178</v>
      </c>
      <c r="E844" s="201" t="s">
        <v>552</v>
      </c>
      <c r="F844" s="202"/>
      <c r="G844" s="194" t="s">
        <v>587</v>
      </c>
      <c r="H844" s="195" t="s">
        <v>588</v>
      </c>
      <c r="I844" s="196">
        <v>0.0</v>
      </c>
      <c r="J844" s="179">
        <f>IF(A844="RAPPI",(VLOOKUP(TRIM(D844), CATALOGO!F:G, 2, FALSE) * C844)+I844,IFERROR(IF(COUNTIF('RESTAURANTESDESCUENTOS 2026'!A:A,TRIM(A844))&gt;0,((VLOOKUP(TRIM(D844), CATALOGO!A:B, 2, FALSE) * C844)*(1-VALUE(SUBSTITUTE(VLOOKUP(TRIM(A844),'RESTAURANTESDESCUENTOS 2026'!A:B,2,FALSE),"%",""))/100)+I844),(VLOOKUP(TRIM(D844), CATALOGO!A:B, 2, FALSE) * C844+I844)),""))</f>
        <v>112500</v>
      </c>
      <c r="K844" s="196">
        <v>0.0</v>
      </c>
      <c r="L844" s="87" t="s">
        <v>587</v>
      </c>
      <c r="M844" s="197" t="s">
        <v>587</v>
      </c>
      <c r="N844" s="168"/>
    </row>
    <row r="845" ht="22.5" hidden="1" customHeight="1">
      <c r="A845" s="137" t="s">
        <v>597</v>
      </c>
      <c r="B845" s="90">
        <v>46062.0</v>
      </c>
      <c r="C845" s="55">
        <v>6.0</v>
      </c>
      <c r="D845" s="97" t="s">
        <v>176</v>
      </c>
      <c r="E845" s="201"/>
      <c r="F845" s="202"/>
      <c r="G845" s="194" t="s">
        <v>587</v>
      </c>
      <c r="H845" s="195" t="s">
        <v>588</v>
      </c>
      <c r="I845" s="196">
        <v>0.0</v>
      </c>
      <c r="J845" s="199">
        <v>0.0</v>
      </c>
      <c r="K845" s="196">
        <v>170000.0</v>
      </c>
      <c r="L845" s="87"/>
      <c r="M845" s="197" t="s">
        <v>587</v>
      </c>
      <c r="N845" s="168"/>
    </row>
    <row r="846" ht="22.5" hidden="1" customHeight="1">
      <c r="A846" s="137" t="s">
        <v>597</v>
      </c>
      <c r="B846" s="90">
        <v>46062.0</v>
      </c>
      <c r="C846" s="55">
        <v>9.0</v>
      </c>
      <c r="D846" s="97" t="s">
        <v>178</v>
      </c>
      <c r="E846" s="201" t="s">
        <v>552</v>
      </c>
      <c r="F846" s="202"/>
      <c r="G846" s="194" t="s">
        <v>587</v>
      </c>
      <c r="H846" s="195" t="s">
        <v>588</v>
      </c>
      <c r="I846" s="196">
        <v>0.0</v>
      </c>
      <c r="J846" s="199">
        <v>0.0</v>
      </c>
      <c r="K846" s="196">
        <v>0.0</v>
      </c>
      <c r="L846" s="87"/>
      <c r="M846" s="197" t="s">
        <v>587</v>
      </c>
      <c r="N846" s="168"/>
    </row>
    <row r="847" ht="22.5" hidden="1" customHeight="1">
      <c r="A847" s="137" t="s">
        <v>605</v>
      </c>
      <c r="B847" s="90">
        <v>46062.0</v>
      </c>
      <c r="C847" s="70">
        <v>1.0</v>
      </c>
      <c r="D847" s="97" t="s">
        <v>174</v>
      </c>
      <c r="E847" s="201" t="s">
        <v>607</v>
      </c>
      <c r="F847" s="202"/>
      <c r="G847" s="194" t="s">
        <v>35</v>
      </c>
      <c r="H847" s="198"/>
      <c r="I847" s="196"/>
      <c r="J847" s="179">
        <f>IF(A847="RAPPI",(VLOOKUP(TRIM(D847), CATALOGO!F:G, 2, FALSE) * C847)+I847,IFERROR(IF(COUNTIF('RESTAURANTESDESCUENTOS 2026'!A:A,TRIM(A847))&gt;0,((VLOOKUP(TRIM(D847), CATALOGO!A:B, 2, FALSE) * C847)*(1-VALUE(SUBSTITUTE(VLOOKUP(TRIM(A847),'RESTAURANTESDESCUENTOS 2026'!A:B,2,FALSE),"%",""))/100)+I847),(VLOOKUP(TRIM(D847), CATALOGO!A:B, 2, FALSE) * C847+I847)),""))</f>
        <v>18000</v>
      </c>
      <c r="K847" s="196"/>
      <c r="L847" s="87"/>
      <c r="M847" s="197" t="s">
        <v>587</v>
      </c>
      <c r="N847" s="168"/>
    </row>
    <row r="848" ht="22.5" hidden="1" customHeight="1">
      <c r="A848" s="137" t="s">
        <v>605</v>
      </c>
      <c r="B848" s="90">
        <v>46062.0</v>
      </c>
      <c r="C848" s="70">
        <v>2.0</v>
      </c>
      <c r="D848" s="97" t="s">
        <v>174</v>
      </c>
      <c r="E848" s="201" t="s">
        <v>606</v>
      </c>
      <c r="F848" s="202"/>
      <c r="G848" s="194" t="s">
        <v>35</v>
      </c>
      <c r="H848" s="198"/>
      <c r="I848" s="196"/>
      <c r="J848" s="179">
        <f>IF(A848="RAPPI",(VLOOKUP(TRIM(D848), CATALOGO!F:G, 2, FALSE) * C848)+I848,IFERROR(IF(COUNTIF('RESTAURANTESDESCUENTOS 2026'!A:A,TRIM(A848))&gt;0,((VLOOKUP(TRIM(D848), CATALOGO!A:B, 2, FALSE) * C848)*(1-VALUE(SUBSTITUTE(VLOOKUP(TRIM(A848),'RESTAURANTESDESCUENTOS 2026'!A:B,2,FALSE),"%",""))/100)+I848),(VLOOKUP(TRIM(D848), CATALOGO!A:B, 2, FALSE) * C848+I848)),""))</f>
        <v>36000</v>
      </c>
      <c r="K848" s="196"/>
      <c r="L848" s="87"/>
      <c r="M848" s="197" t="s">
        <v>587</v>
      </c>
      <c r="N848" s="168"/>
    </row>
    <row r="849" ht="22.5" hidden="1" customHeight="1">
      <c r="A849" s="137" t="s">
        <v>605</v>
      </c>
      <c r="B849" s="90">
        <v>46062.0</v>
      </c>
      <c r="C849" s="70">
        <v>1.0</v>
      </c>
      <c r="D849" s="97" t="s">
        <v>174</v>
      </c>
      <c r="E849" s="201" t="s">
        <v>606</v>
      </c>
      <c r="F849" s="202"/>
      <c r="G849" s="194" t="s">
        <v>35</v>
      </c>
      <c r="H849" s="198"/>
      <c r="I849" s="196"/>
      <c r="J849" s="179">
        <f>IF(A849="RAPPI",(VLOOKUP(TRIM(D849), CATALOGO!F:G, 2, FALSE) * C849)+I849,IFERROR(IF(COUNTIF('RESTAURANTESDESCUENTOS 2026'!A:A,TRIM(A849))&gt;0,((VLOOKUP(TRIM(D849), CATALOGO!A:B, 2, FALSE) * C849)*(1-VALUE(SUBSTITUTE(VLOOKUP(TRIM(A849),'RESTAURANTESDESCUENTOS 2026'!A:B,2,FALSE),"%",""))/100)+I849),(VLOOKUP(TRIM(D849), CATALOGO!A:B, 2, FALSE) * C849+I849)),""))</f>
        <v>18000</v>
      </c>
      <c r="K849" s="196"/>
      <c r="L849" s="87"/>
      <c r="M849" s="197" t="s">
        <v>587</v>
      </c>
      <c r="N849" s="168"/>
    </row>
    <row r="850" ht="22.5" hidden="1" customHeight="1">
      <c r="A850" s="137" t="s">
        <v>603</v>
      </c>
      <c r="B850" s="90">
        <v>46062.0</v>
      </c>
      <c r="C850" s="55">
        <v>1.0</v>
      </c>
      <c r="D850" s="97" t="s">
        <v>176</v>
      </c>
      <c r="E850" s="201">
        <v>1418.0</v>
      </c>
      <c r="F850" s="202"/>
      <c r="G850" s="194" t="s">
        <v>587</v>
      </c>
      <c r="H850" s="195" t="s">
        <v>603</v>
      </c>
      <c r="I850" s="196"/>
      <c r="J850" s="179">
        <f>IF(A850="RAPPI",(VLOOKUP(TRIM(D850), CATALOGO!F:G, 2, FALSE) * C850)+I850,IFERROR(IF(COUNTIF('RESTAURANTESDESCUENTOS 2026'!A:A,TRIM(A850))&gt;0,((VLOOKUP(TRIM(D850), CATALOGO!A:B, 2, FALSE) * C850)*(1-VALUE(SUBSTITUTE(VLOOKUP(TRIM(A850),'RESTAURANTESDESCUENTOS 2026'!A:B,2,FALSE),"%",""))/100)+I850),(VLOOKUP(TRIM(D850), CATALOGO!A:B, 2, FALSE) * C850+I850)),""))</f>
        <v>50000</v>
      </c>
      <c r="K850" s="196"/>
      <c r="L850" s="87"/>
      <c r="M850" s="197" t="s">
        <v>587</v>
      </c>
      <c r="N850" s="168"/>
    </row>
    <row r="851" ht="22.5" hidden="1" customHeight="1">
      <c r="A851" s="137" t="s">
        <v>33</v>
      </c>
      <c r="B851" s="90">
        <v>46062.0</v>
      </c>
      <c r="C851" s="55">
        <v>1.0</v>
      </c>
      <c r="D851" s="97" t="s">
        <v>177</v>
      </c>
      <c r="E851" s="201" t="s">
        <v>610</v>
      </c>
      <c r="F851" s="202"/>
      <c r="G851" s="194" t="s">
        <v>587</v>
      </c>
      <c r="H851" s="195" t="s">
        <v>632</v>
      </c>
      <c r="I851" s="196">
        <v>0.0</v>
      </c>
      <c r="J851" s="179">
        <f>IF(A851="RAPPI",(VLOOKUP(TRIM(D851), CATALOGO!F:G, 2, FALSE) * C851)+I851,IFERROR(IF(COUNTIF('RESTAURANTESDESCUENTOS 2026'!A:A,TRIM(A851))&gt;0,((VLOOKUP(TRIM(D851), CATALOGO!A:B, 2, FALSE) * C851)*(1-VALUE(SUBSTITUTE(VLOOKUP(TRIM(A851),'RESTAURANTESDESCUENTOS 2026'!A:B,2,FALSE),"%",""))/100)+I851),(VLOOKUP(TRIM(D851), CATALOGO!A:B, 2, FALSE) * C851+I851)),""))</f>
        <v>86250</v>
      </c>
      <c r="K851" s="196">
        <v>18000.0</v>
      </c>
      <c r="L851" s="87" t="s">
        <v>587</v>
      </c>
      <c r="M851" s="197" t="s">
        <v>587</v>
      </c>
      <c r="N851" s="168"/>
    </row>
    <row r="852" ht="22.5" hidden="1" customHeight="1">
      <c r="A852" s="137" t="s">
        <v>603</v>
      </c>
      <c r="B852" s="90">
        <v>46062.0</v>
      </c>
      <c r="C852" s="55">
        <v>1.0</v>
      </c>
      <c r="D852" s="97" t="s">
        <v>601</v>
      </c>
      <c r="E852" s="201">
        <v>3522.0</v>
      </c>
      <c r="F852" s="202"/>
      <c r="G852" s="194" t="s">
        <v>587</v>
      </c>
      <c r="H852" s="195" t="s">
        <v>603</v>
      </c>
      <c r="I852" s="196"/>
      <c r="J852" s="179">
        <f>IF(A852="RAPPI",(VLOOKUP(TRIM(D852), CATALOGO!F:G, 2, FALSE) * C852)+I852,IFERROR(IF(COUNTIF('RESTAURANTESDESCUENTOS 2026'!A:A,TRIM(A852))&gt;0,((VLOOKUP(TRIM(D852), CATALOGO!A:B, 2, FALSE) * C852)*(1-VALUE(SUBSTITUTE(VLOOKUP(TRIM(A852),'RESTAURANTESDESCUENTOS 2026'!A:B,2,FALSE),"%",""))/100)+I852),(VLOOKUP(TRIM(D852), CATALOGO!A:B, 2, FALSE) * C852+I852)),""))</f>
        <v>53000</v>
      </c>
      <c r="K852" s="196"/>
      <c r="L852" s="87"/>
      <c r="M852" s="197" t="s">
        <v>587</v>
      </c>
      <c r="N852" s="168"/>
    </row>
    <row r="853" ht="22.5" hidden="1" customHeight="1">
      <c r="A853" s="137" t="s">
        <v>605</v>
      </c>
      <c r="B853" s="90">
        <v>46062.0</v>
      </c>
      <c r="C853" s="55">
        <v>1.0</v>
      </c>
      <c r="D853" s="97" t="s">
        <v>179</v>
      </c>
      <c r="E853" s="201" t="s">
        <v>893</v>
      </c>
      <c r="F853" s="202"/>
      <c r="G853" s="194" t="s">
        <v>35</v>
      </c>
      <c r="H853" s="198"/>
      <c r="I853" s="196"/>
      <c r="J853" s="179">
        <f>IF(A853="RAPPI",(VLOOKUP(TRIM(D853), CATALOGO!F:G, 2, FALSE) * C853)+I853,IFERROR(IF(COUNTIF('RESTAURANTESDESCUENTOS 2026'!A:A,TRIM(A853))&gt;0,((VLOOKUP(TRIM(D853), CATALOGO!A:B, 2, FALSE) * C853)*(1-VALUE(SUBSTITUTE(VLOOKUP(TRIM(A853),'RESTAURANTESDESCUENTOS 2026'!A:B,2,FALSE),"%",""))/100)+I853),(VLOOKUP(TRIM(D853), CATALOGO!A:B, 2, FALSE) * C853+I853)),""))</f>
        <v>55000</v>
      </c>
      <c r="K853" s="196"/>
      <c r="L853" s="87"/>
      <c r="M853" s="197" t="s">
        <v>587</v>
      </c>
      <c r="N853" s="168"/>
    </row>
    <row r="854" ht="22.5" hidden="1" customHeight="1">
      <c r="A854" s="137" t="s">
        <v>605</v>
      </c>
      <c r="B854" s="90">
        <v>46062.0</v>
      </c>
      <c r="C854" s="55">
        <v>1.0</v>
      </c>
      <c r="D854" s="97" t="s">
        <v>176</v>
      </c>
      <c r="E854" s="201" t="s">
        <v>606</v>
      </c>
      <c r="F854" s="202"/>
      <c r="G854" s="194" t="s">
        <v>35</v>
      </c>
      <c r="H854" s="198"/>
      <c r="I854" s="196"/>
      <c r="J854" s="179">
        <f>IF(A854="RAPPI",(VLOOKUP(TRIM(D854), CATALOGO!F:G, 2, FALSE) * C854)+I854,IFERROR(IF(COUNTIF('RESTAURANTESDESCUENTOS 2026'!A:A,TRIM(A854))&gt;0,((VLOOKUP(TRIM(D854), CATALOGO!A:B, 2, FALSE) * C854)*(1-VALUE(SUBSTITUTE(VLOOKUP(TRIM(A854),'RESTAURANTESDESCUENTOS 2026'!A:B,2,FALSE),"%",""))/100)+I854),(VLOOKUP(TRIM(D854), CATALOGO!A:B, 2, FALSE) * C854+I854)),""))</f>
        <v>50000</v>
      </c>
      <c r="K854" s="196"/>
      <c r="L854" s="87"/>
      <c r="M854" s="197" t="s">
        <v>587</v>
      </c>
      <c r="N854" s="168"/>
    </row>
    <row r="855" ht="22.5" hidden="1" customHeight="1">
      <c r="A855" s="137" t="s">
        <v>603</v>
      </c>
      <c r="B855" s="90">
        <v>46062.0</v>
      </c>
      <c r="C855" s="55">
        <v>1.0</v>
      </c>
      <c r="D855" s="97" t="s">
        <v>176</v>
      </c>
      <c r="E855" s="201">
        <v>3798.0</v>
      </c>
      <c r="F855" s="202"/>
      <c r="G855" s="194" t="s">
        <v>587</v>
      </c>
      <c r="H855" s="195" t="s">
        <v>603</v>
      </c>
      <c r="I855" s="196"/>
      <c r="J855" s="179">
        <f>IF(A855="RAPPI",(VLOOKUP(TRIM(D855), CATALOGO!F:G, 2, FALSE) * C855)+I855,IFERROR(IF(COUNTIF('RESTAURANTESDESCUENTOS 2026'!A:A,TRIM(A855))&gt;0,((VLOOKUP(TRIM(D855), CATALOGO!A:B, 2, FALSE) * C855)*(1-VALUE(SUBSTITUTE(VLOOKUP(TRIM(A855),'RESTAURANTESDESCUENTOS 2026'!A:B,2,FALSE),"%",""))/100)+I855),(VLOOKUP(TRIM(D855), CATALOGO!A:B, 2, FALSE) * C855+I855)),""))</f>
        <v>50000</v>
      </c>
      <c r="K855" s="196"/>
      <c r="L855" s="87"/>
      <c r="M855" s="197" t="s">
        <v>587</v>
      </c>
      <c r="N855" s="168"/>
    </row>
    <row r="856" ht="22.5" hidden="1" customHeight="1">
      <c r="A856" s="137" t="s">
        <v>894</v>
      </c>
      <c r="B856" s="90">
        <v>46062.0</v>
      </c>
      <c r="C856" s="55">
        <v>3.0</v>
      </c>
      <c r="D856" s="97" t="s">
        <v>177</v>
      </c>
      <c r="E856" s="201"/>
      <c r="F856" s="202"/>
      <c r="G856" s="194" t="s">
        <v>587</v>
      </c>
      <c r="H856" s="195" t="s">
        <v>632</v>
      </c>
      <c r="I856" s="196">
        <v>12000.0</v>
      </c>
      <c r="J856" s="179">
        <f>IF(A856="RAPPI",(VLOOKUP(TRIM(D856), CATALOGO!F:G, 2, FALSE) * C856)+I856,IFERROR(IF(COUNTIF('RESTAURANTESDESCUENTOS 2026'!A:A,TRIM(A856))&gt;0,((VLOOKUP(TRIM(D856), CATALOGO!A:B, 2, FALSE) * C856)*(1-VALUE(SUBSTITUTE(VLOOKUP(TRIM(A856),'RESTAURANTESDESCUENTOS 2026'!A:B,2,FALSE),"%",""))/100)+I856),(VLOOKUP(TRIM(D856), CATALOGO!A:B, 2, FALSE) * C856+I856)),""))</f>
        <v>357000</v>
      </c>
      <c r="K856" s="196">
        <v>12000.0</v>
      </c>
      <c r="L856" s="87"/>
      <c r="M856" s="197" t="s">
        <v>587</v>
      </c>
      <c r="N856" s="168"/>
    </row>
    <row r="857" ht="22.5" hidden="1" customHeight="1">
      <c r="A857" s="137" t="s">
        <v>895</v>
      </c>
      <c r="B857" s="90">
        <v>46062.0</v>
      </c>
      <c r="C857" s="55">
        <v>3.0</v>
      </c>
      <c r="D857" s="97" t="s">
        <v>177</v>
      </c>
      <c r="E857" s="201"/>
      <c r="F857" s="202"/>
      <c r="G857" s="194" t="s">
        <v>587</v>
      </c>
      <c r="H857" s="195" t="s">
        <v>588</v>
      </c>
      <c r="I857" s="196">
        <v>14000.0</v>
      </c>
      <c r="J857" s="179">
        <f>IF(A857="RAPPI",(VLOOKUP(TRIM(D857), CATALOGO!F:G, 2, FALSE) * C857)+I857,IFERROR(IF(COUNTIF('RESTAURANTESDESCUENTOS 2026'!A:A,TRIM(A857))&gt;0,((VLOOKUP(TRIM(D857), CATALOGO!A:B, 2, FALSE) * C857)*(1-VALUE(SUBSTITUTE(VLOOKUP(TRIM(A857),'RESTAURANTESDESCUENTOS 2026'!A:B,2,FALSE),"%",""))/100)+I857),(VLOOKUP(TRIM(D857), CATALOGO!A:B, 2, FALSE) * C857+I857)),""))</f>
        <v>359000</v>
      </c>
      <c r="K857" s="196">
        <v>14000.0</v>
      </c>
      <c r="L857" s="87"/>
      <c r="M857" s="197" t="s">
        <v>587</v>
      </c>
      <c r="N857" s="168"/>
    </row>
    <row r="858" ht="22.5" hidden="1" customHeight="1">
      <c r="A858" s="137" t="s">
        <v>603</v>
      </c>
      <c r="B858" s="90">
        <v>46062.0</v>
      </c>
      <c r="C858" s="55">
        <v>1.0</v>
      </c>
      <c r="D858" s="97" t="s">
        <v>177</v>
      </c>
      <c r="E858" s="201">
        <v>886.0</v>
      </c>
      <c r="F858" s="202"/>
      <c r="G858" s="194" t="s">
        <v>587</v>
      </c>
      <c r="H858" s="195" t="s">
        <v>603</v>
      </c>
      <c r="I858" s="196"/>
      <c r="J858" s="179">
        <f>IF(A858="RAPPI",(VLOOKUP(TRIM(D858), CATALOGO!F:G, 2, FALSE) * C858)+I858,IFERROR(IF(COUNTIF('RESTAURANTESDESCUENTOS 2026'!A:A,TRIM(A858))&gt;0,((VLOOKUP(TRIM(D858), CATALOGO!A:B, 2, FALSE) * C858)*(1-VALUE(SUBSTITUTE(VLOOKUP(TRIM(A858),'RESTAURANTESDESCUENTOS 2026'!A:B,2,FALSE),"%",""))/100)+I858),(VLOOKUP(TRIM(D858), CATALOGO!A:B, 2, FALSE) * C858+I858)),""))</f>
        <v>115000</v>
      </c>
      <c r="K858" s="196"/>
      <c r="L858" s="87"/>
      <c r="M858" s="197" t="s">
        <v>587</v>
      </c>
      <c r="N858" s="168"/>
    </row>
    <row r="859" ht="22.5" hidden="1" customHeight="1">
      <c r="A859" s="137" t="s">
        <v>603</v>
      </c>
      <c r="B859" s="90">
        <v>46062.0</v>
      </c>
      <c r="C859" s="55">
        <v>1.0</v>
      </c>
      <c r="D859" s="97" t="s">
        <v>618</v>
      </c>
      <c r="E859" s="201">
        <v>1030.0</v>
      </c>
      <c r="F859" s="202"/>
      <c r="G859" s="194" t="s">
        <v>587</v>
      </c>
      <c r="H859" s="195" t="s">
        <v>603</v>
      </c>
      <c r="I859" s="196"/>
      <c r="J859" s="179">
        <f>IF(A859="RAPPI",(VLOOKUP(TRIM(D859), CATALOGO!F:G, 2, FALSE) * C859)+I859,IFERROR(IF(COUNTIF('RESTAURANTESDESCUENTOS 2026'!A:A,TRIM(A859))&gt;0,((VLOOKUP(TRIM(D859), CATALOGO!A:B, 2, FALSE) * C859)*(1-VALUE(SUBSTITUTE(VLOOKUP(TRIM(A859),'RESTAURANTESDESCUENTOS 2026'!A:B,2,FALSE),"%",""))/100)+I859),(VLOOKUP(TRIM(D859), CATALOGO!A:B, 2, FALSE) * C859+I859)),""))</f>
        <v>53000</v>
      </c>
      <c r="K859" s="196"/>
      <c r="L859" s="87"/>
      <c r="M859" s="197" t="s">
        <v>587</v>
      </c>
      <c r="N859" s="168"/>
    </row>
    <row r="860" ht="22.5" hidden="1" customHeight="1">
      <c r="A860" s="137" t="s">
        <v>603</v>
      </c>
      <c r="B860" s="90">
        <v>46062.0</v>
      </c>
      <c r="C860" s="55">
        <v>1.0</v>
      </c>
      <c r="D860" s="97" t="s">
        <v>186</v>
      </c>
      <c r="E860" s="201">
        <v>1030.0</v>
      </c>
      <c r="F860" s="202"/>
      <c r="G860" s="194" t="s">
        <v>587</v>
      </c>
      <c r="H860" s="195" t="s">
        <v>603</v>
      </c>
      <c r="I860" s="196"/>
      <c r="J860" s="179">
        <f>IF(A860="RAPPI",(VLOOKUP(TRIM(D860), CATALOGO!F:G, 2, FALSE) * C860)+I860,IFERROR(IF(COUNTIF('RESTAURANTESDESCUENTOS 2026'!A:A,TRIM(A860))&gt;0,((VLOOKUP(TRIM(D860), CATALOGO!A:B, 2, FALSE) * C860)*(1-VALUE(SUBSTITUTE(VLOOKUP(TRIM(A860),'RESTAURANTESDESCUENTOS 2026'!A:B,2,FALSE),"%",""))/100)+I860),(VLOOKUP(TRIM(D860), CATALOGO!A:B, 2, FALSE) * C860+I860)),""))</f>
        <v>55000</v>
      </c>
      <c r="K860" s="196"/>
      <c r="L860" s="87"/>
      <c r="M860" s="197" t="s">
        <v>587</v>
      </c>
      <c r="N860" s="168"/>
    </row>
    <row r="861" ht="22.5" hidden="1" customHeight="1">
      <c r="A861" s="137" t="s">
        <v>896</v>
      </c>
      <c r="B861" s="90">
        <v>46062.0</v>
      </c>
      <c r="C861" s="55">
        <v>1.0</v>
      </c>
      <c r="D861" s="97" t="s">
        <v>177</v>
      </c>
      <c r="E861" s="201"/>
      <c r="F861" s="202"/>
      <c r="G861" s="194" t="s">
        <v>587</v>
      </c>
      <c r="H861" s="195" t="s">
        <v>588</v>
      </c>
      <c r="I861" s="196">
        <v>16000.0</v>
      </c>
      <c r="J861" s="179">
        <f>IF(A861="RAPPI",(VLOOKUP(TRIM(D861), CATALOGO!F:G, 2, FALSE) * C861)+I861,IFERROR(IF(COUNTIF('RESTAURANTESDESCUENTOS 2026'!A:A,TRIM(A861))&gt;0,((VLOOKUP(TRIM(D861), CATALOGO!A:B, 2, FALSE) * C861)*(1-VALUE(SUBSTITUTE(VLOOKUP(TRIM(A861),'RESTAURANTESDESCUENTOS 2026'!A:B,2,FALSE),"%",""))/100)+I861),(VLOOKUP(TRIM(D861), CATALOGO!A:B, 2, FALSE) * C861+I861)),""))</f>
        <v>131000</v>
      </c>
      <c r="K861" s="196">
        <v>16000.0</v>
      </c>
      <c r="L861" s="87"/>
      <c r="M861" s="197" t="s">
        <v>587</v>
      </c>
      <c r="N861" s="168"/>
    </row>
    <row r="862" ht="22.5" hidden="1" customHeight="1">
      <c r="A862" s="137" t="s">
        <v>603</v>
      </c>
      <c r="B862" s="90">
        <v>46062.0</v>
      </c>
      <c r="C862" s="55">
        <v>1.0</v>
      </c>
      <c r="D862" s="97" t="s">
        <v>708</v>
      </c>
      <c r="E862" s="201">
        <v>7188.0</v>
      </c>
      <c r="F862" s="202"/>
      <c r="G862" s="194" t="s">
        <v>587</v>
      </c>
      <c r="H862" s="195" t="s">
        <v>603</v>
      </c>
      <c r="I862" s="196"/>
      <c r="J862" s="179">
        <f>IF(A862="RAPPI",(VLOOKUP(TRIM(D862), CATALOGO!F:G, 2, FALSE) * C862)+I862,IFERROR(IF(COUNTIF('RESTAURANTESDESCUENTOS 2026'!A:A,TRIM(A862))&gt;0,((VLOOKUP(TRIM(D862), CATALOGO!A:B, 2, FALSE) * C862)*(1-VALUE(SUBSTITUTE(VLOOKUP(TRIM(A862),'RESTAURANTESDESCUENTOS 2026'!A:B,2,FALSE),"%",""))/100)+I862),(VLOOKUP(TRIM(D862), CATALOGO!A:B, 2, FALSE) * C862+I862)),""))</f>
        <v>53000</v>
      </c>
      <c r="K862" s="196"/>
      <c r="L862" s="87"/>
      <c r="M862" s="197" t="s">
        <v>587</v>
      </c>
      <c r="N862" s="168"/>
    </row>
    <row r="863" ht="22.5" hidden="1" customHeight="1">
      <c r="A863" s="137" t="s">
        <v>605</v>
      </c>
      <c r="B863" s="90">
        <v>46062.0</v>
      </c>
      <c r="C863" s="55">
        <v>1.0</v>
      </c>
      <c r="D863" s="97" t="s">
        <v>176</v>
      </c>
      <c r="E863" s="201" t="s">
        <v>606</v>
      </c>
      <c r="F863" s="202"/>
      <c r="G863" s="194" t="s">
        <v>35</v>
      </c>
      <c r="H863" s="198"/>
      <c r="I863" s="196"/>
      <c r="J863" s="179">
        <f>IF(A863="RAPPI",(VLOOKUP(TRIM(D863), CATALOGO!F:G, 2, FALSE) * C863)+I863,IFERROR(IF(COUNTIF('RESTAURANTESDESCUENTOS 2026'!A:A,TRIM(A863))&gt;0,((VLOOKUP(TRIM(D863), CATALOGO!A:B, 2, FALSE) * C863)*(1-VALUE(SUBSTITUTE(VLOOKUP(TRIM(A863),'RESTAURANTESDESCUENTOS 2026'!A:B,2,FALSE),"%",""))/100)+I863),(VLOOKUP(TRIM(D863), CATALOGO!A:B, 2, FALSE) * C863+I863)),""))</f>
        <v>50000</v>
      </c>
      <c r="K863" s="196"/>
      <c r="L863" s="87"/>
      <c r="M863" s="197" t="s">
        <v>587</v>
      </c>
      <c r="N863" s="168"/>
    </row>
    <row r="864" ht="22.5" hidden="1" customHeight="1">
      <c r="A864" s="137" t="s">
        <v>605</v>
      </c>
      <c r="B864" s="90">
        <v>46062.0</v>
      </c>
      <c r="C864" s="70">
        <v>1.0</v>
      </c>
      <c r="D864" s="97" t="s">
        <v>174</v>
      </c>
      <c r="E864" s="201" t="s">
        <v>606</v>
      </c>
      <c r="F864" s="202"/>
      <c r="G864" s="194" t="s">
        <v>35</v>
      </c>
      <c r="H864" s="198"/>
      <c r="I864" s="196"/>
      <c r="J864" s="179">
        <f>IF(A864="RAPPI",(VLOOKUP(TRIM(D864), CATALOGO!F:G, 2, FALSE) * C864)+I864,IFERROR(IF(COUNTIF('RESTAURANTESDESCUENTOS 2026'!A:A,TRIM(A864))&gt;0,((VLOOKUP(TRIM(D864), CATALOGO!A:B, 2, FALSE) * C864)*(1-VALUE(SUBSTITUTE(VLOOKUP(TRIM(A864),'RESTAURANTESDESCUENTOS 2026'!A:B,2,FALSE),"%",""))/100)+I864),(VLOOKUP(TRIM(D864), CATALOGO!A:B, 2, FALSE) * C864+I864)),""))</f>
        <v>18000</v>
      </c>
      <c r="K864" s="196"/>
      <c r="L864" s="87"/>
      <c r="M864" s="197" t="s">
        <v>587</v>
      </c>
      <c r="N864" s="168"/>
    </row>
    <row r="865" ht="22.5" hidden="1" customHeight="1">
      <c r="A865" s="137" t="s">
        <v>603</v>
      </c>
      <c r="B865" s="90">
        <v>46062.0</v>
      </c>
      <c r="C865" s="55">
        <v>1.0</v>
      </c>
      <c r="D865" s="97" t="s">
        <v>177</v>
      </c>
      <c r="E865" s="201">
        <v>6131.0</v>
      </c>
      <c r="F865" s="202"/>
      <c r="G865" s="194" t="s">
        <v>587</v>
      </c>
      <c r="H865" s="195" t="s">
        <v>603</v>
      </c>
      <c r="I865" s="196"/>
      <c r="J865" s="179">
        <f>IF(A865="RAPPI",(VLOOKUP(TRIM(D865), CATALOGO!F:G, 2, FALSE) * C865)+I865,IFERROR(IF(COUNTIF('RESTAURANTESDESCUENTOS 2026'!A:A,TRIM(A865))&gt;0,((VLOOKUP(TRIM(D865), CATALOGO!A:B, 2, FALSE) * C865)*(1-VALUE(SUBSTITUTE(VLOOKUP(TRIM(A865),'RESTAURANTESDESCUENTOS 2026'!A:B,2,FALSE),"%",""))/100)+I865),(VLOOKUP(TRIM(D865), CATALOGO!A:B, 2, FALSE) * C865+I865)),""))</f>
        <v>115000</v>
      </c>
      <c r="K865" s="196"/>
      <c r="L865" s="87"/>
      <c r="M865" s="197" t="s">
        <v>587</v>
      </c>
      <c r="N865" s="168"/>
    </row>
    <row r="866" ht="22.5" hidden="1" customHeight="1">
      <c r="A866" s="137" t="s">
        <v>603</v>
      </c>
      <c r="B866" s="90">
        <v>46062.0</v>
      </c>
      <c r="C866" s="55">
        <v>1.0</v>
      </c>
      <c r="D866" s="97" t="s">
        <v>653</v>
      </c>
      <c r="E866" s="201">
        <v>8549.0</v>
      </c>
      <c r="F866" s="202"/>
      <c r="G866" s="194" t="s">
        <v>587</v>
      </c>
      <c r="H866" s="195" t="s">
        <v>603</v>
      </c>
      <c r="I866" s="196"/>
      <c r="J866" s="179">
        <f>IF(A866="RAPPI",(VLOOKUP(TRIM(D866), CATALOGO!F:G, 2, FALSE) * C866)+I866,IFERROR(IF(COUNTIF('RESTAURANTESDESCUENTOS 2026'!A:A,TRIM(A866))&gt;0,((VLOOKUP(TRIM(D866), CATALOGO!A:B, 2, FALSE) * C866)*(1-VALUE(SUBSTITUTE(VLOOKUP(TRIM(A866),'RESTAURANTESDESCUENTOS 2026'!A:B,2,FALSE),"%",""))/100)+I866),(VLOOKUP(TRIM(D866), CATALOGO!A:B, 2, FALSE) * C866+I866)),""))</f>
        <v>123000</v>
      </c>
      <c r="K866" s="196"/>
      <c r="L866" s="87"/>
      <c r="M866" s="197" t="s">
        <v>587</v>
      </c>
      <c r="N866" s="168"/>
    </row>
    <row r="867" ht="22.5" hidden="1" customHeight="1">
      <c r="A867" s="137" t="s">
        <v>897</v>
      </c>
      <c r="B867" s="90">
        <v>46063.0</v>
      </c>
      <c r="C867" s="55">
        <v>1.0</v>
      </c>
      <c r="D867" s="97" t="s">
        <v>177</v>
      </c>
      <c r="E867" s="201"/>
      <c r="F867" s="202"/>
      <c r="G867" s="194" t="s">
        <v>587</v>
      </c>
      <c r="H867" s="195" t="s">
        <v>753</v>
      </c>
      <c r="I867" s="196">
        <v>10000.0</v>
      </c>
      <c r="J867" s="179">
        <f>IF(A867="RAPPI",(VLOOKUP(TRIM(D867), CATALOGO!F:G, 2, FALSE) * C867)+I867,IFERROR(IF(COUNTIF('RESTAURANTESDESCUENTOS 2026'!A:A,TRIM(A867))&gt;0,((VLOOKUP(TRIM(D867), CATALOGO!A:B, 2, FALSE) * C867)*(1-VALUE(SUBSTITUTE(VLOOKUP(TRIM(A867),'RESTAURANTESDESCUENTOS 2026'!A:B,2,FALSE),"%",""))/100)+I867),(VLOOKUP(TRIM(D867), CATALOGO!A:B, 2, FALSE) * C867+I867)),""))</f>
        <v>125000</v>
      </c>
      <c r="K867" s="196">
        <v>10000.0</v>
      </c>
      <c r="L867" s="87" t="s">
        <v>587</v>
      </c>
      <c r="M867" s="197" t="s">
        <v>587</v>
      </c>
      <c r="N867" s="168"/>
    </row>
    <row r="868" ht="22.5" hidden="1" customHeight="1">
      <c r="A868" s="137" t="s">
        <v>96</v>
      </c>
      <c r="B868" s="90">
        <v>46063.0</v>
      </c>
      <c r="C868" s="55">
        <v>1.0</v>
      </c>
      <c r="D868" s="97" t="s">
        <v>178</v>
      </c>
      <c r="E868" s="201" t="s">
        <v>610</v>
      </c>
      <c r="F868" s="202"/>
      <c r="G868" s="194" t="s">
        <v>587</v>
      </c>
      <c r="H868" s="195" t="s">
        <v>632</v>
      </c>
      <c r="I868" s="196">
        <v>5000.0</v>
      </c>
      <c r="J868" s="179">
        <f>IF(A868="RAPPI",(VLOOKUP(TRIM(D868), CATALOGO!F:G, 2, FALSE) * C868)+I868,IFERROR(IF(COUNTIF('RESTAURANTESDESCUENTOS 2026'!A:A,TRIM(A868))&gt;0,((VLOOKUP(TRIM(D868), CATALOGO!A:B, 2, FALSE) * C868)*(1-VALUE(SUBSTITUTE(VLOOKUP(TRIM(A868),'RESTAURANTESDESCUENTOS 2026'!A:B,2,FALSE),"%",""))/100)+I868),(VLOOKUP(TRIM(D868), CATALOGO!A:B, 2, FALSE) * C868+I868)),""))</f>
        <v>110000</v>
      </c>
      <c r="K868" s="196">
        <v>10000.0</v>
      </c>
      <c r="L868" s="87" t="s">
        <v>587</v>
      </c>
      <c r="M868" s="197" t="s">
        <v>587</v>
      </c>
      <c r="N868" s="168"/>
    </row>
    <row r="869" ht="22.5" hidden="1" customHeight="1">
      <c r="A869" s="137" t="s">
        <v>21</v>
      </c>
      <c r="B869" s="90">
        <v>46063.0</v>
      </c>
      <c r="C869" s="55">
        <v>1.0</v>
      </c>
      <c r="D869" s="97" t="s">
        <v>178</v>
      </c>
      <c r="E869" s="201" t="s">
        <v>610</v>
      </c>
      <c r="F869" s="202"/>
      <c r="G869" s="194" t="s">
        <v>587</v>
      </c>
      <c r="H869" s="195" t="s">
        <v>632</v>
      </c>
      <c r="I869" s="196">
        <v>15000.0</v>
      </c>
      <c r="J869" s="179">
        <f>IF(A869="RAPPI",(VLOOKUP(TRIM(D869), CATALOGO!F:G, 2, FALSE) * C869)+I869,IFERROR(IF(COUNTIF('RESTAURANTESDESCUENTOS 2026'!A:A,TRIM(A869))&gt;0,((VLOOKUP(TRIM(D869), CATALOGO!A:B, 2, FALSE) * C869)*(1-VALUE(SUBSTITUTE(VLOOKUP(TRIM(A869),'RESTAURANTESDESCUENTOS 2026'!A:B,2,FALSE),"%",""))/100)+I869),(VLOOKUP(TRIM(D869), CATALOGO!A:B, 2, FALSE) * C869+I869)),""))</f>
        <v>127500</v>
      </c>
      <c r="K869" s="196">
        <v>15000.0</v>
      </c>
      <c r="L869" s="87" t="s">
        <v>587</v>
      </c>
      <c r="M869" s="197" t="s">
        <v>587</v>
      </c>
      <c r="N869" s="168"/>
    </row>
    <row r="870" ht="22.5" hidden="1" customHeight="1">
      <c r="A870" s="137" t="s">
        <v>106</v>
      </c>
      <c r="B870" s="90">
        <v>46063.0</v>
      </c>
      <c r="C870" s="55">
        <v>1.0</v>
      </c>
      <c r="D870" s="97" t="s">
        <v>178</v>
      </c>
      <c r="E870" s="201" t="s">
        <v>610</v>
      </c>
      <c r="F870" s="202"/>
      <c r="G870" s="194" t="s">
        <v>587</v>
      </c>
      <c r="H870" s="195" t="s">
        <v>632</v>
      </c>
      <c r="I870" s="196">
        <v>8000.0</v>
      </c>
      <c r="J870" s="179">
        <f>IF(A870="RAPPI",(VLOOKUP(TRIM(D870), CATALOGO!F:G, 2, FALSE) * C870)+I870,IFERROR(IF(COUNTIF('RESTAURANTESDESCUENTOS 2026'!A:A,TRIM(A870))&gt;0,((VLOOKUP(TRIM(D870), CATALOGO!A:B, 2, FALSE) * C870)*(1-VALUE(SUBSTITUTE(VLOOKUP(TRIM(A870),'RESTAURANTESDESCUENTOS 2026'!A:B,2,FALSE),"%",""))/100)+I870),(VLOOKUP(TRIM(D870), CATALOGO!A:B, 2, FALSE) * C870+I870)),""))</f>
        <v>105125</v>
      </c>
      <c r="K870" s="196">
        <v>10000.0</v>
      </c>
      <c r="L870" s="87" t="s">
        <v>587</v>
      </c>
      <c r="M870" s="197" t="s">
        <v>587</v>
      </c>
      <c r="N870" s="168"/>
    </row>
    <row r="871" ht="22.5" hidden="1" customHeight="1">
      <c r="A871" s="137" t="s">
        <v>103</v>
      </c>
      <c r="B871" s="90">
        <v>46063.0</v>
      </c>
      <c r="C871" s="55">
        <v>1.0</v>
      </c>
      <c r="D871" s="97" t="s">
        <v>178</v>
      </c>
      <c r="E871" s="201" t="s">
        <v>552</v>
      </c>
      <c r="F871" s="202"/>
      <c r="G871" s="194" t="s">
        <v>35</v>
      </c>
      <c r="H871" s="198"/>
      <c r="I871" s="196"/>
      <c r="J871" s="179">
        <f>IF(A871="RAPPI",(VLOOKUP(TRIM(D871), CATALOGO!F:G, 2, FALSE) * C871)+I871,IFERROR(IF(COUNTIF('RESTAURANTESDESCUENTOS 2026'!A:A,TRIM(A871))&gt;0,((VLOOKUP(TRIM(D871), CATALOGO!A:B, 2, FALSE) * C871)*(1-VALUE(SUBSTITUTE(VLOOKUP(TRIM(A871),'RESTAURANTESDESCUENTOS 2026'!A:B,2,FALSE),"%",""))/100)+I871),(VLOOKUP(TRIM(D871), CATALOGO!A:B, 2, FALSE) * C871+I871)),""))</f>
        <v>105000</v>
      </c>
      <c r="K871" s="196"/>
      <c r="L871" s="87" t="s">
        <v>587</v>
      </c>
      <c r="M871" s="197" t="s">
        <v>587</v>
      </c>
      <c r="N871" s="168"/>
    </row>
    <row r="872" ht="22.5" hidden="1" customHeight="1">
      <c r="A872" s="137" t="s">
        <v>167</v>
      </c>
      <c r="B872" s="90">
        <v>46063.0</v>
      </c>
      <c r="C872" s="55">
        <v>1.0</v>
      </c>
      <c r="D872" s="97" t="s">
        <v>178</v>
      </c>
      <c r="E872" s="201" t="s">
        <v>898</v>
      </c>
      <c r="F872" s="202"/>
      <c r="G872" s="194" t="s">
        <v>35</v>
      </c>
      <c r="H872" s="198"/>
      <c r="I872" s="196"/>
      <c r="J872" s="179">
        <f>IF(A872="RAPPI",(VLOOKUP(TRIM(D872), CATALOGO!F:G, 2, FALSE) * C872)+I872,IFERROR(IF(COUNTIF('RESTAURANTESDESCUENTOS 2026'!A:A,TRIM(A872))&gt;0,((VLOOKUP(TRIM(D872), CATALOGO!A:B, 2, FALSE) * C872)*(1-VALUE(SUBSTITUTE(VLOOKUP(TRIM(A872),'RESTAURANTESDESCUENTOS 2026'!A:B,2,FALSE),"%",""))/100)+I872),(VLOOKUP(TRIM(D872), CATALOGO!A:B, 2, FALSE) * C872+I872)),""))</f>
        <v>0</v>
      </c>
      <c r="K872" s="196"/>
      <c r="L872" s="87"/>
      <c r="M872" s="197" t="s">
        <v>587</v>
      </c>
      <c r="N872" s="168"/>
    </row>
    <row r="873" ht="22.5" hidden="1" customHeight="1">
      <c r="A873" s="137" t="s">
        <v>603</v>
      </c>
      <c r="B873" s="90">
        <v>46063.0</v>
      </c>
      <c r="C873" s="55">
        <v>1.0</v>
      </c>
      <c r="D873" s="97" t="s">
        <v>179</v>
      </c>
      <c r="E873" s="201">
        <v>8124.0</v>
      </c>
      <c r="F873" s="202"/>
      <c r="G873" s="194" t="s">
        <v>587</v>
      </c>
      <c r="H873" s="195" t="s">
        <v>603</v>
      </c>
      <c r="I873" s="196"/>
      <c r="J873" s="179">
        <f>IF(A873="RAPPI",(VLOOKUP(TRIM(D873), CATALOGO!F:G, 2, FALSE) * C873)+I873,IFERROR(IF(COUNTIF('RESTAURANTESDESCUENTOS 2026'!A:A,TRIM(A873))&gt;0,((VLOOKUP(TRIM(D873), CATALOGO!A:B, 2, FALSE) * C873)*(1-VALUE(SUBSTITUTE(VLOOKUP(TRIM(A873),'RESTAURANTESDESCUENTOS 2026'!A:B,2,FALSE),"%",""))/100)+I873),(VLOOKUP(TRIM(D873), CATALOGO!A:B, 2, FALSE) * C873+I873)),""))</f>
        <v>55000</v>
      </c>
      <c r="K873" s="196"/>
      <c r="L873" s="87"/>
      <c r="M873" s="197" t="s">
        <v>587</v>
      </c>
      <c r="N873" s="168"/>
    </row>
    <row r="874" ht="22.5" hidden="1" customHeight="1">
      <c r="A874" s="137" t="s">
        <v>603</v>
      </c>
      <c r="B874" s="90">
        <v>46063.0</v>
      </c>
      <c r="C874" s="55">
        <v>1.0</v>
      </c>
      <c r="D874" s="97" t="s">
        <v>657</v>
      </c>
      <c r="E874" s="201">
        <v>8124.0</v>
      </c>
      <c r="F874" s="202"/>
      <c r="G874" s="194" t="s">
        <v>587</v>
      </c>
      <c r="H874" s="195" t="s">
        <v>603</v>
      </c>
      <c r="I874" s="196"/>
      <c r="J874" s="179">
        <f>IF(A874="RAPPI",(VLOOKUP(TRIM(D874), CATALOGO!F:G, 2, FALSE) * C874)+I874,IFERROR(IF(COUNTIF('RESTAURANTESDESCUENTOS 2026'!A:A,TRIM(A874))&gt;0,((VLOOKUP(TRIM(D874), CATALOGO!A:B, 2, FALSE) * C874)*(1-VALUE(SUBSTITUTE(VLOOKUP(TRIM(A874),'RESTAURANTESDESCUENTOS 2026'!A:B,2,FALSE),"%",""))/100)+I874),(VLOOKUP(TRIM(D874), CATALOGO!A:B, 2, FALSE) * C874+I874)),""))</f>
        <v>8000</v>
      </c>
      <c r="K874" s="196"/>
      <c r="L874" s="87"/>
      <c r="M874" s="197" t="s">
        <v>587</v>
      </c>
      <c r="N874" s="168"/>
    </row>
    <row r="875" ht="22.5" hidden="1" customHeight="1">
      <c r="A875" s="137" t="s">
        <v>92</v>
      </c>
      <c r="B875" s="90">
        <v>46063.0</v>
      </c>
      <c r="C875" s="55">
        <v>1.0</v>
      </c>
      <c r="D875" s="97" t="s">
        <v>178</v>
      </c>
      <c r="E875" s="201" t="s">
        <v>610</v>
      </c>
      <c r="F875" s="202"/>
      <c r="G875" s="194" t="s">
        <v>587</v>
      </c>
      <c r="H875" s="195" t="s">
        <v>632</v>
      </c>
      <c r="I875" s="196">
        <v>5000.0</v>
      </c>
      <c r="J875" s="179">
        <f>IF(A875="RAPPI",(VLOOKUP(TRIM(D875), CATALOGO!F:G, 2, FALSE) * C875)+I875,IFERROR(IF(COUNTIF('RESTAURANTESDESCUENTOS 2026'!A:A,TRIM(A875))&gt;0,((VLOOKUP(TRIM(D875), CATALOGO!A:B, 2, FALSE) * C875)*(1-VALUE(SUBSTITUTE(VLOOKUP(TRIM(A875),'RESTAURANTESDESCUENTOS 2026'!A:B,2,FALSE),"%",""))/100)+I875),(VLOOKUP(TRIM(D875), CATALOGO!A:B, 2, FALSE) * C875+I875)),""))</f>
        <v>110000</v>
      </c>
      <c r="K875" s="196">
        <v>10000.0</v>
      </c>
      <c r="L875" s="87" t="s">
        <v>587</v>
      </c>
      <c r="M875" s="197" t="s">
        <v>587</v>
      </c>
      <c r="N875" s="168"/>
    </row>
    <row r="876" ht="22.5" hidden="1" customHeight="1">
      <c r="A876" s="137" t="s">
        <v>92</v>
      </c>
      <c r="B876" s="90">
        <v>46063.0</v>
      </c>
      <c r="C876" s="55">
        <v>150.0</v>
      </c>
      <c r="D876" s="97" t="s">
        <v>236</v>
      </c>
      <c r="E876" s="201"/>
      <c r="F876" s="202"/>
      <c r="G876" s="194" t="s">
        <v>587</v>
      </c>
      <c r="H876" s="195" t="s">
        <v>632</v>
      </c>
      <c r="I876" s="196">
        <v>0.0</v>
      </c>
      <c r="J876" s="199">
        <v>16500.0</v>
      </c>
      <c r="K876" s="196">
        <v>0.0</v>
      </c>
      <c r="L876" s="87" t="s">
        <v>587</v>
      </c>
      <c r="M876" s="197" t="s">
        <v>587</v>
      </c>
      <c r="N876" s="168"/>
    </row>
    <row r="877" ht="22.5" hidden="1" customHeight="1">
      <c r="A877" s="137" t="s">
        <v>899</v>
      </c>
      <c r="B877" s="90">
        <v>46063.0</v>
      </c>
      <c r="C877" s="55">
        <v>1.0</v>
      </c>
      <c r="D877" s="97" t="s">
        <v>182</v>
      </c>
      <c r="E877" s="201" t="s">
        <v>645</v>
      </c>
      <c r="F877" s="202"/>
      <c r="G877" s="194" t="s">
        <v>587</v>
      </c>
      <c r="H877" s="195" t="s">
        <v>632</v>
      </c>
      <c r="I877" s="196">
        <v>10000.0</v>
      </c>
      <c r="J877" s="179">
        <f>IF(A877="RAPPI",(VLOOKUP(TRIM(D877), CATALOGO!F:G, 2, FALSE) * C877)+I877,IFERROR(IF(COUNTIF('RESTAURANTESDESCUENTOS 2026'!A:A,TRIM(A877))&gt;0,((VLOOKUP(TRIM(D877), CATALOGO!A:B, 2, FALSE) * C877)*(1-VALUE(SUBSTITUTE(VLOOKUP(TRIM(A877),'RESTAURANTESDESCUENTOS 2026'!A:B,2,FALSE),"%",""))/100)+I877),(VLOOKUP(TRIM(D877), CATALOGO!A:B, 2, FALSE) * C877+I877)),""))</f>
        <v>47000</v>
      </c>
      <c r="K877" s="196">
        <v>10000.0</v>
      </c>
      <c r="L877" s="87"/>
      <c r="M877" s="197" t="s">
        <v>587</v>
      </c>
      <c r="N877" s="168"/>
    </row>
    <row r="878" ht="22.5" hidden="1" customHeight="1">
      <c r="A878" s="137" t="s">
        <v>899</v>
      </c>
      <c r="B878" s="90">
        <v>46063.0</v>
      </c>
      <c r="C878" s="55">
        <v>1.0</v>
      </c>
      <c r="D878" s="97" t="s">
        <v>620</v>
      </c>
      <c r="E878" s="201"/>
      <c r="F878" s="202"/>
      <c r="G878" s="194" t="s">
        <v>587</v>
      </c>
      <c r="H878" s="195" t="s">
        <v>632</v>
      </c>
      <c r="I878" s="196">
        <v>0.0</v>
      </c>
      <c r="J878" s="179">
        <f>IF(A878="RAPPI",(VLOOKUP(TRIM(D878), CATALOGO!F:G, 2, FALSE) * C878)+I878,IFERROR(IF(COUNTIF('RESTAURANTESDESCUENTOS 2026'!A:A,TRIM(A878))&gt;0,((VLOOKUP(TRIM(D878), CATALOGO!A:B, 2, FALSE) * C878)*(1-VALUE(SUBSTITUTE(VLOOKUP(TRIM(A878),'RESTAURANTESDESCUENTOS 2026'!A:B,2,FALSE),"%",""))/100)+I878),(VLOOKUP(TRIM(D878), CATALOGO!A:B, 2, FALSE) * C878+I878)),""))</f>
        <v>0</v>
      </c>
      <c r="K878" s="196">
        <v>0.0</v>
      </c>
      <c r="L878" s="87"/>
      <c r="M878" s="197" t="s">
        <v>587</v>
      </c>
      <c r="N878" s="168"/>
    </row>
    <row r="879" ht="22.5" hidden="1" customHeight="1">
      <c r="A879" s="137" t="s">
        <v>899</v>
      </c>
      <c r="B879" s="90">
        <v>46063.0</v>
      </c>
      <c r="C879" s="55">
        <v>1.0</v>
      </c>
      <c r="D879" s="97" t="s">
        <v>236</v>
      </c>
      <c r="E879" s="201"/>
      <c r="F879" s="202"/>
      <c r="G879" s="194" t="s">
        <v>587</v>
      </c>
      <c r="H879" s="195" t="s">
        <v>632</v>
      </c>
      <c r="I879" s="196">
        <v>0.0</v>
      </c>
      <c r="J879" s="179">
        <f>IF(A879="RAPPI",(VLOOKUP(TRIM(D879), CATALOGO!F:G, 2, FALSE) * C879)+I879,IFERROR(IF(COUNTIF('RESTAURANTESDESCUENTOS 2026'!A:A,TRIM(A879))&gt;0,((VLOOKUP(TRIM(D879), CATALOGO!A:B, 2, FALSE) * C879)*(1-VALUE(SUBSTITUTE(VLOOKUP(TRIM(A879),'RESTAURANTESDESCUENTOS 2026'!A:B,2,FALSE),"%",""))/100)+I879),(VLOOKUP(TRIM(D879), CATALOGO!A:B, 2, FALSE) * C879+I879)),""))</f>
        <v>0</v>
      </c>
      <c r="K879" s="196">
        <v>0.0</v>
      </c>
      <c r="L879" s="87"/>
      <c r="M879" s="197" t="s">
        <v>587</v>
      </c>
      <c r="N879" s="168"/>
    </row>
    <row r="880" ht="22.5" hidden="1" customHeight="1">
      <c r="A880" s="137" t="s">
        <v>900</v>
      </c>
      <c r="B880" s="90">
        <v>46063.0</v>
      </c>
      <c r="C880" s="55">
        <v>1.0</v>
      </c>
      <c r="D880" s="97" t="s">
        <v>601</v>
      </c>
      <c r="E880" s="201" t="s">
        <v>645</v>
      </c>
      <c r="F880" s="202"/>
      <c r="G880" s="194" t="s">
        <v>587</v>
      </c>
      <c r="H880" s="195" t="s">
        <v>632</v>
      </c>
      <c r="I880" s="196">
        <v>12000.0</v>
      </c>
      <c r="J880" s="179">
        <f>IF(A880="RAPPI",(VLOOKUP(TRIM(D880), CATALOGO!F:G, 2, FALSE) * C880)+I880,IFERROR(IF(COUNTIF('RESTAURANTESDESCUENTOS 2026'!A:A,TRIM(A880))&gt;0,((VLOOKUP(TRIM(D880), CATALOGO!A:B, 2, FALSE) * C880)*(1-VALUE(SUBSTITUTE(VLOOKUP(TRIM(A880),'RESTAURANTESDESCUENTOS 2026'!A:B,2,FALSE),"%",""))/100)+I880),(VLOOKUP(TRIM(D880), CATALOGO!A:B, 2, FALSE) * C880+I880)),""))</f>
        <v>65000</v>
      </c>
      <c r="K880" s="196">
        <v>13000.0</v>
      </c>
      <c r="L880" s="87"/>
      <c r="M880" s="197" t="s">
        <v>587</v>
      </c>
      <c r="N880" s="168"/>
    </row>
    <row r="881" ht="22.5" hidden="1" customHeight="1">
      <c r="A881" s="137" t="s">
        <v>603</v>
      </c>
      <c r="B881" s="90">
        <v>46063.0</v>
      </c>
      <c r="C881" s="55">
        <v>1.0</v>
      </c>
      <c r="D881" s="97" t="s">
        <v>176</v>
      </c>
      <c r="E881" s="201">
        <v>1061.0</v>
      </c>
      <c r="F881" s="202"/>
      <c r="G881" s="194" t="s">
        <v>587</v>
      </c>
      <c r="H881" s="195" t="s">
        <v>603</v>
      </c>
      <c r="I881" s="196"/>
      <c r="J881" s="179">
        <f>IF(A881="RAPPI",(VLOOKUP(TRIM(D881), CATALOGO!F:G, 2, FALSE) * C881)+I881,IFERROR(IF(COUNTIF('RESTAURANTESDESCUENTOS 2026'!A:A,TRIM(A881))&gt;0,((VLOOKUP(TRIM(D881), CATALOGO!A:B, 2, FALSE) * C881)*(1-VALUE(SUBSTITUTE(VLOOKUP(TRIM(A881),'RESTAURANTESDESCUENTOS 2026'!A:B,2,FALSE),"%",""))/100)+I881),(VLOOKUP(TRIM(D881), CATALOGO!A:B, 2, FALSE) * C881+I881)),""))</f>
        <v>50000</v>
      </c>
      <c r="K881" s="196"/>
      <c r="L881" s="87"/>
      <c r="M881" s="197" t="s">
        <v>587</v>
      </c>
      <c r="N881" s="168"/>
    </row>
    <row r="882" ht="22.5" hidden="1" customHeight="1">
      <c r="A882" s="137" t="s">
        <v>603</v>
      </c>
      <c r="B882" s="90">
        <v>46063.0</v>
      </c>
      <c r="C882" s="55">
        <v>1.0</v>
      </c>
      <c r="D882" s="97" t="s">
        <v>177</v>
      </c>
      <c r="E882" s="201">
        <v>6515.0</v>
      </c>
      <c r="F882" s="202"/>
      <c r="G882" s="194" t="s">
        <v>587</v>
      </c>
      <c r="H882" s="195" t="s">
        <v>603</v>
      </c>
      <c r="I882" s="196"/>
      <c r="J882" s="179">
        <f>IF(A882="RAPPI",(VLOOKUP(TRIM(D882), CATALOGO!F:G, 2, FALSE) * C882)+I882,IFERROR(IF(COUNTIF('RESTAURANTESDESCUENTOS 2026'!A:A,TRIM(A882))&gt;0,((VLOOKUP(TRIM(D882), CATALOGO!A:B, 2, FALSE) * C882)*(1-VALUE(SUBSTITUTE(VLOOKUP(TRIM(A882),'RESTAURANTESDESCUENTOS 2026'!A:B,2,FALSE),"%",""))/100)+I882),(VLOOKUP(TRIM(D882), CATALOGO!A:B, 2, FALSE) * C882+I882)),""))</f>
        <v>115000</v>
      </c>
      <c r="K882" s="196"/>
      <c r="L882" s="87"/>
      <c r="M882" s="197" t="s">
        <v>587</v>
      </c>
      <c r="N882" s="168"/>
    </row>
    <row r="883" ht="22.5" hidden="1" customHeight="1">
      <c r="A883" s="137" t="s">
        <v>603</v>
      </c>
      <c r="B883" s="90">
        <v>46063.0</v>
      </c>
      <c r="C883" s="55">
        <v>1.0</v>
      </c>
      <c r="D883" s="97" t="s">
        <v>177</v>
      </c>
      <c r="E883" s="201">
        <v>131.0</v>
      </c>
      <c r="F883" s="202"/>
      <c r="G883" s="194" t="s">
        <v>587</v>
      </c>
      <c r="H883" s="195" t="s">
        <v>603</v>
      </c>
      <c r="I883" s="196"/>
      <c r="J883" s="179">
        <f>IF(A883="RAPPI",(VLOOKUP(TRIM(D883), CATALOGO!F:G, 2, FALSE) * C883)+I883,IFERROR(IF(COUNTIF('RESTAURANTESDESCUENTOS 2026'!A:A,TRIM(A883))&gt;0,((VLOOKUP(TRIM(D883), CATALOGO!A:B, 2, FALSE) * C883)*(1-VALUE(SUBSTITUTE(VLOOKUP(TRIM(A883),'RESTAURANTESDESCUENTOS 2026'!A:B,2,FALSE),"%",""))/100)+I883),(VLOOKUP(TRIM(D883), CATALOGO!A:B, 2, FALSE) * C883+I883)),""))</f>
        <v>115000</v>
      </c>
      <c r="K883" s="196"/>
      <c r="L883" s="87"/>
      <c r="M883" s="197" t="s">
        <v>587</v>
      </c>
      <c r="N883" s="168"/>
    </row>
    <row r="884" ht="22.5" hidden="1" customHeight="1">
      <c r="A884" s="137" t="s">
        <v>603</v>
      </c>
      <c r="B884" s="90">
        <v>46063.0</v>
      </c>
      <c r="C884" s="55">
        <v>1.0</v>
      </c>
      <c r="D884" s="97" t="s">
        <v>601</v>
      </c>
      <c r="E884" s="201">
        <v>9284.0</v>
      </c>
      <c r="F884" s="202"/>
      <c r="G884" s="194" t="s">
        <v>587</v>
      </c>
      <c r="H884" s="195" t="s">
        <v>603</v>
      </c>
      <c r="I884" s="196"/>
      <c r="J884" s="179">
        <f>IF(A884="RAPPI",(VLOOKUP(TRIM(D884), CATALOGO!F:G, 2, FALSE) * C884)+I884,IFERROR(IF(COUNTIF('RESTAURANTESDESCUENTOS 2026'!A:A,TRIM(A884))&gt;0,((VLOOKUP(TRIM(D884), CATALOGO!A:B, 2, FALSE) * C884)*(1-VALUE(SUBSTITUTE(VLOOKUP(TRIM(A884),'RESTAURANTESDESCUENTOS 2026'!A:B,2,FALSE),"%",""))/100)+I884),(VLOOKUP(TRIM(D884), CATALOGO!A:B, 2, FALSE) * C884+I884)),""))</f>
        <v>53000</v>
      </c>
      <c r="K884" s="196"/>
      <c r="L884" s="87"/>
      <c r="M884" s="197" t="s">
        <v>587</v>
      </c>
      <c r="N884" s="168"/>
    </row>
    <row r="885" ht="22.5" hidden="1" customHeight="1">
      <c r="A885" s="137" t="s">
        <v>603</v>
      </c>
      <c r="B885" s="90">
        <v>46063.0</v>
      </c>
      <c r="C885" s="70">
        <v>1.0</v>
      </c>
      <c r="D885" s="97" t="s">
        <v>174</v>
      </c>
      <c r="E885" s="201">
        <v>4089.0</v>
      </c>
      <c r="F885" s="202"/>
      <c r="G885" s="194" t="s">
        <v>587</v>
      </c>
      <c r="H885" s="195" t="s">
        <v>603</v>
      </c>
      <c r="I885" s="196"/>
      <c r="J885" s="179">
        <f>IF(A885="RAPPI",(VLOOKUP(TRIM(D885), CATALOGO!F:G, 2, FALSE) * C885)+I885,IFERROR(IF(COUNTIF('RESTAURANTESDESCUENTOS 2026'!A:A,TRIM(A885))&gt;0,((VLOOKUP(TRIM(D885), CATALOGO!A:B, 2, FALSE) * C885)*(1-VALUE(SUBSTITUTE(VLOOKUP(TRIM(A885),'RESTAURANTESDESCUENTOS 2026'!A:B,2,FALSE),"%",""))/100)+I885),(VLOOKUP(TRIM(D885), CATALOGO!A:B, 2, FALSE) * C885+I885)),""))</f>
        <v>18000</v>
      </c>
      <c r="K885" s="196"/>
      <c r="L885" s="87"/>
      <c r="M885" s="197" t="s">
        <v>587</v>
      </c>
      <c r="N885" s="168"/>
    </row>
    <row r="886" ht="22.5" hidden="1" customHeight="1">
      <c r="A886" s="137" t="s">
        <v>603</v>
      </c>
      <c r="B886" s="90">
        <v>46063.0</v>
      </c>
      <c r="C886" s="55">
        <v>1.0</v>
      </c>
      <c r="D886" s="97" t="s">
        <v>640</v>
      </c>
      <c r="E886" s="201">
        <v>5170.0</v>
      </c>
      <c r="F886" s="202"/>
      <c r="G886" s="194" t="s">
        <v>587</v>
      </c>
      <c r="H886" s="195" t="s">
        <v>603</v>
      </c>
      <c r="I886" s="196"/>
      <c r="J886" s="179">
        <f>IF(A886="RAPPI",(VLOOKUP(TRIM(D886), CATALOGO!F:G, 2, FALSE) * C886)+I886,IFERROR(IF(COUNTIF('RESTAURANTESDESCUENTOS 2026'!A:A,TRIM(A886))&gt;0,((VLOOKUP(TRIM(D886), CATALOGO!A:B, 2, FALSE) * C886)*(1-VALUE(SUBSTITUTE(VLOOKUP(TRIM(A886),'RESTAURANTESDESCUENTOS 2026'!A:B,2,FALSE),"%",""))/100)+I886),(VLOOKUP(TRIM(D886), CATALOGO!A:B, 2, FALSE) * C886+I886)),""))</f>
        <v>53000</v>
      </c>
      <c r="K886" s="196"/>
      <c r="L886" s="87"/>
      <c r="M886" s="197" t="s">
        <v>587</v>
      </c>
      <c r="N886" s="168"/>
    </row>
    <row r="887" ht="22.5" hidden="1" customHeight="1">
      <c r="A887" s="137" t="s">
        <v>605</v>
      </c>
      <c r="B887" s="90">
        <v>46063.0</v>
      </c>
      <c r="C887" s="70">
        <v>1.0</v>
      </c>
      <c r="D887" s="97" t="s">
        <v>174</v>
      </c>
      <c r="E887" s="201" t="s">
        <v>606</v>
      </c>
      <c r="F887" s="202"/>
      <c r="G887" s="194" t="s">
        <v>35</v>
      </c>
      <c r="H887" s="198"/>
      <c r="I887" s="196"/>
      <c r="J887" s="179">
        <f>IF(A887="RAPPI",(VLOOKUP(TRIM(D887), CATALOGO!F:G, 2, FALSE) * C887)+I887,IFERROR(IF(COUNTIF('RESTAURANTESDESCUENTOS 2026'!A:A,TRIM(A887))&gt;0,((VLOOKUP(TRIM(D887), CATALOGO!A:B, 2, FALSE) * C887)*(1-VALUE(SUBSTITUTE(VLOOKUP(TRIM(A887),'RESTAURANTESDESCUENTOS 2026'!A:B,2,FALSE),"%",""))/100)+I887),(VLOOKUP(TRIM(D887), CATALOGO!A:B, 2, FALSE) * C887+I887)),""))</f>
        <v>18000</v>
      </c>
      <c r="K887" s="196"/>
      <c r="L887" s="87"/>
      <c r="M887" s="197" t="s">
        <v>587</v>
      </c>
      <c r="N887" s="168"/>
    </row>
    <row r="888" ht="22.5" hidden="1" customHeight="1">
      <c r="A888" s="137" t="s">
        <v>605</v>
      </c>
      <c r="B888" s="90">
        <v>46063.0</v>
      </c>
      <c r="C888" s="70">
        <v>1.0</v>
      </c>
      <c r="D888" s="97" t="s">
        <v>628</v>
      </c>
      <c r="E888" s="201" t="s">
        <v>606</v>
      </c>
      <c r="F888" s="202"/>
      <c r="G888" s="194" t="s">
        <v>35</v>
      </c>
      <c r="H888" s="198"/>
      <c r="I888" s="196"/>
      <c r="J888" s="179">
        <f>IF(A888="RAPPI",(VLOOKUP(TRIM(D888), CATALOGO!F:G, 2, FALSE) * C888)+I888,IFERROR(IF(COUNTIF('RESTAURANTESDESCUENTOS 2026'!A:A,TRIM(A888))&gt;0,((VLOOKUP(TRIM(D888), CATALOGO!A:B, 2, FALSE) * C888)*(1-VALUE(SUBSTITUTE(VLOOKUP(TRIM(A888),'RESTAURANTESDESCUENTOS 2026'!A:B,2,FALSE),"%",""))/100)+I888),(VLOOKUP(TRIM(D888), CATALOGO!A:B, 2, FALSE) * C888+I888)),""))</f>
        <v>22000</v>
      </c>
      <c r="K888" s="196"/>
      <c r="L888" s="87"/>
      <c r="M888" s="197" t="s">
        <v>587</v>
      </c>
      <c r="N888" s="168"/>
    </row>
    <row r="889" ht="22.5" hidden="1" customHeight="1">
      <c r="A889" s="137" t="s">
        <v>622</v>
      </c>
      <c r="B889" s="90">
        <v>46063.0</v>
      </c>
      <c r="C889" s="55">
        <v>1.0</v>
      </c>
      <c r="D889" s="97" t="s">
        <v>178</v>
      </c>
      <c r="E889" s="201" t="s">
        <v>28</v>
      </c>
      <c r="F889" s="202"/>
      <c r="G889" s="194" t="s">
        <v>35</v>
      </c>
      <c r="H889" s="198"/>
      <c r="I889" s="196"/>
      <c r="J889" s="199">
        <v>0.0</v>
      </c>
      <c r="K889" s="196"/>
      <c r="L889" s="87"/>
      <c r="M889" s="197" t="s">
        <v>587</v>
      </c>
      <c r="N889" s="168"/>
    </row>
    <row r="890" ht="22.5" hidden="1" customHeight="1">
      <c r="A890" s="137" t="s">
        <v>603</v>
      </c>
      <c r="B890" s="90">
        <v>46063.0</v>
      </c>
      <c r="C890" s="55">
        <v>1.0</v>
      </c>
      <c r="D890" s="97" t="s">
        <v>640</v>
      </c>
      <c r="E890" s="201">
        <v>4305.0</v>
      </c>
      <c r="F890" s="202"/>
      <c r="G890" s="194" t="s">
        <v>587</v>
      </c>
      <c r="H890" s="195" t="s">
        <v>603</v>
      </c>
      <c r="I890" s="196"/>
      <c r="J890" s="179">
        <f>IF(A890="RAPPI",(VLOOKUP(TRIM(D890), CATALOGO!F:G, 2, FALSE) * C890)+I890,IFERROR(IF(COUNTIF('RESTAURANTESDESCUENTOS 2026'!A:A,TRIM(A890))&gt;0,((VLOOKUP(TRIM(D890), CATALOGO!A:B, 2, FALSE) * C890)*(1-VALUE(SUBSTITUTE(VLOOKUP(TRIM(A890),'RESTAURANTESDESCUENTOS 2026'!A:B,2,FALSE),"%",""))/100)+I890),(VLOOKUP(TRIM(D890), CATALOGO!A:B, 2, FALSE) * C890+I890)),""))</f>
        <v>53000</v>
      </c>
      <c r="K890" s="196"/>
      <c r="L890" s="87"/>
      <c r="M890" s="197" t="s">
        <v>587</v>
      </c>
      <c r="N890" s="168"/>
    </row>
    <row r="891" ht="22.5" hidden="1" customHeight="1">
      <c r="A891" s="137" t="s">
        <v>603</v>
      </c>
      <c r="B891" s="90">
        <v>46063.0</v>
      </c>
      <c r="C891" s="55">
        <v>1.0</v>
      </c>
      <c r="D891" s="97" t="s">
        <v>176</v>
      </c>
      <c r="E891" s="201">
        <v>9760.0</v>
      </c>
      <c r="F891" s="202"/>
      <c r="G891" s="194" t="s">
        <v>587</v>
      </c>
      <c r="H891" s="195" t="s">
        <v>603</v>
      </c>
      <c r="I891" s="196"/>
      <c r="J891" s="179">
        <f>IF(A891="RAPPI",(VLOOKUP(TRIM(D891), CATALOGO!F:G, 2, FALSE) * C891)+I891,IFERROR(IF(COUNTIF('RESTAURANTESDESCUENTOS 2026'!A:A,TRIM(A891))&gt;0,((VLOOKUP(TRIM(D891), CATALOGO!A:B, 2, FALSE) * C891)*(1-VALUE(SUBSTITUTE(VLOOKUP(TRIM(A891),'RESTAURANTESDESCUENTOS 2026'!A:B,2,FALSE),"%",""))/100)+I891),(VLOOKUP(TRIM(D891), CATALOGO!A:B, 2, FALSE) * C891+I891)),""))</f>
        <v>50000</v>
      </c>
      <c r="K891" s="196"/>
      <c r="L891" s="87"/>
      <c r="M891" s="197" t="s">
        <v>587</v>
      </c>
      <c r="N891" s="168"/>
    </row>
    <row r="892" ht="22.5" hidden="1" customHeight="1">
      <c r="A892" s="137" t="s">
        <v>603</v>
      </c>
      <c r="B892" s="90">
        <v>46063.0</v>
      </c>
      <c r="C892" s="55">
        <v>1.0</v>
      </c>
      <c r="D892" s="97" t="s">
        <v>640</v>
      </c>
      <c r="E892" s="201">
        <v>3459.0</v>
      </c>
      <c r="F892" s="202"/>
      <c r="G892" s="194" t="s">
        <v>587</v>
      </c>
      <c r="H892" s="195" t="s">
        <v>603</v>
      </c>
      <c r="I892" s="196"/>
      <c r="J892" s="179">
        <f>IF(A892="RAPPI",(VLOOKUP(TRIM(D892), CATALOGO!F:G, 2, FALSE) * C892)+I892,IFERROR(IF(COUNTIF('RESTAURANTESDESCUENTOS 2026'!A:A,TRIM(A892))&gt;0,((VLOOKUP(TRIM(D892), CATALOGO!A:B, 2, FALSE) * C892)*(1-VALUE(SUBSTITUTE(VLOOKUP(TRIM(A892),'RESTAURANTESDESCUENTOS 2026'!A:B,2,FALSE),"%",""))/100)+I892),(VLOOKUP(TRIM(D892), CATALOGO!A:B, 2, FALSE) * C892+I892)),""))</f>
        <v>53000</v>
      </c>
      <c r="K892" s="196"/>
      <c r="L892" s="87"/>
      <c r="M892" s="197" t="s">
        <v>587</v>
      </c>
      <c r="N892" s="168"/>
    </row>
    <row r="893" ht="22.5" hidden="1" customHeight="1">
      <c r="A893" s="137" t="s">
        <v>603</v>
      </c>
      <c r="B893" s="90">
        <v>46063.0</v>
      </c>
      <c r="C893" s="55">
        <v>1.0</v>
      </c>
      <c r="D893" s="97" t="s">
        <v>176</v>
      </c>
      <c r="E893" s="201">
        <v>3324.0</v>
      </c>
      <c r="F893" s="202"/>
      <c r="G893" s="194" t="s">
        <v>587</v>
      </c>
      <c r="H893" s="195" t="s">
        <v>603</v>
      </c>
      <c r="I893" s="196"/>
      <c r="J893" s="179">
        <f>IF(A893="RAPPI",(VLOOKUP(TRIM(D893), CATALOGO!F:G, 2, FALSE) * C893)+I893,IFERROR(IF(COUNTIF('RESTAURANTESDESCUENTOS 2026'!A:A,TRIM(A893))&gt;0,((VLOOKUP(TRIM(D893), CATALOGO!A:B, 2, FALSE) * C893)*(1-VALUE(SUBSTITUTE(VLOOKUP(TRIM(A893),'RESTAURANTESDESCUENTOS 2026'!A:B,2,FALSE),"%",""))/100)+I893),(VLOOKUP(TRIM(D893), CATALOGO!A:B, 2, FALSE) * C893+I893)),""))</f>
        <v>50000</v>
      </c>
      <c r="K893" s="196"/>
      <c r="L893" s="87"/>
      <c r="M893" s="197" t="s">
        <v>587</v>
      </c>
      <c r="N893" s="168"/>
    </row>
    <row r="894" ht="22.5" hidden="1" customHeight="1">
      <c r="A894" s="137" t="s">
        <v>603</v>
      </c>
      <c r="B894" s="90">
        <v>46063.0</v>
      </c>
      <c r="C894" s="70">
        <v>1.0</v>
      </c>
      <c r="D894" s="97" t="s">
        <v>628</v>
      </c>
      <c r="E894" s="201">
        <v>3293.0</v>
      </c>
      <c r="F894" s="202"/>
      <c r="G894" s="194" t="s">
        <v>587</v>
      </c>
      <c r="H894" s="195" t="s">
        <v>603</v>
      </c>
      <c r="I894" s="196"/>
      <c r="J894" s="179">
        <f>IF(A894="RAPPI",(VLOOKUP(TRIM(D894), CATALOGO!F:G, 2, FALSE) * C894)+I894,IFERROR(IF(COUNTIF('RESTAURANTESDESCUENTOS 2026'!A:A,TRIM(A894))&gt;0,((VLOOKUP(TRIM(D894), CATALOGO!A:B, 2, FALSE) * C894)*(1-VALUE(SUBSTITUTE(VLOOKUP(TRIM(A894),'RESTAURANTESDESCUENTOS 2026'!A:B,2,FALSE),"%",""))/100)+I894),(VLOOKUP(TRIM(D894), CATALOGO!A:B, 2, FALSE) * C894+I894)),""))</f>
        <v>22000</v>
      </c>
      <c r="K894" s="196"/>
      <c r="L894" s="87"/>
      <c r="M894" s="197" t="s">
        <v>587</v>
      </c>
      <c r="N894" s="168"/>
    </row>
    <row r="895" ht="22.5" hidden="1" customHeight="1">
      <c r="A895" s="137" t="s">
        <v>603</v>
      </c>
      <c r="B895" s="90">
        <v>46063.0</v>
      </c>
      <c r="C895" s="70">
        <v>1.0</v>
      </c>
      <c r="D895" s="97" t="s">
        <v>604</v>
      </c>
      <c r="E895" s="201">
        <v>3293.0</v>
      </c>
      <c r="F895" s="202"/>
      <c r="G895" s="194" t="s">
        <v>587</v>
      </c>
      <c r="H895" s="195" t="s">
        <v>603</v>
      </c>
      <c r="I895" s="196"/>
      <c r="J895" s="179">
        <f>IF(A895="RAPPI",(VLOOKUP(TRIM(D895), CATALOGO!F:G, 2, FALSE) * C895)+I895,IFERROR(IF(COUNTIF('RESTAURANTESDESCUENTOS 2026'!A:A,TRIM(A895))&gt;0,((VLOOKUP(TRIM(D895), CATALOGO!A:B, 2, FALSE) * C895)*(1-VALUE(SUBSTITUTE(VLOOKUP(TRIM(A895),'RESTAURANTESDESCUENTOS 2026'!A:B,2,FALSE),"%",""))/100)+I895),(VLOOKUP(TRIM(D895), CATALOGO!A:B, 2, FALSE) * C895+I895)),""))</f>
        <v>22000</v>
      </c>
      <c r="K895" s="196"/>
      <c r="L895" s="87"/>
      <c r="M895" s="197" t="s">
        <v>587</v>
      </c>
      <c r="N895" s="168"/>
    </row>
    <row r="896" ht="22.5" hidden="1" customHeight="1">
      <c r="A896" s="137" t="s">
        <v>901</v>
      </c>
      <c r="B896" s="90">
        <v>46064.0</v>
      </c>
      <c r="C896" s="55">
        <v>1.0</v>
      </c>
      <c r="D896" s="97" t="s">
        <v>178</v>
      </c>
      <c r="E896" s="201" t="s">
        <v>902</v>
      </c>
      <c r="F896" s="202"/>
      <c r="G896" s="194" t="s">
        <v>587</v>
      </c>
      <c r="H896" s="195" t="s">
        <v>588</v>
      </c>
      <c r="I896" s="196">
        <v>14000.0</v>
      </c>
      <c r="J896" s="179">
        <f>IF(A896="RAPPI",(VLOOKUP(TRIM(D896), CATALOGO!F:G, 2, FALSE) * C896)+I896,IFERROR(IF(COUNTIF('RESTAURANTESDESCUENTOS 2026'!A:A,TRIM(A896))&gt;0,((VLOOKUP(TRIM(D896), CATALOGO!A:B, 2, FALSE) * C896)*(1-VALUE(SUBSTITUTE(VLOOKUP(TRIM(A896),'RESTAURANTESDESCUENTOS 2026'!A:B,2,FALSE),"%",""))/100)+I896),(VLOOKUP(TRIM(D896), CATALOGO!A:B, 2, FALSE) * C896+I896)),""))</f>
        <v>164000</v>
      </c>
      <c r="K896" s="196">
        <v>14000.0</v>
      </c>
      <c r="L896" s="87"/>
      <c r="M896" s="197" t="s">
        <v>587</v>
      </c>
      <c r="N896" s="168"/>
    </row>
    <row r="897" ht="22.5" hidden="1" customHeight="1">
      <c r="A897" s="137" t="s">
        <v>769</v>
      </c>
      <c r="B897" s="90">
        <v>46064.0</v>
      </c>
      <c r="C897" s="55">
        <v>21.0</v>
      </c>
      <c r="D897" s="97" t="s">
        <v>183</v>
      </c>
      <c r="E897" s="201"/>
      <c r="F897" s="202"/>
      <c r="G897" s="194" t="s">
        <v>587</v>
      </c>
      <c r="H897" s="195" t="s">
        <v>753</v>
      </c>
      <c r="I897" s="196">
        <v>10000.0</v>
      </c>
      <c r="J897" s="179">
        <f>IF(A897="RAPPI",(VLOOKUP(TRIM(D897), CATALOGO!F:G, 2, FALSE) * C897)+I897,IFERROR(IF(COUNTIF('RESTAURANTESDESCUENTOS 2026'!A:A,TRIM(A897))&gt;0,((VLOOKUP(TRIM(D897), CATALOGO!A:B, 2, FALSE) * C897)*(1-VALUE(SUBSTITUTE(VLOOKUP(TRIM(A897),'RESTAURANTESDESCUENTOS 2026'!A:B,2,FALSE),"%",""))/100)+I897),(VLOOKUP(TRIM(D897), CATALOGO!A:B, 2, FALSE) * C897+I897)),""))</f>
        <v>333400</v>
      </c>
      <c r="K897" s="196">
        <v>24000.0</v>
      </c>
      <c r="L897" s="87" t="s">
        <v>587</v>
      </c>
      <c r="M897" s="197" t="s">
        <v>587</v>
      </c>
      <c r="N897" s="168"/>
    </row>
    <row r="898" ht="22.5" hidden="1" customHeight="1">
      <c r="A898" s="137" t="s">
        <v>769</v>
      </c>
      <c r="B898" s="90">
        <v>46064.0</v>
      </c>
      <c r="C898" s="55">
        <v>9.0</v>
      </c>
      <c r="D898" s="97" t="s">
        <v>184</v>
      </c>
      <c r="E898" s="201"/>
      <c r="F898" s="202"/>
      <c r="G898" s="194" t="s">
        <v>587</v>
      </c>
      <c r="H898" s="195" t="s">
        <v>753</v>
      </c>
      <c r="I898" s="196">
        <v>0.0</v>
      </c>
      <c r="J898" s="179">
        <f>IF(A898="RAPPI",(VLOOKUP(TRIM(D898), CATALOGO!F:G, 2, FALSE) * C898)+I898,IFERROR(IF(COUNTIF('RESTAURANTESDESCUENTOS 2026'!A:A,TRIM(A898))&gt;0,((VLOOKUP(TRIM(D898), CATALOGO!A:B, 2, FALSE) * C898)*(1-VALUE(SUBSTITUTE(VLOOKUP(TRIM(A898),'RESTAURANTESDESCUENTOS 2026'!A:B,2,FALSE),"%",""))/100)+I898),(VLOOKUP(TRIM(D898), CATALOGO!A:B, 2, FALSE) * C898+I898)),""))</f>
        <v>216000</v>
      </c>
      <c r="K898" s="196">
        <v>0.0</v>
      </c>
      <c r="L898" s="87" t="s">
        <v>587</v>
      </c>
      <c r="M898" s="197" t="s">
        <v>587</v>
      </c>
      <c r="N898" s="168"/>
    </row>
    <row r="899" ht="22.5" hidden="1" customHeight="1">
      <c r="A899" s="137" t="s">
        <v>769</v>
      </c>
      <c r="B899" s="90">
        <v>46064.0</v>
      </c>
      <c r="C899" s="55">
        <v>6.0</v>
      </c>
      <c r="D899" s="97" t="s">
        <v>185</v>
      </c>
      <c r="E899" s="201"/>
      <c r="F899" s="202"/>
      <c r="G899" s="194" t="s">
        <v>587</v>
      </c>
      <c r="H899" s="195" t="s">
        <v>753</v>
      </c>
      <c r="I899" s="196">
        <v>0.0</v>
      </c>
      <c r="J899" s="179">
        <f>IF(A899="RAPPI",(VLOOKUP(TRIM(D899), CATALOGO!F:G, 2, FALSE) * C899)+I899,IFERROR(IF(COUNTIF('RESTAURANTESDESCUENTOS 2026'!A:A,TRIM(A899))&gt;0,((VLOOKUP(TRIM(D899), CATALOGO!A:B, 2, FALSE) * C899)*(1-VALUE(SUBSTITUTE(VLOOKUP(TRIM(A899),'RESTAURANTESDESCUENTOS 2026'!A:B,2,FALSE),"%",""))/100)+I899),(VLOOKUP(TRIM(D899), CATALOGO!A:B, 2, FALSE) * C899+I899)),""))</f>
        <v>105600</v>
      </c>
      <c r="K899" s="196">
        <v>0.0</v>
      </c>
      <c r="L899" s="87" t="s">
        <v>587</v>
      </c>
      <c r="M899" s="197" t="s">
        <v>587</v>
      </c>
      <c r="N899" s="168"/>
    </row>
    <row r="900" ht="22.5" hidden="1" customHeight="1">
      <c r="A900" s="137" t="s">
        <v>903</v>
      </c>
      <c r="B900" s="90">
        <v>46064.0</v>
      </c>
      <c r="C900" s="55">
        <v>1.0</v>
      </c>
      <c r="D900" s="97" t="s">
        <v>177</v>
      </c>
      <c r="E900" s="201"/>
      <c r="F900" s="202"/>
      <c r="G900" s="194" t="s">
        <v>35</v>
      </c>
      <c r="H900" s="198"/>
      <c r="I900" s="196"/>
      <c r="J900" s="179">
        <f>IF(A900="RAPPI",(VLOOKUP(TRIM(D900), CATALOGO!F:G, 2, FALSE) * C900)+I900,IFERROR(IF(COUNTIF('RESTAURANTESDESCUENTOS 2026'!A:A,TRIM(A900))&gt;0,((VLOOKUP(TRIM(D900), CATALOGO!A:B, 2, FALSE) * C900)*(1-VALUE(SUBSTITUTE(VLOOKUP(TRIM(A900),'RESTAURANTESDESCUENTOS 2026'!A:B,2,FALSE),"%",""))/100)+I900),(VLOOKUP(TRIM(D900), CATALOGO!A:B, 2, FALSE) * C900+I900)),""))</f>
        <v>115000</v>
      </c>
      <c r="K900" s="196"/>
      <c r="L900" s="87"/>
      <c r="M900" s="197" t="s">
        <v>587</v>
      </c>
      <c r="N900" s="168"/>
    </row>
    <row r="901" ht="22.5" hidden="1" customHeight="1">
      <c r="A901" s="137" t="s">
        <v>43</v>
      </c>
      <c r="B901" s="90">
        <v>46064.0</v>
      </c>
      <c r="C901" s="55">
        <v>2.0</v>
      </c>
      <c r="D901" s="97" t="s">
        <v>177</v>
      </c>
      <c r="E901" s="201" t="s">
        <v>610</v>
      </c>
      <c r="F901" s="202"/>
      <c r="G901" s="194" t="s">
        <v>587</v>
      </c>
      <c r="H901" s="195" t="s">
        <v>753</v>
      </c>
      <c r="I901" s="196">
        <v>0.0</v>
      </c>
      <c r="J901" s="179">
        <f>IF(A901="RAPPI",(VLOOKUP(TRIM(D901), CATALOGO!F:G, 2, FALSE) * C901)+I901,IFERROR(IF(COUNTIF('RESTAURANTESDESCUENTOS 2026'!A:A,TRIM(A901))&gt;0,((VLOOKUP(TRIM(D901), CATALOGO!A:B, 2, FALSE) * C901)*(1-VALUE(SUBSTITUTE(VLOOKUP(TRIM(A901),'RESTAURANTESDESCUENTOS 2026'!A:B,2,FALSE),"%",""))/100)+I901),(VLOOKUP(TRIM(D901), CATALOGO!A:B, 2, FALSE) * C901+I901)),""))</f>
        <v>172500</v>
      </c>
      <c r="K901" s="196">
        <v>10000.0</v>
      </c>
      <c r="L901" s="87" t="s">
        <v>587</v>
      </c>
      <c r="M901" s="197" t="s">
        <v>587</v>
      </c>
      <c r="N901" s="168"/>
    </row>
    <row r="902" ht="22.5" hidden="1" customHeight="1">
      <c r="A902" s="137" t="s">
        <v>10</v>
      </c>
      <c r="B902" s="90">
        <v>46064.0</v>
      </c>
      <c r="C902" s="55">
        <v>1.0</v>
      </c>
      <c r="D902" s="97" t="s">
        <v>178</v>
      </c>
      <c r="E902" s="201" t="s">
        <v>610</v>
      </c>
      <c r="F902" s="202"/>
      <c r="G902" s="194" t="s">
        <v>587</v>
      </c>
      <c r="H902" s="195" t="s">
        <v>753</v>
      </c>
      <c r="I902" s="196">
        <v>10000.0</v>
      </c>
      <c r="J902" s="179">
        <f>IF(A902="RAPPI",(VLOOKUP(TRIM(D902), CATALOGO!F:G, 2, FALSE) * C902)+I902,IFERROR(IF(COUNTIF('RESTAURANTESDESCUENTOS 2026'!A:A,TRIM(A902))&gt;0,((VLOOKUP(TRIM(D902), CATALOGO!A:B, 2, FALSE) * C902)*(1-VALUE(SUBSTITUTE(VLOOKUP(TRIM(A902),'RESTAURANTESDESCUENTOS 2026'!A:B,2,FALSE),"%",""))/100)+I902),(VLOOKUP(TRIM(D902), CATALOGO!A:B, 2, FALSE) * C902+I902)),""))</f>
        <v>122500</v>
      </c>
      <c r="K902" s="196">
        <v>10000.0</v>
      </c>
      <c r="L902" s="87" t="s">
        <v>587</v>
      </c>
      <c r="M902" s="197" t="s">
        <v>587</v>
      </c>
      <c r="N902" s="168"/>
    </row>
    <row r="903" ht="22.5" hidden="1" customHeight="1">
      <c r="A903" s="137" t="s">
        <v>131</v>
      </c>
      <c r="B903" s="90">
        <v>46064.0</v>
      </c>
      <c r="C903" s="55">
        <v>1.0</v>
      </c>
      <c r="D903" s="97" t="s">
        <v>178</v>
      </c>
      <c r="E903" s="201" t="s">
        <v>610</v>
      </c>
      <c r="F903" s="202"/>
      <c r="G903" s="194" t="s">
        <v>587</v>
      </c>
      <c r="H903" s="195" t="s">
        <v>753</v>
      </c>
      <c r="I903" s="196">
        <v>5000.0</v>
      </c>
      <c r="J903" s="179">
        <f>IF(A903="RAPPI",(VLOOKUP(TRIM(D903), CATALOGO!F:G, 2, FALSE) * C903)+I903,IFERROR(IF(COUNTIF('RESTAURANTESDESCUENTOS 2026'!A:A,TRIM(A903))&gt;0,((VLOOKUP(TRIM(D903), CATALOGO!A:B, 2, FALSE) * C903)*(1-VALUE(SUBSTITUTE(VLOOKUP(TRIM(A903),'RESTAURANTESDESCUENTOS 2026'!A:B,2,FALSE),"%",""))/100)+I903),(VLOOKUP(TRIM(D903), CATALOGO!A:B, 2, FALSE) * C903+I903)),""))</f>
        <v>110000</v>
      </c>
      <c r="K903" s="196">
        <v>10000.0</v>
      </c>
      <c r="L903" s="87" t="s">
        <v>587</v>
      </c>
      <c r="M903" s="197" t="s">
        <v>587</v>
      </c>
      <c r="N903" s="168"/>
    </row>
    <row r="904" ht="22.5" hidden="1" customHeight="1">
      <c r="A904" s="137" t="s">
        <v>603</v>
      </c>
      <c r="B904" s="90">
        <v>46064.0</v>
      </c>
      <c r="C904" s="55">
        <v>1.0</v>
      </c>
      <c r="D904" s="97" t="s">
        <v>618</v>
      </c>
      <c r="E904" s="201">
        <v>2801.0</v>
      </c>
      <c r="F904" s="202"/>
      <c r="G904" s="194" t="s">
        <v>587</v>
      </c>
      <c r="H904" s="195" t="s">
        <v>603</v>
      </c>
      <c r="I904" s="196"/>
      <c r="J904" s="179">
        <f>IF(A904="RAPPI",(VLOOKUP(TRIM(D904), CATALOGO!F:G, 2, FALSE) * C904)+I904,IFERROR(IF(COUNTIF('RESTAURANTESDESCUENTOS 2026'!A:A,TRIM(A904))&gt;0,((VLOOKUP(TRIM(D904), CATALOGO!A:B, 2, FALSE) * C904)*(1-VALUE(SUBSTITUTE(VLOOKUP(TRIM(A904),'RESTAURANTESDESCUENTOS 2026'!A:B,2,FALSE),"%",""))/100)+I904),(VLOOKUP(TRIM(D904), CATALOGO!A:B, 2, FALSE) * C904+I904)),""))</f>
        <v>53000</v>
      </c>
      <c r="K904" s="196"/>
      <c r="L904" s="87"/>
      <c r="M904" s="197" t="s">
        <v>587</v>
      </c>
      <c r="N904" s="168"/>
    </row>
    <row r="905" ht="22.5" hidden="1" customHeight="1">
      <c r="A905" s="137" t="s">
        <v>904</v>
      </c>
      <c r="B905" s="90">
        <v>46064.0</v>
      </c>
      <c r="C905" s="55">
        <v>1.0</v>
      </c>
      <c r="D905" s="97" t="s">
        <v>601</v>
      </c>
      <c r="E905" s="201"/>
      <c r="F905" s="202"/>
      <c r="G905" s="194" t="s">
        <v>587</v>
      </c>
      <c r="H905" s="195" t="s">
        <v>753</v>
      </c>
      <c r="I905" s="196">
        <v>12000.0</v>
      </c>
      <c r="J905" s="179">
        <f>IF(A905="RAPPI",(VLOOKUP(TRIM(D905), CATALOGO!F:G, 2, FALSE) * C905)+I905,IFERROR(IF(COUNTIF('RESTAURANTESDESCUENTOS 2026'!A:A,TRIM(A905))&gt;0,((VLOOKUP(TRIM(D905), CATALOGO!A:B, 2, FALSE) * C905)*(1-VALUE(SUBSTITUTE(VLOOKUP(TRIM(A905),'RESTAURANTESDESCUENTOS 2026'!A:B,2,FALSE),"%",""))/100)+I905),(VLOOKUP(TRIM(D905), CATALOGO!A:B, 2, FALSE) * C905+I905)),""))</f>
        <v>65000</v>
      </c>
      <c r="K905" s="196">
        <v>12000.0</v>
      </c>
      <c r="L905" s="87"/>
      <c r="M905" s="197" t="s">
        <v>587</v>
      </c>
      <c r="N905" s="168"/>
    </row>
    <row r="906" ht="22.5" hidden="1" customHeight="1">
      <c r="A906" s="137" t="s">
        <v>603</v>
      </c>
      <c r="B906" s="90">
        <v>46064.0</v>
      </c>
      <c r="C906" s="55">
        <v>1.0</v>
      </c>
      <c r="D906" s="97" t="s">
        <v>617</v>
      </c>
      <c r="E906" s="201">
        <v>4263.0</v>
      </c>
      <c r="F906" s="202"/>
      <c r="G906" s="194" t="s">
        <v>587</v>
      </c>
      <c r="H906" s="195" t="s">
        <v>603</v>
      </c>
      <c r="I906" s="196"/>
      <c r="J906" s="179">
        <f>IF(A906="RAPPI",(VLOOKUP(TRIM(D906), CATALOGO!F:G, 2, FALSE) * C906)+I906,IFERROR(IF(COUNTIF('RESTAURANTESDESCUENTOS 2026'!A:A,TRIM(A906))&gt;0,((VLOOKUP(TRIM(D906), CATALOGO!A:B, 2, FALSE) * C906)*(1-VALUE(SUBSTITUTE(VLOOKUP(TRIM(A906),'RESTAURANTESDESCUENTOS 2026'!A:B,2,FALSE),"%",""))/100)+I906),(VLOOKUP(TRIM(D906), CATALOGO!A:B, 2, FALSE) * C906+I906)),""))</f>
        <v>123000</v>
      </c>
      <c r="K906" s="196"/>
      <c r="L906" s="87"/>
      <c r="M906" s="197" t="s">
        <v>587</v>
      </c>
      <c r="N906" s="168"/>
    </row>
    <row r="907" ht="22.5" hidden="1" customHeight="1">
      <c r="A907" s="137" t="s">
        <v>603</v>
      </c>
      <c r="B907" s="90">
        <v>46064.0</v>
      </c>
      <c r="C907" s="55">
        <v>1.0</v>
      </c>
      <c r="D907" s="97" t="s">
        <v>179</v>
      </c>
      <c r="E907" s="201">
        <v>3120.0</v>
      </c>
      <c r="F907" s="202"/>
      <c r="G907" s="194" t="s">
        <v>587</v>
      </c>
      <c r="H907" s="195" t="s">
        <v>603</v>
      </c>
      <c r="I907" s="196"/>
      <c r="J907" s="179">
        <f>IF(A907="RAPPI",(VLOOKUP(TRIM(D907), CATALOGO!F:G, 2, FALSE) * C907)+I907,IFERROR(IF(COUNTIF('RESTAURANTESDESCUENTOS 2026'!A:A,TRIM(A907))&gt;0,((VLOOKUP(TRIM(D907), CATALOGO!A:B, 2, FALSE) * C907)*(1-VALUE(SUBSTITUTE(VLOOKUP(TRIM(A907),'RESTAURANTESDESCUENTOS 2026'!A:B,2,FALSE),"%",""))/100)+I907),(VLOOKUP(TRIM(D907), CATALOGO!A:B, 2, FALSE) * C907+I907)),""))</f>
        <v>55000</v>
      </c>
      <c r="K907" s="196"/>
      <c r="L907" s="87"/>
      <c r="M907" s="197" t="s">
        <v>587</v>
      </c>
      <c r="N907" s="168"/>
    </row>
    <row r="908" ht="22.5" hidden="1" customHeight="1">
      <c r="A908" s="137" t="s">
        <v>603</v>
      </c>
      <c r="B908" s="90">
        <v>46064.0</v>
      </c>
      <c r="C908" s="55">
        <v>1.0</v>
      </c>
      <c r="D908" s="97" t="s">
        <v>618</v>
      </c>
      <c r="E908" s="201">
        <v>5989.0</v>
      </c>
      <c r="F908" s="202"/>
      <c r="G908" s="194" t="s">
        <v>587</v>
      </c>
      <c r="H908" s="195" t="s">
        <v>603</v>
      </c>
      <c r="I908" s="196"/>
      <c r="J908" s="179">
        <f>IF(A908="RAPPI",(VLOOKUP(TRIM(D908), CATALOGO!F:G, 2, FALSE) * C908)+I908,IFERROR(IF(COUNTIF('RESTAURANTESDESCUENTOS 2026'!A:A,TRIM(A908))&gt;0,((VLOOKUP(TRIM(D908), CATALOGO!A:B, 2, FALSE) * C908)*(1-VALUE(SUBSTITUTE(VLOOKUP(TRIM(A908),'RESTAURANTESDESCUENTOS 2026'!A:B,2,FALSE),"%",""))/100)+I908),(VLOOKUP(TRIM(D908), CATALOGO!A:B, 2, FALSE) * C908+I908)),""))</f>
        <v>53000</v>
      </c>
      <c r="K908" s="196"/>
      <c r="L908" s="87"/>
      <c r="M908" s="197" t="s">
        <v>587</v>
      </c>
      <c r="N908" s="168"/>
    </row>
    <row r="909" ht="22.5" hidden="1" customHeight="1">
      <c r="A909" s="137" t="s">
        <v>603</v>
      </c>
      <c r="B909" s="90">
        <v>46064.0</v>
      </c>
      <c r="C909" s="55">
        <v>1.0</v>
      </c>
      <c r="D909" s="97" t="s">
        <v>186</v>
      </c>
      <c r="E909" s="201">
        <v>5351.0</v>
      </c>
      <c r="F909" s="202"/>
      <c r="G909" s="194" t="s">
        <v>587</v>
      </c>
      <c r="H909" s="195" t="s">
        <v>603</v>
      </c>
      <c r="I909" s="196"/>
      <c r="J909" s="179">
        <f>IF(A909="RAPPI",(VLOOKUP(TRIM(D909), CATALOGO!F:G, 2, FALSE) * C909)+I909,IFERROR(IF(COUNTIF('RESTAURANTESDESCUENTOS 2026'!A:A,TRIM(A909))&gt;0,((VLOOKUP(TRIM(D909), CATALOGO!A:B, 2, FALSE) * C909)*(1-VALUE(SUBSTITUTE(VLOOKUP(TRIM(A909),'RESTAURANTESDESCUENTOS 2026'!A:B,2,FALSE),"%",""))/100)+I909),(VLOOKUP(TRIM(D909), CATALOGO!A:B, 2, FALSE) * C909+I909)),""))</f>
        <v>55000</v>
      </c>
      <c r="K909" s="196"/>
      <c r="L909" s="87"/>
      <c r="M909" s="197" t="s">
        <v>587</v>
      </c>
      <c r="N909" s="168"/>
    </row>
    <row r="910" ht="22.5" hidden="1" customHeight="1">
      <c r="A910" s="137" t="s">
        <v>603</v>
      </c>
      <c r="B910" s="90">
        <v>46064.0</v>
      </c>
      <c r="C910" s="55">
        <v>1.0</v>
      </c>
      <c r="D910" s="97" t="s">
        <v>678</v>
      </c>
      <c r="E910" s="201">
        <v>715.0</v>
      </c>
      <c r="F910" s="202"/>
      <c r="G910" s="194" t="s">
        <v>587</v>
      </c>
      <c r="H910" s="195" t="s">
        <v>603</v>
      </c>
      <c r="I910" s="196"/>
      <c r="J910" s="179">
        <f>IF(A910="RAPPI",(VLOOKUP(TRIM(D910), CATALOGO!F:G, 2, FALSE) * C910)+I910,IFERROR(IF(COUNTIF('RESTAURANTESDESCUENTOS 2026'!A:A,TRIM(A910))&gt;0,((VLOOKUP(TRIM(D910), CATALOGO!A:B, 2, FALSE) * C910)*(1-VALUE(SUBSTITUTE(VLOOKUP(TRIM(A910),'RESTAURANTESDESCUENTOS 2026'!A:B,2,FALSE),"%",""))/100)+I910),(VLOOKUP(TRIM(D910), CATALOGO!A:B, 2, FALSE) * C910+I910)),""))</f>
        <v>123000</v>
      </c>
      <c r="K910" s="196"/>
      <c r="L910" s="87"/>
      <c r="M910" s="197" t="s">
        <v>587</v>
      </c>
      <c r="N910" s="168"/>
    </row>
    <row r="911" ht="22.5" hidden="1" customHeight="1">
      <c r="A911" s="137" t="s">
        <v>603</v>
      </c>
      <c r="B911" s="90">
        <v>46064.0</v>
      </c>
      <c r="C911" s="55">
        <v>1.0</v>
      </c>
      <c r="D911" s="97" t="s">
        <v>179</v>
      </c>
      <c r="E911" s="201">
        <v>5786.0</v>
      </c>
      <c r="F911" s="202"/>
      <c r="G911" s="194" t="s">
        <v>587</v>
      </c>
      <c r="H911" s="195" t="s">
        <v>603</v>
      </c>
      <c r="I911" s="196"/>
      <c r="J911" s="179">
        <f>IF(A911="RAPPI",(VLOOKUP(TRIM(D911), CATALOGO!F:G, 2, FALSE) * C911)+I911,IFERROR(IF(COUNTIF('RESTAURANTESDESCUENTOS 2026'!A:A,TRIM(A911))&gt;0,((VLOOKUP(TRIM(D911), CATALOGO!A:B, 2, FALSE) * C911)*(1-VALUE(SUBSTITUTE(VLOOKUP(TRIM(A911),'RESTAURANTESDESCUENTOS 2026'!A:B,2,FALSE),"%",""))/100)+I911),(VLOOKUP(TRIM(D911), CATALOGO!A:B, 2, FALSE) * C911+I911)),""))</f>
        <v>55000</v>
      </c>
      <c r="K911" s="196"/>
      <c r="L911" s="87"/>
      <c r="M911" s="197" t="s">
        <v>587</v>
      </c>
      <c r="N911" s="168"/>
    </row>
    <row r="912" ht="22.5" hidden="1" customHeight="1">
      <c r="A912" s="137" t="s">
        <v>603</v>
      </c>
      <c r="B912" s="90">
        <v>46064.0</v>
      </c>
      <c r="C912" s="55">
        <v>1.0</v>
      </c>
      <c r="D912" s="97" t="s">
        <v>601</v>
      </c>
      <c r="E912" s="201">
        <v>8714.0</v>
      </c>
      <c r="F912" s="202"/>
      <c r="G912" s="194" t="s">
        <v>587</v>
      </c>
      <c r="H912" s="195" t="s">
        <v>603</v>
      </c>
      <c r="I912" s="196"/>
      <c r="J912" s="179">
        <f>IF(A912="RAPPI",(VLOOKUP(TRIM(D912), CATALOGO!F:G, 2, FALSE) * C912)+I912,IFERROR(IF(COUNTIF('RESTAURANTESDESCUENTOS 2026'!A:A,TRIM(A912))&gt;0,((VLOOKUP(TRIM(D912), CATALOGO!A:B, 2, FALSE) * C912)*(1-VALUE(SUBSTITUTE(VLOOKUP(TRIM(A912),'RESTAURANTESDESCUENTOS 2026'!A:B,2,FALSE),"%",""))/100)+I912),(VLOOKUP(TRIM(D912), CATALOGO!A:B, 2, FALSE) * C912+I912)),""))</f>
        <v>53000</v>
      </c>
      <c r="K912" s="196"/>
      <c r="L912" s="87"/>
      <c r="M912" s="197" t="s">
        <v>587</v>
      </c>
      <c r="N912" s="168"/>
    </row>
    <row r="913" ht="22.5" hidden="1" customHeight="1">
      <c r="A913" s="137" t="s">
        <v>905</v>
      </c>
      <c r="B913" s="90">
        <v>46064.0</v>
      </c>
      <c r="C913" s="55">
        <v>1.0</v>
      </c>
      <c r="D913" s="97" t="s">
        <v>176</v>
      </c>
      <c r="E913" s="201" t="s">
        <v>645</v>
      </c>
      <c r="F913" s="202"/>
      <c r="G913" s="194" t="s">
        <v>587</v>
      </c>
      <c r="H913" s="195" t="s">
        <v>588</v>
      </c>
      <c r="I913" s="196">
        <v>13000.0</v>
      </c>
      <c r="J913" s="179">
        <f>IF(A913="RAPPI",(VLOOKUP(TRIM(D913), CATALOGO!F:G, 2, FALSE) * C913)+I913,IFERROR(IF(COUNTIF('RESTAURANTESDESCUENTOS 2026'!A:A,TRIM(A913))&gt;0,((VLOOKUP(TRIM(D913), CATALOGO!A:B, 2, FALSE) * C913)*(1-VALUE(SUBSTITUTE(VLOOKUP(TRIM(A913),'RESTAURANTESDESCUENTOS 2026'!A:B,2,FALSE),"%",""))/100)+I913),(VLOOKUP(TRIM(D913), CATALOGO!A:B, 2, FALSE) * C913+I913)),""))</f>
        <v>63000</v>
      </c>
      <c r="K913" s="196">
        <v>13000.0</v>
      </c>
      <c r="L913" s="87"/>
      <c r="M913" s="197" t="s">
        <v>587</v>
      </c>
      <c r="N913" s="168"/>
    </row>
    <row r="914" ht="22.5" hidden="1" customHeight="1">
      <c r="A914" s="137" t="s">
        <v>905</v>
      </c>
      <c r="B914" s="90">
        <v>46064.0</v>
      </c>
      <c r="C914" s="55">
        <v>1.0</v>
      </c>
      <c r="D914" s="97" t="s">
        <v>654</v>
      </c>
      <c r="E914" s="201"/>
      <c r="F914" s="202"/>
      <c r="G914" s="194" t="s">
        <v>587</v>
      </c>
      <c r="H914" s="195" t="s">
        <v>588</v>
      </c>
      <c r="I914" s="196">
        <v>0.0</v>
      </c>
      <c r="J914" s="179">
        <f>IF(A914="RAPPI",(VLOOKUP(TRIM(D914), CATALOGO!F:G, 2, FALSE) * C914)+I914,IFERROR(IF(COUNTIF('RESTAURANTESDESCUENTOS 2026'!A:A,TRIM(A914))&gt;0,((VLOOKUP(TRIM(D914), CATALOGO!A:B, 2, FALSE) * C914)*(1-VALUE(SUBSTITUTE(VLOOKUP(TRIM(A914),'RESTAURANTESDESCUENTOS 2026'!A:B,2,FALSE),"%",""))/100)+I914),(VLOOKUP(TRIM(D914), CATALOGO!A:B, 2, FALSE) * C914+I914)),""))</f>
        <v>4000</v>
      </c>
      <c r="K914" s="196">
        <v>0.0</v>
      </c>
      <c r="L914" s="87"/>
      <c r="M914" s="197" t="s">
        <v>587</v>
      </c>
      <c r="N914" s="168"/>
    </row>
    <row r="915" ht="22.5" hidden="1" customHeight="1">
      <c r="A915" s="137" t="s">
        <v>906</v>
      </c>
      <c r="B915" s="90">
        <v>46064.0</v>
      </c>
      <c r="C915" s="55">
        <v>1.0</v>
      </c>
      <c r="D915" s="97" t="s">
        <v>179</v>
      </c>
      <c r="E915" s="201"/>
      <c r="F915" s="202"/>
      <c r="G915" s="194" t="s">
        <v>587</v>
      </c>
      <c r="H915" s="195" t="s">
        <v>588</v>
      </c>
      <c r="I915" s="196">
        <v>10000.0</v>
      </c>
      <c r="J915" s="179">
        <f>IF(A915="RAPPI",(VLOOKUP(TRIM(D915), CATALOGO!F:G, 2, FALSE) * C915)+I915,IFERROR(IF(COUNTIF('RESTAURANTESDESCUENTOS 2026'!A:A,TRIM(A915))&gt;0,((VLOOKUP(TRIM(D915), CATALOGO!A:B, 2, FALSE) * C915)*(1-VALUE(SUBSTITUTE(VLOOKUP(TRIM(A915),'RESTAURANTESDESCUENTOS 2026'!A:B,2,FALSE),"%",""))/100)+I915),(VLOOKUP(TRIM(D915), CATALOGO!A:B, 2, FALSE) * C915+I915)),""))</f>
        <v>65000</v>
      </c>
      <c r="K915" s="196">
        <v>10000.0</v>
      </c>
      <c r="L915" s="87"/>
      <c r="M915" s="197" t="s">
        <v>587</v>
      </c>
      <c r="N915" s="168"/>
    </row>
    <row r="916" ht="22.5" hidden="1" customHeight="1">
      <c r="A916" s="137" t="s">
        <v>603</v>
      </c>
      <c r="B916" s="90">
        <v>46064.0</v>
      </c>
      <c r="C916" s="55">
        <v>1.0</v>
      </c>
      <c r="D916" s="97" t="s">
        <v>601</v>
      </c>
      <c r="E916" s="201">
        <v>7564.0</v>
      </c>
      <c r="F916" s="202"/>
      <c r="G916" s="194" t="s">
        <v>587</v>
      </c>
      <c r="H916" s="195" t="s">
        <v>603</v>
      </c>
      <c r="I916" s="196"/>
      <c r="J916" s="179">
        <f>IF(A916="RAPPI",(VLOOKUP(TRIM(D916), CATALOGO!F:G, 2, FALSE) * C916)+I916,IFERROR(IF(COUNTIF('RESTAURANTESDESCUENTOS 2026'!A:A,TRIM(A916))&gt;0,((VLOOKUP(TRIM(D916), CATALOGO!A:B, 2, FALSE) * C916)*(1-VALUE(SUBSTITUTE(VLOOKUP(TRIM(A916),'RESTAURANTESDESCUENTOS 2026'!A:B,2,FALSE),"%",""))/100)+I916),(VLOOKUP(TRIM(D916), CATALOGO!A:B, 2, FALSE) * C916+I916)),""))</f>
        <v>53000</v>
      </c>
      <c r="K916" s="196"/>
      <c r="L916" s="87"/>
      <c r="M916" s="197" t="s">
        <v>587</v>
      </c>
      <c r="N916" s="168"/>
    </row>
    <row r="917" ht="22.5" hidden="1" customHeight="1">
      <c r="A917" s="137" t="s">
        <v>30</v>
      </c>
      <c r="B917" s="90">
        <v>46065.0</v>
      </c>
      <c r="C917" s="55">
        <v>2.0</v>
      </c>
      <c r="D917" s="97" t="s">
        <v>178</v>
      </c>
      <c r="E917" s="201" t="s">
        <v>610</v>
      </c>
      <c r="F917" s="202"/>
      <c r="G917" s="194" t="s">
        <v>587</v>
      </c>
      <c r="H917" s="195" t="s">
        <v>907</v>
      </c>
      <c r="I917" s="196">
        <v>25000.0</v>
      </c>
      <c r="J917" s="179">
        <f>IF(A917="RAPPI",(VLOOKUP(TRIM(D917), CATALOGO!F:G, 2, FALSE) * C917)+I917,IFERROR(IF(COUNTIF('RESTAURANTESDESCUENTOS 2026'!A:A,TRIM(A917))&gt;0,((VLOOKUP(TRIM(D917), CATALOGO!A:B, 2, FALSE) * C917)*(1-VALUE(SUBSTITUTE(VLOOKUP(TRIM(A917),'RESTAURANTESDESCUENTOS 2026'!A:B,2,FALSE),"%",""))/100)+I917),(VLOOKUP(TRIM(D917), CATALOGO!A:B, 2, FALSE) * C917+I917)),""))</f>
        <v>250000</v>
      </c>
      <c r="K917" s="196">
        <v>25000.0</v>
      </c>
      <c r="L917" s="87" t="s">
        <v>587</v>
      </c>
      <c r="M917" s="197" t="s">
        <v>587</v>
      </c>
      <c r="N917" s="168"/>
    </row>
    <row r="918" ht="22.5" hidden="1" customHeight="1">
      <c r="A918" s="137" t="s">
        <v>63</v>
      </c>
      <c r="B918" s="90">
        <v>46065.0</v>
      </c>
      <c r="C918" s="55">
        <v>1.0</v>
      </c>
      <c r="D918" s="97" t="s">
        <v>178</v>
      </c>
      <c r="E918" s="201" t="s">
        <v>610</v>
      </c>
      <c r="F918" s="202"/>
      <c r="G918" s="194" t="s">
        <v>587</v>
      </c>
      <c r="H918" s="195" t="s">
        <v>632</v>
      </c>
      <c r="I918" s="196">
        <v>0.0</v>
      </c>
      <c r="J918" s="179">
        <f>IF(A918="RAPPI",(VLOOKUP(TRIM(D918), CATALOGO!F:G, 2, FALSE) * C918)+I918,IFERROR(IF(COUNTIF('RESTAURANTESDESCUENTOS 2026'!A:A,TRIM(A918))&gt;0,((VLOOKUP(TRIM(D918), CATALOGO!A:B, 2, FALSE) * C918)*(1-VALUE(SUBSTITUTE(VLOOKUP(TRIM(A918),'RESTAURANTESDESCUENTOS 2026'!A:B,2,FALSE),"%",""))/100)+I918),(VLOOKUP(TRIM(D918), CATALOGO!A:B, 2, FALSE) * C918+I918)),""))</f>
        <v>112500</v>
      </c>
      <c r="K918" s="196">
        <v>13000.0</v>
      </c>
      <c r="L918" s="87" t="s">
        <v>587</v>
      </c>
      <c r="M918" s="197" t="s">
        <v>587</v>
      </c>
      <c r="N918" s="168"/>
    </row>
    <row r="919" ht="22.5" hidden="1" customHeight="1">
      <c r="A919" s="137" t="s">
        <v>63</v>
      </c>
      <c r="B919" s="90">
        <v>46065.0</v>
      </c>
      <c r="C919" s="55">
        <v>100.0</v>
      </c>
      <c r="D919" s="97" t="s">
        <v>620</v>
      </c>
      <c r="E919" s="201"/>
      <c r="F919" s="202"/>
      <c r="G919" s="194" t="s">
        <v>587</v>
      </c>
      <c r="H919" s="195" t="s">
        <v>632</v>
      </c>
      <c r="I919" s="196">
        <v>0.0</v>
      </c>
      <c r="J919" s="199">
        <v>11000.0</v>
      </c>
      <c r="K919" s="196">
        <v>0.0</v>
      </c>
      <c r="L919" s="87" t="s">
        <v>587</v>
      </c>
      <c r="M919" s="197" t="s">
        <v>587</v>
      </c>
      <c r="N919" s="168"/>
    </row>
    <row r="920" ht="22.5" hidden="1" customHeight="1">
      <c r="A920" s="137" t="s">
        <v>63</v>
      </c>
      <c r="B920" s="90">
        <v>46065.0</v>
      </c>
      <c r="C920" s="55">
        <v>100.0</v>
      </c>
      <c r="D920" s="97" t="s">
        <v>639</v>
      </c>
      <c r="E920" s="201"/>
      <c r="F920" s="202"/>
      <c r="G920" s="194" t="s">
        <v>587</v>
      </c>
      <c r="H920" s="195" t="s">
        <v>632</v>
      </c>
      <c r="I920" s="196">
        <v>0.0</v>
      </c>
      <c r="J920" s="199">
        <v>11000.0</v>
      </c>
      <c r="K920" s="196">
        <v>0.0</v>
      </c>
      <c r="L920" s="87" t="s">
        <v>587</v>
      </c>
      <c r="M920" s="197" t="s">
        <v>587</v>
      </c>
      <c r="N920" s="168"/>
    </row>
    <row r="921" ht="22.5" hidden="1" customHeight="1">
      <c r="A921" s="137" t="s">
        <v>908</v>
      </c>
      <c r="B921" s="90">
        <v>46065.0</v>
      </c>
      <c r="C921" s="55">
        <v>1.0</v>
      </c>
      <c r="D921" s="97" t="s">
        <v>178</v>
      </c>
      <c r="E921" s="201" t="s">
        <v>610</v>
      </c>
      <c r="F921" s="202"/>
      <c r="G921" s="194" t="s">
        <v>587</v>
      </c>
      <c r="H921" s="195" t="s">
        <v>588</v>
      </c>
      <c r="I921" s="196">
        <v>0.0</v>
      </c>
      <c r="J921" s="179">
        <f>IF(A921="RAPPI",(VLOOKUP(TRIM(D921), CATALOGO!F:G, 2, FALSE) * C921)+I921,IFERROR(IF(COUNTIF('RESTAURANTESDESCUENTOS 2026'!A:A,TRIM(A921))&gt;0,((VLOOKUP(TRIM(D921), CATALOGO!A:B, 2, FALSE) * C921)*(1-VALUE(SUBSTITUTE(VLOOKUP(TRIM(A921),'RESTAURANTESDESCUENTOS 2026'!A:B,2,FALSE),"%",""))/100)+I921),(VLOOKUP(TRIM(D921), CATALOGO!A:B, 2, FALSE) * C921+I921)),""))</f>
        <v>150000</v>
      </c>
      <c r="K921" s="196">
        <v>0.0</v>
      </c>
      <c r="L921" s="87" t="s">
        <v>587</v>
      </c>
      <c r="M921" s="197" t="s">
        <v>587</v>
      </c>
      <c r="N921" s="168"/>
    </row>
    <row r="922" ht="22.5" hidden="1" customHeight="1">
      <c r="A922" s="137" t="s">
        <v>908</v>
      </c>
      <c r="B922" s="90">
        <v>46065.0</v>
      </c>
      <c r="C922" s="55">
        <v>100.0</v>
      </c>
      <c r="D922" s="97" t="s">
        <v>620</v>
      </c>
      <c r="E922" s="201"/>
      <c r="F922" s="202"/>
      <c r="G922" s="194" t="s">
        <v>587</v>
      </c>
      <c r="H922" s="195" t="s">
        <v>588</v>
      </c>
      <c r="I922" s="196">
        <v>0.0</v>
      </c>
      <c r="J922" s="199">
        <v>11000.0</v>
      </c>
      <c r="K922" s="196">
        <v>0.0</v>
      </c>
      <c r="L922" s="87" t="s">
        <v>587</v>
      </c>
      <c r="M922" s="197" t="s">
        <v>587</v>
      </c>
      <c r="N922" s="168"/>
    </row>
    <row r="923" ht="22.5" hidden="1" customHeight="1">
      <c r="A923" s="137" t="s">
        <v>908</v>
      </c>
      <c r="B923" s="90">
        <v>46065.0</v>
      </c>
      <c r="C923" s="55">
        <v>100.0</v>
      </c>
      <c r="D923" s="97" t="s">
        <v>639</v>
      </c>
      <c r="E923" s="201"/>
      <c r="F923" s="202"/>
      <c r="G923" s="194" t="s">
        <v>587</v>
      </c>
      <c r="H923" s="195" t="s">
        <v>588</v>
      </c>
      <c r="I923" s="196">
        <v>0.0</v>
      </c>
      <c r="J923" s="199">
        <v>11000.0</v>
      </c>
      <c r="K923" s="196">
        <v>0.0</v>
      </c>
      <c r="L923" s="87" t="s">
        <v>587</v>
      </c>
      <c r="M923" s="197" t="s">
        <v>587</v>
      </c>
      <c r="N923" s="168"/>
    </row>
    <row r="924" ht="22.5" hidden="1" customHeight="1">
      <c r="A924" s="137" t="s">
        <v>69</v>
      </c>
      <c r="B924" s="90">
        <v>46065.0</v>
      </c>
      <c r="C924" s="55">
        <v>1.0</v>
      </c>
      <c r="D924" s="97" t="s">
        <v>178</v>
      </c>
      <c r="E924" s="201" t="s">
        <v>610</v>
      </c>
      <c r="F924" s="202"/>
      <c r="G924" s="194" t="s">
        <v>587</v>
      </c>
      <c r="H924" s="195" t="s">
        <v>632</v>
      </c>
      <c r="I924" s="196">
        <v>0.0</v>
      </c>
      <c r="J924" s="179">
        <f>IF(A924="RAPPI",(VLOOKUP(TRIM(D924), CATALOGO!F:G, 2, FALSE) * C924)+I924,IFERROR(IF(COUNTIF('RESTAURANTESDESCUENTOS 2026'!A:A,TRIM(A924))&gt;0,((VLOOKUP(TRIM(D924), CATALOGO!A:B, 2, FALSE) * C924)*(1-VALUE(SUBSTITUTE(VLOOKUP(TRIM(A924),'RESTAURANTESDESCUENTOS 2026'!A:B,2,FALSE),"%",""))/100)+I924),(VLOOKUP(TRIM(D924), CATALOGO!A:B, 2, FALSE) * C924+I924)),""))</f>
        <v>112500</v>
      </c>
      <c r="K924" s="196">
        <v>10000.0</v>
      </c>
      <c r="L924" s="87" t="s">
        <v>587</v>
      </c>
      <c r="M924" s="197" t="s">
        <v>587</v>
      </c>
      <c r="N924" s="168"/>
    </row>
    <row r="925" ht="22.5" hidden="1" customHeight="1">
      <c r="A925" s="137" t="s">
        <v>69</v>
      </c>
      <c r="B925" s="90">
        <v>46065.0</v>
      </c>
      <c r="C925" s="55">
        <v>100.0</v>
      </c>
      <c r="D925" s="97" t="s">
        <v>620</v>
      </c>
      <c r="E925" s="201"/>
      <c r="F925" s="202"/>
      <c r="G925" s="194" t="s">
        <v>587</v>
      </c>
      <c r="H925" s="195" t="s">
        <v>632</v>
      </c>
      <c r="I925" s="196">
        <v>0.0</v>
      </c>
      <c r="J925" s="199">
        <v>11000.0</v>
      </c>
      <c r="K925" s="196">
        <v>0.0</v>
      </c>
      <c r="L925" s="87" t="s">
        <v>587</v>
      </c>
      <c r="M925" s="197" t="s">
        <v>587</v>
      </c>
      <c r="N925" s="168"/>
    </row>
    <row r="926" ht="22.5" hidden="1" customHeight="1">
      <c r="A926" s="137" t="s">
        <v>69</v>
      </c>
      <c r="B926" s="90">
        <v>46065.0</v>
      </c>
      <c r="C926" s="55">
        <v>100.0</v>
      </c>
      <c r="D926" s="97" t="s">
        <v>639</v>
      </c>
      <c r="E926" s="201"/>
      <c r="F926" s="202"/>
      <c r="G926" s="194" t="s">
        <v>587</v>
      </c>
      <c r="H926" s="195" t="s">
        <v>632</v>
      </c>
      <c r="I926" s="196">
        <v>0.0</v>
      </c>
      <c r="J926" s="199">
        <v>11000.0</v>
      </c>
      <c r="K926" s="196">
        <v>0.0</v>
      </c>
      <c r="L926" s="87" t="s">
        <v>587</v>
      </c>
      <c r="M926" s="197" t="s">
        <v>587</v>
      </c>
      <c r="N926" s="168"/>
    </row>
    <row r="927" ht="22.5" hidden="1" customHeight="1">
      <c r="A927" s="137" t="s">
        <v>49</v>
      </c>
      <c r="B927" s="90">
        <v>46065.0</v>
      </c>
      <c r="C927" s="55">
        <v>2.0</v>
      </c>
      <c r="D927" s="97" t="s">
        <v>177</v>
      </c>
      <c r="E927" s="201" t="s">
        <v>610</v>
      </c>
      <c r="F927" s="202"/>
      <c r="G927" s="194" t="s">
        <v>587</v>
      </c>
      <c r="H927" s="195" t="s">
        <v>588</v>
      </c>
      <c r="I927" s="196">
        <v>0.0</v>
      </c>
      <c r="J927" s="179">
        <f>IF(A927="RAPPI",(VLOOKUP(TRIM(D927), CATALOGO!F:G, 2, FALSE) * C927)+I927,IFERROR(IF(COUNTIF('RESTAURANTESDESCUENTOS 2026'!A:A,TRIM(A927))&gt;0,((VLOOKUP(TRIM(D927), CATALOGO!A:B, 2, FALSE) * C927)*(1-VALUE(SUBSTITUTE(VLOOKUP(TRIM(A927),'RESTAURANTESDESCUENTOS 2026'!A:B,2,FALSE),"%",""))/100)+I927),(VLOOKUP(TRIM(D927), CATALOGO!A:B, 2, FALSE) * C927+I927)),""))</f>
        <v>172500</v>
      </c>
      <c r="K927" s="196">
        <v>0.0</v>
      </c>
      <c r="L927" s="87" t="s">
        <v>587</v>
      </c>
      <c r="M927" s="197" t="s">
        <v>587</v>
      </c>
      <c r="N927" s="168"/>
    </row>
    <row r="928" ht="22.5" hidden="1" customHeight="1">
      <c r="A928" s="137" t="s">
        <v>46</v>
      </c>
      <c r="B928" s="90">
        <v>46065.0</v>
      </c>
      <c r="C928" s="55">
        <v>1.0</v>
      </c>
      <c r="D928" s="97" t="s">
        <v>177</v>
      </c>
      <c r="E928" s="201" t="s">
        <v>610</v>
      </c>
      <c r="F928" s="202"/>
      <c r="G928" s="194" t="s">
        <v>587</v>
      </c>
      <c r="H928" s="195" t="s">
        <v>632</v>
      </c>
      <c r="I928" s="196">
        <v>0.0</v>
      </c>
      <c r="J928" s="179">
        <f>IF(A928="RAPPI",(VLOOKUP(TRIM(D928), CATALOGO!F:G, 2, FALSE) * C928)+I928,IFERROR(IF(COUNTIF('RESTAURANTESDESCUENTOS 2026'!A:A,TRIM(A928))&gt;0,((VLOOKUP(TRIM(D928), CATALOGO!A:B, 2, FALSE) * C928)*(1-VALUE(SUBSTITUTE(VLOOKUP(TRIM(A928),'RESTAURANTESDESCUENTOS 2026'!A:B,2,FALSE),"%",""))/100)+I928),(VLOOKUP(TRIM(D928), CATALOGO!A:B, 2, FALSE) * C928+I928)),""))</f>
        <v>86250</v>
      </c>
      <c r="K928" s="196">
        <v>18000.0</v>
      </c>
      <c r="L928" s="87" t="s">
        <v>587</v>
      </c>
      <c r="M928" s="197" t="s">
        <v>587</v>
      </c>
      <c r="N928" s="168"/>
    </row>
    <row r="929" ht="22.5" hidden="1" customHeight="1">
      <c r="A929" s="137" t="s">
        <v>909</v>
      </c>
      <c r="B929" s="90">
        <v>46065.0</v>
      </c>
      <c r="C929" s="55">
        <v>1.0</v>
      </c>
      <c r="D929" s="97" t="s">
        <v>177</v>
      </c>
      <c r="E929" s="201"/>
      <c r="F929" s="202"/>
      <c r="G929" s="194" t="s">
        <v>35</v>
      </c>
      <c r="H929" s="198"/>
      <c r="I929" s="196"/>
      <c r="J929" s="179">
        <f>IF(A929="RAPPI",(VLOOKUP(TRIM(D929), CATALOGO!F:G, 2, FALSE) * C929)+I929,IFERROR(IF(COUNTIF('RESTAURANTESDESCUENTOS 2026'!A:A,TRIM(A929))&gt;0,((VLOOKUP(TRIM(D929), CATALOGO!A:B, 2, FALSE) * C929)*(1-VALUE(SUBSTITUTE(VLOOKUP(TRIM(A929),'RESTAURANTESDESCUENTOS 2026'!A:B,2,FALSE),"%",""))/100)+I929),(VLOOKUP(TRIM(D929), CATALOGO!A:B, 2, FALSE) * C929+I929)),""))</f>
        <v>115000</v>
      </c>
      <c r="K929" s="196"/>
      <c r="L929" s="87"/>
      <c r="M929" s="197" t="s">
        <v>587</v>
      </c>
      <c r="N929" s="168"/>
    </row>
    <row r="930" ht="22.5" hidden="1" customHeight="1">
      <c r="A930" s="137" t="s">
        <v>86</v>
      </c>
      <c r="B930" s="90">
        <v>46065.0</v>
      </c>
      <c r="C930" s="55">
        <v>1.0</v>
      </c>
      <c r="D930" s="97" t="s">
        <v>177</v>
      </c>
      <c r="E930" s="201" t="s">
        <v>610</v>
      </c>
      <c r="F930" s="202"/>
      <c r="G930" s="194" t="s">
        <v>587</v>
      </c>
      <c r="H930" s="195" t="s">
        <v>632</v>
      </c>
      <c r="I930" s="196">
        <v>0.0</v>
      </c>
      <c r="J930" s="179">
        <f>IF(A930="RAPPI",(VLOOKUP(TRIM(D930), CATALOGO!F:G, 2, FALSE) * C930)+I930,IFERROR(IF(COUNTIF('RESTAURANTESDESCUENTOS 2026'!A:A,TRIM(A930))&gt;0,((VLOOKUP(TRIM(D930), CATALOGO!A:B, 2, FALSE) * C930)*(1-VALUE(SUBSTITUTE(VLOOKUP(TRIM(A930),'RESTAURANTESDESCUENTOS 2026'!A:B,2,FALSE),"%",""))/100)+I930),(VLOOKUP(TRIM(D930), CATALOGO!A:B, 2, FALSE) * C930+I930)),""))</f>
        <v>86250</v>
      </c>
      <c r="K930" s="196">
        <v>15000.0</v>
      </c>
      <c r="L930" s="87" t="s">
        <v>587</v>
      </c>
      <c r="M930" s="197" t="s">
        <v>587</v>
      </c>
      <c r="N930" s="168"/>
    </row>
    <row r="931" ht="22.5" hidden="1" customHeight="1">
      <c r="A931" s="137" t="s">
        <v>10</v>
      </c>
      <c r="B931" s="90">
        <v>46065.0</v>
      </c>
      <c r="C931" s="55">
        <v>2.0</v>
      </c>
      <c r="D931" s="97" t="s">
        <v>178</v>
      </c>
      <c r="E931" s="201" t="s">
        <v>610</v>
      </c>
      <c r="F931" s="202"/>
      <c r="G931" s="194" t="s">
        <v>587</v>
      </c>
      <c r="H931" s="195" t="s">
        <v>632</v>
      </c>
      <c r="I931" s="196">
        <v>0.0</v>
      </c>
      <c r="J931" s="179">
        <f>IF(A931="RAPPI",(VLOOKUP(TRIM(D931), CATALOGO!F:G, 2, FALSE) * C931)+I931,IFERROR(IF(COUNTIF('RESTAURANTESDESCUENTOS 2026'!A:A,TRIM(A931))&gt;0,((VLOOKUP(TRIM(D931), CATALOGO!A:B, 2, FALSE) * C931)*(1-VALUE(SUBSTITUTE(VLOOKUP(TRIM(A931),'RESTAURANTESDESCUENTOS 2026'!A:B,2,FALSE),"%",""))/100)+I931),(VLOOKUP(TRIM(D931), CATALOGO!A:B, 2, FALSE) * C931+I931)),""))</f>
        <v>225000</v>
      </c>
      <c r="K931" s="196">
        <v>10000.0</v>
      </c>
      <c r="L931" s="87" t="s">
        <v>587</v>
      </c>
      <c r="M931" s="197" t="s">
        <v>587</v>
      </c>
      <c r="N931" s="168"/>
    </row>
    <row r="932" ht="22.5" hidden="1" customHeight="1">
      <c r="A932" s="137" t="s">
        <v>55</v>
      </c>
      <c r="B932" s="90">
        <v>46065.0</v>
      </c>
      <c r="C932" s="55">
        <v>2.0</v>
      </c>
      <c r="D932" s="97" t="s">
        <v>178</v>
      </c>
      <c r="E932" s="201" t="s">
        <v>552</v>
      </c>
      <c r="F932" s="202"/>
      <c r="G932" s="194" t="s">
        <v>587</v>
      </c>
      <c r="H932" s="195" t="s">
        <v>632</v>
      </c>
      <c r="I932" s="196">
        <v>10000.0</v>
      </c>
      <c r="J932" s="179">
        <f>IF(A932="RAPPI",(VLOOKUP(TRIM(D932), CATALOGO!F:G, 2, FALSE) * C932)+I932,IFERROR(IF(COUNTIF('RESTAURANTESDESCUENTOS 2026'!A:A,TRIM(A932))&gt;0,((VLOOKUP(TRIM(D932), CATALOGO!A:B, 2, FALSE) * C932)*(1-VALUE(SUBSTITUTE(VLOOKUP(TRIM(A932),'RESTAURANTESDESCUENTOS 2026'!A:B,2,FALSE),"%",""))/100)+I932),(VLOOKUP(TRIM(D932), CATALOGO!A:B, 2, FALSE) * C932+I932)),""))</f>
        <v>235000</v>
      </c>
      <c r="K932" s="196">
        <v>10000.0</v>
      </c>
      <c r="L932" s="87" t="s">
        <v>587</v>
      </c>
      <c r="M932" s="197" t="s">
        <v>587</v>
      </c>
      <c r="N932" s="168"/>
    </row>
    <row r="933" ht="22.5" hidden="1" customHeight="1">
      <c r="A933" s="137" t="s">
        <v>55</v>
      </c>
      <c r="B933" s="90">
        <v>46065.0</v>
      </c>
      <c r="C933" s="55">
        <v>8.0</v>
      </c>
      <c r="D933" s="97" t="s">
        <v>182</v>
      </c>
      <c r="E933" s="201" t="s">
        <v>910</v>
      </c>
      <c r="F933" s="202"/>
      <c r="G933" s="194" t="s">
        <v>587</v>
      </c>
      <c r="H933" s="195" t="s">
        <v>632</v>
      </c>
      <c r="I933" s="196">
        <v>0.0</v>
      </c>
      <c r="J933" s="179">
        <f>IF(A933="RAPPI",(VLOOKUP(TRIM(D933), CATALOGO!F:G, 2, FALSE) * C933)+I933,IFERROR(IF(COUNTIF('RESTAURANTESDESCUENTOS 2026'!A:A,TRIM(A933))&gt;0,((VLOOKUP(TRIM(D933), CATALOGO!A:B, 2, FALSE) * C933)*(1-VALUE(SUBSTITUTE(VLOOKUP(TRIM(A933),'RESTAURANTESDESCUENTOS 2026'!A:B,2,FALSE),"%",""))/100)+I933),(VLOOKUP(TRIM(D933), CATALOGO!A:B, 2, FALSE) * C933+I933)),""))</f>
        <v>222000</v>
      </c>
      <c r="K933" s="196">
        <v>0.0</v>
      </c>
      <c r="L933" s="87" t="s">
        <v>587</v>
      </c>
      <c r="M933" s="197" t="s">
        <v>587</v>
      </c>
      <c r="N933" s="168"/>
    </row>
    <row r="934" ht="22.5" hidden="1" customHeight="1">
      <c r="A934" s="137" t="s">
        <v>911</v>
      </c>
      <c r="B934" s="90">
        <v>46065.0</v>
      </c>
      <c r="C934" s="55">
        <v>1.0</v>
      </c>
      <c r="D934" s="97" t="s">
        <v>176</v>
      </c>
      <c r="E934" s="201"/>
      <c r="F934" s="202"/>
      <c r="G934" s="194" t="s">
        <v>587</v>
      </c>
      <c r="H934" s="195" t="s">
        <v>632</v>
      </c>
      <c r="I934" s="196">
        <v>10000.0</v>
      </c>
      <c r="J934" s="179">
        <f>IF(A934="RAPPI",(VLOOKUP(TRIM(D934), CATALOGO!F:G, 2, FALSE) * C934)+I934,IFERROR(IF(COUNTIF('RESTAURANTESDESCUENTOS 2026'!A:A,TRIM(A934))&gt;0,((VLOOKUP(TRIM(D934), CATALOGO!A:B, 2, FALSE) * C934)*(1-VALUE(SUBSTITUTE(VLOOKUP(TRIM(A934),'RESTAURANTESDESCUENTOS 2026'!A:B,2,FALSE),"%",""))/100)+I934),(VLOOKUP(TRIM(D934), CATALOGO!A:B, 2, FALSE) * C934+I934)),""))</f>
        <v>60000</v>
      </c>
      <c r="K934" s="196">
        <v>10000.0</v>
      </c>
      <c r="L934" s="87"/>
      <c r="M934" s="197" t="s">
        <v>587</v>
      </c>
      <c r="N934" s="168"/>
    </row>
    <row r="935" ht="22.5" hidden="1" customHeight="1">
      <c r="A935" s="137" t="s">
        <v>597</v>
      </c>
      <c r="B935" s="90">
        <v>46065.0</v>
      </c>
      <c r="C935" s="55">
        <v>6.0</v>
      </c>
      <c r="D935" s="97" t="s">
        <v>176</v>
      </c>
      <c r="E935" s="201"/>
      <c r="F935" s="202"/>
      <c r="G935" s="194" t="s">
        <v>587</v>
      </c>
      <c r="H935" s="195" t="s">
        <v>588</v>
      </c>
      <c r="I935" s="196">
        <v>0.0</v>
      </c>
      <c r="J935" s="199">
        <v>0.0</v>
      </c>
      <c r="K935" s="196">
        <v>100000.0</v>
      </c>
      <c r="L935" s="87"/>
      <c r="M935" s="197" t="s">
        <v>587</v>
      </c>
      <c r="N935" s="168"/>
    </row>
    <row r="936" ht="22.5" hidden="1" customHeight="1">
      <c r="A936" s="137" t="s">
        <v>597</v>
      </c>
      <c r="B936" s="90">
        <v>46065.0</v>
      </c>
      <c r="C936" s="55">
        <v>4.0</v>
      </c>
      <c r="D936" s="97" t="s">
        <v>178</v>
      </c>
      <c r="E936" s="201" t="s">
        <v>552</v>
      </c>
      <c r="F936" s="202"/>
      <c r="G936" s="194" t="s">
        <v>587</v>
      </c>
      <c r="H936" s="195" t="s">
        <v>588</v>
      </c>
      <c r="I936" s="196">
        <v>0.0</v>
      </c>
      <c r="J936" s="199">
        <v>0.0</v>
      </c>
      <c r="K936" s="196">
        <v>0.0</v>
      </c>
      <c r="L936" s="87"/>
      <c r="M936" s="197" t="s">
        <v>587</v>
      </c>
      <c r="N936" s="168"/>
    </row>
    <row r="937" ht="22.5" hidden="1" customHeight="1">
      <c r="A937" s="137" t="s">
        <v>912</v>
      </c>
      <c r="B937" s="90">
        <v>46065.0</v>
      </c>
      <c r="C937" s="55">
        <v>1.0</v>
      </c>
      <c r="D937" s="97" t="s">
        <v>176</v>
      </c>
      <c r="E937" s="201" t="s">
        <v>645</v>
      </c>
      <c r="F937" s="202"/>
      <c r="G937" s="194" t="s">
        <v>587</v>
      </c>
      <c r="H937" s="195" t="s">
        <v>588</v>
      </c>
      <c r="I937" s="196">
        <v>10000.0</v>
      </c>
      <c r="J937" s="179">
        <f>IF(A937="RAPPI",(VLOOKUP(TRIM(D937), CATALOGO!F:G, 2, FALSE) * C937)+I937,IFERROR(IF(COUNTIF('RESTAURANTESDESCUENTOS 2026'!A:A,TRIM(A937))&gt;0,((VLOOKUP(TRIM(D937), CATALOGO!A:B, 2, FALSE) * C937)*(1-VALUE(SUBSTITUTE(VLOOKUP(TRIM(A937),'RESTAURANTESDESCUENTOS 2026'!A:B,2,FALSE),"%",""))/100)+I937),(VLOOKUP(TRIM(D937), CATALOGO!A:B, 2, FALSE) * C937+I937)),""))</f>
        <v>60000</v>
      </c>
      <c r="K937" s="196">
        <v>10000.0</v>
      </c>
      <c r="L937" s="87"/>
      <c r="M937" s="197" t="s">
        <v>587</v>
      </c>
      <c r="N937" s="168"/>
    </row>
    <row r="938" ht="22.5" hidden="1" customHeight="1">
      <c r="A938" s="137" t="s">
        <v>605</v>
      </c>
      <c r="B938" s="90">
        <v>46065.0</v>
      </c>
      <c r="C938" s="55">
        <v>1.0</v>
      </c>
      <c r="D938" s="97" t="s">
        <v>601</v>
      </c>
      <c r="E938" s="201" t="s">
        <v>607</v>
      </c>
      <c r="F938" s="202"/>
      <c r="G938" s="194" t="s">
        <v>35</v>
      </c>
      <c r="H938" s="198"/>
      <c r="I938" s="196"/>
      <c r="J938" s="179">
        <f>IF(A938="RAPPI",(VLOOKUP(TRIM(D938), CATALOGO!F:G, 2, FALSE) * C938)+I938,IFERROR(IF(COUNTIF('RESTAURANTESDESCUENTOS 2026'!A:A,TRIM(A938))&gt;0,((VLOOKUP(TRIM(D938), CATALOGO!A:B, 2, FALSE) * C938)*(1-VALUE(SUBSTITUTE(VLOOKUP(TRIM(A938),'RESTAURANTESDESCUENTOS 2026'!A:B,2,FALSE),"%",""))/100)+I938),(VLOOKUP(TRIM(D938), CATALOGO!A:B, 2, FALSE) * C938+I938)),""))</f>
        <v>53000</v>
      </c>
      <c r="K938" s="196"/>
      <c r="L938" s="87"/>
      <c r="M938" s="197" t="s">
        <v>587</v>
      </c>
      <c r="N938" s="168"/>
    </row>
    <row r="939" ht="22.5" hidden="1" customHeight="1">
      <c r="A939" s="137" t="s">
        <v>33</v>
      </c>
      <c r="B939" s="90">
        <v>46065.0</v>
      </c>
      <c r="C939" s="55">
        <v>1.0</v>
      </c>
      <c r="D939" s="97" t="s">
        <v>177</v>
      </c>
      <c r="E939" s="201" t="s">
        <v>610</v>
      </c>
      <c r="F939" s="202"/>
      <c r="G939" s="194" t="s">
        <v>587</v>
      </c>
      <c r="H939" s="195" t="s">
        <v>632</v>
      </c>
      <c r="I939" s="196">
        <v>0.0</v>
      </c>
      <c r="J939" s="179">
        <f>IF(A939="RAPPI",(VLOOKUP(TRIM(D939), CATALOGO!F:G, 2, FALSE) * C939)+I939,IFERROR(IF(COUNTIF('RESTAURANTESDESCUENTOS 2026'!A:A,TRIM(A939))&gt;0,((VLOOKUP(TRIM(D939), CATALOGO!A:B, 2, FALSE) * C939)*(1-VALUE(SUBSTITUTE(VLOOKUP(TRIM(A939),'RESTAURANTESDESCUENTOS 2026'!A:B,2,FALSE),"%",""))/100)+I939),(VLOOKUP(TRIM(D939), CATALOGO!A:B, 2, FALSE) * C939+I939)),""))</f>
        <v>86250</v>
      </c>
      <c r="K939" s="196">
        <v>0.0</v>
      </c>
      <c r="L939" s="87" t="s">
        <v>587</v>
      </c>
      <c r="M939" s="197" t="s">
        <v>587</v>
      </c>
      <c r="N939" s="168"/>
    </row>
    <row r="940" ht="22.5" hidden="1" customHeight="1">
      <c r="A940" s="137" t="s">
        <v>913</v>
      </c>
      <c r="B940" s="90">
        <v>46065.0</v>
      </c>
      <c r="C940" s="55">
        <v>1.0</v>
      </c>
      <c r="D940" s="97" t="s">
        <v>177</v>
      </c>
      <c r="E940" s="201" t="s">
        <v>610</v>
      </c>
      <c r="F940" s="202"/>
      <c r="G940" s="194" t="s">
        <v>587</v>
      </c>
      <c r="H940" s="195" t="s">
        <v>632</v>
      </c>
      <c r="I940" s="196">
        <v>0.0</v>
      </c>
      <c r="J940" s="179">
        <f>IF(A940="RAPPI",(VLOOKUP(TRIM(D940), CATALOGO!F:G, 2, FALSE) * C940)+I940,IFERROR(IF(COUNTIF('RESTAURANTESDESCUENTOS 2026'!A:A,TRIM(A940))&gt;0,((VLOOKUP(TRIM(D940), CATALOGO!A:B, 2, FALSE) * C940)*(1-VALUE(SUBSTITUTE(VLOOKUP(TRIM(A940),'RESTAURANTESDESCUENTOS 2026'!A:B,2,FALSE),"%",""))/100)+I940),(VLOOKUP(TRIM(D940), CATALOGO!A:B, 2, FALSE) * C940+I940)),""))</f>
        <v>86250</v>
      </c>
      <c r="K940" s="196">
        <v>0.0</v>
      </c>
      <c r="L940" s="87" t="s">
        <v>587</v>
      </c>
      <c r="M940" s="197" t="s">
        <v>587</v>
      </c>
      <c r="N940" s="168"/>
    </row>
    <row r="941" ht="22.5" hidden="1" customHeight="1">
      <c r="A941" s="137" t="s">
        <v>603</v>
      </c>
      <c r="B941" s="90">
        <v>46065.0</v>
      </c>
      <c r="C941" s="55">
        <v>1.0</v>
      </c>
      <c r="D941" s="97" t="s">
        <v>628</v>
      </c>
      <c r="E941" s="201">
        <v>9732.0</v>
      </c>
      <c r="F941" s="202"/>
      <c r="G941" s="194" t="s">
        <v>587</v>
      </c>
      <c r="H941" s="195" t="s">
        <v>603</v>
      </c>
      <c r="I941" s="196"/>
      <c r="J941" s="179">
        <f>IF(A941="RAPPI",(VLOOKUP(TRIM(D941), CATALOGO!F:G, 2, FALSE) * C941)+I941,IFERROR(IF(COUNTIF('RESTAURANTESDESCUENTOS 2026'!A:A,TRIM(A941))&gt;0,((VLOOKUP(TRIM(D941), CATALOGO!A:B, 2, FALSE) * C941)*(1-VALUE(SUBSTITUTE(VLOOKUP(TRIM(A941),'RESTAURANTESDESCUENTOS 2026'!A:B,2,FALSE),"%",""))/100)+I941),(VLOOKUP(TRIM(D941), CATALOGO!A:B, 2, FALSE) * C941+I941)),""))</f>
        <v>22000</v>
      </c>
      <c r="K941" s="196"/>
      <c r="L941" s="87"/>
      <c r="M941" s="197" t="s">
        <v>587</v>
      </c>
      <c r="N941" s="168"/>
    </row>
    <row r="942" ht="22.5" hidden="1" customHeight="1">
      <c r="A942" s="137" t="s">
        <v>603</v>
      </c>
      <c r="B942" s="90">
        <v>46065.0</v>
      </c>
      <c r="C942" s="55">
        <v>1.0</v>
      </c>
      <c r="D942" s="97" t="s">
        <v>602</v>
      </c>
      <c r="E942" s="201">
        <v>9732.0</v>
      </c>
      <c r="F942" s="202"/>
      <c r="G942" s="194" t="s">
        <v>587</v>
      </c>
      <c r="H942" s="195" t="s">
        <v>603</v>
      </c>
      <c r="I942" s="196"/>
      <c r="J942" s="179">
        <f>IF(A942="RAPPI",(VLOOKUP(TRIM(D942), CATALOGO!F:G, 2, FALSE) * C942)+I942,IFERROR(IF(COUNTIF('RESTAURANTESDESCUENTOS 2026'!A:A,TRIM(A942))&gt;0,((VLOOKUP(TRIM(D942), CATALOGO!A:B, 2, FALSE) * C942)*(1-VALUE(SUBSTITUTE(VLOOKUP(TRIM(A942),'RESTAURANTESDESCUENTOS 2026'!A:B,2,FALSE),"%",""))/100)+I942),(VLOOKUP(TRIM(D942), CATALOGO!A:B, 2, FALSE) * C942+I942)),""))</f>
        <v>22000</v>
      </c>
      <c r="K942" s="196"/>
      <c r="L942" s="87"/>
      <c r="M942" s="197" t="s">
        <v>587</v>
      </c>
      <c r="N942" s="168"/>
    </row>
    <row r="943" ht="22.5" hidden="1" customHeight="1">
      <c r="A943" s="137" t="s">
        <v>914</v>
      </c>
      <c r="B943" s="90">
        <v>46065.0</v>
      </c>
      <c r="C943" s="55">
        <v>1.0</v>
      </c>
      <c r="D943" s="97" t="s">
        <v>182</v>
      </c>
      <c r="E943" s="201"/>
      <c r="F943" s="202"/>
      <c r="G943" s="194" t="s">
        <v>587</v>
      </c>
      <c r="H943" s="195" t="s">
        <v>588</v>
      </c>
      <c r="I943" s="196">
        <v>14000.0</v>
      </c>
      <c r="J943" s="179">
        <f>IF(A943="RAPPI",(VLOOKUP(TRIM(D943), CATALOGO!F:G, 2, FALSE) * C943)+I943,IFERROR(IF(COUNTIF('RESTAURANTESDESCUENTOS 2026'!A:A,TRIM(A943))&gt;0,((VLOOKUP(TRIM(D943), CATALOGO!A:B, 2, FALSE) * C943)*(1-VALUE(SUBSTITUTE(VLOOKUP(TRIM(A943),'RESTAURANTESDESCUENTOS 2026'!A:B,2,FALSE),"%",""))/100)+I943),(VLOOKUP(TRIM(D943), CATALOGO!A:B, 2, FALSE) * C943+I943)),""))</f>
        <v>51000</v>
      </c>
      <c r="K943" s="196">
        <v>15000.0</v>
      </c>
      <c r="L943" s="87"/>
      <c r="M943" s="197" t="s">
        <v>587</v>
      </c>
      <c r="N943" s="168"/>
    </row>
    <row r="944" ht="22.5" hidden="1" customHeight="1">
      <c r="A944" s="137" t="s">
        <v>914</v>
      </c>
      <c r="B944" s="90">
        <v>46065.0</v>
      </c>
      <c r="C944" s="55">
        <v>2.0</v>
      </c>
      <c r="D944" s="97" t="s">
        <v>236</v>
      </c>
      <c r="E944" s="201"/>
      <c r="F944" s="202"/>
      <c r="G944" s="194" t="s">
        <v>587</v>
      </c>
      <c r="H944" s="195" t="s">
        <v>588</v>
      </c>
      <c r="I944" s="196">
        <v>0.0</v>
      </c>
      <c r="J944" s="179">
        <f>IF(A944="RAPPI",(VLOOKUP(TRIM(D944), CATALOGO!F:G, 2, FALSE) * C944)+I944,IFERROR(IF(COUNTIF('RESTAURANTESDESCUENTOS 2026'!A:A,TRIM(A944))&gt;0,((VLOOKUP(TRIM(D944), CATALOGO!A:B, 2, FALSE) * C944)*(1-VALUE(SUBSTITUTE(VLOOKUP(TRIM(A944),'RESTAURANTESDESCUENTOS 2026'!A:B,2,FALSE),"%",""))/100)+I944),(VLOOKUP(TRIM(D944), CATALOGO!A:B, 2, FALSE) * C944+I944)),""))</f>
        <v>0</v>
      </c>
      <c r="K944" s="196">
        <v>0.0</v>
      </c>
      <c r="L944" s="87"/>
      <c r="M944" s="197" t="s">
        <v>587</v>
      </c>
      <c r="N944" s="168"/>
    </row>
    <row r="945" ht="22.5" hidden="1" customHeight="1">
      <c r="A945" s="137" t="s">
        <v>914</v>
      </c>
      <c r="B945" s="90">
        <v>46065.0</v>
      </c>
      <c r="C945" s="55">
        <v>2.0</v>
      </c>
      <c r="D945" s="97" t="s">
        <v>669</v>
      </c>
      <c r="E945" s="201"/>
      <c r="F945" s="202"/>
      <c r="G945" s="194" t="s">
        <v>587</v>
      </c>
      <c r="H945" s="195" t="s">
        <v>588</v>
      </c>
      <c r="I945" s="196">
        <v>0.0</v>
      </c>
      <c r="J945" s="179">
        <f>IF(A945="RAPPI",(VLOOKUP(TRIM(D945), CATALOGO!F:G, 2, FALSE) * C945)+I945,IFERROR(IF(COUNTIF('RESTAURANTESDESCUENTOS 2026'!A:A,TRIM(A945))&gt;0,((VLOOKUP(TRIM(D945), CATALOGO!A:B, 2, FALSE) * C945)*(1-VALUE(SUBSTITUTE(VLOOKUP(TRIM(A945),'RESTAURANTESDESCUENTOS 2026'!A:B,2,FALSE),"%",""))/100)+I945),(VLOOKUP(TRIM(D945), CATALOGO!A:B, 2, FALSE) * C945+I945)),""))</f>
        <v>0</v>
      </c>
      <c r="K945" s="196">
        <v>0.0</v>
      </c>
      <c r="L945" s="87"/>
      <c r="M945" s="197" t="s">
        <v>587</v>
      </c>
      <c r="N945" s="168"/>
    </row>
    <row r="946" ht="22.5" hidden="1" customHeight="1">
      <c r="A946" s="137" t="s">
        <v>603</v>
      </c>
      <c r="B946" s="90">
        <v>46065.0</v>
      </c>
      <c r="C946" s="55">
        <v>1.0</v>
      </c>
      <c r="D946" s="97" t="s">
        <v>176</v>
      </c>
      <c r="E946" s="201">
        <v>4411.0</v>
      </c>
      <c r="F946" s="202"/>
      <c r="G946" s="194" t="s">
        <v>587</v>
      </c>
      <c r="H946" s="195" t="s">
        <v>603</v>
      </c>
      <c r="I946" s="196"/>
      <c r="J946" s="179">
        <f>IF(A946="RAPPI",(VLOOKUP(TRIM(D946), CATALOGO!F:G, 2, FALSE) * C946)+I946,IFERROR(IF(COUNTIF('RESTAURANTESDESCUENTOS 2026'!A:A,TRIM(A946))&gt;0,((VLOOKUP(TRIM(D946), CATALOGO!A:B, 2, FALSE) * C946)*(1-VALUE(SUBSTITUTE(VLOOKUP(TRIM(A946),'RESTAURANTESDESCUENTOS 2026'!A:B,2,FALSE),"%",""))/100)+I946),(VLOOKUP(TRIM(D946), CATALOGO!A:B, 2, FALSE) * C946+I946)),""))</f>
        <v>50000</v>
      </c>
      <c r="K946" s="196"/>
      <c r="L946" s="87"/>
      <c r="M946" s="197" t="s">
        <v>587</v>
      </c>
      <c r="N946" s="168"/>
    </row>
    <row r="947" ht="22.5" hidden="1" customHeight="1">
      <c r="A947" s="137" t="s">
        <v>605</v>
      </c>
      <c r="B947" s="90">
        <v>46065.0</v>
      </c>
      <c r="C947" s="55">
        <v>1.0</v>
      </c>
      <c r="D947" s="97" t="s">
        <v>178</v>
      </c>
      <c r="E947" s="201" t="s">
        <v>607</v>
      </c>
      <c r="F947" s="202"/>
      <c r="G947" s="194" t="s">
        <v>35</v>
      </c>
      <c r="H947" s="198"/>
      <c r="I947" s="196"/>
      <c r="J947" s="179">
        <f>IF(A947="RAPPI",(VLOOKUP(TRIM(D947), CATALOGO!F:G, 2, FALSE) * C947)+I947,IFERROR(IF(COUNTIF('RESTAURANTESDESCUENTOS 2026'!A:A,TRIM(A947))&gt;0,((VLOOKUP(TRIM(D947), CATALOGO!A:B, 2, FALSE) * C947)*(1-VALUE(SUBSTITUTE(VLOOKUP(TRIM(A947),'RESTAURANTESDESCUENTOS 2026'!A:B,2,FALSE),"%",""))/100)+I947),(VLOOKUP(TRIM(D947), CATALOGO!A:B, 2, FALSE) * C947+I947)),""))</f>
        <v>150000</v>
      </c>
      <c r="K947" s="196"/>
      <c r="L947" s="87"/>
      <c r="M947" s="197" t="s">
        <v>587</v>
      </c>
      <c r="N947" s="168"/>
    </row>
    <row r="948" ht="22.5" hidden="1" customHeight="1">
      <c r="A948" s="137" t="s">
        <v>605</v>
      </c>
      <c r="B948" s="90">
        <v>46065.0</v>
      </c>
      <c r="C948" s="55">
        <v>1.0</v>
      </c>
      <c r="D948" s="97" t="s">
        <v>176</v>
      </c>
      <c r="E948" s="201" t="s">
        <v>607</v>
      </c>
      <c r="F948" s="202"/>
      <c r="G948" s="194" t="s">
        <v>35</v>
      </c>
      <c r="H948" s="198"/>
      <c r="I948" s="196"/>
      <c r="J948" s="179">
        <f>IF(A948="RAPPI",(VLOOKUP(TRIM(D948), CATALOGO!F:G, 2, FALSE) * C948)+I948,IFERROR(IF(COUNTIF('RESTAURANTESDESCUENTOS 2026'!A:A,TRIM(A948))&gt;0,((VLOOKUP(TRIM(D948), CATALOGO!A:B, 2, FALSE) * C948)*(1-VALUE(SUBSTITUTE(VLOOKUP(TRIM(A948),'RESTAURANTESDESCUENTOS 2026'!A:B,2,FALSE),"%",""))/100)+I948),(VLOOKUP(TRIM(D948), CATALOGO!A:B, 2, FALSE) * C948+I948)),""))</f>
        <v>50000</v>
      </c>
      <c r="K948" s="196"/>
      <c r="L948" s="87"/>
      <c r="M948" s="197" t="s">
        <v>587</v>
      </c>
      <c r="N948" s="168"/>
    </row>
    <row r="949" ht="22.5" hidden="1" customHeight="1">
      <c r="A949" s="137" t="s">
        <v>605</v>
      </c>
      <c r="B949" s="90">
        <v>46065.0</v>
      </c>
      <c r="C949" s="55">
        <v>1.0</v>
      </c>
      <c r="D949" s="97" t="s">
        <v>602</v>
      </c>
      <c r="E949" s="201" t="s">
        <v>607</v>
      </c>
      <c r="F949" s="202"/>
      <c r="G949" s="194" t="s">
        <v>35</v>
      </c>
      <c r="H949" s="198"/>
      <c r="I949" s="196"/>
      <c r="J949" s="179">
        <f>IF(A949="RAPPI",(VLOOKUP(TRIM(D949), CATALOGO!F:G, 2, FALSE) * C949)+I949,IFERROR(IF(COUNTIF('RESTAURANTESDESCUENTOS 2026'!A:A,TRIM(A949))&gt;0,((VLOOKUP(TRIM(D949), CATALOGO!A:B, 2, FALSE) * C949)*(1-VALUE(SUBSTITUTE(VLOOKUP(TRIM(A949),'RESTAURANTESDESCUENTOS 2026'!A:B,2,FALSE),"%",""))/100)+I949),(VLOOKUP(TRIM(D949), CATALOGO!A:B, 2, FALSE) * C949+I949)),""))</f>
        <v>22000</v>
      </c>
      <c r="K949" s="196"/>
      <c r="L949" s="87"/>
      <c r="M949" s="197" t="s">
        <v>587</v>
      </c>
      <c r="N949" s="168"/>
    </row>
    <row r="950" ht="22.5" hidden="1" customHeight="1">
      <c r="A950" s="137" t="s">
        <v>603</v>
      </c>
      <c r="B950" s="90">
        <v>46065.0</v>
      </c>
      <c r="C950" s="55">
        <v>1.0</v>
      </c>
      <c r="D950" s="97" t="s">
        <v>601</v>
      </c>
      <c r="E950" s="201">
        <v>7951.0</v>
      </c>
      <c r="F950" s="202"/>
      <c r="G950" s="194" t="s">
        <v>587</v>
      </c>
      <c r="H950" s="195" t="s">
        <v>603</v>
      </c>
      <c r="I950" s="196"/>
      <c r="J950" s="179">
        <f>IF(A950="RAPPI",(VLOOKUP(TRIM(D950), CATALOGO!F:G, 2, FALSE) * C950)+I950,IFERROR(IF(COUNTIF('RESTAURANTESDESCUENTOS 2026'!A:A,TRIM(A950))&gt;0,((VLOOKUP(TRIM(D950), CATALOGO!A:B, 2, FALSE) * C950)*(1-VALUE(SUBSTITUTE(VLOOKUP(TRIM(A950),'RESTAURANTESDESCUENTOS 2026'!A:B,2,FALSE),"%",""))/100)+I950),(VLOOKUP(TRIM(D950), CATALOGO!A:B, 2, FALSE) * C950+I950)),""))</f>
        <v>53000</v>
      </c>
      <c r="K950" s="196"/>
      <c r="L950" s="87"/>
      <c r="M950" s="197" t="s">
        <v>587</v>
      </c>
      <c r="N950" s="168"/>
    </row>
    <row r="951" ht="22.5" hidden="1" customHeight="1">
      <c r="A951" s="137" t="s">
        <v>769</v>
      </c>
      <c r="B951" s="90">
        <v>46066.0</v>
      </c>
      <c r="C951" s="55">
        <v>21.0</v>
      </c>
      <c r="D951" s="97" t="s">
        <v>183</v>
      </c>
      <c r="E951" s="201"/>
      <c r="F951" s="202"/>
      <c r="G951" s="194" t="s">
        <v>587</v>
      </c>
      <c r="H951" s="195" t="s">
        <v>632</v>
      </c>
      <c r="I951" s="196">
        <v>10000.0</v>
      </c>
      <c r="J951" s="179">
        <f>IF(A951="RAPPI",(VLOOKUP(TRIM(D951), CATALOGO!F:G, 2, FALSE) * C951)+I951,IFERROR(IF(COUNTIF('RESTAURANTESDESCUENTOS 2026'!A:A,TRIM(A951))&gt;0,((VLOOKUP(TRIM(D951), CATALOGO!A:B, 2, FALSE) * C951)*(1-VALUE(SUBSTITUTE(VLOOKUP(TRIM(A951),'RESTAURANTESDESCUENTOS 2026'!A:B,2,FALSE),"%",""))/100)+I951),(VLOOKUP(TRIM(D951), CATALOGO!A:B, 2, FALSE) * C951+I951)),""))</f>
        <v>333400</v>
      </c>
      <c r="K951" s="196">
        <v>10000.0</v>
      </c>
      <c r="L951" s="87" t="s">
        <v>587</v>
      </c>
      <c r="M951" s="197" t="s">
        <v>587</v>
      </c>
      <c r="N951" s="168"/>
    </row>
    <row r="952" ht="22.5" hidden="1" customHeight="1">
      <c r="A952" s="137" t="s">
        <v>769</v>
      </c>
      <c r="B952" s="90">
        <v>46066.0</v>
      </c>
      <c r="C952" s="55">
        <v>9.0</v>
      </c>
      <c r="D952" s="97" t="s">
        <v>184</v>
      </c>
      <c r="E952" s="201"/>
      <c r="F952" s="202"/>
      <c r="G952" s="194" t="s">
        <v>587</v>
      </c>
      <c r="H952" s="195" t="s">
        <v>632</v>
      </c>
      <c r="I952" s="196">
        <v>0.0</v>
      </c>
      <c r="J952" s="179">
        <f>IF(A952="RAPPI",(VLOOKUP(TRIM(D952), CATALOGO!F:G, 2, FALSE) * C952)+I952,IFERROR(IF(COUNTIF('RESTAURANTESDESCUENTOS 2026'!A:A,TRIM(A952))&gt;0,((VLOOKUP(TRIM(D952), CATALOGO!A:B, 2, FALSE) * C952)*(1-VALUE(SUBSTITUTE(VLOOKUP(TRIM(A952),'RESTAURANTESDESCUENTOS 2026'!A:B,2,FALSE),"%",""))/100)+I952),(VLOOKUP(TRIM(D952), CATALOGO!A:B, 2, FALSE) * C952+I952)),""))</f>
        <v>216000</v>
      </c>
      <c r="K952" s="196">
        <v>0.0</v>
      </c>
      <c r="L952" s="87" t="s">
        <v>587</v>
      </c>
      <c r="M952" s="197" t="s">
        <v>587</v>
      </c>
      <c r="N952" s="168"/>
    </row>
    <row r="953" ht="22.5" hidden="1" customHeight="1">
      <c r="A953" s="137" t="s">
        <v>769</v>
      </c>
      <c r="B953" s="90">
        <v>46066.0</v>
      </c>
      <c r="C953" s="55">
        <v>6.0</v>
      </c>
      <c r="D953" s="97" t="s">
        <v>185</v>
      </c>
      <c r="E953" s="201"/>
      <c r="F953" s="202"/>
      <c r="G953" s="194" t="s">
        <v>587</v>
      </c>
      <c r="H953" s="195" t="s">
        <v>632</v>
      </c>
      <c r="I953" s="196">
        <v>0.0</v>
      </c>
      <c r="J953" s="179">
        <f>IF(A953="RAPPI",(VLOOKUP(TRIM(D953), CATALOGO!F:G, 2, FALSE) * C953)+I953,IFERROR(IF(COUNTIF('RESTAURANTESDESCUENTOS 2026'!A:A,TRIM(A953))&gt;0,((VLOOKUP(TRIM(D953), CATALOGO!A:B, 2, FALSE) * C953)*(1-VALUE(SUBSTITUTE(VLOOKUP(TRIM(A953),'RESTAURANTESDESCUENTOS 2026'!A:B,2,FALSE),"%",""))/100)+I953),(VLOOKUP(TRIM(D953), CATALOGO!A:B, 2, FALSE) * C953+I953)),""))</f>
        <v>105600</v>
      </c>
      <c r="K953" s="196">
        <v>0.0</v>
      </c>
      <c r="L953" s="87" t="s">
        <v>587</v>
      </c>
      <c r="M953" s="197" t="s">
        <v>587</v>
      </c>
      <c r="N953" s="168"/>
    </row>
    <row r="954" ht="22.5" hidden="1" customHeight="1">
      <c r="A954" s="137" t="s">
        <v>915</v>
      </c>
      <c r="B954" s="90">
        <v>46066.0</v>
      </c>
      <c r="C954" s="55">
        <v>1.0</v>
      </c>
      <c r="D954" s="97" t="s">
        <v>180</v>
      </c>
      <c r="E954" s="201" t="s">
        <v>916</v>
      </c>
      <c r="F954" s="202"/>
      <c r="G954" s="194" t="s">
        <v>587</v>
      </c>
      <c r="H954" s="195" t="s">
        <v>632</v>
      </c>
      <c r="I954" s="196">
        <v>12000.0</v>
      </c>
      <c r="J954" s="179">
        <f>IF(A954="RAPPI",(VLOOKUP(TRIM(D954), CATALOGO!F:G, 2, FALSE) * C954)+I954,IFERROR(IF(COUNTIF('RESTAURANTESDESCUENTOS 2026'!A:A,TRIM(A954))&gt;0,((VLOOKUP(TRIM(D954), CATALOGO!A:B, 2, FALSE) * C954)*(1-VALUE(SUBSTITUTE(VLOOKUP(TRIM(A954),'RESTAURANTESDESCUENTOS 2026'!A:B,2,FALSE),"%",""))/100)+I954),(VLOOKUP(TRIM(D954), CATALOGO!A:B, 2, FALSE) * C954+I954)),""))</f>
        <v>161000</v>
      </c>
      <c r="K954" s="196">
        <v>15000.0</v>
      </c>
      <c r="L954" s="87" t="s">
        <v>587</v>
      </c>
      <c r="M954" s="197" t="s">
        <v>587</v>
      </c>
      <c r="N954" s="168"/>
    </row>
    <row r="955" ht="22.5" hidden="1" customHeight="1">
      <c r="A955" s="137" t="s">
        <v>17</v>
      </c>
      <c r="B955" s="90">
        <v>46066.0</v>
      </c>
      <c r="C955" s="55">
        <v>1.0</v>
      </c>
      <c r="D955" s="97" t="s">
        <v>178</v>
      </c>
      <c r="E955" s="201" t="s">
        <v>610</v>
      </c>
      <c r="F955" s="202"/>
      <c r="G955" s="194" t="s">
        <v>587</v>
      </c>
      <c r="H955" s="195" t="s">
        <v>632</v>
      </c>
      <c r="I955" s="196">
        <v>10000.0</v>
      </c>
      <c r="J955" s="179">
        <f>IF(A955="RAPPI",(VLOOKUP(TRIM(D955), CATALOGO!F:G, 2, FALSE) * C955)+I955,IFERROR(IF(COUNTIF('RESTAURANTESDESCUENTOS 2026'!A:A,TRIM(A955))&gt;0,((VLOOKUP(TRIM(D955), CATALOGO!A:B, 2, FALSE) * C955)*(1-VALUE(SUBSTITUTE(VLOOKUP(TRIM(A955),'RESTAURANTESDESCUENTOS 2026'!A:B,2,FALSE),"%",""))/100)+I955),(VLOOKUP(TRIM(D955), CATALOGO!A:B, 2, FALSE) * C955+I955)),""))</f>
        <v>122500</v>
      </c>
      <c r="K955" s="196">
        <v>10000.0</v>
      </c>
      <c r="L955" s="87" t="s">
        <v>587</v>
      </c>
      <c r="M955" s="197" t="s">
        <v>587</v>
      </c>
      <c r="N955" s="168"/>
    </row>
    <row r="956" ht="22.5" hidden="1" customHeight="1">
      <c r="A956" s="137" t="s">
        <v>21</v>
      </c>
      <c r="B956" s="90">
        <v>46066.0</v>
      </c>
      <c r="C956" s="55">
        <v>1.0</v>
      </c>
      <c r="D956" s="97" t="s">
        <v>178</v>
      </c>
      <c r="E956" s="201" t="s">
        <v>610</v>
      </c>
      <c r="F956" s="202"/>
      <c r="G956" s="194" t="s">
        <v>587</v>
      </c>
      <c r="H956" s="195" t="s">
        <v>632</v>
      </c>
      <c r="I956" s="196">
        <v>15000.0</v>
      </c>
      <c r="J956" s="179">
        <f>IF(A956="RAPPI",(VLOOKUP(TRIM(D956), CATALOGO!F:G, 2, FALSE) * C956)+I956,IFERROR(IF(COUNTIF('RESTAURANTESDESCUENTOS 2026'!A:A,TRIM(A956))&gt;0,((VLOOKUP(TRIM(D956), CATALOGO!A:B, 2, FALSE) * C956)*(1-VALUE(SUBSTITUTE(VLOOKUP(TRIM(A956),'RESTAURANTESDESCUENTOS 2026'!A:B,2,FALSE),"%",""))/100)+I956),(VLOOKUP(TRIM(D956), CATALOGO!A:B, 2, FALSE) * C956+I956)),""))</f>
        <v>127500</v>
      </c>
      <c r="K956" s="196">
        <v>15000.0</v>
      </c>
      <c r="L956" s="87" t="s">
        <v>587</v>
      </c>
      <c r="M956" s="197" t="s">
        <v>587</v>
      </c>
      <c r="N956" s="168"/>
    </row>
    <row r="957" ht="22.5" hidden="1" customHeight="1">
      <c r="A957" s="137" t="s">
        <v>917</v>
      </c>
      <c r="B957" s="90">
        <v>46066.0</v>
      </c>
      <c r="C957" s="55">
        <v>1.0</v>
      </c>
      <c r="D957" s="97" t="s">
        <v>182</v>
      </c>
      <c r="E957" s="201"/>
      <c r="F957" s="202"/>
      <c r="G957" s="194" t="s">
        <v>587</v>
      </c>
      <c r="H957" s="195" t="s">
        <v>632</v>
      </c>
      <c r="I957" s="196">
        <v>10000.0</v>
      </c>
      <c r="J957" s="179">
        <f>IF(A957="RAPPI",(VLOOKUP(TRIM(D957), CATALOGO!F:G, 2, FALSE) * C957)+I957,IFERROR(IF(COUNTIF('RESTAURANTESDESCUENTOS 2026'!A:A,TRIM(A957))&gt;0,((VLOOKUP(TRIM(D957), CATALOGO!A:B, 2, FALSE) * C957)*(1-VALUE(SUBSTITUTE(VLOOKUP(TRIM(A957),'RESTAURANTESDESCUENTOS 2026'!A:B,2,FALSE),"%",""))/100)+I957),(VLOOKUP(TRIM(D957), CATALOGO!A:B, 2, FALSE) * C957+I957)),""))</f>
        <v>47000</v>
      </c>
      <c r="K957" s="196">
        <v>10000.0</v>
      </c>
      <c r="L957" s="87"/>
      <c r="M957" s="197" t="s">
        <v>587</v>
      </c>
      <c r="N957" s="168"/>
    </row>
    <row r="958" ht="22.5" hidden="1" customHeight="1">
      <c r="A958" s="137" t="s">
        <v>917</v>
      </c>
      <c r="B958" s="90">
        <v>46066.0</v>
      </c>
      <c r="C958" s="55">
        <v>2.0</v>
      </c>
      <c r="D958" s="97" t="s">
        <v>620</v>
      </c>
      <c r="E958" s="201"/>
      <c r="F958" s="202"/>
      <c r="G958" s="194" t="s">
        <v>587</v>
      </c>
      <c r="H958" s="195" t="s">
        <v>632</v>
      </c>
      <c r="I958" s="196">
        <v>0.0</v>
      </c>
      <c r="J958" s="179">
        <f>IF(A958="RAPPI",(VLOOKUP(TRIM(D958), CATALOGO!F:G, 2, FALSE) * C958)+I958,IFERROR(IF(COUNTIF('RESTAURANTESDESCUENTOS 2026'!A:A,TRIM(A958))&gt;0,((VLOOKUP(TRIM(D958), CATALOGO!A:B, 2, FALSE) * C958)*(1-VALUE(SUBSTITUTE(VLOOKUP(TRIM(A958),'RESTAURANTESDESCUENTOS 2026'!A:B,2,FALSE),"%",""))/100)+I958),(VLOOKUP(TRIM(D958), CATALOGO!A:B, 2, FALSE) * C958+I958)),""))</f>
        <v>0</v>
      </c>
      <c r="K958" s="196">
        <v>0.0</v>
      </c>
      <c r="L958" s="87"/>
      <c r="M958" s="197" t="s">
        <v>587</v>
      </c>
      <c r="N958" s="168"/>
    </row>
    <row r="959" ht="22.5" hidden="1" customHeight="1">
      <c r="A959" s="137" t="s">
        <v>603</v>
      </c>
      <c r="B959" s="90">
        <v>46066.0</v>
      </c>
      <c r="C959" s="55">
        <v>1.0</v>
      </c>
      <c r="D959" s="97" t="s">
        <v>618</v>
      </c>
      <c r="E959" s="201">
        <v>9434.0</v>
      </c>
      <c r="F959" s="202"/>
      <c r="G959" s="194" t="s">
        <v>587</v>
      </c>
      <c r="H959" s="195" t="s">
        <v>603</v>
      </c>
      <c r="I959" s="196"/>
      <c r="J959" s="179">
        <f>IF(A959="RAPPI",(VLOOKUP(TRIM(D959), CATALOGO!F:G, 2, FALSE) * C959)+I959,IFERROR(IF(COUNTIF('RESTAURANTESDESCUENTOS 2026'!A:A,TRIM(A959))&gt;0,((VLOOKUP(TRIM(D959), CATALOGO!A:B, 2, FALSE) * C959)*(1-VALUE(SUBSTITUTE(VLOOKUP(TRIM(A959),'RESTAURANTESDESCUENTOS 2026'!A:B,2,FALSE),"%",""))/100)+I959),(VLOOKUP(TRIM(D959), CATALOGO!A:B, 2, FALSE) * C959+I959)),""))</f>
        <v>53000</v>
      </c>
      <c r="K959" s="196"/>
      <c r="L959" s="87"/>
      <c r="M959" s="197" t="s">
        <v>587</v>
      </c>
      <c r="N959" s="168"/>
    </row>
    <row r="960" ht="22.5" hidden="1" customHeight="1">
      <c r="A960" s="137" t="s">
        <v>918</v>
      </c>
      <c r="B960" s="90">
        <v>46066.0</v>
      </c>
      <c r="C960" s="55">
        <v>1.0</v>
      </c>
      <c r="D960" s="97" t="s">
        <v>182</v>
      </c>
      <c r="E960" s="70" t="s">
        <v>919</v>
      </c>
      <c r="F960" s="212"/>
      <c r="G960" s="194" t="s">
        <v>587</v>
      </c>
      <c r="H960" s="195" t="s">
        <v>632</v>
      </c>
      <c r="I960" s="196">
        <v>12000.0</v>
      </c>
      <c r="J960" s="179">
        <f>IF(A960="RAPPI",(VLOOKUP(TRIM(D960), CATALOGO!F:G, 2, FALSE) * C960)+I960,IFERROR(IF(COUNTIF('RESTAURANTESDESCUENTOS 2026'!A:A,TRIM(A960))&gt;0,((VLOOKUP(TRIM(D960), CATALOGO!A:B, 2, FALSE) * C960)*(1-VALUE(SUBSTITUTE(VLOOKUP(TRIM(A960),'RESTAURANTESDESCUENTOS 2026'!A:B,2,FALSE),"%",""))/100)+I960),(VLOOKUP(TRIM(D960), CATALOGO!A:B, 2, FALSE) * C960+I960)),""))</f>
        <v>49000</v>
      </c>
      <c r="K960" s="196">
        <v>12000.0</v>
      </c>
      <c r="L960" s="87"/>
      <c r="M960" s="197" t="s">
        <v>587</v>
      </c>
      <c r="N960" s="168"/>
    </row>
    <row r="961" ht="22.5" hidden="1" customHeight="1">
      <c r="A961" s="137" t="s">
        <v>918</v>
      </c>
      <c r="B961" s="90">
        <v>46066.0</v>
      </c>
      <c r="C961" s="55">
        <v>1.0</v>
      </c>
      <c r="D961" s="97" t="s">
        <v>669</v>
      </c>
      <c r="E961" s="201"/>
      <c r="F961" s="202"/>
      <c r="G961" s="194" t="s">
        <v>587</v>
      </c>
      <c r="H961" s="195" t="s">
        <v>632</v>
      </c>
      <c r="I961" s="196">
        <v>0.0</v>
      </c>
      <c r="J961" s="179">
        <f>IF(A961="RAPPI",(VLOOKUP(TRIM(D961), CATALOGO!F:G, 2, FALSE) * C961)+I961,IFERROR(IF(COUNTIF('RESTAURANTESDESCUENTOS 2026'!A:A,TRIM(A961))&gt;0,((VLOOKUP(TRIM(D961), CATALOGO!A:B, 2, FALSE) * C961)*(1-VALUE(SUBSTITUTE(VLOOKUP(TRIM(A961),'RESTAURANTESDESCUENTOS 2026'!A:B,2,FALSE),"%",""))/100)+I961),(VLOOKUP(TRIM(D961), CATALOGO!A:B, 2, FALSE) * C961+I961)),""))</f>
        <v>0</v>
      </c>
      <c r="K961" s="196">
        <v>0.0</v>
      </c>
      <c r="L961" s="87"/>
      <c r="M961" s="197" t="s">
        <v>587</v>
      </c>
      <c r="N961" s="168"/>
    </row>
    <row r="962" ht="22.5" hidden="1" customHeight="1">
      <c r="A962" s="137" t="s">
        <v>918</v>
      </c>
      <c r="B962" s="90">
        <v>46066.0</v>
      </c>
      <c r="C962" s="55">
        <v>1.0</v>
      </c>
      <c r="D962" s="97" t="s">
        <v>639</v>
      </c>
      <c r="E962" s="201"/>
      <c r="F962" s="202"/>
      <c r="G962" s="194" t="s">
        <v>587</v>
      </c>
      <c r="H962" s="195" t="s">
        <v>632</v>
      </c>
      <c r="I962" s="196">
        <v>0.0</v>
      </c>
      <c r="J962" s="179">
        <f>IF(A962="RAPPI",(VLOOKUP(TRIM(D962), CATALOGO!F:G, 2, FALSE) * C962)+I962,IFERROR(IF(COUNTIF('RESTAURANTESDESCUENTOS 2026'!A:A,TRIM(A962))&gt;0,((VLOOKUP(TRIM(D962), CATALOGO!A:B, 2, FALSE) * C962)*(1-VALUE(SUBSTITUTE(VLOOKUP(TRIM(A962),'RESTAURANTESDESCUENTOS 2026'!A:B,2,FALSE),"%",""))/100)+I962),(VLOOKUP(TRIM(D962), CATALOGO!A:B, 2, FALSE) * C962+I962)),""))</f>
        <v>0</v>
      </c>
      <c r="K962" s="196">
        <v>0.0</v>
      </c>
      <c r="L962" s="87"/>
      <c r="M962" s="197" t="s">
        <v>587</v>
      </c>
      <c r="N962" s="168"/>
    </row>
    <row r="963" ht="22.5" hidden="1" customHeight="1">
      <c r="A963" s="137" t="s">
        <v>918</v>
      </c>
      <c r="B963" s="90">
        <v>46066.0</v>
      </c>
      <c r="C963" s="55">
        <v>1.0</v>
      </c>
      <c r="D963" s="97" t="s">
        <v>236</v>
      </c>
      <c r="E963" s="201"/>
      <c r="F963" s="202"/>
      <c r="G963" s="194" t="s">
        <v>587</v>
      </c>
      <c r="H963" s="195" t="s">
        <v>632</v>
      </c>
      <c r="I963" s="196">
        <v>0.0</v>
      </c>
      <c r="J963" s="179">
        <f>IF(A963="RAPPI",(VLOOKUP(TRIM(D963), CATALOGO!F:G, 2, FALSE) * C963)+I963,IFERROR(IF(COUNTIF('RESTAURANTESDESCUENTOS 2026'!A:A,TRIM(A963))&gt;0,((VLOOKUP(TRIM(D963), CATALOGO!A:B, 2, FALSE) * C963)*(1-VALUE(SUBSTITUTE(VLOOKUP(TRIM(A963),'RESTAURANTESDESCUENTOS 2026'!A:B,2,FALSE),"%",""))/100)+I963),(VLOOKUP(TRIM(D963), CATALOGO!A:B, 2, FALSE) * C963+I963)),""))</f>
        <v>0</v>
      </c>
      <c r="K963" s="196">
        <v>0.0</v>
      </c>
      <c r="L963" s="87"/>
      <c r="M963" s="197" t="s">
        <v>587</v>
      </c>
      <c r="N963" s="168"/>
    </row>
    <row r="964" ht="22.5" hidden="1" customHeight="1">
      <c r="A964" s="137" t="s">
        <v>603</v>
      </c>
      <c r="B964" s="90">
        <v>46066.0</v>
      </c>
      <c r="C964" s="55">
        <v>1.0</v>
      </c>
      <c r="D964" s="97" t="s">
        <v>678</v>
      </c>
      <c r="E964" s="201">
        <v>5979.0</v>
      </c>
      <c r="F964" s="202"/>
      <c r="G964" s="194" t="s">
        <v>587</v>
      </c>
      <c r="H964" s="195" t="s">
        <v>603</v>
      </c>
      <c r="I964" s="196"/>
      <c r="J964" s="179">
        <f>IF(A964="RAPPI",(VLOOKUP(TRIM(D964), CATALOGO!F:G, 2, FALSE) * C964)+I964,IFERROR(IF(COUNTIF('RESTAURANTESDESCUENTOS 2026'!A:A,TRIM(A964))&gt;0,((VLOOKUP(TRIM(D964), CATALOGO!A:B, 2, FALSE) * C964)*(1-VALUE(SUBSTITUTE(VLOOKUP(TRIM(A964),'RESTAURANTESDESCUENTOS 2026'!A:B,2,FALSE),"%",""))/100)+I964),(VLOOKUP(TRIM(D964), CATALOGO!A:B, 2, FALSE) * C964+I964)),""))</f>
        <v>123000</v>
      </c>
      <c r="K964" s="196"/>
      <c r="L964" s="87"/>
      <c r="M964" s="197" t="s">
        <v>587</v>
      </c>
      <c r="N964" s="168"/>
    </row>
    <row r="965" ht="22.5" hidden="1" customHeight="1">
      <c r="A965" s="137" t="s">
        <v>603</v>
      </c>
      <c r="B965" s="90">
        <v>46066.0</v>
      </c>
      <c r="C965" s="55">
        <v>1.0</v>
      </c>
      <c r="D965" s="97" t="s">
        <v>678</v>
      </c>
      <c r="E965" s="201">
        <v>5133.0</v>
      </c>
      <c r="F965" s="202"/>
      <c r="G965" s="194" t="s">
        <v>587</v>
      </c>
      <c r="H965" s="195" t="s">
        <v>603</v>
      </c>
      <c r="I965" s="196"/>
      <c r="J965" s="179">
        <f>IF(A965="RAPPI",(VLOOKUP(TRIM(D965), CATALOGO!F:G, 2, FALSE) * C965)+I965,IFERROR(IF(COUNTIF('RESTAURANTESDESCUENTOS 2026'!A:A,TRIM(A965))&gt;0,((VLOOKUP(TRIM(D965), CATALOGO!A:B, 2, FALSE) * C965)*(1-VALUE(SUBSTITUTE(VLOOKUP(TRIM(A965),'RESTAURANTESDESCUENTOS 2026'!A:B,2,FALSE),"%",""))/100)+I965),(VLOOKUP(TRIM(D965), CATALOGO!A:B, 2, FALSE) * C965+I965)),""))</f>
        <v>123000</v>
      </c>
      <c r="K965" s="196"/>
      <c r="L965" s="87"/>
      <c r="M965" s="197" t="s">
        <v>587</v>
      </c>
      <c r="N965" s="168"/>
    </row>
    <row r="966" ht="22.5" hidden="1" customHeight="1">
      <c r="A966" s="137" t="s">
        <v>920</v>
      </c>
      <c r="B966" s="90">
        <v>46066.0</v>
      </c>
      <c r="C966" s="55">
        <v>1.0</v>
      </c>
      <c r="D966" s="97" t="s">
        <v>178</v>
      </c>
      <c r="E966" s="201"/>
      <c r="F966" s="202"/>
      <c r="G966" s="194" t="s">
        <v>35</v>
      </c>
      <c r="H966" s="198"/>
      <c r="I966" s="196"/>
      <c r="J966" s="179">
        <f>IF(A966="RAPPI",(VLOOKUP(TRIM(D966), CATALOGO!F:G, 2, FALSE) * C966)+I966,IFERROR(IF(COUNTIF('RESTAURANTESDESCUENTOS 2026'!A:A,TRIM(A966))&gt;0,((VLOOKUP(TRIM(D966), CATALOGO!A:B, 2, FALSE) * C966)*(1-VALUE(SUBSTITUTE(VLOOKUP(TRIM(A966),'RESTAURANTESDESCUENTOS 2026'!A:B,2,FALSE),"%",""))/100)+I966),(VLOOKUP(TRIM(D966), CATALOGO!A:B, 2, FALSE) * C966+I966)),""))</f>
        <v>150000</v>
      </c>
      <c r="K966" s="196"/>
      <c r="L966" s="87"/>
      <c r="M966" s="197" t="s">
        <v>587</v>
      </c>
      <c r="N966" s="168"/>
    </row>
    <row r="967" ht="22.5" hidden="1" customHeight="1">
      <c r="A967" s="137" t="s">
        <v>921</v>
      </c>
      <c r="B967" s="90">
        <v>46066.0</v>
      </c>
      <c r="C967" s="55">
        <v>1.0</v>
      </c>
      <c r="D967" s="97" t="s">
        <v>180</v>
      </c>
      <c r="E967" s="201"/>
      <c r="F967" s="202"/>
      <c r="G967" s="194" t="s">
        <v>35</v>
      </c>
      <c r="H967" s="198"/>
      <c r="I967" s="196"/>
      <c r="J967" s="179">
        <f>IF(A967="RAPPI",(VLOOKUP(TRIM(D967), CATALOGO!F:G, 2, FALSE) * C967)+I967,IFERROR(IF(COUNTIF('RESTAURANTESDESCUENTOS 2026'!A:A,TRIM(A967))&gt;0,((VLOOKUP(TRIM(D967), CATALOGO!A:B, 2, FALSE) * C967)*(1-VALUE(SUBSTITUTE(VLOOKUP(TRIM(A967),'RESTAURANTESDESCUENTOS 2026'!A:B,2,FALSE),"%",""))/100)+I967),(VLOOKUP(TRIM(D967), CATALOGO!A:B, 2, FALSE) * C967+I967)),""))</f>
        <v>149000</v>
      </c>
      <c r="K967" s="196"/>
      <c r="L967" s="87"/>
      <c r="M967" s="197" t="s">
        <v>587</v>
      </c>
      <c r="N967" s="168"/>
    </row>
    <row r="968" ht="22.5" hidden="1" customHeight="1">
      <c r="A968" s="137" t="s">
        <v>605</v>
      </c>
      <c r="B968" s="90">
        <v>46066.0</v>
      </c>
      <c r="C968" s="55">
        <v>1.0</v>
      </c>
      <c r="D968" s="97" t="s">
        <v>176</v>
      </c>
      <c r="E968" s="201" t="s">
        <v>606</v>
      </c>
      <c r="F968" s="202"/>
      <c r="G968" s="194" t="s">
        <v>35</v>
      </c>
      <c r="H968" s="198"/>
      <c r="I968" s="196"/>
      <c r="J968" s="179">
        <f>IF(A968="RAPPI",(VLOOKUP(TRIM(D968), CATALOGO!F:G, 2, FALSE) * C968)+I968,IFERROR(IF(COUNTIF('RESTAURANTESDESCUENTOS 2026'!A:A,TRIM(A968))&gt;0,((VLOOKUP(TRIM(D968), CATALOGO!A:B, 2, FALSE) * C968)*(1-VALUE(SUBSTITUTE(VLOOKUP(TRIM(A968),'RESTAURANTESDESCUENTOS 2026'!A:B,2,FALSE),"%",""))/100)+I968),(VLOOKUP(TRIM(D968), CATALOGO!A:B, 2, FALSE) * C968+I968)),""))</f>
        <v>50000</v>
      </c>
      <c r="K968" s="196"/>
      <c r="L968" s="87"/>
      <c r="M968" s="197" t="s">
        <v>587</v>
      </c>
      <c r="N968" s="168"/>
    </row>
    <row r="969" ht="22.5" hidden="1" customHeight="1">
      <c r="A969" s="137" t="s">
        <v>922</v>
      </c>
      <c r="B969" s="90">
        <v>46066.0</v>
      </c>
      <c r="C969" s="55">
        <v>1.0</v>
      </c>
      <c r="D969" s="97" t="s">
        <v>708</v>
      </c>
      <c r="E969" s="201" t="s">
        <v>645</v>
      </c>
      <c r="F969" s="202"/>
      <c r="G969" s="194" t="s">
        <v>587</v>
      </c>
      <c r="H969" s="195" t="s">
        <v>588</v>
      </c>
      <c r="I969" s="196">
        <v>14000.0</v>
      </c>
      <c r="J969" s="179">
        <f>IF(A969="RAPPI",(VLOOKUP(TRIM(D969), CATALOGO!F:G, 2, FALSE) * C969)+I969,IFERROR(IF(COUNTIF('RESTAURANTESDESCUENTOS 2026'!A:A,TRIM(A969))&gt;0,((VLOOKUP(TRIM(D969), CATALOGO!A:B, 2, FALSE) * C969)*(1-VALUE(SUBSTITUTE(VLOOKUP(TRIM(A969),'RESTAURANTESDESCUENTOS 2026'!A:B,2,FALSE),"%",""))/100)+I969),(VLOOKUP(TRIM(D969), CATALOGO!A:B, 2, FALSE) * C969+I969)),""))</f>
        <v>67000</v>
      </c>
      <c r="K969" s="196">
        <v>15000.0</v>
      </c>
      <c r="L969" s="87"/>
      <c r="M969" s="197" t="s">
        <v>587</v>
      </c>
      <c r="N969" s="168"/>
    </row>
    <row r="970" ht="22.5" hidden="1" customHeight="1">
      <c r="A970" s="137" t="s">
        <v>106</v>
      </c>
      <c r="B970" s="90">
        <v>46066.0</v>
      </c>
      <c r="C970" s="55">
        <v>1.0</v>
      </c>
      <c r="D970" s="97" t="s">
        <v>178</v>
      </c>
      <c r="E970" s="201" t="s">
        <v>610</v>
      </c>
      <c r="F970" s="202"/>
      <c r="G970" s="194" t="s">
        <v>587</v>
      </c>
      <c r="H970" s="195" t="s">
        <v>632</v>
      </c>
      <c r="I970" s="196">
        <v>8000.0</v>
      </c>
      <c r="J970" s="179">
        <f>IF(A970="RAPPI",(VLOOKUP(TRIM(D970), CATALOGO!F:G, 2, FALSE) * C970)+I970,IFERROR(IF(COUNTIF('RESTAURANTESDESCUENTOS 2026'!A:A,TRIM(A970))&gt;0,((VLOOKUP(TRIM(D970), CATALOGO!A:B, 2, FALSE) * C970)*(1-VALUE(SUBSTITUTE(VLOOKUP(TRIM(A970),'RESTAURANTESDESCUENTOS 2026'!A:B,2,FALSE),"%",""))/100)+I970),(VLOOKUP(TRIM(D970), CATALOGO!A:B, 2, FALSE) * C970+I970)),""))</f>
        <v>105125</v>
      </c>
      <c r="K970" s="196">
        <v>10000.0</v>
      </c>
      <c r="L970" s="87" t="s">
        <v>587</v>
      </c>
      <c r="M970" s="197" t="s">
        <v>587</v>
      </c>
      <c r="N970" s="168"/>
    </row>
    <row r="971" ht="22.5" hidden="1" customHeight="1">
      <c r="A971" s="137" t="s">
        <v>128</v>
      </c>
      <c r="B971" s="90">
        <v>46066.0</v>
      </c>
      <c r="C971" s="55">
        <v>2.0</v>
      </c>
      <c r="D971" s="97" t="s">
        <v>178</v>
      </c>
      <c r="E971" s="201" t="s">
        <v>610</v>
      </c>
      <c r="F971" s="202"/>
      <c r="G971" s="194" t="s">
        <v>587</v>
      </c>
      <c r="H971" s="195" t="s">
        <v>632</v>
      </c>
      <c r="I971" s="196">
        <v>10000.0</v>
      </c>
      <c r="J971" s="179">
        <f>IF(A971="RAPPI",(VLOOKUP(TRIM(D971), CATALOGO!F:G, 2, FALSE) * C971)+I971,IFERROR(IF(COUNTIF('RESTAURANTESDESCUENTOS 2026'!A:A,TRIM(A971))&gt;0,((VLOOKUP(TRIM(D971), CATALOGO!A:B, 2, FALSE) * C971)*(1-VALUE(SUBSTITUTE(VLOOKUP(TRIM(A971),'RESTAURANTESDESCUENTOS 2026'!A:B,2,FALSE),"%",""))/100)+I971),(VLOOKUP(TRIM(D971), CATALOGO!A:B, 2, FALSE) * C971+I971)),""))</f>
        <v>220000</v>
      </c>
      <c r="K971" s="196">
        <v>14000.0</v>
      </c>
      <c r="L971" s="87" t="s">
        <v>587</v>
      </c>
      <c r="M971" s="197" t="s">
        <v>587</v>
      </c>
      <c r="N971" s="168"/>
    </row>
    <row r="972" ht="22.5" hidden="1" customHeight="1">
      <c r="A972" s="137" t="s">
        <v>923</v>
      </c>
      <c r="B972" s="90">
        <v>46066.0</v>
      </c>
      <c r="C972" s="55"/>
      <c r="D972" s="193"/>
      <c r="E972" s="201" t="s">
        <v>924</v>
      </c>
      <c r="F972" s="202"/>
      <c r="G972" s="194" t="s">
        <v>587</v>
      </c>
      <c r="H972" s="195" t="s">
        <v>907</v>
      </c>
      <c r="I972" s="196">
        <v>0.0</v>
      </c>
      <c r="J972" s="199">
        <v>0.0</v>
      </c>
      <c r="K972" s="196">
        <v>25000.0</v>
      </c>
      <c r="L972" s="87"/>
      <c r="M972" s="197" t="s">
        <v>587</v>
      </c>
      <c r="N972" s="168"/>
    </row>
    <row r="973" ht="22.5" hidden="1" customHeight="1">
      <c r="A973" s="137" t="s">
        <v>603</v>
      </c>
      <c r="B973" s="90">
        <v>46066.0</v>
      </c>
      <c r="C973" s="55">
        <v>1.0</v>
      </c>
      <c r="D973" s="97" t="s">
        <v>601</v>
      </c>
      <c r="E973" s="201">
        <v>1593.0</v>
      </c>
      <c r="F973" s="202"/>
      <c r="G973" s="194" t="s">
        <v>587</v>
      </c>
      <c r="H973" s="195" t="s">
        <v>603</v>
      </c>
      <c r="I973" s="196"/>
      <c r="J973" s="179">
        <f>IF(A973="RAPPI",(VLOOKUP(TRIM(D973), CATALOGO!F:G, 2, FALSE) * C973)+I973,IFERROR(IF(COUNTIF('RESTAURANTESDESCUENTOS 2026'!A:A,TRIM(A973))&gt;0,((VLOOKUP(TRIM(D973), CATALOGO!A:B, 2, FALSE) * C973)*(1-VALUE(SUBSTITUTE(VLOOKUP(TRIM(A973),'RESTAURANTESDESCUENTOS 2026'!A:B,2,FALSE),"%",""))/100)+I973),(VLOOKUP(TRIM(D973), CATALOGO!A:B, 2, FALSE) * C973+I973)),""))</f>
        <v>53000</v>
      </c>
      <c r="K973" s="196"/>
      <c r="L973" s="87"/>
      <c r="M973" s="197" t="s">
        <v>587</v>
      </c>
      <c r="N973" s="168"/>
    </row>
    <row r="974" ht="22.5" hidden="1" customHeight="1">
      <c r="A974" s="137" t="s">
        <v>925</v>
      </c>
      <c r="B974" s="90">
        <v>46066.0</v>
      </c>
      <c r="C974" s="55">
        <v>1.0</v>
      </c>
      <c r="D974" s="97" t="s">
        <v>177</v>
      </c>
      <c r="E974" s="201"/>
      <c r="F974" s="202"/>
      <c r="G974" s="194" t="s">
        <v>587</v>
      </c>
      <c r="H974" s="195" t="s">
        <v>588</v>
      </c>
      <c r="I974" s="196">
        <v>10000.0</v>
      </c>
      <c r="J974" s="179">
        <f>IF(A974="RAPPI",(VLOOKUP(TRIM(D974), CATALOGO!F:G, 2, FALSE) * C974)+I974,IFERROR(IF(COUNTIF('RESTAURANTESDESCUENTOS 2026'!A:A,TRIM(A974))&gt;0,((VLOOKUP(TRIM(D974), CATALOGO!A:B, 2, FALSE) * C974)*(1-VALUE(SUBSTITUTE(VLOOKUP(TRIM(A974),'RESTAURANTESDESCUENTOS 2026'!A:B,2,FALSE),"%",""))/100)+I974),(VLOOKUP(TRIM(D974), CATALOGO!A:B, 2, FALSE) * C974+I974)),""))</f>
        <v>125000</v>
      </c>
      <c r="K974" s="196">
        <v>10000.0</v>
      </c>
      <c r="L974" s="87"/>
      <c r="M974" s="197" t="s">
        <v>587</v>
      </c>
      <c r="N974" s="168"/>
    </row>
    <row r="975" ht="22.5" hidden="1" customHeight="1">
      <c r="A975" s="137" t="s">
        <v>603</v>
      </c>
      <c r="B975" s="90">
        <v>46066.0</v>
      </c>
      <c r="C975" s="55">
        <v>1.0</v>
      </c>
      <c r="D975" s="97" t="s">
        <v>739</v>
      </c>
      <c r="E975" s="201">
        <v>9746.0</v>
      </c>
      <c r="F975" s="202"/>
      <c r="G975" s="194" t="s">
        <v>587</v>
      </c>
      <c r="H975" s="195" t="s">
        <v>603</v>
      </c>
      <c r="I975" s="196"/>
      <c r="J975" s="179">
        <f>IF(A975="RAPPI",(VLOOKUP(TRIM(D975), CATALOGO!F:G, 2, FALSE) * C975)+I975,IFERROR(IF(COUNTIF('RESTAURANTESDESCUENTOS 2026'!A:A,TRIM(A975))&gt;0,((VLOOKUP(TRIM(D975), CATALOGO!A:B, 2, FALSE) * C975)*(1-VALUE(SUBSTITUTE(VLOOKUP(TRIM(A975),'RESTAURANTESDESCUENTOS 2026'!A:B,2,FALSE),"%",""))/100)+I975),(VLOOKUP(TRIM(D975), CATALOGO!A:B, 2, FALSE) * C975+I975)),""))</f>
        <v>163000</v>
      </c>
      <c r="K975" s="196"/>
      <c r="L975" s="87"/>
      <c r="M975" s="197" t="s">
        <v>587</v>
      </c>
      <c r="N975" s="168"/>
    </row>
    <row r="976" ht="22.5" hidden="1" customHeight="1">
      <c r="A976" s="137" t="s">
        <v>605</v>
      </c>
      <c r="B976" s="90">
        <v>46066.0</v>
      </c>
      <c r="C976" s="55">
        <v>1.0</v>
      </c>
      <c r="D976" s="97" t="s">
        <v>640</v>
      </c>
      <c r="E976" s="201" t="s">
        <v>606</v>
      </c>
      <c r="F976" s="202"/>
      <c r="G976" s="194" t="s">
        <v>35</v>
      </c>
      <c r="H976" s="198"/>
      <c r="I976" s="196"/>
      <c r="J976" s="179">
        <f>IF(A976="RAPPI",(VLOOKUP(TRIM(D976), CATALOGO!F:G, 2, FALSE) * C976)+I976,IFERROR(IF(COUNTIF('RESTAURANTESDESCUENTOS 2026'!A:A,TRIM(A976))&gt;0,((VLOOKUP(TRIM(D976), CATALOGO!A:B, 2, FALSE) * C976)*(1-VALUE(SUBSTITUTE(VLOOKUP(TRIM(A976),'RESTAURANTESDESCUENTOS 2026'!A:B,2,FALSE),"%",""))/100)+I976),(VLOOKUP(TRIM(D976), CATALOGO!A:B, 2, FALSE) * C976+I976)),""))</f>
        <v>53000</v>
      </c>
      <c r="K976" s="196"/>
      <c r="L976" s="87"/>
      <c r="M976" s="197" t="s">
        <v>587</v>
      </c>
      <c r="N976" s="168"/>
    </row>
    <row r="977" ht="22.5" hidden="1" customHeight="1">
      <c r="A977" s="137" t="s">
        <v>55</v>
      </c>
      <c r="B977" s="90">
        <v>46066.0</v>
      </c>
      <c r="C977" s="55">
        <v>1.0</v>
      </c>
      <c r="D977" s="97" t="s">
        <v>178</v>
      </c>
      <c r="E977" s="201" t="s">
        <v>552</v>
      </c>
      <c r="F977" s="202"/>
      <c r="G977" s="194" t="s">
        <v>587</v>
      </c>
      <c r="H977" s="195" t="s">
        <v>632</v>
      </c>
      <c r="I977" s="196">
        <v>10000.0</v>
      </c>
      <c r="J977" s="179">
        <f>IF(A977="RAPPI",(VLOOKUP(TRIM(D977), CATALOGO!F:G, 2, FALSE) * C977)+I977,IFERROR(IF(COUNTIF('RESTAURANTESDESCUENTOS 2026'!A:A,TRIM(A977))&gt;0,((VLOOKUP(TRIM(D977), CATALOGO!A:B, 2, FALSE) * C977)*(1-VALUE(SUBSTITUTE(VLOOKUP(TRIM(A977),'RESTAURANTESDESCUENTOS 2026'!A:B,2,FALSE),"%",""))/100)+I977),(VLOOKUP(TRIM(D977), CATALOGO!A:B, 2, FALSE) * C977+I977)),""))</f>
        <v>122500</v>
      </c>
      <c r="K977" s="196">
        <v>10000.0</v>
      </c>
      <c r="L977" s="87" t="s">
        <v>587</v>
      </c>
      <c r="M977" s="197" t="s">
        <v>587</v>
      </c>
      <c r="N977" s="168"/>
    </row>
    <row r="978" ht="22.5" hidden="1" customHeight="1">
      <c r="A978" s="137" t="s">
        <v>605</v>
      </c>
      <c r="B978" s="90">
        <v>46066.0</v>
      </c>
      <c r="C978" s="55">
        <v>1.0</v>
      </c>
      <c r="D978" s="97" t="s">
        <v>176</v>
      </c>
      <c r="E978" s="201" t="s">
        <v>606</v>
      </c>
      <c r="F978" s="202"/>
      <c r="G978" s="194" t="s">
        <v>35</v>
      </c>
      <c r="H978" s="198"/>
      <c r="I978" s="196"/>
      <c r="J978" s="179">
        <f>IF(A978="RAPPI",(VLOOKUP(TRIM(D978), CATALOGO!F:G, 2, FALSE) * C978)+I978,IFERROR(IF(COUNTIF('RESTAURANTESDESCUENTOS 2026'!A:A,TRIM(A978))&gt;0,((VLOOKUP(TRIM(D978), CATALOGO!A:B, 2, FALSE) * C978)*(1-VALUE(SUBSTITUTE(VLOOKUP(TRIM(A978),'RESTAURANTESDESCUENTOS 2026'!A:B,2,FALSE),"%",""))/100)+I978),(VLOOKUP(TRIM(D978), CATALOGO!A:B, 2, FALSE) * C978+I978)),""))</f>
        <v>50000</v>
      </c>
      <c r="K978" s="196"/>
      <c r="L978" s="87"/>
      <c r="M978" s="197" t="s">
        <v>587</v>
      </c>
      <c r="N978" s="168"/>
    </row>
    <row r="979" ht="22.5" hidden="1" customHeight="1">
      <c r="A979" s="137" t="s">
        <v>605</v>
      </c>
      <c r="B979" s="90">
        <v>46066.0</v>
      </c>
      <c r="C979" s="55">
        <v>1.0</v>
      </c>
      <c r="D979" s="97" t="s">
        <v>602</v>
      </c>
      <c r="E979" s="201" t="s">
        <v>607</v>
      </c>
      <c r="F979" s="202"/>
      <c r="G979" s="194" t="s">
        <v>35</v>
      </c>
      <c r="H979" s="198"/>
      <c r="I979" s="196"/>
      <c r="J979" s="179">
        <f>IF(A979="RAPPI",(VLOOKUP(TRIM(D979), CATALOGO!F:G, 2, FALSE) * C979)+I979,IFERROR(IF(COUNTIF('RESTAURANTESDESCUENTOS 2026'!A:A,TRIM(A979))&gt;0,((VLOOKUP(TRIM(D979), CATALOGO!A:B, 2, FALSE) * C979)*(1-VALUE(SUBSTITUTE(VLOOKUP(TRIM(A979),'RESTAURANTESDESCUENTOS 2026'!A:B,2,FALSE),"%",""))/100)+I979),(VLOOKUP(TRIM(D979), CATALOGO!A:B, 2, FALSE) * C979+I979)),""))</f>
        <v>22000</v>
      </c>
      <c r="K979" s="196"/>
      <c r="L979" s="87"/>
      <c r="M979" s="197" t="s">
        <v>587</v>
      </c>
      <c r="N979" s="168"/>
    </row>
    <row r="980" ht="22.5" hidden="1" customHeight="1">
      <c r="A980" s="137" t="s">
        <v>167</v>
      </c>
      <c r="B980" s="90">
        <v>46066.0</v>
      </c>
      <c r="C980" s="55">
        <v>1.0</v>
      </c>
      <c r="D980" s="97" t="s">
        <v>697</v>
      </c>
      <c r="E980" s="201"/>
      <c r="F980" s="202"/>
      <c r="G980" s="194" t="s">
        <v>35</v>
      </c>
      <c r="H980" s="198"/>
      <c r="I980" s="196"/>
      <c r="J980" s="179">
        <f>IF(A980="RAPPI",(VLOOKUP(TRIM(D980), CATALOGO!F:G, 2, FALSE) * C980)+I980,IFERROR(IF(COUNTIF('RESTAURANTESDESCUENTOS 2026'!A:A,TRIM(A980))&gt;0,((VLOOKUP(TRIM(D980), CATALOGO!A:B, 2, FALSE) * C980)*(1-VALUE(SUBSTITUTE(VLOOKUP(TRIM(A980),'RESTAURANTESDESCUENTOS 2026'!A:B,2,FALSE),"%",""))/100)+I980),(VLOOKUP(TRIM(D980), CATALOGO!A:B, 2, FALSE) * C980+I980)),""))</f>
        <v>0</v>
      </c>
      <c r="K980" s="196"/>
      <c r="L980" s="87"/>
      <c r="M980" s="197" t="s">
        <v>587</v>
      </c>
      <c r="N980" s="168"/>
    </row>
    <row r="981" ht="22.5" hidden="1" customHeight="1">
      <c r="A981" s="137" t="s">
        <v>167</v>
      </c>
      <c r="B981" s="90">
        <v>46066.0</v>
      </c>
      <c r="C981" s="55">
        <v>1.0</v>
      </c>
      <c r="D981" s="97" t="s">
        <v>629</v>
      </c>
      <c r="E981" s="201"/>
      <c r="F981" s="202"/>
      <c r="G981" s="194" t="s">
        <v>35</v>
      </c>
      <c r="H981" s="198"/>
      <c r="I981" s="196"/>
      <c r="J981" s="179">
        <f>IF(A981="RAPPI",(VLOOKUP(TRIM(D981), CATALOGO!F:G, 2, FALSE) * C981)+I981,IFERROR(IF(COUNTIF('RESTAURANTESDESCUENTOS 2026'!A:A,TRIM(A981))&gt;0,((VLOOKUP(TRIM(D981), CATALOGO!A:B, 2, FALSE) * C981)*(1-VALUE(SUBSTITUTE(VLOOKUP(TRIM(A981),'RESTAURANTESDESCUENTOS 2026'!A:B,2,FALSE),"%",""))/100)+I981),(VLOOKUP(TRIM(D981), CATALOGO!A:B, 2, FALSE) * C981+I981)),""))</f>
        <v>0</v>
      </c>
      <c r="K981" s="196"/>
      <c r="L981" s="87"/>
      <c r="M981" s="197" t="s">
        <v>587</v>
      </c>
      <c r="N981" s="168"/>
    </row>
    <row r="982" ht="22.5" hidden="1" customHeight="1">
      <c r="A982" s="137" t="s">
        <v>142</v>
      </c>
      <c r="B982" s="90">
        <v>46066.0</v>
      </c>
      <c r="C982" s="55">
        <v>1.0</v>
      </c>
      <c r="D982" s="97" t="s">
        <v>179</v>
      </c>
      <c r="E982" s="201" t="s">
        <v>648</v>
      </c>
      <c r="F982" s="202"/>
      <c r="G982" s="194" t="s">
        <v>35</v>
      </c>
      <c r="H982" s="198"/>
      <c r="I982" s="196"/>
      <c r="J982" s="199">
        <v>41250.0</v>
      </c>
      <c r="K982" s="196"/>
      <c r="L982" s="87"/>
      <c r="M982" s="197" t="s">
        <v>587</v>
      </c>
      <c r="N982" s="168"/>
    </row>
    <row r="983" ht="22.5" hidden="1" customHeight="1">
      <c r="A983" s="137" t="s">
        <v>926</v>
      </c>
      <c r="B983" s="90">
        <v>46066.0</v>
      </c>
      <c r="C983" s="55">
        <v>1.0</v>
      </c>
      <c r="D983" s="97" t="s">
        <v>739</v>
      </c>
      <c r="E983" s="201"/>
      <c r="F983" s="202"/>
      <c r="G983" s="194" t="s">
        <v>587</v>
      </c>
      <c r="H983" s="195" t="s">
        <v>588</v>
      </c>
      <c r="I983" s="196">
        <v>10000.0</v>
      </c>
      <c r="J983" s="179">
        <f>IF(A983="RAPPI",(VLOOKUP(TRIM(D983), CATALOGO!F:G, 2, FALSE) * C983)+I983,IFERROR(IF(COUNTIF('RESTAURANTESDESCUENTOS 2026'!A:A,TRIM(A983))&gt;0,((VLOOKUP(TRIM(D983), CATALOGO!A:B, 2, FALSE) * C983)*(1-VALUE(SUBSTITUTE(VLOOKUP(TRIM(A983),'RESTAURANTESDESCUENTOS 2026'!A:B,2,FALSE),"%",""))/100)+I983),(VLOOKUP(TRIM(D983), CATALOGO!A:B, 2, FALSE) * C983+I983)),""))</f>
        <v>173000</v>
      </c>
      <c r="K983" s="196">
        <v>20000.0</v>
      </c>
      <c r="L983" s="87"/>
      <c r="M983" s="197" t="s">
        <v>587</v>
      </c>
      <c r="N983" s="168"/>
    </row>
    <row r="984" ht="22.5" hidden="1" customHeight="1">
      <c r="A984" s="137" t="s">
        <v>927</v>
      </c>
      <c r="B984" s="90">
        <v>46066.0</v>
      </c>
      <c r="C984" s="55">
        <v>1.0</v>
      </c>
      <c r="D984" s="97" t="s">
        <v>182</v>
      </c>
      <c r="E984" s="201"/>
      <c r="F984" s="202"/>
      <c r="G984" s="194" t="s">
        <v>587</v>
      </c>
      <c r="H984" s="195" t="s">
        <v>588</v>
      </c>
      <c r="I984" s="196">
        <v>12000.0</v>
      </c>
      <c r="J984" s="179">
        <f>IF(A984="RAPPI",(VLOOKUP(TRIM(D984), CATALOGO!F:G, 2, FALSE) * C984)+I984,IFERROR(IF(COUNTIF('RESTAURANTESDESCUENTOS 2026'!A:A,TRIM(A984))&gt;0,((VLOOKUP(TRIM(D984), CATALOGO!A:B, 2, FALSE) * C984)*(1-VALUE(SUBSTITUTE(VLOOKUP(TRIM(A984),'RESTAURANTESDESCUENTOS 2026'!A:B,2,FALSE),"%",""))/100)+I984),(VLOOKUP(TRIM(D984), CATALOGO!A:B, 2, FALSE) * C984+I984)),""))</f>
        <v>49000</v>
      </c>
      <c r="K984" s="196">
        <v>28000.0</v>
      </c>
      <c r="L984" s="87"/>
      <c r="M984" s="197" t="s">
        <v>587</v>
      </c>
      <c r="N984" s="168"/>
    </row>
    <row r="985" ht="22.5" hidden="1" customHeight="1">
      <c r="A985" s="137" t="s">
        <v>927</v>
      </c>
      <c r="B985" s="90">
        <v>46066.0</v>
      </c>
      <c r="C985" s="55">
        <v>4.0</v>
      </c>
      <c r="D985" s="97" t="s">
        <v>620</v>
      </c>
      <c r="E985" s="201"/>
      <c r="F985" s="202"/>
      <c r="G985" s="194" t="s">
        <v>587</v>
      </c>
      <c r="H985" s="195" t="s">
        <v>588</v>
      </c>
      <c r="I985" s="196">
        <v>0.0</v>
      </c>
      <c r="J985" s="179">
        <f>IF(A985="RAPPI",(VLOOKUP(TRIM(D985), CATALOGO!F:G, 2, FALSE) * C985)+I985,IFERROR(IF(COUNTIF('RESTAURANTESDESCUENTOS 2026'!A:A,TRIM(A985))&gt;0,((VLOOKUP(TRIM(D985), CATALOGO!A:B, 2, FALSE) * C985)*(1-VALUE(SUBSTITUTE(VLOOKUP(TRIM(A985),'RESTAURANTESDESCUENTOS 2026'!A:B,2,FALSE),"%",""))/100)+I985),(VLOOKUP(TRIM(D985), CATALOGO!A:B, 2, FALSE) * C985+I985)),""))</f>
        <v>0</v>
      </c>
      <c r="K985" s="196">
        <v>0.0</v>
      </c>
      <c r="L985" s="87"/>
      <c r="M985" s="197" t="s">
        <v>587</v>
      </c>
      <c r="N985" s="168"/>
    </row>
    <row r="986" ht="22.5" hidden="1" customHeight="1">
      <c r="A986" s="137" t="s">
        <v>603</v>
      </c>
      <c r="B986" s="90">
        <v>46066.0</v>
      </c>
      <c r="C986" s="55">
        <v>1.0</v>
      </c>
      <c r="D986" s="97" t="s">
        <v>601</v>
      </c>
      <c r="E986" s="201">
        <v>7951.0</v>
      </c>
      <c r="F986" s="202"/>
      <c r="G986" s="194" t="s">
        <v>587</v>
      </c>
      <c r="H986" s="195" t="s">
        <v>603</v>
      </c>
      <c r="I986" s="196"/>
      <c r="J986" s="179">
        <f>IF(A986="RAPPI",(VLOOKUP(TRIM(D986), CATALOGO!F:G, 2, FALSE) * C986)+I986,IFERROR(IF(COUNTIF('RESTAURANTESDESCUENTOS 2026'!A:A,TRIM(A986))&gt;0,((VLOOKUP(TRIM(D986), CATALOGO!A:B, 2, FALSE) * C986)*(1-VALUE(SUBSTITUTE(VLOOKUP(TRIM(A986),'RESTAURANTESDESCUENTOS 2026'!A:B,2,FALSE),"%",""))/100)+I986),(VLOOKUP(TRIM(D986), CATALOGO!A:B, 2, FALSE) * C986+I986)),""))</f>
        <v>53000</v>
      </c>
      <c r="K986" s="196"/>
      <c r="L986" s="87"/>
      <c r="M986" s="197" t="s">
        <v>587</v>
      </c>
      <c r="N986" s="168"/>
    </row>
    <row r="987" ht="22.5" hidden="1" customHeight="1">
      <c r="A987" s="137" t="s">
        <v>603</v>
      </c>
      <c r="B987" s="90">
        <v>46066.0</v>
      </c>
      <c r="C987" s="55">
        <v>1.0</v>
      </c>
      <c r="D987" s="97" t="s">
        <v>179</v>
      </c>
      <c r="E987" s="201">
        <v>1791.0</v>
      </c>
      <c r="F987" s="202"/>
      <c r="G987" s="194" t="s">
        <v>587</v>
      </c>
      <c r="H987" s="195" t="s">
        <v>603</v>
      </c>
      <c r="I987" s="196"/>
      <c r="J987" s="179">
        <f>IF(A987="RAPPI",(VLOOKUP(TRIM(D987), CATALOGO!F:G, 2, FALSE) * C987)+I987,IFERROR(IF(COUNTIF('RESTAURANTESDESCUENTOS 2026'!A:A,TRIM(A987))&gt;0,((VLOOKUP(TRIM(D987), CATALOGO!A:B, 2, FALSE) * C987)*(1-VALUE(SUBSTITUTE(VLOOKUP(TRIM(A987),'RESTAURANTESDESCUENTOS 2026'!A:B,2,FALSE),"%",""))/100)+I987),(VLOOKUP(TRIM(D987), CATALOGO!A:B, 2, FALSE) * C987+I987)),""))</f>
        <v>55000</v>
      </c>
      <c r="K987" s="196"/>
      <c r="L987" s="87"/>
      <c r="M987" s="197" t="s">
        <v>587</v>
      </c>
      <c r="N987" s="168"/>
    </row>
    <row r="988" ht="18.75" hidden="1" customHeight="1">
      <c r="A988" s="137" t="s">
        <v>603</v>
      </c>
      <c r="B988" s="90">
        <v>46066.0</v>
      </c>
      <c r="C988" s="55">
        <v>1.0</v>
      </c>
      <c r="D988" s="97" t="s">
        <v>618</v>
      </c>
      <c r="E988" s="201">
        <v>6970.0</v>
      </c>
      <c r="F988" s="202"/>
      <c r="G988" s="194" t="s">
        <v>587</v>
      </c>
      <c r="H988" s="195" t="s">
        <v>603</v>
      </c>
      <c r="I988" s="196"/>
      <c r="J988" s="179">
        <f>IF(A988="RAPPI",(VLOOKUP(TRIM(D988), CATALOGO!F:G, 2, FALSE) * C988)+I988,IFERROR(IF(COUNTIF('RESTAURANTESDESCUENTOS 2026'!A:A,TRIM(A988))&gt;0,((VLOOKUP(TRIM(D988), CATALOGO!A:B, 2, FALSE) * C988)*(1-VALUE(SUBSTITUTE(VLOOKUP(TRIM(A988),'RESTAURANTESDESCUENTOS 2026'!A:B,2,FALSE),"%",""))/100)+I988),(VLOOKUP(TRIM(D988), CATALOGO!A:B, 2, FALSE) * C988+I988)),""))</f>
        <v>53000</v>
      </c>
      <c r="K988" s="196"/>
      <c r="L988" s="87"/>
      <c r="M988" s="197" t="s">
        <v>587</v>
      </c>
      <c r="N988" s="168"/>
      <c r="P988" s="99" t="s">
        <v>928</v>
      </c>
    </row>
    <row r="989" ht="22.5" hidden="1" customHeight="1">
      <c r="A989" s="137" t="s">
        <v>929</v>
      </c>
      <c r="B989" s="90">
        <v>46067.0</v>
      </c>
      <c r="C989" s="55">
        <v>1.0</v>
      </c>
      <c r="D989" s="97" t="s">
        <v>176</v>
      </c>
      <c r="E989" s="201" t="s">
        <v>930</v>
      </c>
      <c r="F989" s="202"/>
      <c r="G989" s="194" t="s">
        <v>587</v>
      </c>
      <c r="H989" s="195" t="s">
        <v>632</v>
      </c>
      <c r="I989" s="196">
        <v>14000.0</v>
      </c>
      <c r="J989" s="179">
        <f>IF(A989="RAPPI",(VLOOKUP(TRIM(D989), CATALOGO!F:G, 2, FALSE) * C989)+I989,IFERROR(IF(COUNTIF('RESTAURANTESDESCUENTOS 2026'!A:A,TRIM(A989))&gt;0,((VLOOKUP(TRIM(D989), CATALOGO!A:B, 2, FALSE) * C989)*(1-VALUE(SUBSTITUTE(VLOOKUP(TRIM(A989),'RESTAURANTESDESCUENTOS 2026'!A:B,2,FALSE),"%",""))/100)+I989),(VLOOKUP(TRIM(D989), CATALOGO!A:B, 2, FALSE) * C989+I989)),""))</f>
        <v>64000</v>
      </c>
      <c r="K989" s="196">
        <v>14000.0</v>
      </c>
      <c r="L989" s="87"/>
      <c r="M989" s="197" t="s">
        <v>587</v>
      </c>
      <c r="N989" s="168"/>
    </row>
    <row r="990" ht="22.5" hidden="1" customHeight="1">
      <c r="A990" s="137" t="s">
        <v>929</v>
      </c>
      <c r="B990" s="90">
        <v>46067.0</v>
      </c>
      <c r="C990" s="55">
        <v>1.0</v>
      </c>
      <c r="D990" s="97" t="s">
        <v>182</v>
      </c>
      <c r="E990" s="201"/>
      <c r="F990" s="202"/>
      <c r="G990" s="194" t="s">
        <v>587</v>
      </c>
      <c r="H990" s="195" t="s">
        <v>632</v>
      </c>
      <c r="I990" s="196">
        <v>0.0</v>
      </c>
      <c r="J990" s="179">
        <f>IF(A990="RAPPI",(VLOOKUP(TRIM(D990), CATALOGO!F:G, 2, FALSE) * C990)+I990,IFERROR(IF(COUNTIF('RESTAURANTESDESCUENTOS 2026'!A:A,TRIM(A990))&gt;0,((VLOOKUP(TRIM(D990), CATALOGO!A:B, 2, FALSE) * C990)*(1-VALUE(SUBSTITUTE(VLOOKUP(TRIM(A990),'RESTAURANTESDESCUENTOS 2026'!A:B,2,FALSE),"%",""))/100)+I990),(VLOOKUP(TRIM(D990), CATALOGO!A:B, 2, FALSE) * C990+I990)),""))</f>
        <v>37000</v>
      </c>
      <c r="K990" s="196">
        <v>0.0</v>
      </c>
      <c r="L990" s="87"/>
      <c r="M990" s="197" t="s">
        <v>587</v>
      </c>
      <c r="N990" s="168"/>
    </row>
    <row r="991" ht="22.5" hidden="1" customHeight="1">
      <c r="A991" s="137" t="s">
        <v>929</v>
      </c>
      <c r="B991" s="90">
        <v>46067.0</v>
      </c>
      <c r="C991" s="55">
        <v>2.0</v>
      </c>
      <c r="D991" s="97" t="s">
        <v>236</v>
      </c>
      <c r="E991" s="201"/>
      <c r="F991" s="202"/>
      <c r="G991" s="194" t="s">
        <v>587</v>
      </c>
      <c r="H991" s="195" t="s">
        <v>632</v>
      </c>
      <c r="I991" s="196">
        <v>0.0</v>
      </c>
      <c r="J991" s="179">
        <f>IF(A991="RAPPI",(VLOOKUP(TRIM(D991), CATALOGO!F:G, 2, FALSE) * C991)+I991,IFERROR(IF(COUNTIF('RESTAURANTESDESCUENTOS 2026'!A:A,TRIM(A991))&gt;0,((VLOOKUP(TRIM(D991), CATALOGO!A:B, 2, FALSE) * C991)*(1-VALUE(SUBSTITUTE(VLOOKUP(TRIM(A991),'RESTAURANTESDESCUENTOS 2026'!A:B,2,FALSE),"%",""))/100)+I991),(VLOOKUP(TRIM(D991), CATALOGO!A:B, 2, FALSE) * C991+I991)),""))</f>
        <v>0</v>
      </c>
      <c r="K991" s="196">
        <v>0.0</v>
      </c>
      <c r="L991" s="87"/>
      <c r="M991" s="197" t="s">
        <v>587</v>
      </c>
      <c r="N991" s="168"/>
    </row>
    <row r="992" ht="22.5" hidden="1" customHeight="1">
      <c r="A992" s="137" t="s">
        <v>929</v>
      </c>
      <c r="B992" s="90">
        <v>46067.0</v>
      </c>
      <c r="C992" s="55">
        <v>2.0</v>
      </c>
      <c r="D992" s="97" t="s">
        <v>669</v>
      </c>
      <c r="E992" s="201"/>
      <c r="F992" s="202"/>
      <c r="G992" s="194" t="s">
        <v>587</v>
      </c>
      <c r="H992" s="195" t="s">
        <v>632</v>
      </c>
      <c r="I992" s="196">
        <v>0.0</v>
      </c>
      <c r="J992" s="179">
        <f>IF(A992="RAPPI",(VLOOKUP(TRIM(D992), CATALOGO!F:G, 2, FALSE) * C992)+I992,IFERROR(IF(COUNTIF('RESTAURANTESDESCUENTOS 2026'!A:A,TRIM(A992))&gt;0,((VLOOKUP(TRIM(D992), CATALOGO!A:B, 2, FALSE) * C992)*(1-VALUE(SUBSTITUTE(VLOOKUP(TRIM(A992),'RESTAURANTESDESCUENTOS 2026'!A:B,2,FALSE),"%",""))/100)+I992),(VLOOKUP(TRIM(D992), CATALOGO!A:B, 2, FALSE) * C992+I992)),""))</f>
        <v>0</v>
      </c>
      <c r="K992" s="196">
        <v>0.0</v>
      </c>
      <c r="L992" s="87"/>
      <c r="M992" s="197" t="s">
        <v>587</v>
      </c>
      <c r="N992" s="168"/>
    </row>
    <row r="993" ht="22.5" hidden="1" customHeight="1">
      <c r="A993" s="137" t="s">
        <v>931</v>
      </c>
      <c r="B993" s="90">
        <v>46067.0</v>
      </c>
      <c r="C993" s="55">
        <v>1.0</v>
      </c>
      <c r="D993" s="97" t="s">
        <v>678</v>
      </c>
      <c r="E993" s="201"/>
      <c r="F993" s="202"/>
      <c r="G993" s="194" t="s">
        <v>587</v>
      </c>
      <c r="H993" s="195" t="s">
        <v>632</v>
      </c>
      <c r="I993" s="196">
        <v>12000.0</v>
      </c>
      <c r="J993" s="179">
        <f>IF(A993="RAPPI",(VLOOKUP(TRIM(D993), CATALOGO!F:G, 2, FALSE) * C993)+I993,IFERROR(IF(COUNTIF('RESTAURANTESDESCUENTOS 2026'!A:A,TRIM(A993))&gt;0,((VLOOKUP(TRIM(D993), CATALOGO!A:B, 2, FALSE) * C993)*(1-VALUE(SUBSTITUTE(VLOOKUP(TRIM(A993),'RESTAURANTESDESCUENTOS 2026'!A:B,2,FALSE),"%",""))/100)+I993),(VLOOKUP(TRIM(D993), CATALOGO!A:B, 2, FALSE) * C993+I993)),""))</f>
        <v>135000</v>
      </c>
      <c r="K993" s="196">
        <v>12000.0</v>
      </c>
      <c r="L993" s="87"/>
      <c r="M993" s="197" t="s">
        <v>587</v>
      </c>
      <c r="N993" s="168"/>
    </row>
    <row r="994" ht="22.5" hidden="1" customHeight="1">
      <c r="A994" s="137" t="s">
        <v>803</v>
      </c>
      <c r="B994" s="93">
        <v>46067.0</v>
      </c>
      <c r="C994" s="55">
        <v>1.0</v>
      </c>
      <c r="D994" s="97" t="s">
        <v>188</v>
      </c>
      <c r="E994" s="201"/>
      <c r="F994" s="202"/>
      <c r="G994" s="194" t="s">
        <v>587</v>
      </c>
      <c r="H994" s="195" t="s">
        <v>632</v>
      </c>
      <c r="I994" s="196">
        <v>13000.0</v>
      </c>
      <c r="J994" s="179">
        <f>IF(A994="RAPPI",(VLOOKUP(TRIM(D994), CATALOGO!F:G, 2, FALSE) * C994)+I994,IFERROR(IF(COUNTIF('RESTAURANTESDESCUENTOS 2026'!A:A,TRIM(A994))&gt;0,((VLOOKUP(TRIM(D994), CATALOGO!A:B, 2, FALSE) * C994)*(1-VALUE(SUBSTITUTE(VLOOKUP(TRIM(A994),'RESTAURANTESDESCUENTOS 2026'!A:B,2,FALSE),"%",""))/100)+I994),(VLOOKUP(TRIM(D994), CATALOGO!A:B, 2, FALSE) * C994+I994)),""))</f>
        <v>176000</v>
      </c>
      <c r="K994" s="196">
        <v>13000.0</v>
      </c>
      <c r="L994" s="87"/>
      <c r="M994" s="197" t="s">
        <v>587</v>
      </c>
      <c r="N994" s="168"/>
    </row>
    <row r="995" ht="22.5" hidden="1" customHeight="1">
      <c r="A995" s="137" t="s">
        <v>55</v>
      </c>
      <c r="B995" s="90">
        <v>46067.0</v>
      </c>
      <c r="C995" s="55">
        <v>3.0</v>
      </c>
      <c r="D995" s="97" t="s">
        <v>178</v>
      </c>
      <c r="E995" s="201" t="s">
        <v>552</v>
      </c>
      <c r="F995" s="202"/>
      <c r="G995" s="194" t="s">
        <v>587</v>
      </c>
      <c r="H995" s="195" t="s">
        <v>632</v>
      </c>
      <c r="I995" s="196">
        <v>10000.0</v>
      </c>
      <c r="J995" s="179">
        <f>IF(A995="RAPPI",(VLOOKUP(TRIM(D995), CATALOGO!F:G, 2, FALSE) * C995)+I995,IFERROR(IF(COUNTIF('RESTAURANTESDESCUENTOS 2026'!A:A,TRIM(A995))&gt;0,((VLOOKUP(TRIM(D995), CATALOGO!A:B, 2, FALSE) * C995)*(1-VALUE(SUBSTITUTE(VLOOKUP(TRIM(A995),'RESTAURANTESDESCUENTOS 2026'!A:B,2,FALSE),"%",""))/100)+I995),(VLOOKUP(TRIM(D995), CATALOGO!A:B, 2, FALSE) * C995+I995)),""))</f>
        <v>347500</v>
      </c>
      <c r="K995" s="196">
        <v>10000.0</v>
      </c>
      <c r="L995" s="87" t="s">
        <v>587</v>
      </c>
      <c r="M995" s="197" t="s">
        <v>587</v>
      </c>
      <c r="N995" s="168"/>
    </row>
    <row r="996" ht="22.5" hidden="1" customHeight="1">
      <c r="A996" s="137" t="s">
        <v>55</v>
      </c>
      <c r="B996" s="90">
        <v>46067.0</v>
      </c>
      <c r="C996" s="55">
        <v>4.0</v>
      </c>
      <c r="D996" s="97" t="s">
        <v>182</v>
      </c>
      <c r="E996" s="201" t="s">
        <v>910</v>
      </c>
      <c r="F996" s="202"/>
      <c r="G996" s="194" t="s">
        <v>587</v>
      </c>
      <c r="H996" s="195" t="s">
        <v>632</v>
      </c>
      <c r="I996" s="196">
        <v>0.0</v>
      </c>
      <c r="J996" s="179">
        <f>IF(A996="RAPPI",(VLOOKUP(TRIM(D996), CATALOGO!F:G, 2, FALSE) * C996)+I996,IFERROR(IF(COUNTIF('RESTAURANTESDESCUENTOS 2026'!A:A,TRIM(A996))&gt;0,((VLOOKUP(TRIM(D996), CATALOGO!A:B, 2, FALSE) * C996)*(1-VALUE(SUBSTITUTE(VLOOKUP(TRIM(A996),'RESTAURANTESDESCUENTOS 2026'!A:B,2,FALSE),"%",""))/100)+I996),(VLOOKUP(TRIM(D996), CATALOGO!A:B, 2, FALSE) * C996+I996)),""))</f>
        <v>111000</v>
      </c>
      <c r="K996" s="196">
        <v>0.0</v>
      </c>
      <c r="L996" s="87" t="s">
        <v>587</v>
      </c>
      <c r="M996" s="197" t="s">
        <v>587</v>
      </c>
      <c r="N996" s="168"/>
    </row>
    <row r="997" ht="22.5" hidden="1" customHeight="1">
      <c r="A997" s="137" t="s">
        <v>932</v>
      </c>
      <c r="B997" s="90">
        <v>46067.0</v>
      </c>
      <c r="C997" s="55">
        <v>1.0</v>
      </c>
      <c r="D997" s="97" t="s">
        <v>177</v>
      </c>
      <c r="E997" s="201"/>
      <c r="F997" s="202"/>
      <c r="G997" s="194" t="s">
        <v>35</v>
      </c>
      <c r="H997" s="198"/>
      <c r="I997" s="196"/>
      <c r="J997" s="179">
        <f>IF(A997="RAPPI",(VLOOKUP(TRIM(D997), CATALOGO!F:G, 2, FALSE) * C997)+I997,IFERROR(IF(COUNTIF('RESTAURANTESDESCUENTOS 2026'!A:A,TRIM(A997))&gt;0,((VLOOKUP(TRIM(D997), CATALOGO!A:B, 2, FALSE) * C997)*(1-VALUE(SUBSTITUTE(VLOOKUP(TRIM(A997),'RESTAURANTESDESCUENTOS 2026'!A:B,2,FALSE),"%",""))/100)+I997),(VLOOKUP(TRIM(D997), CATALOGO!A:B, 2, FALSE) * C997+I997)),""))</f>
        <v>115000</v>
      </c>
      <c r="K997" s="196"/>
      <c r="L997" s="87"/>
      <c r="M997" s="197" t="s">
        <v>587</v>
      </c>
      <c r="N997" s="168"/>
    </row>
    <row r="998" ht="22.5" hidden="1" customHeight="1">
      <c r="A998" s="137" t="s">
        <v>933</v>
      </c>
      <c r="B998" s="90">
        <v>46067.0</v>
      </c>
      <c r="C998" s="55">
        <v>1.0</v>
      </c>
      <c r="D998" s="97" t="s">
        <v>182</v>
      </c>
      <c r="E998" s="201" t="s">
        <v>645</v>
      </c>
      <c r="F998" s="202"/>
      <c r="G998" s="194" t="s">
        <v>587</v>
      </c>
      <c r="H998" s="195" t="s">
        <v>632</v>
      </c>
      <c r="I998" s="196">
        <v>12000.0</v>
      </c>
      <c r="J998" s="179">
        <f>IF(A998="RAPPI",(VLOOKUP(TRIM(D998), CATALOGO!F:G, 2, FALSE) * C998)+I998,IFERROR(IF(COUNTIF('RESTAURANTESDESCUENTOS 2026'!A:A,TRIM(A998))&gt;0,((VLOOKUP(TRIM(D998), CATALOGO!A:B, 2, FALSE) * C998)*(1-VALUE(SUBSTITUTE(VLOOKUP(TRIM(A998),'RESTAURANTESDESCUENTOS 2026'!A:B,2,FALSE),"%",""))/100)+I998),(VLOOKUP(TRIM(D998), CATALOGO!A:B, 2, FALSE) * C998+I998)),""))</f>
        <v>49000</v>
      </c>
      <c r="K998" s="196">
        <v>12000.0</v>
      </c>
      <c r="L998" s="87"/>
      <c r="M998" s="197" t="s">
        <v>587</v>
      </c>
      <c r="N998" s="168"/>
    </row>
    <row r="999" ht="22.5" hidden="1" customHeight="1">
      <c r="A999" s="137" t="s">
        <v>933</v>
      </c>
      <c r="B999" s="90">
        <v>46067.0</v>
      </c>
      <c r="C999" s="55">
        <v>1.0</v>
      </c>
      <c r="D999" s="97" t="s">
        <v>669</v>
      </c>
      <c r="E999" s="201"/>
      <c r="F999" s="202"/>
      <c r="G999" s="194" t="s">
        <v>587</v>
      </c>
      <c r="H999" s="195" t="s">
        <v>632</v>
      </c>
      <c r="I999" s="196">
        <v>0.0</v>
      </c>
      <c r="J999" s="179">
        <f>IF(A999="RAPPI",(VLOOKUP(TRIM(D999), CATALOGO!F:G, 2, FALSE) * C999)+I999,IFERROR(IF(COUNTIF('RESTAURANTESDESCUENTOS 2026'!A:A,TRIM(A999))&gt;0,((VLOOKUP(TRIM(D999), CATALOGO!A:B, 2, FALSE) * C999)*(1-VALUE(SUBSTITUTE(VLOOKUP(TRIM(A999),'RESTAURANTESDESCUENTOS 2026'!A:B,2,FALSE),"%",""))/100)+I999),(VLOOKUP(TRIM(D999), CATALOGO!A:B, 2, FALSE) * C999+I999)),""))</f>
        <v>0</v>
      </c>
      <c r="K999" s="196">
        <v>0.0</v>
      </c>
      <c r="L999" s="87"/>
      <c r="M999" s="197" t="s">
        <v>587</v>
      </c>
      <c r="N999" s="168"/>
    </row>
    <row r="1000" ht="22.5" hidden="1" customHeight="1">
      <c r="A1000" s="137" t="s">
        <v>933</v>
      </c>
      <c r="B1000" s="90">
        <v>46067.0</v>
      </c>
      <c r="C1000" s="55">
        <v>1.0</v>
      </c>
      <c r="D1000" s="97" t="s">
        <v>639</v>
      </c>
      <c r="E1000" s="201"/>
      <c r="F1000" s="202"/>
      <c r="G1000" s="194" t="s">
        <v>587</v>
      </c>
      <c r="H1000" s="195" t="s">
        <v>632</v>
      </c>
      <c r="I1000" s="196">
        <v>0.0</v>
      </c>
      <c r="J1000" s="179">
        <f>IF(A1000="RAPPI",(VLOOKUP(TRIM(D1000), CATALOGO!F:G, 2, FALSE) * C1000)+I1000,IFERROR(IF(COUNTIF('RESTAURANTESDESCUENTOS 2026'!A:A,TRIM(A1000))&gt;0,((VLOOKUP(TRIM(D1000), CATALOGO!A:B, 2, FALSE) * C1000)*(1-VALUE(SUBSTITUTE(VLOOKUP(TRIM(A1000),'RESTAURANTESDESCUENTOS 2026'!A:B,2,FALSE),"%",""))/100)+I1000),(VLOOKUP(TRIM(D1000), CATALOGO!A:B, 2, FALSE) * C1000+I1000)),""))</f>
        <v>0</v>
      </c>
      <c r="K1000" s="196">
        <v>0.0</v>
      </c>
      <c r="L1000" s="87"/>
      <c r="M1000" s="197" t="s">
        <v>587</v>
      </c>
      <c r="N1000" s="168"/>
    </row>
    <row r="1001" ht="22.5" hidden="1" customHeight="1">
      <c r="A1001" s="137" t="s">
        <v>603</v>
      </c>
      <c r="B1001" s="90">
        <v>46067.0</v>
      </c>
      <c r="C1001" s="55">
        <v>1.0</v>
      </c>
      <c r="D1001" s="97" t="s">
        <v>180</v>
      </c>
      <c r="E1001" s="201">
        <v>424.0</v>
      </c>
      <c r="F1001" s="202"/>
      <c r="G1001" s="194" t="s">
        <v>587</v>
      </c>
      <c r="H1001" s="195" t="s">
        <v>603</v>
      </c>
      <c r="I1001" s="196"/>
      <c r="J1001" s="179">
        <f>IF(A1001="RAPPI",(VLOOKUP(TRIM(D1001), CATALOGO!F:G, 2, FALSE) * C1001)+I1001,IFERROR(IF(COUNTIF('RESTAURANTESDESCUENTOS 2026'!A:A,TRIM(A1001))&gt;0,((VLOOKUP(TRIM(D1001), CATALOGO!A:B, 2, FALSE) * C1001)*(1-VALUE(SUBSTITUTE(VLOOKUP(TRIM(A1001),'RESTAURANTESDESCUENTOS 2026'!A:B,2,FALSE),"%",""))/100)+I1001),(VLOOKUP(TRIM(D1001), CATALOGO!A:B, 2, FALSE) * C1001+I1001)),""))</f>
        <v>149000</v>
      </c>
      <c r="K1001" s="196"/>
      <c r="L1001" s="87"/>
      <c r="M1001" s="197" t="s">
        <v>587</v>
      </c>
      <c r="N1001" s="168"/>
    </row>
    <row r="1002" ht="22.5" hidden="1" customHeight="1">
      <c r="A1002" s="137" t="s">
        <v>603</v>
      </c>
      <c r="B1002" s="90">
        <v>46067.0</v>
      </c>
      <c r="C1002" s="55">
        <v>1.0</v>
      </c>
      <c r="D1002" s="97" t="s">
        <v>697</v>
      </c>
      <c r="E1002" s="201">
        <v>982.0</v>
      </c>
      <c r="F1002" s="202"/>
      <c r="G1002" s="194" t="s">
        <v>587</v>
      </c>
      <c r="H1002" s="195" t="s">
        <v>603</v>
      </c>
      <c r="I1002" s="196"/>
      <c r="J1002" s="179">
        <f>IF(A1002="RAPPI",(VLOOKUP(TRIM(D1002), CATALOGO!F:G, 2, FALSE) * C1002)+I1002,IFERROR(IF(COUNTIF('RESTAURANTESDESCUENTOS 2026'!A:A,TRIM(A1002))&gt;0,((VLOOKUP(TRIM(D1002), CATALOGO!A:B, 2, FALSE) * C1002)*(1-VALUE(SUBSTITUTE(VLOOKUP(TRIM(A1002),'RESTAURANTESDESCUENTOS 2026'!A:B,2,FALSE),"%",""))/100)+I1002),(VLOOKUP(TRIM(D1002), CATALOGO!A:B, 2, FALSE) * C1002+I1002)),""))</f>
        <v>163000</v>
      </c>
      <c r="K1002" s="196"/>
      <c r="L1002" s="87"/>
      <c r="M1002" s="197" t="s">
        <v>587</v>
      </c>
      <c r="N1002" s="168"/>
    </row>
    <row r="1003" ht="22.5" hidden="1" customHeight="1">
      <c r="A1003" s="137" t="s">
        <v>605</v>
      </c>
      <c r="B1003" s="90">
        <v>46067.0</v>
      </c>
      <c r="C1003" s="55">
        <v>1.0</v>
      </c>
      <c r="D1003" s="97" t="s">
        <v>176</v>
      </c>
      <c r="E1003" s="201" t="s">
        <v>630</v>
      </c>
      <c r="F1003" s="202"/>
      <c r="G1003" s="194" t="s">
        <v>35</v>
      </c>
      <c r="H1003" s="198"/>
      <c r="I1003" s="196"/>
      <c r="J1003" s="179">
        <f>IF(A1003="RAPPI",(VLOOKUP(TRIM(D1003), CATALOGO!F:G, 2, FALSE) * C1003)+I1003,IFERROR(IF(COUNTIF('RESTAURANTESDESCUENTOS 2026'!A:A,TRIM(A1003))&gt;0,((VLOOKUP(TRIM(D1003), CATALOGO!A:B, 2, FALSE) * C1003)*(1-VALUE(SUBSTITUTE(VLOOKUP(TRIM(A1003),'RESTAURANTESDESCUENTOS 2026'!A:B,2,FALSE),"%",""))/100)+I1003),(VLOOKUP(TRIM(D1003), CATALOGO!A:B, 2, FALSE) * C1003+I1003)),""))</f>
        <v>50000</v>
      </c>
      <c r="K1003" s="196"/>
      <c r="L1003" s="87"/>
      <c r="M1003" s="197" t="s">
        <v>587</v>
      </c>
      <c r="N1003" s="168"/>
    </row>
    <row r="1004" ht="22.5" hidden="1" customHeight="1">
      <c r="A1004" s="137" t="s">
        <v>603</v>
      </c>
      <c r="B1004" s="90">
        <v>46067.0</v>
      </c>
      <c r="C1004" s="55">
        <v>1.0</v>
      </c>
      <c r="D1004" s="97" t="s">
        <v>697</v>
      </c>
      <c r="E1004" s="201">
        <v>6339.0</v>
      </c>
      <c r="F1004" s="202"/>
      <c r="G1004" s="194" t="s">
        <v>587</v>
      </c>
      <c r="H1004" s="195" t="s">
        <v>603</v>
      </c>
      <c r="I1004" s="196"/>
      <c r="J1004" s="179">
        <f>IF(A1004="RAPPI",(VLOOKUP(TRIM(D1004), CATALOGO!F:G, 2, FALSE) * C1004)+I1004,IFERROR(IF(COUNTIF('RESTAURANTESDESCUENTOS 2026'!A:A,TRIM(A1004))&gt;0,((VLOOKUP(TRIM(D1004), CATALOGO!A:B, 2, FALSE) * C1004)*(1-VALUE(SUBSTITUTE(VLOOKUP(TRIM(A1004),'RESTAURANTESDESCUENTOS 2026'!A:B,2,FALSE),"%",""))/100)+I1004),(VLOOKUP(TRIM(D1004), CATALOGO!A:B, 2, FALSE) * C1004+I1004)),""))</f>
        <v>163000</v>
      </c>
      <c r="K1004" s="196"/>
      <c r="L1004" s="87"/>
      <c r="M1004" s="197" t="s">
        <v>587</v>
      </c>
      <c r="N1004" s="168"/>
    </row>
    <row r="1005" ht="22.5" hidden="1" customHeight="1">
      <c r="A1005" s="137" t="s">
        <v>603</v>
      </c>
      <c r="B1005" s="90">
        <v>46067.0</v>
      </c>
      <c r="C1005" s="55">
        <v>1.0</v>
      </c>
      <c r="D1005" s="97" t="s">
        <v>601</v>
      </c>
      <c r="E1005" s="201">
        <v>5946.0</v>
      </c>
      <c r="F1005" s="202"/>
      <c r="G1005" s="194" t="s">
        <v>587</v>
      </c>
      <c r="H1005" s="195" t="s">
        <v>603</v>
      </c>
      <c r="I1005" s="196"/>
      <c r="J1005" s="179">
        <f>IF(A1005="RAPPI",(VLOOKUP(TRIM(D1005), CATALOGO!F:G, 2, FALSE) * C1005)+I1005,IFERROR(IF(COUNTIF('RESTAURANTESDESCUENTOS 2026'!A:A,TRIM(A1005))&gt;0,((VLOOKUP(TRIM(D1005), CATALOGO!A:B, 2, FALSE) * C1005)*(1-VALUE(SUBSTITUTE(VLOOKUP(TRIM(A1005),'RESTAURANTESDESCUENTOS 2026'!A:B,2,FALSE),"%",""))/100)+I1005),(VLOOKUP(TRIM(D1005), CATALOGO!A:B, 2, FALSE) * C1005+I1005)),""))</f>
        <v>53000</v>
      </c>
      <c r="K1005" s="196"/>
      <c r="L1005" s="87"/>
      <c r="M1005" s="197" t="s">
        <v>587</v>
      </c>
      <c r="N1005" s="168"/>
    </row>
    <row r="1006" ht="22.5" hidden="1" customHeight="1">
      <c r="A1006" s="137" t="s">
        <v>603</v>
      </c>
      <c r="B1006" s="90">
        <v>46067.0</v>
      </c>
      <c r="C1006" s="55">
        <v>1.0</v>
      </c>
      <c r="D1006" s="97" t="s">
        <v>601</v>
      </c>
      <c r="E1006" s="201">
        <v>5358.0</v>
      </c>
      <c r="F1006" s="202"/>
      <c r="G1006" s="194" t="s">
        <v>587</v>
      </c>
      <c r="H1006" s="195" t="s">
        <v>603</v>
      </c>
      <c r="I1006" s="196"/>
      <c r="J1006" s="179">
        <f>IF(A1006="RAPPI",(VLOOKUP(TRIM(D1006), CATALOGO!F:G, 2, FALSE) * C1006)+I1006,IFERROR(IF(COUNTIF('RESTAURANTESDESCUENTOS 2026'!A:A,TRIM(A1006))&gt;0,((VLOOKUP(TRIM(D1006), CATALOGO!A:B, 2, FALSE) * C1006)*(1-VALUE(SUBSTITUTE(VLOOKUP(TRIM(A1006),'RESTAURANTESDESCUENTOS 2026'!A:B,2,FALSE),"%",""))/100)+I1006),(VLOOKUP(TRIM(D1006), CATALOGO!A:B, 2, FALSE) * C1006+I1006)),""))</f>
        <v>53000</v>
      </c>
      <c r="K1006" s="196"/>
      <c r="L1006" s="87"/>
      <c r="M1006" s="197" t="s">
        <v>587</v>
      </c>
      <c r="N1006" s="168"/>
    </row>
    <row r="1007" ht="22.5" hidden="1" customHeight="1">
      <c r="A1007" s="137" t="s">
        <v>603</v>
      </c>
      <c r="B1007" s="90">
        <v>46067.0</v>
      </c>
      <c r="C1007" s="55">
        <v>1.0</v>
      </c>
      <c r="D1007" s="97" t="s">
        <v>186</v>
      </c>
      <c r="E1007" s="201">
        <v>9568.0</v>
      </c>
      <c r="F1007" s="202"/>
      <c r="G1007" s="194" t="s">
        <v>587</v>
      </c>
      <c r="H1007" s="195" t="s">
        <v>603</v>
      </c>
      <c r="I1007" s="196"/>
      <c r="J1007" s="179">
        <f>IF(A1007="RAPPI",(VLOOKUP(TRIM(D1007), CATALOGO!F:G, 2, FALSE) * C1007)+I1007,IFERROR(IF(COUNTIF('RESTAURANTESDESCUENTOS 2026'!A:A,TRIM(A1007))&gt;0,((VLOOKUP(TRIM(D1007), CATALOGO!A:B, 2, FALSE) * C1007)*(1-VALUE(SUBSTITUTE(VLOOKUP(TRIM(A1007),'RESTAURANTESDESCUENTOS 2026'!A:B,2,FALSE),"%",""))/100)+I1007),(VLOOKUP(TRIM(D1007), CATALOGO!A:B, 2, FALSE) * C1007+I1007)),""))</f>
        <v>55000</v>
      </c>
      <c r="K1007" s="196"/>
      <c r="L1007" s="87"/>
      <c r="M1007" s="197" t="s">
        <v>587</v>
      </c>
      <c r="N1007" s="168"/>
    </row>
    <row r="1008" ht="22.5" hidden="1" customHeight="1">
      <c r="A1008" s="137" t="s">
        <v>934</v>
      </c>
      <c r="B1008" s="90">
        <v>46067.0</v>
      </c>
      <c r="C1008" s="55">
        <v>1.0</v>
      </c>
      <c r="D1008" s="97" t="s">
        <v>225</v>
      </c>
      <c r="E1008" s="201"/>
      <c r="F1008" s="202"/>
      <c r="G1008" s="194" t="s">
        <v>35</v>
      </c>
      <c r="H1008" s="198"/>
      <c r="I1008" s="196"/>
      <c r="J1008" s="179">
        <f>IF(A1008="RAPPI",(VLOOKUP(TRIM(D1008), CATALOGO!F:G, 2, FALSE) * C1008)+I1008,IFERROR(IF(COUNTIF('RESTAURANTESDESCUENTOS 2026'!A:A,TRIM(A1008))&gt;0,((VLOOKUP(TRIM(D1008), CATALOGO!A:B, 2, FALSE) * C1008)*(1-VALUE(SUBSTITUTE(VLOOKUP(TRIM(A1008),'RESTAURANTESDESCUENTOS 2026'!A:B,2,FALSE),"%",""))/100)+I1008),(VLOOKUP(TRIM(D1008), CATALOGO!A:B, 2, FALSE) * C1008+I1008)),""))</f>
        <v>37000</v>
      </c>
      <c r="K1008" s="196"/>
      <c r="L1008" s="87"/>
      <c r="M1008" s="197" t="s">
        <v>587</v>
      </c>
      <c r="N1008" s="168"/>
    </row>
    <row r="1009" ht="22.5" hidden="1" customHeight="1">
      <c r="A1009" s="137" t="s">
        <v>935</v>
      </c>
      <c r="B1009" s="90">
        <v>46067.0</v>
      </c>
      <c r="C1009" s="55">
        <v>1.0</v>
      </c>
      <c r="D1009" s="97" t="s">
        <v>176</v>
      </c>
      <c r="E1009" s="201"/>
      <c r="F1009" s="202"/>
      <c r="G1009" s="194" t="s">
        <v>587</v>
      </c>
      <c r="H1009" s="195" t="s">
        <v>588</v>
      </c>
      <c r="I1009" s="196">
        <v>14000.0</v>
      </c>
      <c r="J1009" s="179">
        <f>IF(A1009="RAPPI",(VLOOKUP(TRIM(D1009), CATALOGO!F:G, 2, FALSE) * C1009)+I1009,IFERROR(IF(COUNTIF('RESTAURANTESDESCUENTOS 2026'!A:A,TRIM(A1009))&gt;0,((VLOOKUP(TRIM(D1009), CATALOGO!A:B, 2, FALSE) * C1009)*(1-VALUE(SUBSTITUTE(VLOOKUP(TRIM(A1009),'RESTAURANTESDESCUENTOS 2026'!A:B,2,FALSE),"%",""))/100)+I1009),(VLOOKUP(TRIM(D1009), CATALOGO!A:B, 2, FALSE) * C1009+I1009)),""))</f>
        <v>64000</v>
      </c>
      <c r="K1009" s="196">
        <v>14000.0</v>
      </c>
      <c r="L1009" s="87"/>
      <c r="M1009" s="197" t="s">
        <v>587</v>
      </c>
      <c r="N1009" s="168"/>
    </row>
    <row r="1010" ht="22.5" hidden="1" customHeight="1">
      <c r="A1010" s="137" t="s">
        <v>603</v>
      </c>
      <c r="B1010" s="90">
        <v>46067.0</v>
      </c>
      <c r="C1010" s="55">
        <v>1.0</v>
      </c>
      <c r="D1010" s="97" t="s">
        <v>697</v>
      </c>
      <c r="E1010" s="201">
        <v>5925.0</v>
      </c>
      <c r="F1010" s="202"/>
      <c r="G1010" s="194" t="s">
        <v>587</v>
      </c>
      <c r="H1010" s="195" t="s">
        <v>603</v>
      </c>
      <c r="I1010" s="196"/>
      <c r="J1010" s="179">
        <f>IF(A1010="RAPPI",(VLOOKUP(TRIM(D1010), CATALOGO!F:G, 2, FALSE) * C1010)+I1010,IFERROR(IF(COUNTIF('RESTAURANTESDESCUENTOS 2026'!A:A,TRIM(A1010))&gt;0,((VLOOKUP(TRIM(D1010), CATALOGO!A:B, 2, FALSE) * C1010)*(1-VALUE(SUBSTITUTE(VLOOKUP(TRIM(A1010),'RESTAURANTESDESCUENTOS 2026'!A:B,2,FALSE),"%",""))/100)+I1010),(VLOOKUP(TRIM(D1010), CATALOGO!A:B, 2, FALSE) * C1010+I1010)),""))</f>
        <v>163000</v>
      </c>
      <c r="K1010" s="196"/>
      <c r="L1010" s="87"/>
      <c r="M1010" s="197" t="s">
        <v>587</v>
      </c>
      <c r="N1010" s="168"/>
    </row>
    <row r="1011" ht="22.5" hidden="1" customHeight="1">
      <c r="A1011" s="137" t="s">
        <v>603</v>
      </c>
      <c r="B1011" s="90">
        <v>46067.0</v>
      </c>
      <c r="C1011" s="55">
        <v>1.0</v>
      </c>
      <c r="D1011" s="97" t="s">
        <v>601</v>
      </c>
      <c r="E1011" s="201">
        <v>6771.0</v>
      </c>
      <c r="F1011" s="202"/>
      <c r="G1011" s="194" t="s">
        <v>587</v>
      </c>
      <c r="H1011" s="195" t="s">
        <v>603</v>
      </c>
      <c r="I1011" s="196"/>
      <c r="J1011" s="179">
        <f>IF(A1011="RAPPI",(VLOOKUP(TRIM(D1011), CATALOGO!F:G, 2, FALSE) * C1011)+I1011,IFERROR(IF(COUNTIF('RESTAURANTESDESCUENTOS 2026'!A:A,TRIM(A1011))&gt;0,((VLOOKUP(TRIM(D1011), CATALOGO!A:B, 2, FALSE) * C1011)*(1-VALUE(SUBSTITUTE(VLOOKUP(TRIM(A1011),'RESTAURANTESDESCUENTOS 2026'!A:B,2,FALSE),"%",""))/100)+I1011),(VLOOKUP(TRIM(D1011), CATALOGO!A:B, 2, FALSE) * C1011+I1011)),""))</f>
        <v>53000</v>
      </c>
      <c r="K1011" s="196"/>
      <c r="L1011" s="87"/>
      <c r="M1011" s="197" t="s">
        <v>587</v>
      </c>
      <c r="N1011" s="168"/>
    </row>
    <row r="1012" ht="22.5" hidden="1" customHeight="1">
      <c r="A1012" s="137" t="s">
        <v>603</v>
      </c>
      <c r="B1012" s="90">
        <v>46067.0</v>
      </c>
      <c r="C1012" s="55">
        <v>1.0</v>
      </c>
      <c r="D1012" s="97" t="s">
        <v>176</v>
      </c>
      <c r="E1012" s="201">
        <v>202.0</v>
      </c>
      <c r="F1012" s="202"/>
      <c r="G1012" s="194" t="s">
        <v>587</v>
      </c>
      <c r="H1012" s="195" t="s">
        <v>603</v>
      </c>
      <c r="I1012" s="196"/>
      <c r="J1012" s="179">
        <f>IF(A1012="RAPPI",(VLOOKUP(TRIM(D1012), CATALOGO!F:G, 2, FALSE) * C1012)+I1012,IFERROR(IF(COUNTIF('RESTAURANTESDESCUENTOS 2026'!A:A,TRIM(A1012))&gt;0,((VLOOKUP(TRIM(D1012), CATALOGO!A:B, 2, FALSE) * C1012)*(1-VALUE(SUBSTITUTE(VLOOKUP(TRIM(A1012),'RESTAURANTESDESCUENTOS 2026'!A:B,2,FALSE),"%",""))/100)+I1012),(VLOOKUP(TRIM(D1012), CATALOGO!A:B, 2, FALSE) * C1012+I1012)),""))</f>
        <v>50000</v>
      </c>
      <c r="K1012" s="196"/>
      <c r="L1012" s="87"/>
      <c r="M1012" s="197" t="s">
        <v>587</v>
      </c>
      <c r="N1012" s="168"/>
    </row>
    <row r="1013" ht="22.5" hidden="1" customHeight="1">
      <c r="A1013" s="137" t="s">
        <v>603</v>
      </c>
      <c r="B1013" s="90">
        <v>46067.0</v>
      </c>
      <c r="C1013" s="55">
        <v>1.0</v>
      </c>
      <c r="D1013" s="97" t="s">
        <v>187</v>
      </c>
      <c r="E1013" s="201">
        <v>807.0</v>
      </c>
      <c r="F1013" s="202"/>
      <c r="G1013" s="194" t="s">
        <v>587</v>
      </c>
      <c r="H1013" s="195" t="s">
        <v>603</v>
      </c>
      <c r="I1013" s="196"/>
      <c r="J1013" s="179">
        <f>IF(A1013="RAPPI",(VLOOKUP(TRIM(D1013), CATALOGO!F:G, 2, FALSE) * C1013)+I1013,IFERROR(IF(COUNTIF('RESTAURANTESDESCUENTOS 2026'!A:A,TRIM(A1013))&gt;0,((VLOOKUP(TRIM(D1013), CATALOGO!A:B, 2, FALSE) * C1013)*(1-VALUE(SUBSTITUTE(VLOOKUP(TRIM(A1013),'RESTAURANTESDESCUENTOS 2026'!A:B,2,FALSE),"%",""))/100)+I1013),(VLOOKUP(TRIM(D1013), CATALOGO!A:B, 2, FALSE) * C1013+I1013)),""))</f>
        <v>55000</v>
      </c>
      <c r="K1013" s="196"/>
      <c r="L1013" s="87"/>
      <c r="M1013" s="197" t="s">
        <v>587</v>
      </c>
      <c r="N1013" s="168"/>
    </row>
    <row r="1014" ht="22.5" hidden="1" customHeight="1">
      <c r="A1014" s="137" t="s">
        <v>605</v>
      </c>
      <c r="B1014" s="90">
        <v>46067.0</v>
      </c>
      <c r="C1014" s="55">
        <v>1.0</v>
      </c>
      <c r="D1014" s="97" t="s">
        <v>176</v>
      </c>
      <c r="E1014" s="201" t="s">
        <v>606</v>
      </c>
      <c r="F1014" s="202"/>
      <c r="G1014" s="194" t="s">
        <v>35</v>
      </c>
      <c r="H1014" s="198"/>
      <c r="I1014" s="196"/>
      <c r="J1014" s="179">
        <f>IF(A1014="RAPPI",(VLOOKUP(TRIM(D1014), CATALOGO!F:G, 2, FALSE) * C1014)+I1014,IFERROR(IF(COUNTIF('RESTAURANTESDESCUENTOS 2026'!A:A,TRIM(A1014))&gt;0,((VLOOKUP(TRIM(D1014), CATALOGO!A:B, 2, FALSE) * C1014)*(1-VALUE(SUBSTITUTE(VLOOKUP(TRIM(A1014),'RESTAURANTESDESCUENTOS 2026'!A:B,2,FALSE),"%",""))/100)+I1014),(VLOOKUP(TRIM(D1014), CATALOGO!A:B, 2, FALSE) * C1014+I1014)),""))</f>
        <v>50000</v>
      </c>
      <c r="K1014" s="196"/>
      <c r="L1014" s="87"/>
      <c r="M1014" s="197" t="s">
        <v>587</v>
      </c>
      <c r="N1014" s="168"/>
    </row>
    <row r="1015" ht="22.5" hidden="1" customHeight="1">
      <c r="A1015" s="137" t="s">
        <v>605</v>
      </c>
      <c r="B1015" s="90">
        <v>46067.0</v>
      </c>
      <c r="C1015" s="55">
        <v>1.0</v>
      </c>
      <c r="D1015" s="97" t="s">
        <v>174</v>
      </c>
      <c r="E1015" s="201" t="s">
        <v>606</v>
      </c>
      <c r="F1015" s="202"/>
      <c r="G1015" s="194" t="s">
        <v>35</v>
      </c>
      <c r="H1015" s="198"/>
      <c r="I1015" s="196"/>
      <c r="J1015" s="179">
        <f>IF(A1015="RAPPI",(VLOOKUP(TRIM(D1015), CATALOGO!F:G, 2, FALSE) * C1015)+I1015,IFERROR(IF(COUNTIF('RESTAURANTESDESCUENTOS 2026'!A:A,TRIM(A1015))&gt;0,((VLOOKUP(TRIM(D1015), CATALOGO!A:B, 2, FALSE) * C1015)*(1-VALUE(SUBSTITUTE(VLOOKUP(TRIM(A1015),'RESTAURANTESDESCUENTOS 2026'!A:B,2,FALSE),"%",""))/100)+I1015),(VLOOKUP(TRIM(D1015), CATALOGO!A:B, 2, FALSE) * C1015+I1015)),""))</f>
        <v>18000</v>
      </c>
      <c r="K1015" s="196"/>
      <c r="L1015" s="87"/>
      <c r="M1015" s="197" t="s">
        <v>587</v>
      </c>
      <c r="N1015" s="168"/>
    </row>
    <row r="1016" ht="22.5" hidden="1" customHeight="1">
      <c r="A1016" s="137" t="s">
        <v>936</v>
      </c>
      <c r="B1016" s="90">
        <v>46067.0</v>
      </c>
      <c r="C1016" s="55">
        <v>1.0</v>
      </c>
      <c r="D1016" s="97" t="s">
        <v>179</v>
      </c>
      <c r="E1016" s="201"/>
      <c r="F1016" s="202"/>
      <c r="G1016" s="194" t="s">
        <v>587</v>
      </c>
      <c r="H1016" s="195" t="s">
        <v>632</v>
      </c>
      <c r="I1016" s="196">
        <v>10000.0</v>
      </c>
      <c r="J1016" s="179">
        <f>IF(A1016="RAPPI",(VLOOKUP(TRIM(D1016), CATALOGO!F:G, 2, FALSE) * C1016)+I1016,IFERROR(IF(COUNTIF('RESTAURANTESDESCUENTOS 2026'!A:A,TRIM(A1016))&gt;0,((VLOOKUP(TRIM(D1016), CATALOGO!A:B, 2, FALSE) * C1016)*(1-VALUE(SUBSTITUTE(VLOOKUP(TRIM(A1016),'RESTAURANTESDESCUENTOS 2026'!A:B,2,FALSE),"%",""))/100)+I1016),(VLOOKUP(TRIM(D1016), CATALOGO!A:B, 2, FALSE) * C1016+I1016)),""))</f>
        <v>65000</v>
      </c>
      <c r="K1016" s="196">
        <v>10000.0</v>
      </c>
      <c r="L1016" s="87"/>
      <c r="M1016" s="197" t="s">
        <v>587</v>
      </c>
      <c r="N1016" s="168"/>
    </row>
    <row r="1017" ht="22.5" hidden="1" customHeight="1">
      <c r="A1017" s="137" t="s">
        <v>605</v>
      </c>
      <c r="B1017" s="90">
        <v>46067.0</v>
      </c>
      <c r="C1017" s="55">
        <v>1.0</v>
      </c>
      <c r="D1017" s="97" t="s">
        <v>177</v>
      </c>
      <c r="E1017" s="201" t="s">
        <v>606</v>
      </c>
      <c r="F1017" s="202"/>
      <c r="G1017" s="194" t="s">
        <v>35</v>
      </c>
      <c r="H1017" s="198"/>
      <c r="I1017" s="196"/>
      <c r="J1017" s="179">
        <f>IF(A1017="RAPPI",(VLOOKUP(TRIM(D1017), CATALOGO!F:G, 2, FALSE) * C1017)+I1017,IFERROR(IF(COUNTIF('RESTAURANTESDESCUENTOS 2026'!A:A,TRIM(A1017))&gt;0,((VLOOKUP(TRIM(D1017), CATALOGO!A:B, 2, FALSE) * C1017)*(1-VALUE(SUBSTITUTE(VLOOKUP(TRIM(A1017),'RESTAURANTESDESCUENTOS 2026'!A:B,2,FALSE),"%",""))/100)+I1017),(VLOOKUP(TRIM(D1017), CATALOGO!A:B, 2, FALSE) * C1017+I1017)),""))</f>
        <v>115000</v>
      </c>
      <c r="K1017" s="196"/>
      <c r="L1017" s="87"/>
      <c r="M1017" s="197" t="s">
        <v>587</v>
      </c>
      <c r="N1017" s="168"/>
    </row>
    <row r="1018" ht="22.5" hidden="1" customHeight="1">
      <c r="A1018" s="137" t="s">
        <v>605</v>
      </c>
      <c r="B1018" s="90">
        <v>46067.0</v>
      </c>
      <c r="C1018" s="55">
        <v>1.0</v>
      </c>
      <c r="D1018" s="97" t="s">
        <v>174</v>
      </c>
      <c r="E1018" s="201" t="s">
        <v>606</v>
      </c>
      <c r="F1018" s="202"/>
      <c r="G1018" s="194" t="s">
        <v>35</v>
      </c>
      <c r="H1018" s="198"/>
      <c r="I1018" s="196"/>
      <c r="J1018" s="179">
        <f>IF(A1018="RAPPI",(VLOOKUP(TRIM(D1018), CATALOGO!F:G, 2, FALSE) * C1018)+I1018,IFERROR(IF(COUNTIF('RESTAURANTESDESCUENTOS 2026'!A:A,TRIM(A1018))&gt;0,((VLOOKUP(TRIM(D1018), CATALOGO!A:B, 2, FALSE) * C1018)*(1-VALUE(SUBSTITUTE(VLOOKUP(TRIM(A1018),'RESTAURANTESDESCUENTOS 2026'!A:B,2,FALSE),"%",""))/100)+I1018),(VLOOKUP(TRIM(D1018), CATALOGO!A:B, 2, FALSE) * C1018+I1018)),""))</f>
        <v>18000</v>
      </c>
      <c r="K1018" s="196"/>
      <c r="L1018" s="87"/>
      <c r="M1018" s="197" t="s">
        <v>587</v>
      </c>
      <c r="N1018" s="168"/>
    </row>
    <row r="1019" ht="22.5" hidden="1" customHeight="1">
      <c r="A1019" s="137" t="s">
        <v>937</v>
      </c>
      <c r="B1019" s="90">
        <v>46067.0</v>
      </c>
      <c r="C1019" s="55">
        <v>1.0</v>
      </c>
      <c r="D1019" s="97" t="s">
        <v>179</v>
      </c>
      <c r="E1019" s="201"/>
      <c r="F1019" s="202"/>
      <c r="G1019" s="194" t="s">
        <v>587</v>
      </c>
      <c r="H1019" s="195" t="s">
        <v>632</v>
      </c>
      <c r="I1019" s="196">
        <v>10000.0</v>
      </c>
      <c r="J1019" s="179">
        <f>IF(A1019="RAPPI",(VLOOKUP(TRIM(D1019), CATALOGO!F:G, 2, FALSE) * C1019)+I1019,IFERROR(IF(COUNTIF('RESTAURANTESDESCUENTOS 2026'!A:A,TRIM(A1019))&gt;0,((VLOOKUP(TRIM(D1019), CATALOGO!A:B, 2, FALSE) * C1019)*(1-VALUE(SUBSTITUTE(VLOOKUP(TRIM(A1019),'RESTAURANTESDESCUENTOS 2026'!A:B,2,FALSE),"%",""))/100)+I1019),(VLOOKUP(TRIM(D1019), CATALOGO!A:B, 2, FALSE) * C1019+I1019)),""))</f>
        <v>65000</v>
      </c>
      <c r="K1019" s="196">
        <v>10000.0</v>
      </c>
      <c r="L1019" s="87"/>
      <c r="M1019" s="197" t="s">
        <v>587</v>
      </c>
      <c r="N1019" s="168"/>
    </row>
    <row r="1020" ht="22.5" hidden="1" customHeight="1">
      <c r="A1020" s="137" t="s">
        <v>938</v>
      </c>
      <c r="B1020" s="90">
        <v>46067.0</v>
      </c>
      <c r="C1020" s="55">
        <v>1.0</v>
      </c>
      <c r="D1020" s="97" t="s">
        <v>601</v>
      </c>
      <c r="E1020" s="201"/>
      <c r="F1020" s="202"/>
      <c r="G1020" s="194" t="s">
        <v>587</v>
      </c>
      <c r="H1020" s="195" t="s">
        <v>632</v>
      </c>
      <c r="I1020" s="196">
        <v>10000.0</v>
      </c>
      <c r="J1020" s="179">
        <f>IF(A1020="RAPPI",(VLOOKUP(TRIM(D1020), CATALOGO!F:G, 2, FALSE) * C1020)+I1020,IFERROR(IF(COUNTIF('RESTAURANTESDESCUENTOS 2026'!A:A,TRIM(A1020))&gt;0,((VLOOKUP(TRIM(D1020), CATALOGO!A:B, 2, FALSE) * C1020)*(1-VALUE(SUBSTITUTE(VLOOKUP(TRIM(A1020),'RESTAURANTESDESCUENTOS 2026'!A:B,2,FALSE),"%",""))/100)+I1020),(VLOOKUP(TRIM(D1020), CATALOGO!A:B, 2, FALSE) * C1020+I1020)),""))</f>
        <v>63000</v>
      </c>
      <c r="K1020" s="196">
        <v>10000.0</v>
      </c>
      <c r="L1020" s="87"/>
      <c r="M1020" s="197" t="s">
        <v>587</v>
      </c>
      <c r="N1020" s="168"/>
    </row>
    <row r="1021" ht="22.5" hidden="1" customHeight="1">
      <c r="A1021" s="137" t="s">
        <v>939</v>
      </c>
      <c r="B1021" s="90">
        <v>46067.0</v>
      </c>
      <c r="C1021" s="55">
        <v>1.0</v>
      </c>
      <c r="D1021" s="97" t="s">
        <v>186</v>
      </c>
      <c r="E1021" s="201"/>
      <c r="F1021" s="202"/>
      <c r="G1021" s="194" t="s">
        <v>587</v>
      </c>
      <c r="H1021" s="195" t="s">
        <v>632</v>
      </c>
      <c r="I1021" s="196">
        <v>22000.0</v>
      </c>
      <c r="J1021" s="179">
        <f>IF(A1021="RAPPI",(VLOOKUP(TRIM(D1021), CATALOGO!F:G, 2, FALSE) * C1021)+I1021,IFERROR(IF(COUNTIF('RESTAURANTESDESCUENTOS 2026'!A:A,TRIM(A1021))&gt;0,((VLOOKUP(TRIM(D1021), CATALOGO!A:B, 2, FALSE) * C1021)*(1-VALUE(SUBSTITUTE(VLOOKUP(TRIM(A1021),'RESTAURANTESDESCUENTOS 2026'!A:B,2,FALSE),"%",""))/100)+I1021),(VLOOKUP(TRIM(D1021), CATALOGO!A:B, 2, FALSE) * C1021+I1021)),""))</f>
        <v>77000</v>
      </c>
      <c r="K1021" s="196">
        <v>22000.0</v>
      </c>
      <c r="L1021" s="87"/>
      <c r="M1021" s="197" t="s">
        <v>587</v>
      </c>
      <c r="N1021" s="168"/>
    </row>
    <row r="1022" ht="22.5" hidden="1" customHeight="1">
      <c r="A1022" s="137" t="s">
        <v>939</v>
      </c>
      <c r="B1022" s="90">
        <v>46067.0</v>
      </c>
      <c r="C1022" s="55">
        <v>2.0</v>
      </c>
      <c r="D1022" s="97" t="s">
        <v>618</v>
      </c>
      <c r="E1022" s="201"/>
      <c r="F1022" s="202"/>
      <c r="G1022" s="194" t="s">
        <v>587</v>
      </c>
      <c r="H1022" s="195" t="s">
        <v>632</v>
      </c>
      <c r="I1022" s="196">
        <v>0.0</v>
      </c>
      <c r="J1022" s="179">
        <f>IF(A1022="RAPPI",(VLOOKUP(TRIM(D1022), CATALOGO!F:G, 2, FALSE) * C1022)+I1022,IFERROR(IF(COUNTIF('RESTAURANTESDESCUENTOS 2026'!A:A,TRIM(A1022))&gt;0,((VLOOKUP(TRIM(D1022), CATALOGO!A:B, 2, FALSE) * C1022)*(1-VALUE(SUBSTITUTE(VLOOKUP(TRIM(A1022),'RESTAURANTESDESCUENTOS 2026'!A:B,2,FALSE),"%",""))/100)+I1022),(VLOOKUP(TRIM(D1022), CATALOGO!A:B, 2, FALSE) * C1022+I1022)),""))</f>
        <v>106000</v>
      </c>
      <c r="K1022" s="196">
        <v>0.0</v>
      </c>
      <c r="L1022" s="87"/>
      <c r="M1022" s="197" t="s">
        <v>587</v>
      </c>
      <c r="N1022" s="168"/>
    </row>
    <row r="1023" ht="22.5" hidden="1" customHeight="1">
      <c r="A1023" s="137" t="s">
        <v>605</v>
      </c>
      <c r="B1023" s="90">
        <v>46067.0</v>
      </c>
      <c r="C1023" s="55">
        <v>1.0</v>
      </c>
      <c r="D1023" s="97" t="s">
        <v>179</v>
      </c>
      <c r="E1023" s="201" t="s">
        <v>607</v>
      </c>
      <c r="F1023" s="202"/>
      <c r="G1023" s="194" t="s">
        <v>35</v>
      </c>
      <c r="H1023" s="198"/>
      <c r="I1023" s="196"/>
      <c r="J1023" s="179">
        <f>IF(A1023="RAPPI",(VLOOKUP(TRIM(D1023), CATALOGO!F:G, 2, FALSE) * C1023)+I1023,IFERROR(IF(COUNTIF('RESTAURANTESDESCUENTOS 2026'!A:A,TRIM(A1023))&gt;0,((VLOOKUP(TRIM(D1023), CATALOGO!A:B, 2, FALSE) * C1023)*(1-VALUE(SUBSTITUTE(VLOOKUP(TRIM(A1023),'RESTAURANTESDESCUENTOS 2026'!A:B,2,FALSE),"%",""))/100)+I1023),(VLOOKUP(TRIM(D1023), CATALOGO!A:B, 2, FALSE) * C1023+I1023)),""))</f>
        <v>55000</v>
      </c>
      <c r="K1023" s="196"/>
      <c r="L1023" s="87"/>
      <c r="M1023" s="197" t="s">
        <v>587</v>
      </c>
      <c r="N1023" s="168"/>
    </row>
    <row r="1024" ht="22.5" hidden="1" customHeight="1">
      <c r="A1024" s="137" t="s">
        <v>940</v>
      </c>
      <c r="B1024" s="90">
        <v>46067.0</v>
      </c>
      <c r="C1024" s="55">
        <v>1.0</v>
      </c>
      <c r="D1024" s="97" t="s">
        <v>179</v>
      </c>
      <c r="E1024" s="201"/>
      <c r="F1024" s="202"/>
      <c r="G1024" s="194" t="s">
        <v>587</v>
      </c>
      <c r="H1024" s="195" t="s">
        <v>588</v>
      </c>
      <c r="I1024" s="196">
        <v>15000.0</v>
      </c>
      <c r="J1024" s="179">
        <f>IF(A1024="RAPPI",(VLOOKUP(TRIM(D1024), CATALOGO!F:G, 2, FALSE) * C1024)+I1024,IFERROR(IF(COUNTIF('RESTAURANTESDESCUENTOS 2026'!A:A,TRIM(A1024))&gt;0,((VLOOKUP(TRIM(D1024), CATALOGO!A:B, 2, FALSE) * C1024)*(1-VALUE(SUBSTITUTE(VLOOKUP(TRIM(A1024),'RESTAURANTESDESCUENTOS 2026'!A:B,2,FALSE),"%",""))/100)+I1024),(VLOOKUP(TRIM(D1024), CATALOGO!A:B, 2, FALSE) * C1024+I1024)),""))</f>
        <v>70000</v>
      </c>
      <c r="K1024" s="196">
        <v>20000.0</v>
      </c>
      <c r="L1024" s="87"/>
      <c r="M1024" s="197" t="s">
        <v>587</v>
      </c>
      <c r="N1024" s="168"/>
    </row>
    <row r="1025" ht="22.5" hidden="1" customHeight="1">
      <c r="A1025" s="137" t="s">
        <v>941</v>
      </c>
      <c r="B1025" s="90">
        <v>46067.0</v>
      </c>
      <c r="C1025" s="55">
        <v>1.0</v>
      </c>
      <c r="D1025" s="97" t="s">
        <v>640</v>
      </c>
      <c r="E1025" s="201"/>
      <c r="F1025" s="202"/>
      <c r="G1025" s="194" t="s">
        <v>35</v>
      </c>
      <c r="H1025" s="198"/>
      <c r="I1025" s="196"/>
      <c r="J1025" s="179">
        <f>IF(A1025="RAPPI",(VLOOKUP(TRIM(D1025), CATALOGO!F:G, 2, FALSE) * C1025)+I1025,IFERROR(IF(COUNTIF('RESTAURANTESDESCUENTOS 2026'!A:A,TRIM(A1025))&gt;0,((VLOOKUP(TRIM(D1025), CATALOGO!A:B, 2, FALSE) * C1025)*(1-VALUE(SUBSTITUTE(VLOOKUP(TRIM(A1025),'RESTAURANTESDESCUENTOS 2026'!A:B,2,FALSE),"%",""))/100)+I1025),(VLOOKUP(TRIM(D1025), CATALOGO!A:B, 2, FALSE) * C1025+I1025)),""))</f>
        <v>53000</v>
      </c>
      <c r="K1025" s="196"/>
      <c r="L1025" s="87"/>
      <c r="M1025" s="197" t="s">
        <v>587</v>
      </c>
      <c r="N1025" s="168"/>
    </row>
    <row r="1026" ht="22.5" hidden="1" customHeight="1">
      <c r="A1026" s="137" t="s">
        <v>941</v>
      </c>
      <c r="B1026" s="90">
        <v>46067.0</v>
      </c>
      <c r="C1026" s="55">
        <v>1.0</v>
      </c>
      <c r="D1026" s="97" t="s">
        <v>696</v>
      </c>
      <c r="E1026" s="201"/>
      <c r="F1026" s="202"/>
      <c r="G1026" s="194" t="s">
        <v>35</v>
      </c>
      <c r="H1026" s="198"/>
      <c r="I1026" s="196"/>
      <c r="J1026" s="179">
        <f>IF(A1026="RAPPI",(VLOOKUP(TRIM(D1026), CATALOGO!F:G, 2, FALSE) * C1026)+I1026,IFERROR(IF(COUNTIF('RESTAURANTESDESCUENTOS 2026'!A:A,TRIM(A1026))&gt;0,((VLOOKUP(TRIM(D1026), CATALOGO!A:B, 2, FALSE) * C1026)*(1-VALUE(SUBSTITUTE(VLOOKUP(TRIM(A1026),'RESTAURANTESDESCUENTOS 2026'!A:B,2,FALSE),"%",""))/100)+I1026),(VLOOKUP(TRIM(D1026), CATALOGO!A:B, 2, FALSE) * C1026+I1026)),""))</f>
        <v>4000</v>
      </c>
      <c r="K1026" s="196"/>
      <c r="L1026" s="87"/>
      <c r="M1026" s="197" t="s">
        <v>587</v>
      </c>
      <c r="N1026" s="168"/>
    </row>
    <row r="1027" ht="22.5" hidden="1" customHeight="1">
      <c r="A1027" s="137" t="s">
        <v>623</v>
      </c>
      <c r="B1027" s="90">
        <v>46069.0</v>
      </c>
      <c r="C1027" s="55">
        <v>1.0</v>
      </c>
      <c r="D1027" s="97" t="s">
        <v>189</v>
      </c>
      <c r="E1027" s="201"/>
      <c r="F1027" s="202"/>
      <c r="G1027" s="194" t="s">
        <v>587</v>
      </c>
      <c r="H1027" s="195" t="s">
        <v>753</v>
      </c>
      <c r="I1027" s="196">
        <v>10000.0</v>
      </c>
      <c r="J1027" s="179">
        <f>IF(A1027="RAPPI",(VLOOKUP(TRIM(D1027), CATALOGO!F:G, 2, FALSE) * C1027)+I1027,IFERROR(IF(COUNTIF('RESTAURANTESDESCUENTOS 2026'!A:A,TRIM(A1027))&gt;0,((VLOOKUP(TRIM(D1027), CATALOGO!A:B, 2, FALSE) * C1027)*(1-VALUE(SUBSTITUTE(VLOOKUP(TRIM(A1027),'RESTAURANTESDESCUENTOS 2026'!A:B,2,FALSE),"%",""))/100)+I1027),(VLOOKUP(TRIM(D1027), CATALOGO!A:B, 2, FALSE) * C1027+I1027)),""))</f>
        <v>155000</v>
      </c>
      <c r="K1027" s="196">
        <v>10000.0</v>
      </c>
      <c r="L1027" s="87"/>
      <c r="M1027" s="197" t="s">
        <v>587</v>
      </c>
      <c r="N1027" s="168"/>
    </row>
    <row r="1028" ht="22.5" hidden="1" customHeight="1">
      <c r="A1028" s="137" t="s">
        <v>73</v>
      </c>
      <c r="B1028" s="90">
        <v>46069.0</v>
      </c>
      <c r="C1028" s="55">
        <v>1.0</v>
      </c>
      <c r="D1028" s="97" t="s">
        <v>178</v>
      </c>
      <c r="E1028" s="201" t="s">
        <v>552</v>
      </c>
      <c r="F1028" s="202"/>
      <c r="G1028" s="194" t="s">
        <v>587</v>
      </c>
      <c r="H1028" s="195" t="s">
        <v>632</v>
      </c>
      <c r="I1028" s="196">
        <v>0.0</v>
      </c>
      <c r="J1028" s="179">
        <f>IF(A1028="RAPPI",(VLOOKUP(TRIM(D1028), CATALOGO!F:G, 2, FALSE) * C1028)+I1028,IFERROR(IF(COUNTIF('RESTAURANTESDESCUENTOS 2026'!A:A,TRIM(A1028))&gt;0,((VLOOKUP(TRIM(D1028), CATALOGO!A:B, 2, FALSE) * C1028)*(1-VALUE(SUBSTITUTE(VLOOKUP(TRIM(A1028),'RESTAURANTESDESCUENTOS 2026'!A:B,2,FALSE),"%",""))/100)+I1028),(VLOOKUP(TRIM(D1028), CATALOGO!A:B, 2, FALSE) * C1028+I1028)),""))</f>
        <v>112500</v>
      </c>
      <c r="K1028" s="196">
        <v>10000.0</v>
      </c>
      <c r="L1028" s="87" t="s">
        <v>587</v>
      </c>
      <c r="M1028" s="197" t="s">
        <v>587</v>
      </c>
      <c r="N1028" s="168"/>
    </row>
    <row r="1029" ht="22.5" hidden="1" customHeight="1">
      <c r="A1029" s="137" t="s">
        <v>942</v>
      </c>
      <c r="B1029" s="90">
        <v>46069.0</v>
      </c>
      <c r="C1029" s="55">
        <v>1.0</v>
      </c>
      <c r="D1029" s="97" t="s">
        <v>697</v>
      </c>
      <c r="E1029" s="201"/>
      <c r="F1029" s="202"/>
      <c r="G1029" s="194" t="s">
        <v>35</v>
      </c>
      <c r="H1029" s="198"/>
      <c r="I1029" s="196"/>
      <c r="J1029" s="179">
        <f>IF(A1029="RAPPI",(VLOOKUP(TRIM(D1029), CATALOGO!F:G, 2, FALSE) * C1029)+I1029,IFERROR(IF(COUNTIF('RESTAURANTESDESCUENTOS 2026'!A:A,TRIM(A1029))&gt;0,((VLOOKUP(TRIM(D1029), CATALOGO!A:B, 2, FALSE) * C1029)*(1-VALUE(SUBSTITUTE(VLOOKUP(TRIM(A1029),'RESTAURANTESDESCUENTOS 2026'!A:B,2,FALSE),"%",""))/100)+I1029),(VLOOKUP(TRIM(D1029), CATALOGO!A:B, 2, FALSE) * C1029+I1029)),""))</f>
        <v>163000</v>
      </c>
      <c r="K1029" s="196"/>
      <c r="L1029" s="87" t="s">
        <v>587</v>
      </c>
      <c r="M1029" s="197" t="s">
        <v>587</v>
      </c>
      <c r="N1029" s="168"/>
    </row>
    <row r="1030" ht="22.5" hidden="1" customHeight="1">
      <c r="A1030" s="137" t="s">
        <v>942</v>
      </c>
      <c r="B1030" s="90">
        <v>46069.0</v>
      </c>
      <c r="C1030" s="55">
        <v>1.0</v>
      </c>
      <c r="D1030" s="97" t="s">
        <v>601</v>
      </c>
      <c r="E1030" s="201"/>
      <c r="F1030" s="202"/>
      <c r="G1030" s="194" t="s">
        <v>35</v>
      </c>
      <c r="H1030" s="198"/>
      <c r="I1030" s="196"/>
      <c r="J1030" s="179">
        <f>IF(A1030="RAPPI",(VLOOKUP(TRIM(D1030), CATALOGO!F:G, 2, FALSE) * C1030)+I1030,IFERROR(IF(COUNTIF('RESTAURANTESDESCUENTOS 2026'!A:A,TRIM(A1030))&gt;0,((VLOOKUP(TRIM(D1030), CATALOGO!A:B, 2, FALSE) * C1030)*(1-VALUE(SUBSTITUTE(VLOOKUP(TRIM(A1030),'RESTAURANTESDESCUENTOS 2026'!A:B,2,FALSE),"%",""))/100)+I1030),(VLOOKUP(TRIM(D1030), CATALOGO!A:B, 2, FALSE) * C1030+I1030)),""))</f>
        <v>53000</v>
      </c>
      <c r="K1030" s="196"/>
      <c r="L1030" s="87" t="s">
        <v>587</v>
      </c>
      <c r="M1030" s="197" t="s">
        <v>587</v>
      </c>
      <c r="N1030" s="168"/>
    </row>
    <row r="1031" ht="22.5" hidden="1" customHeight="1">
      <c r="A1031" s="137" t="s">
        <v>96</v>
      </c>
      <c r="B1031" s="90">
        <v>46069.0</v>
      </c>
      <c r="C1031" s="55">
        <v>1.0</v>
      </c>
      <c r="D1031" s="97" t="s">
        <v>178</v>
      </c>
      <c r="E1031" s="201" t="s">
        <v>610</v>
      </c>
      <c r="F1031" s="202"/>
      <c r="G1031" s="194" t="s">
        <v>587</v>
      </c>
      <c r="H1031" s="195" t="s">
        <v>632</v>
      </c>
      <c r="I1031" s="196">
        <v>5000.0</v>
      </c>
      <c r="J1031" s="179">
        <f>IF(A1031="RAPPI",(VLOOKUP(TRIM(D1031), CATALOGO!F:G, 2, FALSE) * C1031)+I1031,IFERROR(IF(COUNTIF('RESTAURANTESDESCUENTOS 2026'!A:A,TRIM(A1031))&gt;0,((VLOOKUP(TRIM(D1031), CATALOGO!A:B, 2, FALSE) * C1031)*(1-VALUE(SUBSTITUTE(VLOOKUP(TRIM(A1031),'RESTAURANTESDESCUENTOS 2026'!A:B,2,FALSE),"%",""))/100)+I1031),(VLOOKUP(TRIM(D1031), CATALOGO!A:B, 2, FALSE) * C1031+I1031)),""))</f>
        <v>110000</v>
      </c>
      <c r="K1031" s="196">
        <v>10000.0</v>
      </c>
      <c r="L1031" s="87" t="s">
        <v>587</v>
      </c>
      <c r="M1031" s="197" t="s">
        <v>587</v>
      </c>
      <c r="N1031" s="168"/>
    </row>
    <row r="1032" ht="22.5" hidden="1" customHeight="1">
      <c r="A1032" s="137" t="s">
        <v>99</v>
      </c>
      <c r="B1032" s="90">
        <v>46069.0</v>
      </c>
      <c r="C1032" s="55">
        <v>1.0</v>
      </c>
      <c r="D1032" s="97" t="s">
        <v>178</v>
      </c>
      <c r="E1032" s="201" t="s">
        <v>610</v>
      </c>
      <c r="F1032" s="202"/>
      <c r="G1032" s="194" t="s">
        <v>587</v>
      </c>
      <c r="H1032" s="195" t="s">
        <v>632</v>
      </c>
      <c r="I1032" s="196">
        <v>5000.0</v>
      </c>
      <c r="J1032" s="179">
        <f>IF(A1032="RAPPI",(VLOOKUP(TRIM(D1032), CATALOGO!F:G, 2, FALSE) * C1032)+I1032,IFERROR(IF(COUNTIF('RESTAURANTESDESCUENTOS 2026'!A:A,TRIM(A1032))&gt;0,((VLOOKUP(TRIM(D1032), CATALOGO!A:B, 2, FALSE) * C1032)*(1-VALUE(SUBSTITUTE(VLOOKUP(TRIM(A1032),'RESTAURANTESDESCUENTOS 2026'!A:B,2,FALSE),"%",""))/100)+I1032),(VLOOKUP(TRIM(D1032), CATALOGO!A:B, 2, FALSE) * C1032+I1032)),""))</f>
        <v>110000</v>
      </c>
      <c r="K1032" s="196">
        <v>10000.0</v>
      </c>
      <c r="L1032" s="87" t="s">
        <v>587</v>
      </c>
      <c r="M1032" s="197" t="s">
        <v>587</v>
      </c>
      <c r="N1032" s="168"/>
    </row>
    <row r="1033" ht="22.5" hidden="1" customHeight="1">
      <c r="A1033" s="137" t="s">
        <v>943</v>
      </c>
      <c r="B1033" s="90">
        <v>46069.0</v>
      </c>
      <c r="C1033" s="55">
        <v>2.0</v>
      </c>
      <c r="D1033" s="97" t="s">
        <v>177</v>
      </c>
      <c r="E1033" s="201" t="s">
        <v>610</v>
      </c>
      <c r="F1033" s="202"/>
      <c r="G1033" s="194" t="s">
        <v>587</v>
      </c>
      <c r="H1033" s="195" t="s">
        <v>632</v>
      </c>
      <c r="I1033" s="196">
        <v>0.0</v>
      </c>
      <c r="J1033" s="179">
        <f>IF(A1033="RAPPI",(VLOOKUP(TRIM(D1033), CATALOGO!F:G, 2, FALSE) * C1033)+I1033,IFERROR(IF(COUNTIF('RESTAURANTESDESCUENTOS 2026'!A:A,TRIM(A1033))&gt;0,((VLOOKUP(TRIM(D1033), CATALOGO!A:B, 2, FALSE) * C1033)*(1-VALUE(SUBSTITUTE(VLOOKUP(TRIM(A1033),'RESTAURANTESDESCUENTOS 2026'!A:B,2,FALSE),"%",""))/100)+I1033),(VLOOKUP(TRIM(D1033), CATALOGO!A:B, 2, FALSE) * C1033+I1033)),""))</f>
        <v>172500</v>
      </c>
      <c r="K1033" s="196">
        <v>20000.0</v>
      </c>
      <c r="L1033" s="87" t="s">
        <v>587</v>
      </c>
      <c r="M1033" s="197" t="s">
        <v>587</v>
      </c>
      <c r="N1033" s="168"/>
    </row>
    <row r="1034" ht="22.5" hidden="1" customHeight="1">
      <c r="A1034" s="137" t="s">
        <v>944</v>
      </c>
      <c r="B1034" s="90">
        <v>46069.0</v>
      </c>
      <c r="C1034" s="55">
        <v>1.0</v>
      </c>
      <c r="D1034" s="97" t="s">
        <v>617</v>
      </c>
      <c r="E1034" s="201"/>
      <c r="F1034" s="202"/>
      <c r="G1034" s="194" t="s">
        <v>587</v>
      </c>
      <c r="H1034" s="195" t="s">
        <v>753</v>
      </c>
      <c r="I1034" s="196">
        <v>14000.0</v>
      </c>
      <c r="J1034" s="179">
        <f>IF(A1034="RAPPI",(VLOOKUP(TRIM(D1034), CATALOGO!F:G, 2, FALSE) * C1034)+I1034,IFERROR(IF(COUNTIF('RESTAURANTESDESCUENTOS 2026'!A:A,TRIM(A1034))&gt;0,((VLOOKUP(TRIM(D1034), CATALOGO!A:B, 2, FALSE) * C1034)*(1-VALUE(SUBSTITUTE(VLOOKUP(TRIM(A1034),'RESTAURANTESDESCUENTOS 2026'!A:B,2,FALSE),"%",""))/100)+I1034),(VLOOKUP(TRIM(D1034), CATALOGO!A:B, 2, FALSE) * C1034+I1034)),""))</f>
        <v>137000</v>
      </c>
      <c r="K1034" s="196">
        <v>14000.0</v>
      </c>
      <c r="L1034" s="87"/>
      <c r="M1034" s="197" t="s">
        <v>587</v>
      </c>
      <c r="N1034" s="168"/>
    </row>
    <row r="1035" ht="22.5" hidden="1" customHeight="1">
      <c r="A1035" s="137" t="s">
        <v>945</v>
      </c>
      <c r="B1035" s="90">
        <v>46069.0</v>
      </c>
      <c r="C1035" s="55">
        <v>1.0</v>
      </c>
      <c r="D1035" s="97" t="s">
        <v>617</v>
      </c>
      <c r="E1035" s="201"/>
      <c r="F1035" s="202"/>
      <c r="G1035" s="194" t="s">
        <v>587</v>
      </c>
      <c r="H1035" s="195" t="s">
        <v>753</v>
      </c>
      <c r="I1035" s="196">
        <v>13000.0</v>
      </c>
      <c r="J1035" s="179">
        <f>IF(A1035="RAPPI",(VLOOKUP(TRIM(D1035), CATALOGO!F:G, 2, FALSE) * C1035)+I1035,IFERROR(IF(COUNTIF('RESTAURANTESDESCUENTOS 2026'!A:A,TRIM(A1035))&gt;0,((VLOOKUP(TRIM(D1035), CATALOGO!A:B, 2, FALSE) * C1035)*(1-VALUE(SUBSTITUTE(VLOOKUP(TRIM(A1035),'RESTAURANTESDESCUENTOS 2026'!A:B,2,FALSE),"%",""))/100)+I1035),(VLOOKUP(TRIM(D1035), CATALOGO!A:B, 2, FALSE) * C1035+I1035)),""))</f>
        <v>136000</v>
      </c>
      <c r="K1035" s="196">
        <v>13000.0</v>
      </c>
      <c r="L1035" s="87"/>
      <c r="M1035" s="197" t="s">
        <v>587</v>
      </c>
      <c r="N1035" s="168"/>
    </row>
    <row r="1036" ht="22.5" hidden="1" customHeight="1">
      <c r="A1036" s="137" t="s">
        <v>86</v>
      </c>
      <c r="B1036" s="90">
        <v>46069.0</v>
      </c>
      <c r="C1036" s="55">
        <v>1.0</v>
      </c>
      <c r="D1036" s="97" t="s">
        <v>177</v>
      </c>
      <c r="E1036" s="201" t="s">
        <v>610</v>
      </c>
      <c r="F1036" s="202"/>
      <c r="G1036" s="194" t="s">
        <v>587</v>
      </c>
      <c r="H1036" s="195" t="s">
        <v>632</v>
      </c>
      <c r="I1036" s="196">
        <v>0.0</v>
      </c>
      <c r="J1036" s="179">
        <f>IF(A1036="RAPPI",(VLOOKUP(TRIM(D1036), CATALOGO!F:G, 2, FALSE) * C1036)+I1036,IFERROR(IF(COUNTIF('RESTAURANTESDESCUENTOS 2026'!A:A,TRIM(A1036))&gt;0,((VLOOKUP(TRIM(D1036), CATALOGO!A:B, 2, FALSE) * C1036)*(1-VALUE(SUBSTITUTE(VLOOKUP(TRIM(A1036),'RESTAURANTESDESCUENTOS 2026'!A:B,2,FALSE),"%",""))/100)+I1036),(VLOOKUP(TRIM(D1036), CATALOGO!A:B, 2, FALSE) * C1036+I1036)),""))</f>
        <v>86250</v>
      </c>
      <c r="K1036" s="196">
        <v>0.0</v>
      </c>
      <c r="L1036" s="87" t="s">
        <v>587</v>
      </c>
      <c r="M1036" s="197" t="s">
        <v>587</v>
      </c>
      <c r="N1036" s="168"/>
    </row>
    <row r="1037" ht="22.5" hidden="1" customHeight="1">
      <c r="A1037" s="137" t="s">
        <v>17</v>
      </c>
      <c r="B1037" s="90">
        <v>46069.0</v>
      </c>
      <c r="C1037" s="55">
        <v>1.0</v>
      </c>
      <c r="D1037" s="97" t="s">
        <v>178</v>
      </c>
      <c r="E1037" s="201" t="s">
        <v>610</v>
      </c>
      <c r="F1037" s="202"/>
      <c r="G1037" s="194" t="s">
        <v>587</v>
      </c>
      <c r="H1037" s="195" t="s">
        <v>632</v>
      </c>
      <c r="I1037" s="196">
        <v>10000.0</v>
      </c>
      <c r="J1037" s="179">
        <f>IF(A1037="RAPPI",(VLOOKUP(TRIM(D1037), CATALOGO!F:G, 2, FALSE) * C1037)+I1037,IFERROR(IF(COUNTIF('RESTAURANTESDESCUENTOS 2026'!A:A,TRIM(A1037))&gt;0,((VLOOKUP(TRIM(D1037), CATALOGO!A:B, 2, FALSE) * C1037)*(1-VALUE(SUBSTITUTE(VLOOKUP(TRIM(A1037),'RESTAURANTESDESCUENTOS 2026'!A:B,2,FALSE),"%",""))/100)+I1037),(VLOOKUP(TRIM(D1037), CATALOGO!A:B, 2, FALSE) * C1037+I1037)),""))</f>
        <v>122500</v>
      </c>
      <c r="K1037" s="196">
        <v>10000.0</v>
      </c>
      <c r="L1037" s="87" t="s">
        <v>587</v>
      </c>
      <c r="M1037" s="197" t="s">
        <v>587</v>
      </c>
      <c r="N1037" s="168"/>
    </row>
    <row r="1038" ht="22.5" hidden="1" customHeight="1">
      <c r="A1038" s="137" t="s">
        <v>603</v>
      </c>
      <c r="B1038" s="90">
        <v>46069.0</v>
      </c>
      <c r="C1038" s="55">
        <v>1.0</v>
      </c>
      <c r="D1038" s="97" t="s">
        <v>601</v>
      </c>
      <c r="E1038" s="201">
        <v>8669.0</v>
      </c>
      <c r="F1038" s="202"/>
      <c r="G1038" s="194" t="s">
        <v>587</v>
      </c>
      <c r="H1038" s="195" t="s">
        <v>603</v>
      </c>
      <c r="I1038" s="196"/>
      <c r="J1038" s="179">
        <f>IF(A1038="RAPPI",(VLOOKUP(TRIM(D1038), CATALOGO!F:G, 2, FALSE) * C1038)+I1038,IFERROR(IF(COUNTIF('RESTAURANTESDESCUENTOS 2026'!A:A,TRIM(A1038))&gt;0,((VLOOKUP(TRIM(D1038), CATALOGO!A:B, 2, FALSE) * C1038)*(1-VALUE(SUBSTITUTE(VLOOKUP(TRIM(A1038),'RESTAURANTESDESCUENTOS 2026'!A:B,2,FALSE),"%",""))/100)+I1038),(VLOOKUP(TRIM(D1038), CATALOGO!A:B, 2, FALSE) * C1038+I1038)),""))</f>
        <v>53000</v>
      </c>
      <c r="K1038" s="196"/>
      <c r="L1038" s="87"/>
      <c r="M1038" s="197" t="s">
        <v>587</v>
      </c>
      <c r="N1038" s="168"/>
    </row>
    <row r="1039" ht="22.5" hidden="1" customHeight="1">
      <c r="A1039" s="137" t="s">
        <v>603</v>
      </c>
      <c r="B1039" s="90">
        <v>46069.0</v>
      </c>
      <c r="C1039" s="55">
        <v>1.0</v>
      </c>
      <c r="D1039" s="97" t="s">
        <v>174</v>
      </c>
      <c r="E1039" s="201">
        <v>3195.0</v>
      </c>
      <c r="F1039" s="202"/>
      <c r="G1039" s="194" t="s">
        <v>587</v>
      </c>
      <c r="H1039" s="195" t="s">
        <v>603</v>
      </c>
      <c r="I1039" s="196"/>
      <c r="J1039" s="179">
        <f>IF(A1039="RAPPI",(VLOOKUP(TRIM(D1039), CATALOGO!F:G, 2, FALSE) * C1039)+I1039,IFERROR(IF(COUNTIF('RESTAURANTESDESCUENTOS 2026'!A:A,TRIM(A1039))&gt;0,((VLOOKUP(TRIM(D1039), CATALOGO!A:B, 2, FALSE) * C1039)*(1-VALUE(SUBSTITUTE(VLOOKUP(TRIM(A1039),'RESTAURANTESDESCUENTOS 2026'!A:B,2,FALSE),"%",""))/100)+I1039),(VLOOKUP(TRIM(D1039), CATALOGO!A:B, 2, FALSE) * C1039+I1039)),""))</f>
        <v>18000</v>
      </c>
      <c r="K1039" s="196"/>
      <c r="L1039" s="87"/>
      <c r="M1039" s="197" t="s">
        <v>587</v>
      </c>
      <c r="N1039" s="168"/>
    </row>
    <row r="1040" ht="22.5" hidden="1" customHeight="1">
      <c r="A1040" s="137" t="s">
        <v>946</v>
      </c>
      <c r="B1040" s="90">
        <v>46069.0</v>
      </c>
      <c r="C1040" s="55">
        <v>1.0</v>
      </c>
      <c r="D1040" s="97" t="s">
        <v>617</v>
      </c>
      <c r="E1040" s="201"/>
      <c r="F1040" s="202"/>
      <c r="G1040" s="194" t="s">
        <v>35</v>
      </c>
      <c r="H1040" s="198"/>
      <c r="I1040" s="196"/>
      <c r="J1040" s="179">
        <f>IF(A1040="RAPPI",(VLOOKUP(TRIM(D1040), CATALOGO!F:G, 2, FALSE) * C1040)+I1040,IFERROR(IF(COUNTIF('RESTAURANTESDESCUENTOS 2026'!A:A,TRIM(A1040))&gt;0,((VLOOKUP(TRIM(D1040), CATALOGO!A:B, 2, FALSE) * C1040)*(1-VALUE(SUBSTITUTE(VLOOKUP(TRIM(A1040),'RESTAURANTESDESCUENTOS 2026'!A:B,2,FALSE),"%",""))/100)+I1040),(VLOOKUP(TRIM(D1040), CATALOGO!A:B, 2, FALSE) * C1040+I1040)),""))</f>
        <v>123000</v>
      </c>
      <c r="K1040" s="196"/>
      <c r="L1040" s="87"/>
      <c r="M1040" s="197" t="s">
        <v>587</v>
      </c>
      <c r="N1040" s="168"/>
    </row>
    <row r="1041" ht="22.5" hidden="1" customHeight="1">
      <c r="A1041" s="137" t="s">
        <v>605</v>
      </c>
      <c r="B1041" s="90">
        <v>46069.0</v>
      </c>
      <c r="C1041" s="55">
        <v>1.0</v>
      </c>
      <c r="D1041" s="97" t="s">
        <v>176</v>
      </c>
      <c r="E1041" s="201" t="s">
        <v>606</v>
      </c>
      <c r="F1041" s="202"/>
      <c r="G1041" s="194" t="s">
        <v>35</v>
      </c>
      <c r="H1041" s="198"/>
      <c r="I1041" s="196"/>
      <c r="J1041" s="179">
        <f>IF(A1041="RAPPI",(VLOOKUP(TRIM(D1041), CATALOGO!F:G, 2, FALSE) * C1041)+I1041,IFERROR(IF(COUNTIF('RESTAURANTESDESCUENTOS 2026'!A:A,TRIM(A1041))&gt;0,((VLOOKUP(TRIM(D1041), CATALOGO!A:B, 2, FALSE) * C1041)*(1-VALUE(SUBSTITUTE(VLOOKUP(TRIM(A1041),'RESTAURANTESDESCUENTOS 2026'!A:B,2,FALSE),"%",""))/100)+I1041),(VLOOKUP(TRIM(D1041), CATALOGO!A:B, 2, FALSE) * C1041+I1041)),""))</f>
        <v>50000</v>
      </c>
      <c r="K1041" s="196"/>
      <c r="L1041" s="87"/>
      <c r="M1041" s="197" t="s">
        <v>587</v>
      </c>
      <c r="N1041" s="168"/>
    </row>
    <row r="1042" ht="22.5" hidden="1" customHeight="1">
      <c r="A1042" s="137" t="s">
        <v>947</v>
      </c>
      <c r="B1042" s="90">
        <v>46069.0</v>
      </c>
      <c r="C1042" s="55">
        <v>1.0</v>
      </c>
      <c r="D1042" s="97" t="s">
        <v>177</v>
      </c>
      <c r="E1042" s="201"/>
      <c r="F1042" s="202"/>
      <c r="G1042" s="194" t="s">
        <v>587</v>
      </c>
      <c r="H1042" s="195" t="s">
        <v>588</v>
      </c>
      <c r="I1042" s="196">
        <v>13000.0</v>
      </c>
      <c r="J1042" s="179">
        <f>IF(A1042="RAPPI",(VLOOKUP(TRIM(D1042), CATALOGO!F:G, 2, FALSE) * C1042)+I1042,IFERROR(IF(COUNTIF('RESTAURANTESDESCUENTOS 2026'!A:A,TRIM(A1042))&gt;0,((VLOOKUP(TRIM(D1042), CATALOGO!A:B, 2, FALSE) * C1042)*(1-VALUE(SUBSTITUTE(VLOOKUP(TRIM(A1042),'RESTAURANTESDESCUENTOS 2026'!A:B,2,FALSE),"%",""))/100)+I1042),(VLOOKUP(TRIM(D1042), CATALOGO!A:B, 2, FALSE) * C1042+I1042)),""))</f>
        <v>128000</v>
      </c>
      <c r="K1042" s="196">
        <v>13000.0</v>
      </c>
      <c r="L1042" s="87"/>
      <c r="M1042" s="197" t="s">
        <v>587</v>
      </c>
      <c r="N1042" s="168"/>
    </row>
    <row r="1043" ht="22.5" hidden="1" customHeight="1">
      <c r="A1043" s="137" t="s">
        <v>605</v>
      </c>
      <c r="B1043" s="90">
        <v>46069.0</v>
      </c>
      <c r="C1043" s="55">
        <v>1.0</v>
      </c>
      <c r="D1043" s="97" t="s">
        <v>174</v>
      </c>
      <c r="E1043" s="201" t="s">
        <v>606</v>
      </c>
      <c r="F1043" s="202"/>
      <c r="G1043" s="194" t="s">
        <v>35</v>
      </c>
      <c r="H1043" s="198"/>
      <c r="I1043" s="196"/>
      <c r="J1043" s="179">
        <f>IF(A1043="RAPPI",(VLOOKUP(TRIM(D1043), CATALOGO!F:G, 2, FALSE) * C1043)+I1043,IFERROR(IF(COUNTIF('RESTAURANTESDESCUENTOS 2026'!A:A,TRIM(A1043))&gt;0,((VLOOKUP(TRIM(D1043), CATALOGO!A:B, 2, FALSE) * C1043)*(1-VALUE(SUBSTITUTE(VLOOKUP(TRIM(A1043),'RESTAURANTESDESCUENTOS 2026'!A:B,2,FALSE),"%",""))/100)+I1043),(VLOOKUP(TRIM(D1043), CATALOGO!A:B, 2, FALSE) * C1043+I1043)),""))</f>
        <v>18000</v>
      </c>
      <c r="K1043" s="196"/>
      <c r="L1043" s="87"/>
      <c r="M1043" s="197" t="s">
        <v>587</v>
      </c>
      <c r="N1043" s="168"/>
    </row>
    <row r="1044" ht="22.5" hidden="1" customHeight="1">
      <c r="A1044" s="233" t="s">
        <v>49</v>
      </c>
      <c r="B1044" s="90">
        <v>46069.0</v>
      </c>
      <c r="C1044" s="55">
        <v>2.0</v>
      </c>
      <c r="D1044" s="97" t="s">
        <v>177</v>
      </c>
      <c r="E1044" s="201" t="s">
        <v>610</v>
      </c>
      <c r="F1044" s="202"/>
      <c r="G1044" s="194" t="s">
        <v>35</v>
      </c>
      <c r="H1044" s="198"/>
      <c r="I1044" s="196"/>
      <c r="J1044" s="179">
        <f>IF(A1044="RAPPI",(VLOOKUP(TRIM(D1044), CATALOGO!F:G, 2, FALSE) * C1044)+I1044,IFERROR(IF(COUNTIF('RESTAURANTESDESCUENTOS 2026'!A:A,TRIM(A1044))&gt;0,((VLOOKUP(TRIM(D1044), CATALOGO!A:B, 2, FALSE) * C1044)*(1-VALUE(SUBSTITUTE(VLOOKUP(TRIM(A1044),'RESTAURANTESDESCUENTOS 2026'!A:B,2,FALSE),"%",""))/100)+I1044),(VLOOKUP(TRIM(D1044), CATALOGO!A:B, 2, FALSE) * C1044+I1044)),""))</f>
        <v>172500</v>
      </c>
      <c r="K1044" s="196"/>
      <c r="L1044" s="87" t="s">
        <v>587</v>
      </c>
      <c r="M1044" s="197" t="s">
        <v>587</v>
      </c>
      <c r="N1044" s="168"/>
    </row>
    <row r="1045" ht="22.5" hidden="1" customHeight="1">
      <c r="A1045" s="137" t="s">
        <v>597</v>
      </c>
      <c r="B1045" s="90">
        <v>46069.0</v>
      </c>
      <c r="C1045" s="55">
        <v>8.0</v>
      </c>
      <c r="D1045" s="97" t="s">
        <v>176</v>
      </c>
      <c r="E1045" s="201"/>
      <c r="F1045" s="202"/>
      <c r="G1045" s="194" t="s">
        <v>35</v>
      </c>
      <c r="H1045" s="198"/>
      <c r="I1045" s="196"/>
      <c r="J1045" s="199">
        <v>0.0</v>
      </c>
      <c r="K1045" s="196"/>
      <c r="L1045" s="87"/>
      <c r="M1045" s="197" t="s">
        <v>587</v>
      </c>
      <c r="N1045" s="168"/>
    </row>
    <row r="1046" ht="22.5" hidden="1" customHeight="1">
      <c r="A1046" s="137" t="s">
        <v>597</v>
      </c>
      <c r="B1046" s="90">
        <v>46069.0</v>
      </c>
      <c r="C1046" s="55">
        <v>4.0</v>
      </c>
      <c r="D1046" s="97" t="s">
        <v>177</v>
      </c>
      <c r="E1046" s="201"/>
      <c r="F1046" s="202"/>
      <c r="G1046" s="194" t="s">
        <v>35</v>
      </c>
      <c r="H1046" s="198"/>
      <c r="I1046" s="196"/>
      <c r="J1046" s="199">
        <v>0.0</v>
      </c>
      <c r="K1046" s="196"/>
      <c r="L1046" s="87"/>
      <c r="M1046" s="197" t="s">
        <v>587</v>
      </c>
      <c r="N1046" s="168"/>
    </row>
    <row r="1047" ht="22.5" hidden="1" customHeight="1">
      <c r="A1047" s="137" t="s">
        <v>597</v>
      </c>
      <c r="B1047" s="90">
        <v>46069.0</v>
      </c>
      <c r="C1047" s="55">
        <v>9.0</v>
      </c>
      <c r="D1047" s="97" t="s">
        <v>178</v>
      </c>
      <c r="E1047" s="201" t="s">
        <v>552</v>
      </c>
      <c r="F1047" s="202"/>
      <c r="G1047" s="194" t="s">
        <v>35</v>
      </c>
      <c r="H1047" s="198"/>
      <c r="I1047" s="196"/>
      <c r="J1047" s="199">
        <v>0.0</v>
      </c>
      <c r="K1047" s="196"/>
      <c r="L1047" s="87"/>
      <c r="M1047" s="197" t="s">
        <v>587</v>
      </c>
      <c r="N1047" s="168"/>
    </row>
    <row r="1048" ht="22.5" hidden="1" customHeight="1">
      <c r="A1048" s="137" t="s">
        <v>59</v>
      </c>
      <c r="B1048" s="90">
        <v>46069.0</v>
      </c>
      <c r="C1048" s="55">
        <v>1.0</v>
      </c>
      <c r="D1048" s="97" t="s">
        <v>178</v>
      </c>
      <c r="E1048" s="201" t="s">
        <v>610</v>
      </c>
      <c r="F1048" s="202"/>
      <c r="G1048" s="194" t="s">
        <v>587</v>
      </c>
      <c r="H1048" s="195" t="s">
        <v>632</v>
      </c>
      <c r="I1048" s="196">
        <v>0.0</v>
      </c>
      <c r="J1048" s="179">
        <f>IF(A1048="RAPPI",(VLOOKUP(TRIM(D1048), CATALOGO!F:G, 2, FALSE) * C1048)+I1048,IFERROR(IF(COUNTIF('RESTAURANTESDESCUENTOS 2026'!A:A,TRIM(A1048))&gt;0,((VLOOKUP(TRIM(D1048), CATALOGO!A:B, 2, FALSE) * C1048)*(1-VALUE(SUBSTITUTE(VLOOKUP(TRIM(A1048),'RESTAURANTESDESCUENTOS 2026'!A:B,2,FALSE),"%",""))/100)+I1048),(VLOOKUP(TRIM(D1048), CATALOGO!A:B, 2, FALSE) * C1048+I1048)),""))</f>
        <v>112500</v>
      </c>
      <c r="K1048" s="196">
        <v>10000.0</v>
      </c>
      <c r="L1048" s="87" t="s">
        <v>587</v>
      </c>
      <c r="M1048" s="197" t="s">
        <v>587</v>
      </c>
      <c r="N1048" s="168"/>
    </row>
    <row r="1049" ht="22.5" hidden="1" customHeight="1">
      <c r="A1049" s="137" t="s">
        <v>59</v>
      </c>
      <c r="B1049" s="90">
        <v>46069.0</v>
      </c>
      <c r="C1049" s="55">
        <v>100.0</v>
      </c>
      <c r="D1049" s="97" t="s">
        <v>639</v>
      </c>
      <c r="E1049" s="201"/>
      <c r="F1049" s="202"/>
      <c r="G1049" s="194" t="s">
        <v>587</v>
      </c>
      <c r="H1049" s="195" t="s">
        <v>632</v>
      </c>
      <c r="I1049" s="196">
        <v>0.0</v>
      </c>
      <c r="J1049" s="199">
        <v>11000.0</v>
      </c>
      <c r="K1049" s="196">
        <v>0.0</v>
      </c>
      <c r="L1049" s="87" t="s">
        <v>587</v>
      </c>
      <c r="M1049" s="197" t="s">
        <v>587</v>
      </c>
      <c r="N1049" s="168"/>
    </row>
    <row r="1050" ht="22.5" hidden="1" customHeight="1">
      <c r="A1050" s="137" t="s">
        <v>59</v>
      </c>
      <c r="B1050" s="90">
        <v>46069.0</v>
      </c>
      <c r="C1050" s="55">
        <v>100.0</v>
      </c>
      <c r="D1050" s="97" t="s">
        <v>620</v>
      </c>
      <c r="E1050" s="201"/>
      <c r="F1050" s="202"/>
      <c r="G1050" s="194" t="s">
        <v>587</v>
      </c>
      <c r="H1050" s="195" t="s">
        <v>632</v>
      </c>
      <c r="I1050" s="196">
        <v>0.0</v>
      </c>
      <c r="J1050" s="199">
        <v>11000.0</v>
      </c>
      <c r="K1050" s="196">
        <v>0.0</v>
      </c>
      <c r="L1050" s="87" t="s">
        <v>587</v>
      </c>
      <c r="M1050" s="197" t="s">
        <v>587</v>
      </c>
      <c r="N1050" s="168"/>
    </row>
    <row r="1051" ht="22.5" hidden="1" customHeight="1">
      <c r="A1051" s="137" t="s">
        <v>603</v>
      </c>
      <c r="B1051" s="90">
        <v>46069.0</v>
      </c>
      <c r="C1051" s="55">
        <v>1.0</v>
      </c>
      <c r="D1051" s="97" t="s">
        <v>708</v>
      </c>
      <c r="E1051" s="201">
        <v>7018.0</v>
      </c>
      <c r="F1051" s="202"/>
      <c r="G1051" s="194" t="s">
        <v>587</v>
      </c>
      <c r="H1051" s="195" t="s">
        <v>603</v>
      </c>
      <c r="I1051" s="196"/>
      <c r="J1051" s="179">
        <f>IF(A1051="RAPPI",(VLOOKUP(TRIM(D1051), CATALOGO!F:G, 2, FALSE) * C1051)+I1051,IFERROR(IF(COUNTIF('RESTAURANTESDESCUENTOS 2026'!A:A,TRIM(A1051))&gt;0,((VLOOKUP(TRIM(D1051), CATALOGO!A:B, 2, FALSE) * C1051)*(1-VALUE(SUBSTITUTE(VLOOKUP(TRIM(A1051),'RESTAURANTESDESCUENTOS 2026'!A:B,2,FALSE),"%",""))/100)+I1051),(VLOOKUP(TRIM(D1051), CATALOGO!A:B, 2, FALSE) * C1051+I1051)),""))</f>
        <v>53000</v>
      </c>
      <c r="K1051" s="196"/>
      <c r="L1051" s="87"/>
      <c r="M1051" s="197" t="s">
        <v>587</v>
      </c>
      <c r="N1051" s="168"/>
    </row>
    <row r="1052" ht="22.5" hidden="1" customHeight="1">
      <c r="A1052" s="137" t="s">
        <v>948</v>
      </c>
      <c r="B1052" s="90">
        <v>46069.0</v>
      </c>
      <c r="C1052" s="55">
        <v>1.0</v>
      </c>
      <c r="D1052" s="97" t="s">
        <v>187</v>
      </c>
      <c r="E1052" s="201"/>
      <c r="F1052" s="202"/>
      <c r="G1052" s="194" t="s">
        <v>587</v>
      </c>
      <c r="H1052" s="195" t="s">
        <v>588</v>
      </c>
      <c r="I1052" s="196">
        <v>10000.0</v>
      </c>
      <c r="J1052" s="179">
        <f>IF(A1052="RAPPI",(VLOOKUP(TRIM(D1052), CATALOGO!F:G, 2, FALSE) * C1052)+I1052,IFERROR(IF(COUNTIF('RESTAURANTESDESCUENTOS 2026'!A:A,TRIM(A1052))&gt;0,((VLOOKUP(TRIM(D1052), CATALOGO!A:B, 2, FALSE) * C1052)*(1-VALUE(SUBSTITUTE(VLOOKUP(TRIM(A1052),'RESTAURANTESDESCUENTOS 2026'!A:B,2,FALSE),"%",""))/100)+I1052),(VLOOKUP(TRIM(D1052), CATALOGO!A:B, 2, FALSE) * C1052+I1052)),""))</f>
        <v>65000</v>
      </c>
      <c r="K1052" s="196">
        <v>10000.0</v>
      </c>
      <c r="L1052" s="87"/>
      <c r="M1052" s="197" t="s">
        <v>587</v>
      </c>
      <c r="N1052" s="168"/>
    </row>
    <row r="1053" ht="22.5" hidden="1" customHeight="1">
      <c r="A1053" s="137" t="s">
        <v>948</v>
      </c>
      <c r="B1053" s="90">
        <v>46069.0</v>
      </c>
      <c r="C1053" s="55">
        <v>1.0</v>
      </c>
      <c r="D1053" s="97" t="s">
        <v>618</v>
      </c>
      <c r="E1053" s="201"/>
      <c r="F1053" s="202"/>
      <c r="G1053" s="194" t="s">
        <v>587</v>
      </c>
      <c r="H1053" s="195" t="s">
        <v>588</v>
      </c>
      <c r="I1053" s="196">
        <v>0.0</v>
      </c>
      <c r="J1053" s="179">
        <f>IF(A1053="RAPPI",(VLOOKUP(TRIM(D1053), CATALOGO!F:G, 2, FALSE) * C1053)+I1053,IFERROR(IF(COUNTIF('RESTAURANTESDESCUENTOS 2026'!A:A,TRIM(A1053))&gt;0,((VLOOKUP(TRIM(D1053), CATALOGO!A:B, 2, FALSE) * C1053)*(1-VALUE(SUBSTITUTE(VLOOKUP(TRIM(A1053),'RESTAURANTESDESCUENTOS 2026'!A:B,2,FALSE),"%",""))/100)+I1053),(VLOOKUP(TRIM(D1053), CATALOGO!A:B, 2, FALSE) * C1053+I1053)),""))</f>
        <v>53000</v>
      </c>
      <c r="K1053" s="196">
        <v>0.0</v>
      </c>
      <c r="L1053" s="87"/>
      <c r="M1053" s="197" t="s">
        <v>587</v>
      </c>
      <c r="N1053" s="168"/>
    </row>
    <row r="1054" ht="22.5" hidden="1" customHeight="1">
      <c r="A1054" s="137" t="s">
        <v>949</v>
      </c>
      <c r="B1054" s="90">
        <v>46069.0</v>
      </c>
      <c r="C1054" s="55">
        <v>1.0</v>
      </c>
      <c r="D1054" s="97" t="s">
        <v>181</v>
      </c>
      <c r="E1054" s="201" t="s">
        <v>606</v>
      </c>
      <c r="F1054" s="202"/>
      <c r="G1054" s="194" t="s">
        <v>35</v>
      </c>
      <c r="H1054" s="198"/>
      <c r="I1054" s="196"/>
      <c r="J1054" s="179">
        <f>IF(A1054="RAPPI",(VLOOKUP(TRIM(D1054), CATALOGO!F:G, 2, FALSE) * C1054)+I1054,IFERROR(IF(COUNTIF('RESTAURANTESDESCUENTOS 2026'!A:A,TRIM(A1054))&gt;0,((VLOOKUP(TRIM(D1054), CATALOGO!A:B, 2, FALSE) * C1054)*(1-VALUE(SUBSTITUTE(VLOOKUP(TRIM(A1054),'RESTAURANTESDESCUENTOS 2026'!A:B,2,FALSE),"%",""))/100)+I1054),(VLOOKUP(TRIM(D1054), CATALOGO!A:B, 2, FALSE) * C1054+I1054)),""))</f>
        <v>174000</v>
      </c>
      <c r="K1054" s="196"/>
      <c r="L1054" s="87"/>
      <c r="M1054" s="197" t="s">
        <v>587</v>
      </c>
      <c r="N1054" s="168"/>
    </row>
    <row r="1055" ht="22.5" hidden="1" customHeight="1">
      <c r="A1055" s="137" t="s">
        <v>603</v>
      </c>
      <c r="B1055" s="90">
        <v>46069.0</v>
      </c>
      <c r="C1055" s="55">
        <v>1.0</v>
      </c>
      <c r="D1055" s="97" t="s">
        <v>678</v>
      </c>
      <c r="E1055" s="201">
        <v>3140.0</v>
      </c>
      <c r="F1055" s="202"/>
      <c r="G1055" s="194" t="s">
        <v>587</v>
      </c>
      <c r="H1055" s="195" t="s">
        <v>603</v>
      </c>
      <c r="I1055" s="196"/>
      <c r="J1055" s="179">
        <f>IF(A1055="RAPPI",(VLOOKUP(TRIM(D1055), CATALOGO!F:G, 2, FALSE) * C1055)+I1055,IFERROR(IF(COUNTIF('RESTAURANTESDESCUENTOS 2026'!A:A,TRIM(A1055))&gt;0,((VLOOKUP(TRIM(D1055), CATALOGO!A:B, 2, FALSE) * C1055)*(1-VALUE(SUBSTITUTE(VLOOKUP(TRIM(A1055),'RESTAURANTESDESCUENTOS 2026'!A:B,2,FALSE),"%",""))/100)+I1055),(VLOOKUP(TRIM(D1055), CATALOGO!A:B, 2, FALSE) * C1055+I1055)),""))</f>
        <v>123000</v>
      </c>
      <c r="K1055" s="196"/>
      <c r="L1055" s="87"/>
      <c r="M1055" s="197" t="s">
        <v>587</v>
      </c>
      <c r="N1055" s="168"/>
    </row>
    <row r="1056" ht="22.5" hidden="1" customHeight="1">
      <c r="A1056" s="137" t="s">
        <v>950</v>
      </c>
      <c r="B1056" s="90">
        <v>46070.0</v>
      </c>
      <c r="C1056" s="55">
        <v>1.0</v>
      </c>
      <c r="D1056" s="97" t="s">
        <v>176</v>
      </c>
      <c r="E1056" s="201" t="s">
        <v>864</v>
      </c>
      <c r="F1056" s="202"/>
      <c r="G1056" s="194" t="s">
        <v>587</v>
      </c>
      <c r="H1056" s="195" t="s">
        <v>632</v>
      </c>
      <c r="I1056" s="196">
        <v>13000.0</v>
      </c>
      <c r="J1056" s="179">
        <f>IF(A1056="RAPPI",(VLOOKUP(TRIM(D1056), CATALOGO!F:G, 2, FALSE) * C1056)+I1056,IFERROR(IF(COUNTIF('RESTAURANTESDESCUENTOS 2026'!A:A,TRIM(A1056))&gt;0,((VLOOKUP(TRIM(D1056), CATALOGO!A:B, 2, FALSE) * C1056)*(1-VALUE(SUBSTITUTE(VLOOKUP(TRIM(A1056),'RESTAURANTESDESCUENTOS 2026'!A:B,2,FALSE),"%",""))/100)+I1056),(VLOOKUP(TRIM(D1056), CATALOGO!A:B, 2, FALSE) * C1056+I1056)),""))</f>
        <v>63000</v>
      </c>
      <c r="K1056" s="196">
        <v>13000.0</v>
      </c>
      <c r="L1056" s="87"/>
      <c r="M1056" s="197" t="s">
        <v>587</v>
      </c>
      <c r="N1056" s="168"/>
    </row>
    <row r="1057" ht="22.5" hidden="1" customHeight="1">
      <c r="A1057" s="137" t="s">
        <v>950</v>
      </c>
      <c r="B1057" s="90">
        <v>46070.0</v>
      </c>
      <c r="C1057" s="55">
        <v>1.0</v>
      </c>
      <c r="D1057" s="97" t="s">
        <v>179</v>
      </c>
      <c r="E1057" s="201"/>
      <c r="F1057" s="202"/>
      <c r="G1057" s="194" t="s">
        <v>587</v>
      </c>
      <c r="H1057" s="195" t="s">
        <v>632</v>
      </c>
      <c r="I1057" s="196">
        <v>0.0</v>
      </c>
      <c r="J1057" s="179">
        <f>IF(A1057="RAPPI",(VLOOKUP(TRIM(D1057), CATALOGO!F:G, 2, FALSE) * C1057)+I1057,IFERROR(IF(COUNTIF('RESTAURANTESDESCUENTOS 2026'!A:A,TRIM(A1057))&gt;0,((VLOOKUP(TRIM(D1057), CATALOGO!A:B, 2, FALSE) * C1057)*(1-VALUE(SUBSTITUTE(VLOOKUP(TRIM(A1057),'RESTAURANTESDESCUENTOS 2026'!A:B,2,FALSE),"%",""))/100)+I1057),(VLOOKUP(TRIM(D1057), CATALOGO!A:B, 2, FALSE) * C1057+I1057)),""))</f>
        <v>55000</v>
      </c>
      <c r="K1057" s="196">
        <v>0.0</v>
      </c>
      <c r="L1057" s="87"/>
      <c r="M1057" s="197" t="s">
        <v>587</v>
      </c>
      <c r="N1057" s="168"/>
    </row>
    <row r="1058" ht="22.5" hidden="1" customHeight="1">
      <c r="A1058" s="137" t="s">
        <v>603</v>
      </c>
      <c r="B1058" s="90">
        <v>46070.0</v>
      </c>
      <c r="C1058" s="55">
        <v>1.0</v>
      </c>
      <c r="D1058" s="97" t="s">
        <v>186</v>
      </c>
      <c r="E1058" s="201">
        <v>5520.0</v>
      </c>
      <c r="F1058" s="202"/>
      <c r="G1058" s="194" t="s">
        <v>587</v>
      </c>
      <c r="H1058" s="195" t="s">
        <v>603</v>
      </c>
      <c r="I1058" s="196"/>
      <c r="J1058" s="179">
        <f>IF(A1058="RAPPI",(VLOOKUP(TRIM(D1058), CATALOGO!F:G, 2, FALSE) * C1058)+I1058,IFERROR(IF(COUNTIF('RESTAURANTESDESCUENTOS 2026'!A:A,TRIM(A1058))&gt;0,((VLOOKUP(TRIM(D1058), CATALOGO!A:B, 2, FALSE) * C1058)*(1-VALUE(SUBSTITUTE(VLOOKUP(TRIM(A1058),'RESTAURANTESDESCUENTOS 2026'!A:B,2,FALSE),"%",""))/100)+I1058),(VLOOKUP(TRIM(D1058), CATALOGO!A:B, 2, FALSE) * C1058+I1058)),""))</f>
        <v>55000</v>
      </c>
      <c r="K1058" s="196"/>
      <c r="L1058" s="87"/>
      <c r="M1058" s="197" t="s">
        <v>587</v>
      </c>
      <c r="N1058" s="168"/>
    </row>
    <row r="1059" ht="22.5" hidden="1" customHeight="1">
      <c r="A1059" s="137" t="s">
        <v>951</v>
      </c>
      <c r="B1059" s="90">
        <v>46070.0</v>
      </c>
      <c r="C1059" s="55">
        <v>1.0</v>
      </c>
      <c r="D1059" s="97" t="s">
        <v>618</v>
      </c>
      <c r="E1059" s="201"/>
      <c r="F1059" s="202"/>
      <c r="G1059" s="194" t="s">
        <v>587</v>
      </c>
      <c r="H1059" s="195" t="s">
        <v>632</v>
      </c>
      <c r="I1059" s="196">
        <v>10000.0</v>
      </c>
      <c r="J1059" s="179">
        <f>IF(A1059="RAPPI",(VLOOKUP(TRIM(D1059), CATALOGO!F:G, 2, FALSE) * C1059)+I1059,IFERROR(IF(COUNTIF('RESTAURANTESDESCUENTOS 2026'!A:A,TRIM(A1059))&gt;0,((VLOOKUP(TRIM(D1059), CATALOGO!A:B, 2, FALSE) * C1059)*(1-VALUE(SUBSTITUTE(VLOOKUP(TRIM(A1059),'RESTAURANTESDESCUENTOS 2026'!A:B,2,FALSE),"%",""))/100)+I1059),(VLOOKUP(TRIM(D1059), CATALOGO!A:B, 2, FALSE) * C1059+I1059)),""))</f>
        <v>63000</v>
      </c>
      <c r="K1059" s="196">
        <v>10000.0</v>
      </c>
      <c r="L1059" s="87"/>
      <c r="M1059" s="197" t="s">
        <v>587</v>
      </c>
      <c r="N1059" s="168"/>
    </row>
    <row r="1060" ht="22.5" hidden="1" customHeight="1">
      <c r="A1060" s="137" t="s">
        <v>605</v>
      </c>
      <c r="B1060" s="90">
        <v>46070.0</v>
      </c>
      <c r="C1060" s="55">
        <v>1.0</v>
      </c>
      <c r="D1060" s="97" t="s">
        <v>640</v>
      </c>
      <c r="E1060" s="201" t="s">
        <v>607</v>
      </c>
      <c r="F1060" s="202"/>
      <c r="G1060" s="194" t="s">
        <v>35</v>
      </c>
      <c r="H1060" s="198"/>
      <c r="I1060" s="196"/>
      <c r="J1060" s="179">
        <f>IF(A1060="RAPPI",(VLOOKUP(TRIM(D1060), CATALOGO!F:G, 2, FALSE) * C1060)+I1060,IFERROR(IF(COUNTIF('RESTAURANTESDESCUENTOS 2026'!A:A,TRIM(A1060))&gt;0,((VLOOKUP(TRIM(D1060), CATALOGO!A:B, 2, FALSE) * C1060)*(1-VALUE(SUBSTITUTE(VLOOKUP(TRIM(A1060),'RESTAURANTESDESCUENTOS 2026'!A:B,2,FALSE),"%",""))/100)+I1060),(VLOOKUP(TRIM(D1060), CATALOGO!A:B, 2, FALSE) * C1060+I1060)),""))</f>
        <v>53000</v>
      </c>
      <c r="K1060" s="196"/>
      <c r="L1060" s="87"/>
      <c r="M1060" s="197" t="s">
        <v>587</v>
      </c>
      <c r="N1060" s="168"/>
    </row>
    <row r="1061" ht="22.5" hidden="1" customHeight="1">
      <c r="A1061" s="137" t="s">
        <v>605</v>
      </c>
      <c r="B1061" s="90">
        <v>46070.0</v>
      </c>
      <c r="C1061" s="55">
        <v>1.0</v>
      </c>
      <c r="D1061" s="97" t="s">
        <v>177</v>
      </c>
      <c r="E1061" s="201" t="s">
        <v>607</v>
      </c>
      <c r="F1061" s="202"/>
      <c r="G1061" s="194" t="s">
        <v>35</v>
      </c>
      <c r="H1061" s="198"/>
      <c r="I1061" s="196"/>
      <c r="J1061" s="179">
        <f>IF(A1061="RAPPI",(VLOOKUP(TRIM(D1061), CATALOGO!F:G, 2, FALSE) * C1061)+I1061,IFERROR(IF(COUNTIF('RESTAURANTESDESCUENTOS 2026'!A:A,TRIM(A1061))&gt;0,((VLOOKUP(TRIM(D1061), CATALOGO!A:B, 2, FALSE) * C1061)*(1-VALUE(SUBSTITUTE(VLOOKUP(TRIM(A1061),'RESTAURANTESDESCUENTOS 2026'!A:B,2,FALSE),"%",""))/100)+I1061),(VLOOKUP(TRIM(D1061), CATALOGO!A:B, 2, FALSE) * C1061+I1061)),""))</f>
        <v>115000</v>
      </c>
      <c r="K1061" s="196"/>
      <c r="L1061" s="87"/>
      <c r="M1061" s="197" t="s">
        <v>587</v>
      </c>
      <c r="N1061" s="168"/>
    </row>
    <row r="1062" ht="22.5" hidden="1" customHeight="1">
      <c r="A1062" s="137" t="s">
        <v>605</v>
      </c>
      <c r="B1062" s="90">
        <v>46070.0</v>
      </c>
      <c r="C1062" s="55">
        <v>1.0</v>
      </c>
      <c r="D1062" s="97" t="s">
        <v>602</v>
      </c>
      <c r="E1062" s="201" t="s">
        <v>607</v>
      </c>
      <c r="F1062" s="202"/>
      <c r="G1062" s="194" t="s">
        <v>35</v>
      </c>
      <c r="H1062" s="198"/>
      <c r="I1062" s="196"/>
      <c r="J1062" s="179">
        <f>IF(A1062="RAPPI",(VLOOKUP(TRIM(D1062), CATALOGO!F:G, 2, FALSE) * C1062)+I1062,IFERROR(IF(COUNTIF('RESTAURANTESDESCUENTOS 2026'!A:A,TRIM(A1062))&gt;0,((VLOOKUP(TRIM(D1062), CATALOGO!A:B, 2, FALSE) * C1062)*(1-VALUE(SUBSTITUTE(VLOOKUP(TRIM(A1062),'RESTAURANTESDESCUENTOS 2026'!A:B,2,FALSE),"%",""))/100)+I1062),(VLOOKUP(TRIM(D1062), CATALOGO!A:B, 2, FALSE) * C1062+I1062)),""))</f>
        <v>22000</v>
      </c>
      <c r="K1062" s="196"/>
      <c r="L1062" s="87"/>
      <c r="M1062" s="197" t="s">
        <v>587</v>
      </c>
      <c r="N1062" s="168"/>
    </row>
    <row r="1063" ht="22.5" hidden="1" customHeight="1">
      <c r="A1063" s="137" t="s">
        <v>605</v>
      </c>
      <c r="B1063" s="90">
        <v>46070.0</v>
      </c>
      <c r="C1063" s="55">
        <v>1.0</v>
      </c>
      <c r="D1063" s="97" t="s">
        <v>620</v>
      </c>
      <c r="E1063" s="201" t="s">
        <v>607</v>
      </c>
      <c r="F1063" s="202"/>
      <c r="G1063" s="194" t="s">
        <v>35</v>
      </c>
      <c r="H1063" s="198"/>
      <c r="I1063" s="196"/>
      <c r="J1063" s="199">
        <v>4000.0</v>
      </c>
      <c r="K1063" s="196"/>
      <c r="L1063" s="87"/>
      <c r="M1063" s="197" t="s">
        <v>587</v>
      </c>
      <c r="N1063" s="168"/>
    </row>
    <row r="1064" ht="22.5" hidden="1" customHeight="1">
      <c r="A1064" s="137" t="s">
        <v>603</v>
      </c>
      <c r="B1064" s="90">
        <v>46070.0</v>
      </c>
      <c r="C1064" s="55">
        <v>1.0</v>
      </c>
      <c r="D1064" s="97" t="s">
        <v>174</v>
      </c>
      <c r="E1064" s="201">
        <v>5913.0</v>
      </c>
      <c r="F1064" s="202"/>
      <c r="G1064" s="194" t="s">
        <v>587</v>
      </c>
      <c r="H1064" s="195" t="s">
        <v>603</v>
      </c>
      <c r="I1064" s="196"/>
      <c r="J1064" s="179">
        <f>IF(A1064="RAPPI",(VLOOKUP(TRIM(D1064), CATALOGO!F:G, 2, FALSE) * C1064)+I1064,IFERROR(IF(COUNTIF('RESTAURANTESDESCUENTOS 2026'!A:A,TRIM(A1064))&gt;0,((VLOOKUP(TRIM(D1064), CATALOGO!A:B, 2, FALSE) * C1064)*(1-VALUE(SUBSTITUTE(VLOOKUP(TRIM(A1064),'RESTAURANTESDESCUENTOS 2026'!A:B,2,FALSE),"%",""))/100)+I1064),(VLOOKUP(TRIM(D1064), CATALOGO!A:B, 2, FALSE) * C1064+I1064)),""))</f>
        <v>18000</v>
      </c>
      <c r="K1064" s="196"/>
      <c r="L1064" s="87"/>
      <c r="M1064" s="197" t="s">
        <v>587</v>
      </c>
      <c r="N1064" s="168"/>
    </row>
    <row r="1065" ht="22.5" hidden="1" customHeight="1">
      <c r="A1065" s="137" t="s">
        <v>603</v>
      </c>
      <c r="B1065" s="90">
        <v>46070.0</v>
      </c>
      <c r="C1065" s="55">
        <v>1.0</v>
      </c>
      <c r="D1065" s="97" t="s">
        <v>601</v>
      </c>
      <c r="E1065" s="201">
        <v>743.0</v>
      </c>
      <c r="F1065" s="202"/>
      <c r="G1065" s="194" t="s">
        <v>587</v>
      </c>
      <c r="H1065" s="195" t="s">
        <v>603</v>
      </c>
      <c r="I1065" s="196"/>
      <c r="J1065" s="179">
        <f>IF(A1065="RAPPI",(VLOOKUP(TRIM(D1065), CATALOGO!F:G, 2, FALSE) * C1065)+I1065,IFERROR(IF(COUNTIF('RESTAURANTESDESCUENTOS 2026'!A:A,TRIM(A1065))&gt;0,((VLOOKUP(TRIM(D1065), CATALOGO!A:B, 2, FALSE) * C1065)*(1-VALUE(SUBSTITUTE(VLOOKUP(TRIM(A1065),'RESTAURANTESDESCUENTOS 2026'!A:B,2,FALSE),"%",""))/100)+I1065),(VLOOKUP(TRIM(D1065), CATALOGO!A:B, 2, FALSE) * C1065+I1065)),""))</f>
        <v>53000</v>
      </c>
      <c r="K1065" s="196"/>
      <c r="L1065" s="87"/>
      <c r="M1065" s="197" t="s">
        <v>587</v>
      </c>
      <c r="N1065" s="168"/>
    </row>
    <row r="1066" ht="22.5" hidden="1" customHeight="1">
      <c r="A1066" s="137" t="s">
        <v>769</v>
      </c>
      <c r="B1066" s="90">
        <v>46071.0</v>
      </c>
      <c r="C1066" s="55">
        <v>24.0</v>
      </c>
      <c r="D1066" s="97" t="s">
        <v>183</v>
      </c>
      <c r="E1066" s="201"/>
      <c r="F1066" s="202"/>
      <c r="G1066" s="194" t="s">
        <v>587</v>
      </c>
      <c r="H1066" s="195" t="s">
        <v>753</v>
      </c>
      <c r="I1066" s="196">
        <v>10000.0</v>
      </c>
      <c r="J1066" s="179">
        <f>IF(A1066="RAPPI",(VLOOKUP(TRIM(D1066), CATALOGO!F:G, 2, FALSE) * C1066)+I1066,IFERROR(IF(COUNTIF('RESTAURANTESDESCUENTOS 2026'!A:A,TRIM(A1066))&gt;0,((VLOOKUP(TRIM(D1066), CATALOGO!A:B, 2, FALSE) * C1066)*(1-VALUE(SUBSTITUTE(VLOOKUP(TRIM(A1066),'RESTAURANTESDESCUENTOS 2026'!A:B,2,FALSE),"%",""))/100)+I1066),(VLOOKUP(TRIM(D1066), CATALOGO!A:B, 2, FALSE) * C1066+I1066)),""))</f>
        <v>379600</v>
      </c>
      <c r="K1066" s="196">
        <v>24000.0</v>
      </c>
      <c r="L1066" s="87" t="s">
        <v>587</v>
      </c>
      <c r="M1066" s="197" t="s">
        <v>587</v>
      </c>
      <c r="N1066" s="168"/>
    </row>
    <row r="1067" ht="22.5" hidden="1" customHeight="1">
      <c r="A1067" s="137" t="s">
        <v>769</v>
      </c>
      <c r="B1067" s="90">
        <v>46071.0</v>
      </c>
      <c r="C1067" s="55">
        <v>12.0</v>
      </c>
      <c r="D1067" s="97" t="s">
        <v>184</v>
      </c>
      <c r="E1067" s="201"/>
      <c r="F1067" s="202"/>
      <c r="G1067" s="194" t="s">
        <v>587</v>
      </c>
      <c r="H1067" s="195" t="s">
        <v>753</v>
      </c>
      <c r="I1067" s="196">
        <v>0.0</v>
      </c>
      <c r="J1067" s="179">
        <f>IF(A1067="RAPPI",(VLOOKUP(TRIM(D1067), CATALOGO!F:G, 2, FALSE) * C1067)+I1067,IFERROR(IF(COUNTIF('RESTAURANTESDESCUENTOS 2026'!A:A,TRIM(A1067))&gt;0,((VLOOKUP(TRIM(D1067), CATALOGO!A:B, 2, FALSE) * C1067)*(1-VALUE(SUBSTITUTE(VLOOKUP(TRIM(A1067),'RESTAURANTESDESCUENTOS 2026'!A:B,2,FALSE),"%",""))/100)+I1067),(VLOOKUP(TRIM(D1067), CATALOGO!A:B, 2, FALSE) * C1067+I1067)),""))</f>
        <v>288000</v>
      </c>
      <c r="K1067" s="196">
        <v>0.0</v>
      </c>
      <c r="L1067" s="87" t="s">
        <v>587</v>
      </c>
      <c r="M1067" s="197" t="s">
        <v>587</v>
      </c>
      <c r="N1067" s="168"/>
    </row>
    <row r="1068" ht="22.5" hidden="1" customHeight="1">
      <c r="A1068" s="137" t="s">
        <v>769</v>
      </c>
      <c r="B1068" s="90">
        <v>46071.0</v>
      </c>
      <c r="C1068" s="55">
        <v>9.0</v>
      </c>
      <c r="D1068" s="97" t="s">
        <v>185</v>
      </c>
      <c r="E1068" s="201"/>
      <c r="F1068" s="202"/>
      <c r="G1068" s="194" t="s">
        <v>587</v>
      </c>
      <c r="H1068" s="195" t="s">
        <v>753</v>
      </c>
      <c r="I1068" s="196">
        <v>0.0</v>
      </c>
      <c r="J1068" s="179">
        <f>IF(A1068="RAPPI",(VLOOKUP(TRIM(D1068), CATALOGO!F:G, 2, FALSE) * C1068)+I1068,IFERROR(IF(COUNTIF('RESTAURANTESDESCUENTOS 2026'!A:A,TRIM(A1068))&gt;0,((VLOOKUP(TRIM(D1068), CATALOGO!A:B, 2, FALSE) * C1068)*(1-VALUE(SUBSTITUTE(VLOOKUP(TRIM(A1068),'RESTAURANTESDESCUENTOS 2026'!A:B,2,FALSE),"%",""))/100)+I1068),(VLOOKUP(TRIM(D1068), CATALOGO!A:B, 2, FALSE) * C1068+I1068)),""))</f>
        <v>158400</v>
      </c>
      <c r="K1068" s="196">
        <v>0.0</v>
      </c>
      <c r="L1068" s="87" t="s">
        <v>587</v>
      </c>
      <c r="M1068" s="197" t="s">
        <v>587</v>
      </c>
      <c r="N1068" s="168"/>
    </row>
    <row r="1069" ht="22.5" hidden="1" customHeight="1">
      <c r="A1069" s="137" t="s">
        <v>952</v>
      </c>
      <c r="B1069" s="90">
        <v>46071.0</v>
      </c>
      <c r="C1069" s="55">
        <v>1.0</v>
      </c>
      <c r="D1069" s="97" t="s">
        <v>177</v>
      </c>
      <c r="E1069" s="201" t="s">
        <v>645</v>
      </c>
      <c r="F1069" s="202"/>
      <c r="G1069" s="194" t="s">
        <v>587</v>
      </c>
      <c r="H1069" s="195" t="s">
        <v>753</v>
      </c>
      <c r="I1069" s="196">
        <v>10000.0</v>
      </c>
      <c r="J1069" s="179">
        <f>IF(A1069="RAPPI",(VLOOKUP(TRIM(D1069), CATALOGO!F:G, 2, FALSE) * C1069)+I1069,IFERROR(IF(COUNTIF('RESTAURANTESDESCUENTOS 2026'!A:A,TRIM(A1069))&gt;0,((VLOOKUP(TRIM(D1069), CATALOGO!A:B, 2, FALSE) * C1069)*(1-VALUE(SUBSTITUTE(VLOOKUP(TRIM(A1069),'RESTAURANTESDESCUENTOS 2026'!A:B,2,FALSE),"%",""))/100)+I1069),(VLOOKUP(TRIM(D1069), CATALOGO!A:B, 2, FALSE) * C1069+I1069)),""))</f>
        <v>125000</v>
      </c>
      <c r="K1069" s="196">
        <v>10000.0</v>
      </c>
      <c r="L1069" s="87"/>
      <c r="M1069" s="197" t="s">
        <v>587</v>
      </c>
      <c r="N1069" s="168"/>
    </row>
    <row r="1070" ht="22.5" hidden="1" customHeight="1">
      <c r="A1070" s="137" t="s">
        <v>914</v>
      </c>
      <c r="B1070" s="90">
        <v>46071.0</v>
      </c>
      <c r="C1070" s="55">
        <v>1.0</v>
      </c>
      <c r="D1070" s="97" t="s">
        <v>182</v>
      </c>
      <c r="E1070" s="201" t="s">
        <v>953</v>
      </c>
      <c r="F1070" s="202"/>
      <c r="G1070" s="194" t="s">
        <v>587</v>
      </c>
      <c r="H1070" s="195" t="s">
        <v>588</v>
      </c>
      <c r="I1070" s="196">
        <v>10000.0</v>
      </c>
      <c r="J1070" s="179">
        <f>IF(A1070="RAPPI",(VLOOKUP(TRIM(D1070), CATALOGO!F:G, 2, FALSE) * C1070)+I1070,IFERROR(IF(COUNTIF('RESTAURANTESDESCUENTOS 2026'!A:A,TRIM(A1070))&gt;0,((VLOOKUP(TRIM(D1070), CATALOGO!A:B, 2, FALSE) * C1070)*(1-VALUE(SUBSTITUTE(VLOOKUP(TRIM(A1070),'RESTAURANTESDESCUENTOS 2026'!A:B,2,FALSE),"%",""))/100)+I1070),(VLOOKUP(TRIM(D1070), CATALOGO!A:B, 2, FALSE) * C1070+I1070)),""))</f>
        <v>47000</v>
      </c>
      <c r="K1070" s="196">
        <v>10000.0</v>
      </c>
      <c r="L1070" s="87"/>
      <c r="M1070" s="197" t="s">
        <v>587</v>
      </c>
      <c r="N1070" s="168"/>
    </row>
    <row r="1071" ht="22.5" hidden="1" customHeight="1">
      <c r="A1071" s="137" t="s">
        <v>914</v>
      </c>
      <c r="B1071" s="90">
        <v>46071.0</v>
      </c>
      <c r="C1071" s="55">
        <v>4.0</v>
      </c>
      <c r="D1071" s="97" t="s">
        <v>236</v>
      </c>
      <c r="E1071" s="201"/>
      <c r="F1071" s="202"/>
      <c r="G1071" s="194" t="s">
        <v>587</v>
      </c>
      <c r="H1071" s="195" t="s">
        <v>588</v>
      </c>
      <c r="I1071" s="196">
        <v>0.0</v>
      </c>
      <c r="J1071" s="179">
        <f>IF(A1071="RAPPI",(VLOOKUP(TRIM(D1071), CATALOGO!F:G, 2, FALSE) * C1071)+I1071,IFERROR(IF(COUNTIF('RESTAURANTESDESCUENTOS 2026'!A:A,TRIM(A1071))&gt;0,((VLOOKUP(TRIM(D1071), CATALOGO!A:B, 2, FALSE) * C1071)*(1-VALUE(SUBSTITUTE(VLOOKUP(TRIM(A1071),'RESTAURANTESDESCUENTOS 2026'!A:B,2,FALSE),"%",""))/100)+I1071),(VLOOKUP(TRIM(D1071), CATALOGO!A:B, 2, FALSE) * C1071+I1071)),""))</f>
        <v>0</v>
      </c>
      <c r="K1071" s="196">
        <v>0.0</v>
      </c>
      <c r="L1071" s="87"/>
      <c r="M1071" s="197" t="s">
        <v>587</v>
      </c>
      <c r="N1071" s="168"/>
    </row>
    <row r="1072" ht="22.5" hidden="1" customHeight="1">
      <c r="A1072" s="137" t="s">
        <v>603</v>
      </c>
      <c r="B1072" s="90">
        <v>46071.0</v>
      </c>
      <c r="C1072" s="55">
        <v>1.0</v>
      </c>
      <c r="D1072" s="97" t="s">
        <v>177</v>
      </c>
      <c r="E1072" s="201">
        <v>939.0</v>
      </c>
      <c r="F1072" s="202"/>
      <c r="G1072" s="194" t="s">
        <v>587</v>
      </c>
      <c r="H1072" s="195" t="s">
        <v>603</v>
      </c>
      <c r="I1072" s="196"/>
      <c r="J1072" s="179">
        <f>IF(A1072="RAPPI",(VLOOKUP(TRIM(D1072), CATALOGO!F:G, 2, FALSE) * C1072)+I1072,IFERROR(IF(COUNTIF('RESTAURANTESDESCUENTOS 2026'!A:A,TRIM(A1072))&gt;0,((VLOOKUP(TRIM(D1072), CATALOGO!A:B, 2, FALSE) * C1072)*(1-VALUE(SUBSTITUTE(VLOOKUP(TRIM(A1072),'RESTAURANTESDESCUENTOS 2026'!A:B,2,FALSE),"%",""))/100)+I1072),(VLOOKUP(TRIM(D1072), CATALOGO!A:B, 2, FALSE) * C1072+I1072)),""))</f>
        <v>115000</v>
      </c>
      <c r="K1072" s="196"/>
      <c r="L1072" s="87"/>
      <c r="M1072" s="197" t="s">
        <v>587</v>
      </c>
      <c r="N1072" s="168"/>
    </row>
    <row r="1073" ht="22.5" hidden="1" customHeight="1">
      <c r="A1073" s="137" t="s">
        <v>131</v>
      </c>
      <c r="B1073" s="90">
        <v>46071.0</v>
      </c>
      <c r="C1073" s="55">
        <v>1.0</v>
      </c>
      <c r="D1073" s="97" t="s">
        <v>178</v>
      </c>
      <c r="E1073" s="201" t="s">
        <v>610</v>
      </c>
      <c r="F1073" s="202"/>
      <c r="G1073" s="194" t="s">
        <v>587</v>
      </c>
      <c r="H1073" s="195" t="s">
        <v>588</v>
      </c>
      <c r="I1073" s="196">
        <v>5000.0</v>
      </c>
      <c r="J1073" s="179">
        <f>IF(A1073="RAPPI",(VLOOKUP(TRIM(D1073), CATALOGO!F:G, 2, FALSE) * C1073)+I1073,IFERROR(IF(COUNTIF('RESTAURANTESDESCUENTOS 2026'!A:A,TRIM(A1073))&gt;0,((VLOOKUP(TRIM(D1073), CATALOGO!A:B, 2, FALSE) * C1073)*(1-VALUE(SUBSTITUTE(VLOOKUP(TRIM(A1073),'RESTAURANTESDESCUENTOS 2026'!A:B,2,FALSE),"%",""))/100)+I1073),(VLOOKUP(TRIM(D1073), CATALOGO!A:B, 2, FALSE) * C1073+I1073)),""))</f>
        <v>110000</v>
      </c>
      <c r="K1073" s="196">
        <v>10000.0</v>
      </c>
      <c r="L1073" s="87" t="s">
        <v>587</v>
      </c>
      <c r="M1073" s="197" t="s">
        <v>587</v>
      </c>
      <c r="N1073" s="168"/>
    </row>
    <row r="1074" ht="22.5" hidden="1" customHeight="1">
      <c r="A1074" s="137" t="s">
        <v>605</v>
      </c>
      <c r="B1074" s="90">
        <v>46071.0</v>
      </c>
      <c r="C1074" s="55">
        <v>1.0</v>
      </c>
      <c r="D1074" s="97" t="s">
        <v>179</v>
      </c>
      <c r="E1074" s="201" t="s">
        <v>607</v>
      </c>
      <c r="F1074" s="202"/>
      <c r="G1074" s="194" t="s">
        <v>35</v>
      </c>
      <c r="H1074" s="198"/>
      <c r="I1074" s="196"/>
      <c r="J1074" s="179">
        <f>IF(A1074="RAPPI",(VLOOKUP(TRIM(D1074), CATALOGO!F:G, 2, FALSE) * C1074)+I1074,IFERROR(IF(COUNTIF('RESTAURANTESDESCUENTOS 2026'!A:A,TRIM(A1074))&gt;0,((VLOOKUP(TRIM(D1074), CATALOGO!A:B, 2, FALSE) * C1074)*(1-VALUE(SUBSTITUTE(VLOOKUP(TRIM(A1074),'RESTAURANTESDESCUENTOS 2026'!A:B,2,FALSE),"%",""))/100)+I1074),(VLOOKUP(TRIM(D1074), CATALOGO!A:B, 2, FALSE) * C1074+I1074)),""))</f>
        <v>55000</v>
      </c>
      <c r="K1074" s="196"/>
      <c r="L1074" s="87"/>
      <c r="M1074" s="197" t="s">
        <v>587</v>
      </c>
      <c r="N1074" s="168"/>
    </row>
    <row r="1075" ht="22.5" hidden="1" customHeight="1">
      <c r="A1075" s="137" t="s">
        <v>605</v>
      </c>
      <c r="B1075" s="90">
        <v>46071.0</v>
      </c>
      <c r="C1075" s="55">
        <v>1.0</v>
      </c>
      <c r="D1075" s="97" t="s">
        <v>174</v>
      </c>
      <c r="E1075" s="201" t="s">
        <v>607</v>
      </c>
      <c r="F1075" s="202"/>
      <c r="G1075" s="194" t="s">
        <v>35</v>
      </c>
      <c r="H1075" s="198"/>
      <c r="I1075" s="196"/>
      <c r="J1075" s="179">
        <f>IF(A1075="RAPPI",(VLOOKUP(TRIM(D1075), CATALOGO!F:G, 2, FALSE) * C1075)+I1075,IFERROR(IF(COUNTIF('RESTAURANTESDESCUENTOS 2026'!A:A,TRIM(A1075))&gt;0,((VLOOKUP(TRIM(D1075), CATALOGO!A:B, 2, FALSE) * C1075)*(1-VALUE(SUBSTITUTE(VLOOKUP(TRIM(A1075),'RESTAURANTESDESCUENTOS 2026'!A:B,2,FALSE),"%",""))/100)+I1075),(VLOOKUP(TRIM(D1075), CATALOGO!A:B, 2, FALSE) * C1075+I1075)),""))</f>
        <v>18000</v>
      </c>
      <c r="K1075" s="196"/>
      <c r="L1075" s="87"/>
      <c r="M1075" s="197" t="s">
        <v>587</v>
      </c>
      <c r="N1075" s="168"/>
    </row>
    <row r="1076" ht="22.5" hidden="1" customHeight="1">
      <c r="A1076" s="137" t="s">
        <v>605</v>
      </c>
      <c r="B1076" s="90">
        <v>46071.0</v>
      </c>
      <c r="C1076" s="55">
        <v>1.0</v>
      </c>
      <c r="D1076" s="97" t="s">
        <v>176</v>
      </c>
      <c r="E1076" s="201" t="s">
        <v>607</v>
      </c>
      <c r="F1076" s="202"/>
      <c r="G1076" s="194" t="s">
        <v>35</v>
      </c>
      <c r="H1076" s="198"/>
      <c r="I1076" s="196"/>
      <c r="J1076" s="179">
        <f>IF(A1076="RAPPI",(VLOOKUP(TRIM(D1076), CATALOGO!F:G, 2, FALSE) * C1076)+I1076,IFERROR(IF(COUNTIF('RESTAURANTESDESCUENTOS 2026'!A:A,TRIM(A1076))&gt;0,((VLOOKUP(TRIM(D1076), CATALOGO!A:B, 2, FALSE) * C1076)*(1-VALUE(SUBSTITUTE(VLOOKUP(TRIM(A1076),'RESTAURANTESDESCUENTOS 2026'!A:B,2,FALSE),"%",""))/100)+I1076),(VLOOKUP(TRIM(D1076), CATALOGO!A:B, 2, FALSE) * C1076+I1076)),""))</f>
        <v>50000</v>
      </c>
      <c r="K1076" s="196"/>
      <c r="L1076" s="87"/>
      <c r="M1076" s="197" t="s">
        <v>587</v>
      </c>
      <c r="N1076" s="168"/>
    </row>
    <row r="1077" ht="22.5" hidden="1" customHeight="1">
      <c r="A1077" s="137" t="s">
        <v>605</v>
      </c>
      <c r="B1077" s="90">
        <v>46071.0</v>
      </c>
      <c r="C1077" s="55">
        <v>1.0</v>
      </c>
      <c r="D1077" s="97" t="s">
        <v>176</v>
      </c>
      <c r="E1077" s="201" t="s">
        <v>607</v>
      </c>
      <c r="F1077" s="202"/>
      <c r="G1077" s="194" t="s">
        <v>35</v>
      </c>
      <c r="H1077" s="198"/>
      <c r="I1077" s="196"/>
      <c r="J1077" s="179">
        <f>IF(A1077="RAPPI",(VLOOKUP(TRIM(D1077), CATALOGO!F:G, 2, FALSE) * C1077)+I1077,IFERROR(IF(COUNTIF('RESTAURANTESDESCUENTOS 2026'!A:A,TRIM(A1077))&gt;0,((VLOOKUP(TRIM(D1077), CATALOGO!A:B, 2, FALSE) * C1077)*(1-VALUE(SUBSTITUTE(VLOOKUP(TRIM(A1077),'RESTAURANTESDESCUENTOS 2026'!A:B,2,FALSE),"%",""))/100)+I1077),(VLOOKUP(TRIM(D1077), CATALOGO!A:B, 2, FALSE) * C1077+I1077)),""))</f>
        <v>50000</v>
      </c>
      <c r="K1077" s="196"/>
      <c r="L1077" s="87"/>
      <c r="M1077" s="197" t="s">
        <v>587</v>
      </c>
      <c r="N1077" s="168"/>
    </row>
    <row r="1078" ht="22.5" hidden="1" customHeight="1">
      <c r="A1078" s="137" t="s">
        <v>954</v>
      </c>
      <c r="B1078" s="90">
        <v>46071.0</v>
      </c>
      <c r="C1078" s="55">
        <v>1.0</v>
      </c>
      <c r="D1078" s="97" t="s">
        <v>180</v>
      </c>
      <c r="E1078" s="201"/>
      <c r="F1078" s="202"/>
      <c r="G1078" s="194" t="s">
        <v>587</v>
      </c>
      <c r="H1078" s="195" t="s">
        <v>588</v>
      </c>
      <c r="I1078" s="196">
        <v>16000.0</v>
      </c>
      <c r="J1078" s="179">
        <f>IF(A1078="RAPPI",(VLOOKUP(TRIM(D1078), CATALOGO!F:G, 2, FALSE) * C1078)+I1078,IFERROR(IF(COUNTIF('RESTAURANTESDESCUENTOS 2026'!A:A,TRIM(A1078))&gt;0,((VLOOKUP(TRIM(D1078), CATALOGO!A:B, 2, FALSE) * C1078)*(1-VALUE(SUBSTITUTE(VLOOKUP(TRIM(A1078),'RESTAURANTESDESCUENTOS 2026'!A:B,2,FALSE),"%",""))/100)+I1078),(VLOOKUP(TRIM(D1078), CATALOGO!A:B, 2, FALSE) * C1078+I1078)),""))</f>
        <v>165000</v>
      </c>
      <c r="K1078" s="196">
        <v>22000.0</v>
      </c>
      <c r="L1078" s="87"/>
      <c r="M1078" s="197" t="s">
        <v>587</v>
      </c>
      <c r="N1078" s="168"/>
    </row>
    <row r="1079" ht="22.5" hidden="1" customHeight="1">
      <c r="A1079" s="137" t="s">
        <v>10</v>
      </c>
      <c r="B1079" s="90">
        <v>46071.0</v>
      </c>
      <c r="C1079" s="55">
        <v>2.0</v>
      </c>
      <c r="D1079" s="97" t="s">
        <v>178</v>
      </c>
      <c r="E1079" s="201" t="s">
        <v>610</v>
      </c>
      <c r="F1079" s="202"/>
      <c r="G1079" s="194" t="s">
        <v>587</v>
      </c>
      <c r="H1079" s="195" t="s">
        <v>588</v>
      </c>
      <c r="I1079" s="196">
        <v>10000.0</v>
      </c>
      <c r="J1079" s="179">
        <f>IF(A1079="RAPPI",(VLOOKUP(TRIM(D1079), CATALOGO!F:G, 2, FALSE) * C1079)+I1079,IFERROR(IF(COUNTIF('RESTAURANTESDESCUENTOS 2026'!A:A,TRIM(A1079))&gt;0,((VLOOKUP(TRIM(D1079), CATALOGO!A:B, 2, FALSE) * C1079)*(1-VALUE(SUBSTITUTE(VLOOKUP(TRIM(A1079),'RESTAURANTESDESCUENTOS 2026'!A:B,2,FALSE),"%",""))/100)+I1079),(VLOOKUP(TRIM(D1079), CATALOGO!A:B, 2, FALSE) * C1079+I1079)),""))</f>
        <v>235000</v>
      </c>
      <c r="K1079" s="196">
        <v>12000.0</v>
      </c>
      <c r="L1079" s="87" t="s">
        <v>587</v>
      </c>
      <c r="M1079" s="197" t="s">
        <v>587</v>
      </c>
      <c r="N1079" s="168"/>
    </row>
    <row r="1080" ht="22.5" hidden="1" customHeight="1">
      <c r="A1080" s="137" t="s">
        <v>955</v>
      </c>
      <c r="B1080" s="90">
        <v>46071.0</v>
      </c>
      <c r="C1080" s="55">
        <v>1.0</v>
      </c>
      <c r="D1080" s="97" t="s">
        <v>739</v>
      </c>
      <c r="E1080" s="201"/>
      <c r="F1080" s="202"/>
      <c r="G1080" s="194" t="s">
        <v>587</v>
      </c>
      <c r="H1080" s="195" t="s">
        <v>588</v>
      </c>
      <c r="I1080" s="196">
        <v>13000.0</v>
      </c>
      <c r="J1080" s="179">
        <f>IF(A1080="RAPPI",(VLOOKUP(TRIM(D1080), CATALOGO!F:G, 2, FALSE) * C1080)+I1080,IFERROR(IF(COUNTIF('RESTAURANTESDESCUENTOS 2026'!A:A,TRIM(A1080))&gt;0,((VLOOKUP(TRIM(D1080), CATALOGO!A:B, 2, FALSE) * C1080)*(1-VALUE(SUBSTITUTE(VLOOKUP(TRIM(A1080),'RESTAURANTESDESCUENTOS 2026'!A:B,2,FALSE),"%",""))/100)+I1080),(VLOOKUP(TRIM(D1080), CATALOGO!A:B, 2, FALSE) * C1080+I1080)),""))</f>
        <v>176000</v>
      </c>
      <c r="K1080" s="196">
        <v>13000.0</v>
      </c>
      <c r="L1080" s="87"/>
      <c r="M1080" s="197" t="s">
        <v>587</v>
      </c>
      <c r="N1080" s="168"/>
    </row>
    <row r="1081" ht="22.5" hidden="1" customHeight="1">
      <c r="A1081" s="137" t="s">
        <v>922</v>
      </c>
      <c r="B1081" s="90">
        <v>46071.0</v>
      </c>
      <c r="C1081" s="55">
        <v>1.0</v>
      </c>
      <c r="D1081" s="97" t="s">
        <v>601</v>
      </c>
      <c r="E1081" s="201"/>
      <c r="F1081" s="202"/>
      <c r="G1081" s="194" t="s">
        <v>587</v>
      </c>
      <c r="H1081" s="195" t="s">
        <v>588</v>
      </c>
      <c r="I1081" s="196">
        <v>14000.0</v>
      </c>
      <c r="J1081" s="179">
        <f>IF(A1081="RAPPI",(VLOOKUP(TRIM(D1081), CATALOGO!F:G, 2, FALSE) * C1081)+I1081,IFERROR(IF(COUNTIF('RESTAURANTESDESCUENTOS 2026'!A:A,TRIM(A1081))&gt;0,((VLOOKUP(TRIM(D1081), CATALOGO!A:B, 2, FALSE) * C1081)*(1-VALUE(SUBSTITUTE(VLOOKUP(TRIM(A1081),'RESTAURANTESDESCUENTOS 2026'!A:B,2,FALSE),"%",""))/100)+I1081),(VLOOKUP(TRIM(D1081), CATALOGO!A:B, 2, FALSE) * C1081+I1081)),""))</f>
        <v>67000</v>
      </c>
      <c r="K1081" s="196">
        <v>15000.0</v>
      </c>
      <c r="L1081" s="87"/>
      <c r="M1081" s="197" t="s">
        <v>587</v>
      </c>
      <c r="N1081" s="168"/>
    </row>
    <row r="1082" ht="22.5" hidden="1" customHeight="1">
      <c r="A1082" s="137" t="s">
        <v>922</v>
      </c>
      <c r="B1082" s="90">
        <v>46071.0</v>
      </c>
      <c r="C1082" s="55">
        <v>1.0</v>
      </c>
      <c r="D1082" s="97" t="s">
        <v>708</v>
      </c>
      <c r="E1082" s="201"/>
      <c r="F1082" s="202"/>
      <c r="G1082" s="194" t="s">
        <v>587</v>
      </c>
      <c r="H1082" s="195" t="s">
        <v>588</v>
      </c>
      <c r="I1082" s="196">
        <v>0.0</v>
      </c>
      <c r="J1082" s="179">
        <f>IF(A1082="RAPPI",(VLOOKUP(TRIM(D1082), CATALOGO!F:G, 2, FALSE) * C1082)+I1082,IFERROR(IF(COUNTIF('RESTAURANTESDESCUENTOS 2026'!A:A,TRIM(A1082))&gt;0,((VLOOKUP(TRIM(D1082), CATALOGO!A:B, 2, FALSE) * C1082)*(1-VALUE(SUBSTITUTE(VLOOKUP(TRIM(A1082),'RESTAURANTESDESCUENTOS 2026'!A:B,2,FALSE),"%",""))/100)+I1082),(VLOOKUP(TRIM(D1082), CATALOGO!A:B, 2, FALSE) * C1082+I1082)),""))</f>
        <v>53000</v>
      </c>
      <c r="K1082" s="196">
        <v>0.0</v>
      </c>
      <c r="L1082" s="87"/>
      <c r="M1082" s="197" t="s">
        <v>587</v>
      </c>
      <c r="N1082" s="168"/>
    </row>
    <row r="1083" ht="22.5" hidden="1" customHeight="1">
      <c r="A1083" s="137" t="s">
        <v>622</v>
      </c>
      <c r="B1083" s="90">
        <v>46071.0</v>
      </c>
      <c r="C1083" s="55">
        <v>1.0</v>
      </c>
      <c r="D1083" s="97" t="s">
        <v>178</v>
      </c>
      <c r="E1083" s="201" t="s">
        <v>28</v>
      </c>
      <c r="F1083" s="202"/>
      <c r="G1083" s="194" t="s">
        <v>35</v>
      </c>
      <c r="H1083" s="198"/>
      <c r="I1083" s="196"/>
      <c r="J1083" s="199">
        <v>0.0</v>
      </c>
      <c r="K1083" s="196"/>
      <c r="L1083" s="87"/>
      <c r="M1083" s="197" t="s">
        <v>587</v>
      </c>
      <c r="N1083" s="168"/>
    </row>
    <row r="1084" ht="22.5" hidden="1" customHeight="1">
      <c r="A1084" s="137" t="s">
        <v>956</v>
      </c>
      <c r="B1084" s="90">
        <v>46071.0</v>
      </c>
      <c r="C1084" s="55">
        <v>1.0</v>
      </c>
      <c r="D1084" s="97" t="s">
        <v>174</v>
      </c>
      <c r="E1084" s="201"/>
      <c r="F1084" s="202"/>
      <c r="G1084" s="194" t="s">
        <v>587</v>
      </c>
      <c r="H1084" s="195" t="s">
        <v>588</v>
      </c>
      <c r="I1084" s="196">
        <v>12000.0</v>
      </c>
      <c r="J1084" s="179">
        <f>IF(A1084="RAPPI",(VLOOKUP(TRIM(D1084), CATALOGO!F:G, 2, FALSE) * C1084)+I1084,IFERROR(IF(COUNTIF('RESTAURANTESDESCUENTOS 2026'!A:A,TRIM(A1084))&gt;0,((VLOOKUP(TRIM(D1084), CATALOGO!A:B, 2, FALSE) * C1084)*(1-VALUE(SUBSTITUTE(VLOOKUP(TRIM(A1084),'RESTAURANTESDESCUENTOS 2026'!A:B,2,FALSE),"%",""))/100)+I1084),(VLOOKUP(TRIM(D1084), CATALOGO!A:B, 2, FALSE) * C1084+I1084)),""))</f>
        <v>30000</v>
      </c>
      <c r="K1084" s="196">
        <v>12000.0</v>
      </c>
      <c r="L1084" s="87"/>
      <c r="M1084" s="197" t="s">
        <v>587</v>
      </c>
      <c r="N1084" s="168"/>
    </row>
    <row r="1085" ht="22.5" hidden="1" customHeight="1">
      <c r="A1085" s="137" t="s">
        <v>956</v>
      </c>
      <c r="B1085" s="90">
        <v>46071.0</v>
      </c>
      <c r="C1085" s="55">
        <v>1.0</v>
      </c>
      <c r="D1085" s="97" t="s">
        <v>176</v>
      </c>
      <c r="E1085" s="201"/>
      <c r="F1085" s="202"/>
      <c r="G1085" s="194" t="s">
        <v>587</v>
      </c>
      <c r="H1085" s="195" t="s">
        <v>588</v>
      </c>
      <c r="I1085" s="196">
        <v>0.0</v>
      </c>
      <c r="J1085" s="179">
        <f>IF(A1085="RAPPI",(VLOOKUP(TRIM(D1085), CATALOGO!F:G, 2, FALSE) * C1085)+I1085,IFERROR(IF(COUNTIF('RESTAURANTESDESCUENTOS 2026'!A:A,TRIM(A1085))&gt;0,((VLOOKUP(TRIM(D1085), CATALOGO!A:B, 2, FALSE) * C1085)*(1-VALUE(SUBSTITUTE(VLOOKUP(TRIM(A1085),'RESTAURANTESDESCUENTOS 2026'!A:B,2,FALSE),"%",""))/100)+I1085),(VLOOKUP(TRIM(D1085), CATALOGO!A:B, 2, FALSE) * C1085+I1085)),""))</f>
        <v>50000</v>
      </c>
      <c r="K1085" s="196">
        <v>0.0</v>
      </c>
      <c r="L1085" s="87"/>
      <c r="M1085" s="197" t="s">
        <v>587</v>
      </c>
      <c r="N1085" s="168"/>
    </row>
    <row r="1086" ht="22.5" hidden="1" customHeight="1">
      <c r="A1086" s="137" t="s">
        <v>605</v>
      </c>
      <c r="B1086" s="90">
        <v>46071.0</v>
      </c>
      <c r="C1086" s="55">
        <v>1.0</v>
      </c>
      <c r="D1086" s="97" t="s">
        <v>628</v>
      </c>
      <c r="E1086" s="201" t="s">
        <v>957</v>
      </c>
      <c r="F1086" s="202"/>
      <c r="G1086" s="194" t="s">
        <v>35</v>
      </c>
      <c r="H1086" s="198"/>
      <c r="I1086" s="196"/>
      <c r="J1086" s="179">
        <f>IF(A1086="RAPPI",(VLOOKUP(TRIM(D1086), CATALOGO!F:G, 2, FALSE) * C1086)+I1086,IFERROR(IF(COUNTIF('RESTAURANTESDESCUENTOS 2026'!A:A,TRIM(A1086))&gt;0,((VLOOKUP(TRIM(D1086), CATALOGO!A:B, 2, FALSE) * C1086)*(1-VALUE(SUBSTITUTE(VLOOKUP(TRIM(A1086),'RESTAURANTESDESCUENTOS 2026'!A:B,2,FALSE),"%",""))/100)+I1086),(VLOOKUP(TRIM(D1086), CATALOGO!A:B, 2, FALSE) * C1086+I1086)),""))</f>
        <v>22000</v>
      </c>
      <c r="K1086" s="196"/>
      <c r="L1086" s="87"/>
      <c r="M1086" s="197" t="s">
        <v>587</v>
      </c>
      <c r="N1086" s="168"/>
    </row>
    <row r="1087" ht="22.5" hidden="1" customHeight="1">
      <c r="A1087" s="137" t="s">
        <v>603</v>
      </c>
      <c r="B1087" s="90">
        <v>46071.0</v>
      </c>
      <c r="C1087" s="55">
        <v>1.0</v>
      </c>
      <c r="D1087" s="97" t="s">
        <v>678</v>
      </c>
      <c r="E1087" s="201">
        <v>2195.0</v>
      </c>
      <c r="F1087" s="202"/>
      <c r="G1087" s="194" t="s">
        <v>587</v>
      </c>
      <c r="H1087" s="195" t="s">
        <v>603</v>
      </c>
      <c r="I1087" s="196"/>
      <c r="J1087" s="179">
        <f>IF(A1087="RAPPI",(VLOOKUP(TRIM(D1087), CATALOGO!F:G, 2, FALSE) * C1087)+I1087,IFERROR(IF(COUNTIF('RESTAURANTESDESCUENTOS 2026'!A:A,TRIM(A1087))&gt;0,((VLOOKUP(TRIM(D1087), CATALOGO!A:B, 2, FALSE) * C1087)*(1-VALUE(SUBSTITUTE(VLOOKUP(TRIM(A1087),'RESTAURANTESDESCUENTOS 2026'!A:B,2,FALSE),"%",""))/100)+I1087),(VLOOKUP(TRIM(D1087), CATALOGO!A:B, 2, FALSE) * C1087+I1087)),""))</f>
        <v>123000</v>
      </c>
      <c r="K1087" s="196"/>
      <c r="L1087" s="87"/>
      <c r="M1087" s="197" t="s">
        <v>587</v>
      </c>
      <c r="N1087" s="168"/>
    </row>
    <row r="1088" ht="22.5" hidden="1" customHeight="1">
      <c r="A1088" s="137" t="s">
        <v>603</v>
      </c>
      <c r="B1088" s="90">
        <v>46071.0</v>
      </c>
      <c r="C1088" s="55">
        <v>1.0</v>
      </c>
      <c r="D1088" s="97" t="s">
        <v>180</v>
      </c>
      <c r="E1088" s="201">
        <v>2786.0</v>
      </c>
      <c r="F1088" s="202"/>
      <c r="G1088" s="194" t="s">
        <v>587</v>
      </c>
      <c r="H1088" s="195" t="s">
        <v>603</v>
      </c>
      <c r="I1088" s="196"/>
      <c r="J1088" s="179">
        <f>IF(A1088="RAPPI",(VLOOKUP(TRIM(D1088), CATALOGO!F:G, 2, FALSE) * C1088)+I1088,IFERROR(IF(COUNTIF('RESTAURANTESDESCUENTOS 2026'!A:A,TRIM(A1088))&gt;0,((VLOOKUP(TRIM(D1088), CATALOGO!A:B, 2, FALSE) * C1088)*(1-VALUE(SUBSTITUTE(VLOOKUP(TRIM(A1088),'RESTAURANTESDESCUENTOS 2026'!A:B,2,FALSE),"%",""))/100)+I1088),(VLOOKUP(TRIM(D1088), CATALOGO!A:B, 2, FALSE) * C1088+I1088)),""))</f>
        <v>149000</v>
      </c>
      <c r="K1088" s="196"/>
      <c r="L1088" s="87"/>
      <c r="M1088" s="197" t="s">
        <v>587</v>
      </c>
      <c r="N1088" s="168"/>
    </row>
    <row r="1089" ht="22.5" hidden="1" customHeight="1">
      <c r="A1089" s="137" t="s">
        <v>603</v>
      </c>
      <c r="B1089" s="90">
        <v>46071.0</v>
      </c>
      <c r="C1089" s="55">
        <v>1.0</v>
      </c>
      <c r="D1089" s="97" t="s">
        <v>174</v>
      </c>
      <c r="E1089" s="201">
        <v>3119.0</v>
      </c>
      <c r="F1089" s="202"/>
      <c r="G1089" s="194" t="s">
        <v>587</v>
      </c>
      <c r="H1089" s="195" t="s">
        <v>603</v>
      </c>
      <c r="I1089" s="196"/>
      <c r="J1089" s="179">
        <f>IF(A1089="RAPPI",(VLOOKUP(TRIM(D1089), CATALOGO!F:G, 2, FALSE) * C1089)+I1089,IFERROR(IF(COUNTIF('RESTAURANTESDESCUENTOS 2026'!A:A,TRIM(A1089))&gt;0,((VLOOKUP(TRIM(D1089), CATALOGO!A:B, 2, FALSE) * C1089)*(1-VALUE(SUBSTITUTE(VLOOKUP(TRIM(A1089),'RESTAURANTESDESCUENTOS 2026'!A:B,2,FALSE),"%",""))/100)+I1089),(VLOOKUP(TRIM(D1089), CATALOGO!A:B, 2, FALSE) * C1089+I1089)),""))</f>
        <v>18000</v>
      </c>
      <c r="K1089" s="196"/>
      <c r="L1089" s="87"/>
      <c r="M1089" s="197" t="s">
        <v>587</v>
      </c>
      <c r="N1089" s="168"/>
    </row>
    <row r="1090" ht="22.5" hidden="1" customHeight="1">
      <c r="A1090" s="137" t="s">
        <v>603</v>
      </c>
      <c r="B1090" s="90">
        <v>46071.0</v>
      </c>
      <c r="C1090" s="55">
        <v>1.0</v>
      </c>
      <c r="D1090" s="97" t="s">
        <v>174</v>
      </c>
      <c r="E1090" s="201">
        <v>6478.0</v>
      </c>
      <c r="F1090" s="202"/>
      <c r="G1090" s="194" t="s">
        <v>587</v>
      </c>
      <c r="H1090" s="195" t="s">
        <v>603</v>
      </c>
      <c r="I1090" s="196"/>
      <c r="J1090" s="179">
        <f>IF(A1090="RAPPI",(VLOOKUP(TRIM(D1090), CATALOGO!F:G, 2, FALSE) * C1090)+I1090,IFERROR(IF(COUNTIF('RESTAURANTESDESCUENTOS 2026'!A:A,TRIM(A1090))&gt;0,((VLOOKUP(TRIM(D1090), CATALOGO!A:B, 2, FALSE) * C1090)*(1-VALUE(SUBSTITUTE(VLOOKUP(TRIM(A1090),'RESTAURANTESDESCUENTOS 2026'!A:B,2,FALSE),"%",""))/100)+I1090),(VLOOKUP(TRIM(D1090), CATALOGO!A:B, 2, FALSE) * C1090+I1090)),""))</f>
        <v>18000</v>
      </c>
      <c r="K1090" s="196"/>
      <c r="L1090" s="87"/>
      <c r="M1090" s="197" t="s">
        <v>587</v>
      </c>
      <c r="N1090" s="168"/>
    </row>
    <row r="1091" ht="22.5" hidden="1" customHeight="1">
      <c r="A1091" s="137" t="s">
        <v>603</v>
      </c>
      <c r="B1091" s="90">
        <v>46071.0</v>
      </c>
      <c r="C1091" s="55">
        <v>1.0</v>
      </c>
      <c r="D1091" s="97" t="s">
        <v>602</v>
      </c>
      <c r="E1091" s="201">
        <v>6478.0</v>
      </c>
      <c r="F1091" s="202"/>
      <c r="G1091" s="194" t="s">
        <v>587</v>
      </c>
      <c r="H1091" s="195" t="s">
        <v>603</v>
      </c>
      <c r="I1091" s="196"/>
      <c r="J1091" s="179">
        <f>IF(A1091="RAPPI",(VLOOKUP(TRIM(D1091), CATALOGO!F:G, 2, FALSE) * C1091)+I1091,IFERROR(IF(COUNTIF('RESTAURANTESDESCUENTOS 2026'!A:A,TRIM(A1091))&gt;0,((VLOOKUP(TRIM(D1091), CATALOGO!A:B, 2, FALSE) * C1091)*(1-VALUE(SUBSTITUTE(VLOOKUP(TRIM(A1091),'RESTAURANTESDESCUENTOS 2026'!A:B,2,FALSE),"%",""))/100)+I1091),(VLOOKUP(TRIM(D1091), CATALOGO!A:B, 2, FALSE) * C1091+I1091)),""))</f>
        <v>22000</v>
      </c>
      <c r="K1091" s="196"/>
      <c r="L1091" s="87"/>
      <c r="M1091" s="197" t="s">
        <v>587</v>
      </c>
      <c r="N1091" s="168"/>
    </row>
    <row r="1092" ht="22.5" hidden="1" customHeight="1">
      <c r="A1092" s="137" t="s">
        <v>798</v>
      </c>
      <c r="B1092" s="90">
        <v>46072.0</v>
      </c>
      <c r="C1092" s="55">
        <v>3.0</v>
      </c>
      <c r="D1092" s="97" t="s">
        <v>178</v>
      </c>
      <c r="E1092" s="201" t="s">
        <v>610</v>
      </c>
      <c r="F1092" s="202"/>
      <c r="G1092" s="194" t="s">
        <v>587</v>
      </c>
      <c r="H1092" s="195" t="s">
        <v>588</v>
      </c>
      <c r="I1092" s="196">
        <v>25000.0</v>
      </c>
      <c r="J1092" s="179">
        <f>IF(A1092="RAPPI",(VLOOKUP(TRIM(D1092), CATALOGO!F:G, 2, FALSE) * C1092)+I1092,IFERROR(IF(COUNTIF('RESTAURANTESDESCUENTOS 2026'!A:A,TRIM(A1092))&gt;0,((VLOOKUP(TRIM(D1092), CATALOGO!A:B, 2, FALSE) * C1092)*(1-VALUE(SUBSTITUTE(VLOOKUP(TRIM(A1092),'RESTAURANTESDESCUENTOS 2026'!A:B,2,FALSE),"%",""))/100)+I1092),(VLOOKUP(TRIM(D1092), CATALOGO!A:B, 2, FALSE) * C1092+I1092)),""))</f>
        <v>475000</v>
      </c>
      <c r="K1092" s="196">
        <v>0.0</v>
      </c>
      <c r="L1092" s="87" t="s">
        <v>587</v>
      </c>
      <c r="M1092" s="197" t="s">
        <v>587</v>
      </c>
      <c r="N1092" s="168"/>
    </row>
    <row r="1093" ht="22.5" hidden="1" customHeight="1">
      <c r="A1093" s="137" t="s">
        <v>958</v>
      </c>
      <c r="B1093" s="90">
        <v>46072.0</v>
      </c>
      <c r="C1093" s="55">
        <v>2.0</v>
      </c>
      <c r="D1093" s="97" t="s">
        <v>177</v>
      </c>
      <c r="E1093" s="201" t="s">
        <v>959</v>
      </c>
      <c r="F1093" s="202"/>
      <c r="G1093" s="194" t="s">
        <v>587</v>
      </c>
      <c r="H1093" s="195" t="s">
        <v>632</v>
      </c>
      <c r="I1093" s="196">
        <v>10000.0</v>
      </c>
      <c r="J1093" s="179">
        <f>IF(A1093="RAPPI",(VLOOKUP(TRIM(D1093), CATALOGO!F:G, 2, FALSE) * C1093)+I1093,IFERROR(IF(COUNTIF('RESTAURANTESDESCUENTOS 2026'!A:A,TRIM(A1093))&gt;0,((VLOOKUP(TRIM(D1093), CATALOGO!A:B, 2, FALSE) * C1093)*(1-VALUE(SUBSTITUTE(VLOOKUP(TRIM(A1093),'RESTAURANTESDESCUENTOS 2026'!A:B,2,FALSE),"%",""))/100)+I1093),(VLOOKUP(TRIM(D1093), CATALOGO!A:B, 2, FALSE) * C1093+I1093)),""))</f>
        <v>182500</v>
      </c>
      <c r="K1093" s="196">
        <v>23000.0</v>
      </c>
      <c r="L1093" s="87" t="s">
        <v>587</v>
      </c>
      <c r="M1093" s="197" t="s">
        <v>587</v>
      </c>
      <c r="N1093" s="168"/>
    </row>
    <row r="1094" ht="22.5" hidden="1" customHeight="1">
      <c r="A1094" s="137" t="s">
        <v>958</v>
      </c>
      <c r="B1094" s="90">
        <v>46072.0</v>
      </c>
      <c r="C1094" s="55">
        <v>2.0</v>
      </c>
      <c r="D1094" s="97" t="s">
        <v>178</v>
      </c>
      <c r="E1094" s="201" t="s">
        <v>960</v>
      </c>
      <c r="F1094" s="202"/>
      <c r="G1094" s="194" t="s">
        <v>587</v>
      </c>
      <c r="H1094" s="195" t="s">
        <v>632</v>
      </c>
      <c r="I1094" s="196">
        <v>0.0</v>
      </c>
      <c r="J1094" s="179">
        <f>IF(A1094="RAPPI",(VLOOKUP(TRIM(D1094), CATALOGO!F:G, 2, FALSE) * C1094)+I1094,IFERROR(IF(COUNTIF('RESTAURANTESDESCUENTOS 2026'!A:A,TRIM(A1094))&gt;0,((VLOOKUP(TRIM(D1094), CATALOGO!A:B, 2, FALSE) * C1094)*(1-VALUE(SUBSTITUTE(VLOOKUP(TRIM(A1094),'RESTAURANTESDESCUENTOS 2026'!A:B,2,FALSE),"%",""))/100)+I1094),(VLOOKUP(TRIM(D1094), CATALOGO!A:B, 2, FALSE) * C1094+I1094)),""))</f>
        <v>225000</v>
      </c>
      <c r="K1094" s="196">
        <v>0.0</v>
      </c>
      <c r="L1094" s="87" t="s">
        <v>587</v>
      </c>
      <c r="M1094" s="197" t="s">
        <v>587</v>
      </c>
      <c r="N1094" s="168"/>
    </row>
    <row r="1095" ht="22.5" hidden="1" customHeight="1">
      <c r="A1095" s="137" t="s">
        <v>25</v>
      </c>
      <c r="B1095" s="90">
        <v>46072.0</v>
      </c>
      <c r="C1095" s="55">
        <v>2.0</v>
      </c>
      <c r="D1095" s="97" t="s">
        <v>178</v>
      </c>
      <c r="E1095" s="201" t="s">
        <v>552</v>
      </c>
      <c r="F1095" s="202"/>
      <c r="G1095" s="194" t="s">
        <v>587</v>
      </c>
      <c r="H1095" s="195" t="s">
        <v>588</v>
      </c>
      <c r="I1095" s="196">
        <v>0.0</v>
      </c>
      <c r="J1095" s="179">
        <f>IF(A1095="RAPPI",(VLOOKUP(TRIM(D1095), CATALOGO!F:G, 2, FALSE) * C1095)+I1095,IFERROR(IF(COUNTIF('RESTAURANTESDESCUENTOS 2026'!A:A,TRIM(A1095))&gt;0,((VLOOKUP(TRIM(D1095), CATALOGO!A:B, 2, FALSE) * C1095)*(1-VALUE(SUBSTITUTE(VLOOKUP(TRIM(A1095),'RESTAURANTESDESCUENTOS 2026'!A:B,2,FALSE),"%",""))/100)+I1095),(VLOOKUP(TRIM(D1095), CATALOGO!A:B, 2, FALSE) * C1095+I1095)),""))</f>
        <v>225000</v>
      </c>
      <c r="K1095" s="196">
        <v>0.0</v>
      </c>
      <c r="L1095" s="87" t="s">
        <v>587</v>
      </c>
      <c r="M1095" s="197" t="s">
        <v>587</v>
      </c>
      <c r="N1095" s="168"/>
    </row>
    <row r="1096" ht="22.5" hidden="1" customHeight="1">
      <c r="A1096" s="137" t="s">
        <v>961</v>
      </c>
      <c r="B1096" s="90">
        <v>46072.0</v>
      </c>
      <c r="C1096" s="55">
        <v>2.0</v>
      </c>
      <c r="D1096" s="97" t="s">
        <v>178</v>
      </c>
      <c r="E1096" s="201" t="s">
        <v>610</v>
      </c>
      <c r="F1096" s="202"/>
      <c r="G1096" s="194" t="s">
        <v>587</v>
      </c>
      <c r="H1096" s="195" t="s">
        <v>588</v>
      </c>
      <c r="I1096" s="196">
        <v>25000.0</v>
      </c>
      <c r="J1096" s="179">
        <f>IF(A1096="RAPPI",(VLOOKUP(TRIM(D1096), CATALOGO!F:G, 2, FALSE) * C1096)+I1096,IFERROR(IF(COUNTIF('RESTAURANTESDESCUENTOS 2026'!A:A,TRIM(A1096))&gt;0,((VLOOKUP(TRIM(D1096), CATALOGO!A:B, 2, FALSE) * C1096)*(1-VALUE(SUBSTITUTE(VLOOKUP(TRIM(A1096),'RESTAURANTESDESCUENTOS 2026'!A:B,2,FALSE),"%",""))/100)+I1096),(VLOOKUP(TRIM(D1096), CATALOGO!A:B, 2, FALSE) * C1096+I1096)),""))</f>
        <v>250000</v>
      </c>
      <c r="K1096" s="196">
        <v>0.0</v>
      </c>
      <c r="L1096" s="87" t="s">
        <v>587</v>
      </c>
      <c r="M1096" s="197" t="s">
        <v>587</v>
      </c>
      <c r="N1096" s="168"/>
    </row>
    <row r="1097" ht="22.5" hidden="1" customHeight="1">
      <c r="A1097" s="137" t="s">
        <v>46</v>
      </c>
      <c r="B1097" s="90">
        <v>46072.0</v>
      </c>
      <c r="C1097" s="55">
        <v>1.0</v>
      </c>
      <c r="D1097" s="97" t="s">
        <v>177</v>
      </c>
      <c r="E1097" s="201" t="s">
        <v>610</v>
      </c>
      <c r="F1097" s="202"/>
      <c r="G1097" s="194" t="s">
        <v>587</v>
      </c>
      <c r="H1097" s="195" t="s">
        <v>632</v>
      </c>
      <c r="I1097" s="196">
        <v>0.0</v>
      </c>
      <c r="J1097" s="179">
        <f>IF(A1097="RAPPI",(VLOOKUP(TRIM(D1097), CATALOGO!F:G, 2, FALSE) * C1097)+I1097,IFERROR(IF(COUNTIF('RESTAURANTESDESCUENTOS 2026'!A:A,TRIM(A1097))&gt;0,((VLOOKUP(TRIM(D1097), CATALOGO!A:B, 2, FALSE) * C1097)*(1-VALUE(SUBSTITUTE(VLOOKUP(TRIM(A1097),'RESTAURANTESDESCUENTOS 2026'!A:B,2,FALSE),"%",""))/100)+I1097),(VLOOKUP(TRIM(D1097), CATALOGO!A:B, 2, FALSE) * C1097+I1097)),""))</f>
        <v>86250</v>
      </c>
      <c r="K1097" s="196">
        <v>18000.0</v>
      </c>
      <c r="L1097" s="87" t="s">
        <v>587</v>
      </c>
      <c r="M1097" s="197" t="s">
        <v>587</v>
      </c>
      <c r="N1097" s="168"/>
    </row>
    <row r="1098" ht="22.5" hidden="1" customHeight="1">
      <c r="A1098" s="137" t="s">
        <v>40</v>
      </c>
      <c r="B1098" s="90">
        <v>46072.0</v>
      </c>
      <c r="C1098" s="55">
        <v>1.0</v>
      </c>
      <c r="D1098" s="97" t="s">
        <v>177</v>
      </c>
      <c r="E1098" s="201" t="s">
        <v>610</v>
      </c>
      <c r="F1098" s="202"/>
      <c r="G1098" s="194" t="s">
        <v>587</v>
      </c>
      <c r="H1098" s="195" t="s">
        <v>632</v>
      </c>
      <c r="I1098" s="196">
        <v>0.0</v>
      </c>
      <c r="J1098" s="179">
        <f>IF(A1098="RAPPI",(VLOOKUP(TRIM(D1098), CATALOGO!F:G, 2, FALSE) * C1098)+I1098,IFERROR(IF(COUNTIF('RESTAURANTESDESCUENTOS 2026'!A:A,TRIM(A1098))&gt;0,((VLOOKUP(TRIM(D1098), CATALOGO!A:B, 2, FALSE) * C1098)*(1-VALUE(SUBSTITUTE(VLOOKUP(TRIM(A1098),'RESTAURANTESDESCUENTOS 2026'!A:B,2,FALSE),"%",""))/100)+I1098),(VLOOKUP(TRIM(D1098), CATALOGO!A:B, 2, FALSE) * C1098+I1098)),""))</f>
        <v>86250</v>
      </c>
      <c r="K1098" s="196">
        <v>10000.0</v>
      </c>
      <c r="L1098" s="87" t="s">
        <v>587</v>
      </c>
      <c r="M1098" s="197" t="s">
        <v>587</v>
      </c>
      <c r="N1098" s="168"/>
    </row>
    <row r="1099" ht="22.5" hidden="1" customHeight="1">
      <c r="A1099" s="137" t="s">
        <v>134</v>
      </c>
      <c r="B1099" s="90">
        <v>46072.0</v>
      </c>
      <c r="C1099" s="55">
        <v>2.0</v>
      </c>
      <c r="D1099" s="97" t="s">
        <v>181</v>
      </c>
      <c r="E1099" s="201" t="s">
        <v>610</v>
      </c>
      <c r="F1099" s="202"/>
      <c r="G1099" s="194" t="s">
        <v>587</v>
      </c>
      <c r="H1099" s="195" t="s">
        <v>632</v>
      </c>
      <c r="I1099" s="196">
        <v>5000.0</v>
      </c>
      <c r="J1099" s="179">
        <f>IF(A1099="RAPPI",(VLOOKUP(TRIM(D1099), CATALOGO!F:G, 2, FALSE) * C1099)+I1099,IFERROR(IF(COUNTIF('RESTAURANTESDESCUENTOS 2026'!A:A,TRIM(A1099))&gt;0,((VLOOKUP(TRIM(D1099), CATALOGO!A:B, 2, FALSE) * C1099)*(1-VALUE(SUBSTITUTE(VLOOKUP(TRIM(A1099),'RESTAURANTESDESCUENTOS 2026'!A:B,2,FALSE),"%",""))/100)+I1099),(VLOOKUP(TRIM(D1099), CATALOGO!A:B, 2, FALSE) * C1099+I1099)),""))</f>
        <v>248600</v>
      </c>
      <c r="K1099" s="196">
        <v>10000.0</v>
      </c>
      <c r="L1099" s="87" t="s">
        <v>587</v>
      </c>
      <c r="M1099" s="197" t="s">
        <v>587</v>
      </c>
      <c r="N1099" s="168"/>
    </row>
    <row r="1100" ht="22.5" hidden="1" customHeight="1">
      <c r="A1100" s="137" t="s">
        <v>877</v>
      </c>
      <c r="B1100" s="90">
        <v>46072.0</v>
      </c>
      <c r="C1100" s="55">
        <v>1.0</v>
      </c>
      <c r="D1100" s="97" t="s">
        <v>177</v>
      </c>
      <c r="E1100" s="201"/>
      <c r="F1100" s="202"/>
      <c r="G1100" s="194" t="s">
        <v>35</v>
      </c>
      <c r="H1100" s="198"/>
      <c r="I1100" s="196"/>
      <c r="J1100" s="179">
        <f>IF(A1100="RAPPI",(VLOOKUP(TRIM(D1100), CATALOGO!F:G, 2, FALSE) * C1100)+I1100,IFERROR(IF(COUNTIF('RESTAURANTESDESCUENTOS 2026'!A:A,TRIM(A1100))&gt;0,((VLOOKUP(TRIM(D1100), CATALOGO!A:B, 2, FALSE) * C1100)*(1-VALUE(SUBSTITUTE(VLOOKUP(TRIM(A1100),'RESTAURANTESDESCUENTOS 2026'!A:B,2,FALSE),"%",""))/100)+I1100),(VLOOKUP(TRIM(D1100), CATALOGO!A:B, 2, FALSE) * C1100+I1100)),""))</f>
        <v>115000</v>
      </c>
      <c r="K1100" s="196"/>
      <c r="L1100" s="87"/>
      <c r="M1100" s="197" t="s">
        <v>587</v>
      </c>
      <c r="N1100" s="168"/>
    </row>
    <row r="1101" ht="22.5" hidden="1" customHeight="1">
      <c r="A1101" s="137" t="s">
        <v>103</v>
      </c>
      <c r="B1101" s="90">
        <v>46072.0</v>
      </c>
      <c r="C1101" s="55">
        <v>1.0</v>
      </c>
      <c r="D1101" s="97" t="s">
        <v>178</v>
      </c>
      <c r="E1101" s="201" t="s">
        <v>552</v>
      </c>
      <c r="F1101" s="202"/>
      <c r="G1101" s="194" t="s">
        <v>35</v>
      </c>
      <c r="H1101" s="198"/>
      <c r="I1101" s="196"/>
      <c r="J1101" s="179">
        <f>IF(A1101="RAPPI",(VLOOKUP(TRIM(D1101), CATALOGO!F:G, 2, FALSE) * C1101)+I1101,IFERROR(IF(COUNTIF('RESTAURANTESDESCUENTOS 2026'!A:A,TRIM(A1101))&gt;0,((VLOOKUP(TRIM(D1101), CATALOGO!A:B, 2, FALSE) * C1101)*(1-VALUE(SUBSTITUTE(VLOOKUP(TRIM(A1101),'RESTAURANTESDESCUENTOS 2026'!A:B,2,FALSE),"%",""))/100)+I1101),(VLOOKUP(TRIM(D1101), CATALOGO!A:B, 2, FALSE) * C1101+I1101)),""))</f>
        <v>105000</v>
      </c>
      <c r="K1101" s="196"/>
      <c r="L1101" s="87" t="s">
        <v>587</v>
      </c>
      <c r="M1101" s="197" t="s">
        <v>587</v>
      </c>
      <c r="N1101" s="168"/>
    </row>
    <row r="1102" ht="22.5" hidden="1" customHeight="1">
      <c r="A1102" s="137" t="s">
        <v>106</v>
      </c>
      <c r="B1102" s="90">
        <v>46072.0</v>
      </c>
      <c r="C1102" s="55">
        <v>1.0</v>
      </c>
      <c r="D1102" s="97" t="s">
        <v>178</v>
      </c>
      <c r="E1102" s="201" t="s">
        <v>610</v>
      </c>
      <c r="F1102" s="202"/>
      <c r="G1102" s="194" t="s">
        <v>587</v>
      </c>
      <c r="H1102" s="195" t="s">
        <v>632</v>
      </c>
      <c r="I1102" s="196">
        <v>8000.0</v>
      </c>
      <c r="J1102" s="179">
        <f>IF(A1102="RAPPI",(VLOOKUP(TRIM(D1102), CATALOGO!F:G, 2, FALSE) * C1102)+I1102,IFERROR(IF(COUNTIF('RESTAURANTESDESCUENTOS 2026'!A:A,TRIM(A1102))&gt;0,((VLOOKUP(TRIM(D1102), CATALOGO!A:B, 2, FALSE) * C1102)*(1-VALUE(SUBSTITUTE(VLOOKUP(TRIM(A1102),'RESTAURANTESDESCUENTOS 2026'!A:B,2,FALSE),"%",""))/100)+I1102),(VLOOKUP(TRIM(D1102), CATALOGO!A:B, 2, FALSE) * C1102+I1102)),""))</f>
        <v>105125</v>
      </c>
      <c r="K1102" s="196">
        <v>10000.0</v>
      </c>
      <c r="L1102" s="87" t="s">
        <v>587</v>
      </c>
      <c r="M1102" s="197" t="s">
        <v>587</v>
      </c>
      <c r="N1102" s="168"/>
    </row>
    <row r="1103" ht="22.5" hidden="1" customHeight="1">
      <c r="A1103" s="137" t="s">
        <v>820</v>
      </c>
      <c r="B1103" s="90">
        <v>46072.0</v>
      </c>
      <c r="C1103" s="55">
        <v>1.0</v>
      </c>
      <c r="D1103" s="97" t="s">
        <v>179</v>
      </c>
      <c r="E1103" s="201"/>
      <c r="F1103" s="202"/>
      <c r="G1103" s="194" t="s">
        <v>35</v>
      </c>
      <c r="H1103" s="198"/>
      <c r="I1103" s="196"/>
      <c r="J1103" s="179">
        <f>IF(A1103="RAPPI",(VLOOKUP(TRIM(D1103), CATALOGO!F:G, 2, FALSE) * C1103)+I1103,IFERROR(IF(COUNTIF('RESTAURANTESDESCUENTOS 2026'!A:A,TRIM(A1103))&gt;0,((VLOOKUP(TRIM(D1103), CATALOGO!A:B, 2, FALSE) * C1103)*(1-VALUE(SUBSTITUTE(VLOOKUP(TRIM(A1103),'RESTAURANTESDESCUENTOS 2026'!A:B,2,FALSE),"%",""))/100)+I1103),(VLOOKUP(TRIM(D1103), CATALOGO!A:B, 2, FALSE) * C1103+I1103)),""))</f>
        <v>55000</v>
      </c>
      <c r="K1103" s="196"/>
      <c r="L1103" s="87"/>
      <c r="M1103" s="197" t="s">
        <v>587</v>
      </c>
      <c r="N1103" s="168"/>
    </row>
    <row r="1104" ht="22.5" hidden="1" customHeight="1">
      <c r="A1104" s="137" t="s">
        <v>962</v>
      </c>
      <c r="B1104" s="90">
        <v>46072.0</v>
      </c>
      <c r="C1104" s="55">
        <v>1.0</v>
      </c>
      <c r="D1104" s="97" t="s">
        <v>824</v>
      </c>
      <c r="E1104" s="201"/>
      <c r="F1104" s="202"/>
      <c r="G1104" s="194" t="s">
        <v>587</v>
      </c>
      <c r="H1104" s="195" t="s">
        <v>632</v>
      </c>
      <c r="I1104" s="196">
        <v>10000.0</v>
      </c>
      <c r="J1104" s="179">
        <f>IF(A1104="RAPPI",(VLOOKUP(TRIM(D1104), CATALOGO!F:G, 2, FALSE) * C1104)+I1104,IFERROR(IF(COUNTIF('RESTAURANTESDESCUENTOS 2026'!A:A,TRIM(A1104))&gt;0,((VLOOKUP(TRIM(D1104), CATALOGO!A:B, 2, FALSE) * C1104)*(1-VALUE(SUBSTITUTE(VLOOKUP(TRIM(A1104),'RESTAURANTESDESCUENTOS 2026'!A:B,2,FALSE),"%",""))/100)+I1104),(VLOOKUP(TRIM(D1104), CATALOGO!A:B, 2, FALSE) * C1104+I1104)),""))</f>
        <v>133000</v>
      </c>
      <c r="K1104" s="196">
        <v>10000.0</v>
      </c>
      <c r="L1104" s="87"/>
      <c r="M1104" s="197" t="s">
        <v>587</v>
      </c>
      <c r="N1104" s="168"/>
    </row>
    <row r="1105" ht="22.5" hidden="1" customHeight="1">
      <c r="A1105" s="137" t="s">
        <v>603</v>
      </c>
      <c r="B1105" s="90">
        <v>46072.0</v>
      </c>
      <c r="C1105" s="55">
        <v>1.0</v>
      </c>
      <c r="D1105" s="97" t="s">
        <v>618</v>
      </c>
      <c r="E1105" s="201">
        <v>3804.0</v>
      </c>
      <c r="F1105" s="202"/>
      <c r="G1105" s="194" t="s">
        <v>587</v>
      </c>
      <c r="H1105" s="195" t="s">
        <v>603</v>
      </c>
      <c r="I1105" s="196"/>
      <c r="J1105" s="179">
        <f>IF(A1105="RAPPI",(VLOOKUP(TRIM(D1105), CATALOGO!F:G, 2, FALSE) * C1105)+I1105,IFERROR(IF(COUNTIF('RESTAURANTESDESCUENTOS 2026'!A:A,TRIM(A1105))&gt;0,((VLOOKUP(TRIM(D1105), CATALOGO!A:B, 2, FALSE) * C1105)*(1-VALUE(SUBSTITUTE(VLOOKUP(TRIM(A1105),'RESTAURANTESDESCUENTOS 2026'!A:B,2,FALSE),"%",""))/100)+I1105),(VLOOKUP(TRIM(D1105), CATALOGO!A:B, 2, FALSE) * C1105+I1105)),""))</f>
        <v>53000</v>
      </c>
      <c r="K1105" s="196"/>
      <c r="L1105" s="87"/>
      <c r="M1105" s="197" t="s">
        <v>587</v>
      </c>
      <c r="N1105" s="168"/>
    </row>
    <row r="1106" ht="22.5" hidden="1" customHeight="1">
      <c r="A1106" s="137" t="s">
        <v>603</v>
      </c>
      <c r="B1106" s="90">
        <v>46072.0</v>
      </c>
      <c r="C1106" s="55">
        <v>1.0</v>
      </c>
      <c r="D1106" s="97" t="s">
        <v>739</v>
      </c>
      <c r="E1106" s="201">
        <v>836.0</v>
      </c>
      <c r="F1106" s="202"/>
      <c r="G1106" s="194" t="s">
        <v>587</v>
      </c>
      <c r="H1106" s="195" t="s">
        <v>603</v>
      </c>
      <c r="I1106" s="196"/>
      <c r="J1106" s="179">
        <f>IF(A1106="RAPPI",(VLOOKUP(TRIM(D1106), CATALOGO!F:G, 2, FALSE) * C1106)+I1106,IFERROR(IF(COUNTIF('RESTAURANTESDESCUENTOS 2026'!A:A,TRIM(A1106))&gt;0,((VLOOKUP(TRIM(D1106), CATALOGO!A:B, 2, FALSE) * C1106)*(1-VALUE(SUBSTITUTE(VLOOKUP(TRIM(A1106),'RESTAURANTESDESCUENTOS 2026'!A:B,2,FALSE),"%",""))/100)+I1106),(VLOOKUP(TRIM(D1106), CATALOGO!A:B, 2, FALSE) * C1106+I1106)),""))</f>
        <v>163000</v>
      </c>
      <c r="K1106" s="196"/>
      <c r="L1106" s="87"/>
      <c r="M1106" s="197" t="s">
        <v>587</v>
      </c>
      <c r="N1106" s="168"/>
    </row>
    <row r="1107" ht="22.5" hidden="1" customHeight="1">
      <c r="A1107" s="137" t="s">
        <v>33</v>
      </c>
      <c r="B1107" s="90">
        <v>46072.0</v>
      </c>
      <c r="C1107" s="55">
        <v>1.0</v>
      </c>
      <c r="D1107" s="97" t="s">
        <v>177</v>
      </c>
      <c r="E1107" s="201" t="s">
        <v>610</v>
      </c>
      <c r="F1107" s="202"/>
      <c r="G1107" s="194" t="s">
        <v>587</v>
      </c>
      <c r="H1107" s="195" t="s">
        <v>632</v>
      </c>
      <c r="I1107" s="196">
        <v>0.0</v>
      </c>
      <c r="J1107" s="179">
        <f>IF(A1107="RAPPI",(VLOOKUP(TRIM(D1107), CATALOGO!F:G, 2, FALSE) * C1107)+I1107,IFERROR(IF(COUNTIF('RESTAURANTESDESCUENTOS 2026'!A:A,TRIM(A1107))&gt;0,((VLOOKUP(TRIM(D1107), CATALOGO!A:B, 2, FALSE) * C1107)*(1-VALUE(SUBSTITUTE(VLOOKUP(TRIM(A1107),'RESTAURANTESDESCUENTOS 2026'!A:B,2,FALSE),"%",""))/100)+I1107),(VLOOKUP(TRIM(D1107), CATALOGO!A:B, 2, FALSE) * C1107+I1107)),""))</f>
        <v>86250</v>
      </c>
      <c r="K1107" s="196">
        <v>0.0</v>
      </c>
      <c r="L1107" s="87" t="s">
        <v>587</v>
      </c>
      <c r="M1107" s="197" t="s">
        <v>587</v>
      </c>
      <c r="N1107" s="168"/>
    </row>
    <row r="1108" ht="22.5" hidden="1" customHeight="1">
      <c r="A1108" s="137" t="s">
        <v>603</v>
      </c>
      <c r="B1108" s="90">
        <v>46072.0</v>
      </c>
      <c r="C1108" s="55">
        <v>1.0</v>
      </c>
      <c r="D1108" s="97" t="s">
        <v>678</v>
      </c>
      <c r="E1108" s="201">
        <v>154.0</v>
      </c>
      <c r="F1108" s="202"/>
      <c r="G1108" s="194" t="s">
        <v>587</v>
      </c>
      <c r="H1108" s="195" t="s">
        <v>603</v>
      </c>
      <c r="I1108" s="196"/>
      <c r="J1108" s="179">
        <f>IF(A1108="RAPPI",(VLOOKUP(TRIM(D1108), CATALOGO!F:G, 2, FALSE) * C1108)+I1108,IFERROR(IF(COUNTIF('RESTAURANTESDESCUENTOS 2026'!A:A,TRIM(A1108))&gt;0,((VLOOKUP(TRIM(D1108), CATALOGO!A:B, 2, FALSE) * C1108)*(1-VALUE(SUBSTITUTE(VLOOKUP(TRIM(A1108),'RESTAURANTESDESCUENTOS 2026'!A:B,2,FALSE),"%",""))/100)+I1108),(VLOOKUP(TRIM(D1108), CATALOGO!A:B, 2, FALSE) * C1108+I1108)),""))</f>
        <v>123000</v>
      </c>
      <c r="K1108" s="196"/>
      <c r="L1108" s="87"/>
      <c r="M1108" s="197" t="s">
        <v>587</v>
      </c>
      <c r="N1108" s="168"/>
    </row>
    <row r="1109" ht="22.5" hidden="1" customHeight="1">
      <c r="A1109" s="137" t="s">
        <v>597</v>
      </c>
      <c r="B1109" s="90">
        <v>46072.0</v>
      </c>
      <c r="C1109" s="55">
        <v>3.0</v>
      </c>
      <c r="D1109" s="97" t="s">
        <v>177</v>
      </c>
      <c r="E1109" s="201"/>
      <c r="F1109" s="202"/>
      <c r="G1109" s="194" t="s">
        <v>587</v>
      </c>
      <c r="H1109" s="195" t="s">
        <v>588</v>
      </c>
      <c r="I1109" s="196">
        <v>0.0</v>
      </c>
      <c r="J1109" s="199">
        <v>0.0</v>
      </c>
      <c r="K1109" s="196">
        <v>170000.0</v>
      </c>
      <c r="L1109" s="87"/>
      <c r="M1109" s="197" t="s">
        <v>587</v>
      </c>
      <c r="N1109" s="168"/>
    </row>
    <row r="1110" ht="22.5" hidden="1" customHeight="1">
      <c r="A1110" s="137" t="s">
        <v>603</v>
      </c>
      <c r="B1110" s="90">
        <v>46072.0</v>
      </c>
      <c r="C1110" s="55">
        <v>1.0</v>
      </c>
      <c r="D1110" s="97" t="s">
        <v>824</v>
      </c>
      <c r="E1110" s="201">
        <v>3557.0</v>
      </c>
      <c r="F1110" s="202"/>
      <c r="G1110" s="194" t="s">
        <v>587</v>
      </c>
      <c r="H1110" s="195" t="s">
        <v>603</v>
      </c>
      <c r="I1110" s="196"/>
      <c r="J1110" s="179">
        <f>IF(A1110="RAPPI",(VLOOKUP(TRIM(D1110), CATALOGO!F:G, 2, FALSE) * C1110)+I1110,IFERROR(IF(COUNTIF('RESTAURANTESDESCUENTOS 2026'!A:A,TRIM(A1110))&gt;0,((VLOOKUP(TRIM(D1110), CATALOGO!A:B, 2, FALSE) * C1110)*(1-VALUE(SUBSTITUTE(VLOOKUP(TRIM(A1110),'RESTAURANTESDESCUENTOS 2026'!A:B,2,FALSE),"%",""))/100)+I1110),(VLOOKUP(TRIM(D1110), CATALOGO!A:B, 2, FALSE) * C1110+I1110)),""))</f>
        <v>123000</v>
      </c>
      <c r="K1110" s="196"/>
      <c r="L1110" s="87"/>
      <c r="M1110" s="197" t="s">
        <v>587</v>
      </c>
      <c r="N1110" s="168"/>
    </row>
    <row r="1111" ht="22.5" hidden="1" customHeight="1">
      <c r="A1111" s="137" t="s">
        <v>603</v>
      </c>
      <c r="B1111" s="90">
        <v>46072.0</v>
      </c>
      <c r="C1111" s="55">
        <v>1.0</v>
      </c>
      <c r="D1111" s="97" t="s">
        <v>186</v>
      </c>
      <c r="E1111" s="201">
        <v>9575.0</v>
      </c>
      <c r="F1111" s="202"/>
      <c r="G1111" s="194" t="s">
        <v>587</v>
      </c>
      <c r="H1111" s="195" t="s">
        <v>603</v>
      </c>
      <c r="I1111" s="196"/>
      <c r="J1111" s="179">
        <f>IF(A1111="RAPPI",(VLOOKUP(TRIM(D1111), CATALOGO!F:G, 2, FALSE) * C1111)+I1111,IFERROR(IF(COUNTIF('RESTAURANTESDESCUENTOS 2026'!A:A,TRIM(A1111))&gt;0,((VLOOKUP(TRIM(D1111), CATALOGO!A:B, 2, FALSE) * C1111)*(1-VALUE(SUBSTITUTE(VLOOKUP(TRIM(A1111),'RESTAURANTESDESCUENTOS 2026'!A:B,2,FALSE),"%",""))/100)+I1111),(VLOOKUP(TRIM(D1111), CATALOGO!A:B, 2, FALSE) * C1111+I1111)),""))</f>
        <v>55000</v>
      </c>
      <c r="K1111" s="196"/>
      <c r="L1111" s="87"/>
      <c r="M1111" s="197" t="s">
        <v>587</v>
      </c>
      <c r="N1111" s="168"/>
    </row>
    <row r="1112" ht="22.5" hidden="1" customHeight="1">
      <c r="A1112" s="137" t="s">
        <v>603</v>
      </c>
      <c r="B1112" s="90">
        <v>46072.0</v>
      </c>
      <c r="C1112" s="55">
        <v>1.0</v>
      </c>
      <c r="D1112" s="97" t="s">
        <v>739</v>
      </c>
      <c r="E1112" s="201">
        <v>2524.0</v>
      </c>
      <c r="F1112" s="202"/>
      <c r="G1112" s="194" t="s">
        <v>587</v>
      </c>
      <c r="H1112" s="195" t="s">
        <v>603</v>
      </c>
      <c r="I1112" s="196"/>
      <c r="J1112" s="179">
        <f>IF(A1112="RAPPI",(VLOOKUP(TRIM(D1112), CATALOGO!F:G, 2, FALSE) * C1112)+I1112,IFERROR(IF(COUNTIF('RESTAURANTESDESCUENTOS 2026'!A:A,TRIM(A1112))&gt;0,((VLOOKUP(TRIM(D1112), CATALOGO!A:B, 2, FALSE) * C1112)*(1-VALUE(SUBSTITUTE(VLOOKUP(TRIM(A1112),'RESTAURANTESDESCUENTOS 2026'!A:B,2,FALSE),"%",""))/100)+I1112),(VLOOKUP(TRIM(D1112), CATALOGO!A:B, 2, FALSE) * C1112+I1112)),""))</f>
        <v>163000</v>
      </c>
      <c r="K1112" s="196"/>
      <c r="L1112" s="87"/>
      <c r="M1112" s="197" t="s">
        <v>587</v>
      </c>
      <c r="N1112" s="168"/>
    </row>
    <row r="1113" ht="22.5" hidden="1" customHeight="1">
      <c r="A1113" s="137" t="s">
        <v>603</v>
      </c>
      <c r="B1113" s="90">
        <v>46072.0</v>
      </c>
      <c r="C1113" s="55">
        <v>1.0</v>
      </c>
      <c r="D1113" s="97" t="s">
        <v>629</v>
      </c>
      <c r="E1113" s="201">
        <v>2524.0</v>
      </c>
      <c r="F1113" s="202"/>
      <c r="G1113" s="194" t="s">
        <v>587</v>
      </c>
      <c r="H1113" s="195" t="s">
        <v>603</v>
      </c>
      <c r="I1113" s="196"/>
      <c r="J1113" s="179">
        <f>IF(A1113="RAPPI",(VLOOKUP(TRIM(D1113), CATALOGO!F:G, 2, FALSE) * C1113)+I1113,IFERROR(IF(COUNTIF('RESTAURANTESDESCUENTOS 2026'!A:A,TRIM(A1113))&gt;0,((VLOOKUP(TRIM(D1113), CATALOGO!A:B, 2, FALSE) * C1113)*(1-VALUE(SUBSTITUTE(VLOOKUP(TRIM(A1113),'RESTAURANTESDESCUENTOS 2026'!A:B,2,FALSE),"%",""))/100)+I1113),(VLOOKUP(TRIM(D1113), CATALOGO!A:B, 2, FALSE) * C1113+I1113)),""))</f>
        <v>163000</v>
      </c>
      <c r="K1113" s="196"/>
      <c r="L1113" s="87"/>
      <c r="M1113" s="197" t="s">
        <v>587</v>
      </c>
      <c r="N1113" s="168"/>
    </row>
    <row r="1114" ht="22.5" hidden="1" customHeight="1">
      <c r="A1114" s="137" t="s">
        <v>52</v>
      </c>
      <c r="B1114" s="90">
        <v>46072.0</v>
      </c>
      <c r="C1114" s="55">
        <v>1.0</v>
      </c>
      <c r="D1114" s="97" t="s">
        <v>177</v>
      </c>
      <c r="E1114" s="201" t="s">
        <v>610</v>
      </c>
      <c r="F1114" s="202"/>
      <c r="G1114" s="194" t="s">
        <v>587</v>
      </c>
      <c r="H1114" s="195" t="s">
        <v>632</v>
      </c>
      <c r="I1114" s="196">
        <v>0.0</v>
      </c>
      <c r="J1114" s="179">
        <f>IF(A1114="RAPPI",(VLOOKUP(TRIM(D1114), CATALOGO!F:G, 2, FALSE) * C1114)+I1114,IFERROR(IF(COUNTIF('RESTAURANTESDESCUENTOS 2026'!A:A,TRIM(A1114))&gt;0,((VLOOKUP(TRIM(D1114), CATALOGO!A:B, 2, FALSE) * C1114)*(1-VALUE(SUBSTITUTE(VLOOKUP(TRIM(A1114),'RESTAURANTESDESCUENTOS 2026'!A:B,2,FALSE),"%",""))/100)+I1114),(VLOOKUP(TRIM(D1114), CATALOGO!A:B, 2, FALSE) * C1114+I1114)),""))</f>
        <v>86250</v>
      </c>
      <c r="K1114" s="196">
        <v>12000.0</v>
      </c>
      <c r="L1114" s="87" t="s">
        <v>587</v>
      </c>
      <c r="M1114" s="197" t="s">
        <v>587</v>
      </c>
      <c r="N1114" s="168"/>
    </row>
    <row r="1115" ht="22.5" hidden="1" customHeight="1">
      <c r="A1115" s="137" t="s">
        <v>603</v>
      </c>
      <c r="B1115" s="90">
        <v>46072.0</v>
      </c>
      <c r="C1115" s="55">
        <v>1.0</v>
      </c>
      <c r="D1115" s="97" t="s">
        <v>177</v>
      </c>
      <c r="E1115" s="201">
        <v>4030.0</v>
      </c>
      <c r="F1115" s="202"/>
      <c r="G1115" s="194" t="s">
        <v>587</v>
      </c>
      <c r="H1115" s="195" t="s">
        <v>603</v>
      </c>
      <c r="I1115" s="196"/>
      <c r="J1115" s="179">
        <f>IF(A1115="RAPPI",(VLOOKUP(TRIM(D1115), CATALOGO!F:G, 2, FALSE) * C1115)+I1115,IFERROR(IF(COUNTIF('RESTAURANTESDESCUENTOS 2026'!A:A,TRIM(A1115))&gt;0,((VLOOKUP(TRIM(D1115), CATALOGO!A:B, 2, FALSE) * C1115)*(1-VALUE(SUBSTITUTE(VLOOKUP(TRIM(A1115),'RESTAURANTESDESCUENTOS 2026'!A:B,2,FALSE),"%",""))/100)+I1115),(VLOOKUP(TRIM(D1115), CATALOGO!A:B, 2, FALSE) * C1115+I1115)),""))</f>
        <v>115000</v>
      </c>
      <c r="K1115" s="196"/>
      <c r="L1115" s="87"/>
      <c r="M1115" s="197" t="s">
        <v>587</v>
      </c>
      <c r="N1115" s="168"/>
    </row>
    <row r="1116" ht="22.5" hidden="1" customHeight="1">
      <c r="A1116" s="137" t="s">
        <v>605</v>
      </c>
      <c r="B1116" s="90">
        <v>46072.0</v>
      </c>
      <c r="C1116" s="55">
        <v>1.0</v>
      </c>
      <c r="D1116" s="97" t="s">
        <v>174</v>
      </c>
      <c r="E1116" s="201" t="s">
        <v>606</v>
      </c>
      <c r="F1116" s="202"/>
      <c r="G1116" s="194" t="s">
        <v>35</v>
      </c>
      <c r="H1116" s="198"/>
      <c r="I1116" s="196"/>
      <c r="J1116" s="179">
        <f>IF(A1116="RAPPI",(VLOOKUP(TRIM(D1116), CATALOGO!F:G, 2, FALSE) * C1116)+I1116,IFERROR(IF(COUNTIF('RESTAURANTESDESCUENTOS 2026'!A:A,TRIM(A1116))&gt;0,((VLOOKUP(TRIM(D1116), CATALOGO!A:B, 2, FALSE) * C1116)*(1-VALUE(SUBSTITUTE(VLOOKUP(TRIM(A1116),'RESTAURANTESDESCUENTOS 2026'!A:B,2,FALSE),"%",""))/100)+I1116),(VLOOKUP(TRIM(D1116), CATALOGO!A:B, 2, FALSE) * C1116+I1116)),""))</f>
        <v>18000</v>
      </c>
      <c r="K1116" s="196"/>
      <c r="L1116" s="87"/>
      <c r="M1116" s="197" t="s">
        <v>587</v>
      </c>
      <c r="N1116" s="168"/>
    </row>
    <row r="1117" ht="22.5" hidden="1" customHeight="1">
      <c r="A1117" s="137" t="s">
        <v>603</v>
      </c>
      <c r="B1117" s="90">
        <v>46072.0</v>
      </c>
      <c r="C1117" s="55">
        <v>1.0</v>
      </c>
      <c r="D1117" s="97" t="s">
        <v>186</v>
      </c>
      <c r="E1117" s="201">
        <v>6402.0</v>
      </c>
      <c r="F1117" s="202"/>
      <c r="G1117" s="194" t="s">
        <v>587</v>
      </c>
      <c r="H1117" s="195" t="s">
        <v>603</v>
      </c>
      <c r="I1117" s="196"/>
      <c r="J1117" s="179">
        <f>IF(A1117="RAPPI",(VLOOKUP(TRIM(D1117), CATALOGO!F:G, 2, FALSE) * C1117)+I1117,IFERROR(IF(COUNTIF('RESTAURANTESDESCUENTOS 2026'!A:A,TRIM(A1117))&gt;0,((VLOOKUP(TRIM(D1117), CATALOGO!A:B, 2, FALSE) * C1117)*(1-VALUE(SUBSTITUTE(VLOOKUP(TRIM(A1117),'RESTAURANTESDESCUENTOS 2026'!A:B,2,FALSE),"%",""))/100)+I1117),(VLOOKUP(TRIM(D1117), CATALOGO!A:B, 2, FALSE) * C1117+I1117)),""))</f>
        <v>55000</v>
      </c>
      <c r="K1117" s="196"/>
      <c r="L1117" s="87"/>
      <c r="M1117" s="197" t="s">
        <v>587</v>
      </c>
      <c r="N1117" s="168"/>
    </row>
    <row r="1118" ht="22.5" hidden="1" customHeight="1">
      <c r="A1118" s="137" t="s">
        <v>963</v>
      </c>
      <c r="B1118" s="90">
        <v>46073.0</v>
      </c>
      <c r="C1118" s="55">
        <v>1.0</v>
      </c>
      <c r="D1118" s="97" t="s">
        <v>180</v>
      </c>
      <c r="E1118" s="201"/>
      <c r="F1118" s="202"/>
      <c r="G1118" s="194" t="s">
        <v>587</v>
      </c>
      <c r="H1118" s="195" t="s">
        <v>632</v>
      </c>
      <c r="I1118" s="196">
        <v>10000.0</v>
      </c>
      <c r="J1118" s="179">
        <f>IF(A1118="RAPPI",(VLOOKUP(TRIM(D1118), CATALOGO!F:G, 2, FALSE) * C1118)+I1118,IFERROR(IF(COUNTIF('RESTAURANTESDESCUENTOS 2026'!A:A,TRIM(A1118))&gt;0,((VLOOKUP(TRIM(D1118), CATALOGO!A:B, 2, FALSE) * C1118)*(1-VALUE(SUBSTITUTE(VLOOKUP(TRIM(A1118),'RESTAURANTESDESCUENTOS 2026'!A:B,2,FALSE),"%",""))/100)+I1118),(VLOOKUP(TRIM(D1118), CATALOGO!A:B, 2, FALSE) * C1118+I1118)),""))</f>
        <v>159000</v>
      </c>
      <c r="K1118" s="196">
        <v>10000.0</v>
      </c>
      <c r="L1118" s="87"/>
      <c r="M1118" s="197" t="s">
        <v>587</v>
      </c>
      <c r="N1118" s="168"/>
    </row>
    <row r="1119" ht="22.5" hidden="1" customHeight="1">
      <c r="A1119" s="137" t="s">
        <v>769</v>
      </c>
      <c r="B1119" s="90">
        <v>46073.0</v>
      </c>
      <c r="C1119" s="55">
        <v>24.0</v>
      </c>
      <c r="D1119" s="97" t="s">
        <v>183</v>
      </c>
      <c r="E1119" s="201"/>
      <c r="F1119" s="202"/>
      <c r="G1119" s="194" t="s">
        <v>587</v>
      </c>
      <c r="H1119" s="195" t="s">
        <v>632</v>
      </c>
      <c r="I1119" s="196">
        <v>10000.0</v>
      </c>
      <c r="J1119" s="179">
        <f>IF(A1119="RAPPI",(VLOOKUP(TRIM(D1119), CATALOGO!F:G, 2, FALSE) * C1119)+I1119,IFERROR(IF(COUNTIF('RESTAURANTESDESCUENTOS 2026'!A:A,TRIM(A1119))&gt;0,((VLOOKUP(TRIM(D1119), CATALOGO!A:B, 2, FALSE) * C1119)*(1-VALUE(SUBSTITUTE(VLOOKUP(TRIM(A1119),'RESTAURANTESDESCUENTOS 2026'!A:B,2,FALSE),"%",""))/100)+I1119),(VLOOKUP(TRIM(D1119), CATALOGO!A:B, 2, FALSE) * C1119+I1119)),""))</f>
        <v>379600</v>
      </c>
      <c r="K1119" s="196">
        <v>10000.0</v>
      </c>
      <c r="L1119" s="87" t="s">
        <v>587</v>
      </c>
      <c r="M1119" s="197" t="s">
        <v>587</v>
      </c>
      <c r="N1119" s="168"/>
    </row>
    <row r="1120" ht="22.5" hidden="1" customHeight="1">
      <c r="A1120" s="137" t="s">
        <v>769</v>
      </c>
      <c r="B1120" s="90">
        <v>46073.0</v>
      </c>
      <c r="C1120" s="55">
        <v>12.0</v>
      </c>
      <c r="D1120" s="97" t="s">
        <v>184</v>
      </c>
      <c r="E1120" s="201"/>
      <c r="F1120" s="202"/>
      <c r="G1120" s="194" t="s">
        <v>587</v>
      </c>
      <c r="H1120" s="195" t="s">
        <v>632</v>
      </c>
      <c r="I1120" s="196">
        <v>0.0</v>
      </c>
      <c r="J1120" s="179">
        <f>IF(A1120="RAPPI",(VLOOKUP(TRIM(D1120), CATALOGO!F:G, 2, FALSE) * C1120)+I1120,IFERROR(IF(COUNTIF('RESTAURANTESDESCUENTOS 2026'!A:A,TRIM(A1120))&gt;0,((VLOOKUP(TRIM(D1120), CATALOGO!A:B, 2, FALSE) * C1120)*(1-VALUE(SUBSTITUTE(VLOOKUP(TRIM(A1120),'RESTAURANTESDESCUENTOS 2026'!A:B,2,FALSE),"%",""))/100)+I1120),(VLOOKUP(TRIM(D1120), CATALOGO!A:B, 2, FALSE) * C1120+I1120)),""))</f>
        <v>288000</v>
      </c>
      <c r="K1120" s="196">
        <v>0.0</v>
      </c>
      <c r="L1120" s="87" t="s">
        <v>587</v>
      </c>
      <c r="M1120" s="197" t="s">
        <v>587</v>
      </c>
      <c r="N1120" s="168"/>
    </row>
    <row r="1121" ht="22.5" hidden="1" customHeight="1">
      <c r="A1121" s="137" t="s">
        <v>769</v>
      </c>
      <c r="B1121" s="90">
        <v>46073.0</v>
      </c>
      <c r="C1121" s="55">
        <v>9.0</v>
      </c>
      <c r="D1121" s="97" t="s">
        <v>185</v>
      </c>
      <c r="E1121" s="201"/>
      <c r="F1121" s="202"/>
      <c r="G1121" s="194" t="s">
        <v>587</v>
      </c>
      <c r="H1121" s="195" t="s">
        <v>632</v>
      </c>
      <c r="I1121" s="196">
        <v>0.0</v>
      </c>
      <c r="J1121" s="179">
        <f>IF(A1121="RAPPI",(VLOOKUP(TRIM(D1121), CATALOGO!F:G, 2, FALSE) * C1121)+I1121,IFERROR(IF(COUNTIF('RESTAURANTESDESCUENTOS 2026'!A:A,TRIM(A1121))&gt;0,((VLOOKUP(TRIM(D1121), CATALOGO!A:B, 2, FALSE) * C1121)*(1-VALUE(SUBSTITUTE(VLOOKUP(TRIM(A1121),'RESTAURANTESDESCUENTOS 2026'!A:B,2,FALSE),"%",""))/100)+I1121),(VLOOKUP(TRIM(D1121), CATALOGO!A:B, 2, FALSE) * C1121+I1121)),""))</f>
        <v>158400</v>
      </c>
      <c r="K1121" s="196">
        <v>0.0</v>
      </c>
      <c r="L1121" s="87" t="s">
        <v>587</v>
      </c>
      <c r="M1121" s="197" t="s">
        <v>587</v>
      </c>
      <c r="N1121" s="168"/>
    </row>
    <row r="1122" ht="22.5" hidden="1" customHeight="1">
      <c r="A1122" s="137" t="s">
        <v>964</v>
      </c>
      <c r="B1122" s="90">
        <v>46073.0</v>
      </c>
      <c r="C1122" s="55">
        <v>3.0</v>
      </c>
      <c r="D1122" s="97" t="s">
        <v>182</v>
      </c>
      <c r="E1122" s="201" t="s">
        <v>965</v>
      </c>
      <c r="F1122" s="202"/>
      <c r="G1122" s="194" t="s">
        <v>587</v>
      </c>
      <c r="H1122" s="195" t="s">
        <v>632</v>
      </c>
      <c r="I1122" s="196">
        <v>10000.0</v>
      </c>
      <c r="J1122" s="179">
        <f>IF(A1122="RAPPI",(VLOOKUP(TRIM(D1122), CATALOGO!F:G, 2, FALSE) * C1122)+I1122,IFERROR(IF(COUNTIF('RESTAURANTESDESCUENTOS 2026'!A:A,TRIM(A1122))&gt;0,((VLOOKUP(TRIM(D1122), CATALOGO!A:B, 2, FALSE) * C1122)*(1-VALUE(SUBSTITUTE(VLOOKUP(TRIM(A1122),'RESTAURANTESDESCUENTOS 2026'!A:B,2,FALSE),"%",""))/100)+I1122),(VLOOKUP(TRIM(D1122), CATALOGO!A:B, 2, FALSE) * C1122+I1122)),""))</f>
        <v>121000</v>
      </c>
      <c r="K1122" s="196">
        <v>10000.0</v>
      </c>
      <c r="L1122" s="87"/>
      <c r="M1122" s="197" t="s">
        <v>587</v>
      </c>
      <c r="N1122" s="168"/>
    </row>
    <row r="1123" ht="22.5" hidden="1" customHeight="1">
      <c r="A1123" s="137" t="s">
        <v>964</v>
      </c>
      <c r="B1123" s="90">
        <v>46073.0</v>
      </c>
      <c r="C1123" s="55">
        <v>4.0</v>
      </c>
      <c r="D1123" s="97" t="s">
        <v>669</v>
      </c>
      <c r="E1123" s="201"/>
      <c r="F1123" s="202"/>
      <c r="G1123" s="194" t="s">
        <v>587</v>
      </c>
      <c r="H1123" s="195" t="s">
        <v>632</v>
      </c>
      <c r="I1123" s="196">
        <v>0.0</v>
      </c>
      <c r="J1123" s="179">
        <f>IF(A1123="RAPPI",(VLOOKUP(TRIM(D1123), CATALOGO!F:G, 2, FALSE) * C1123)+I1123,IFERROR(IF(COUNTIF('RESTAURANTESDESCUENTOS 2026'!A:A,TRIM(A1123))&gt;0,((VLOOKUP(TRIM(D1123), CATALOGO!A:B, 2, FALSE) * C1123)*(1-VALUE(SUBSTITUTE(VLOOKUP(TRIM(A1123),'RESTAURANTESDESCUENTOS 2026'!A:B,2,FALSE),"%",""))/100)+I1123),(VLOOKUP(TRIM(D1123), CATALOGO!A:B, 2, FALSE) * C1123+I1123)),""))</f>
        <v>0</v>
      </c>
      <c r="K1123" s="196">
        <v>0.0</v>
      </c>
      <c r="L1123" s="87"/>
      <c r="M1123" s="197" t="s">
        <v>587</v>
      </c>
      <c r="N1123" s="168"/>
    </row>
    <row r="1124" ht="22.5" hidden="1" customHeight="1">
      <c r="A1124" s="137" t="s">
        <v>964</v>
      </c>
      <c r="B1124" s="90">
        <v>46073.0</v>
      </c>
      <c r="C1124" s="55">
        <v>4.0</v>
      </c>
      <c r="D1124" s="97" t="s">
        <v>620</v>
      </c>
      <c r="E1124" s="201"/>
      <c r="F1124" s="202"/>
      <c r="G1124" s="194" t="s">
        <v>587</v>
      </c>
      <c r="H1124" s="195" t="s">
        <v>632</v>
      </c>
      <c r="I1124" s="196">
        <v>0.0</v>
      </c>
      <c r="J1124" s="179">
        <f>IF(A1124="RAPPI",(VLOOKUP(TRIM(D1124), CATALOGO!F:G, 2, FALSE) * C1124)+I1124,IFERROR(IF(COUNTIF('RESTAURANTESDESCUENTOS 2026'!A:A,TRIM(A1124))&gt;0,((VLOOKUP(TRIM(D1124), CATALOGO!A:B, 2, FALSE) * C1124)*(1-VALUE(SUBSTITUTE(VLOOKUP(TRIM(A1124),'RESTAURANTESDESCUENTOS 2026'!A:B,2,FALSE),"%",""))/100)+I1124),(VLOOKUP(TRIM(D1124), CATALOGO!A:B, 2, FALSE) * C1124+I1124)),""))</f>
        <v>0</v>
      </c>
      <c r="K1124" s="196">
        <v>0.0</v>
      </c>
      <c r="L1124" s="87"/>
      <c r="M1124" s="197" t="s">
        <v>587</v>
      </c>
      <c r="N1124" s="168"/>
    </row>
    <row r="1125" ht="22.5" hidden="1" customHeight="1">
      <c r="A1125" s="137" t="s">
        <v>964</v>
      </c>
      <c r="B1125" s="90">
        <v>46073.0</v>
      </c>
      <c r="C1125" s="55">
        <v>4.0</v>
      </c>
      <c r="D1125" s="97" t="s">
        <v>236</v>
      </c>
      <c r="E1125" s="201"/>
      <c r="F1125" s="202"/>
      <c r="G1125" s="194" t="s">
        <v>587</v>
      </c>
      <c r="H1125" s="195" t="s">
        <v>632</v>
      </c>
      <c r="I1125" s="196">
        <v>0.0</v>
      </c>
      <c r="J1125" s="179">
        <f>IF(A1125="RAPPI",(VLOOKUP(TRIM(D1125), CATALOGO!F:G, 2, FALSE) * C1125)+I1125,IFERROR(IF(COUNTIF('RESTAURANTESDESCUENTOS 2026'!A:A,TRIM(A1125))&gt;0,((VLOOKUP(TRIM(D1125), CATALOGO!A:B, 2, FALSE) * C1125)*(1-VALUE(SUBSTITUTE(VLOOKUP(TRIM(A1125),'RESTAURANTESDESCUENTOS 2026'!A:B,2,FALSE),"%",""))/100)+I1125),(VLOOKUP(TRIM(D1125), CATALOGO!A:B, 2, FALSE) * C1125+I1125)),""))</f>
        <v>0</v>
      </c>
      <c r="K1125" s="196">
        <v>0.0</v>
      </c>
      <c r="L1125" s="87"/>
      <c r="M1125" s="197" t="s">
        <v>587</v>
      </c>
      <c r="N1125" s="168"/>
    </row>
    <row r="1126" ht="22.5" hidden="1" customHeight="1">
      <c r="A1126" s="137" t="s">
        <v>966</v>
      </c>
      <c r="B1126" s="90">
        <v>46073.0</v>
      </c>
      <c r="C1126" s="55">
        <v>1.0</v>
      </c>
      <c r="D1126" s="97" t="s">
        <v>178</v>
      </c>
      <c r="E1126" s="201" t="s">
        <v>864</v>
      </c>
      <c r="F1126" s="202"/>
      <c r="G1126" s="194" t="s">
        <v>35</v>
      </c>
      <c r="H1126" s="198"/>
      <c r="I1126" s="196"/>
      <c r="J1126" s="179">
        <f>IF(A1126="RAPPI",(VLOOKUP(TRIM(D1126), CATALOGO!F:G, 2, FALSE) * C1126)+I1126,IFERROR(IF(COUNTIF('RESTAURANTESDESCUENTOS 2026'!A:A,TRIM(A1126))&gt;0,((VLOOKUP(TRIM(D1126), CATALOGO!A:B, 2, FALSE) * C1126)*(1-VALUE(SUBSTITUTE(VLOOKUP(TRIM(A1126),'RESTAURANTESDESCUENTOS 2026'!A:B,2,FALSE),"%",""))/100)+I1126),(VLOOKUP(TRIM(D1126), CATALOGO!A:B, 2, FALSE) * C1126+I1126)),""))</f>
        <v>150000</v>
      </c>
      <c r="K1126" s="196"/>
      <c r="L1126" s="87"/>
      <c r="M1126" s="197" t="s">
        <v>587</v>
      </c>
      <c r="N1126" s="168"/>
    </row>
    <row r="1127" ht="22.5" hidden="1" customHeight="1">
      <c r="A1127" s="137" t="s">
        <v>967</v>
      </c>
      <c r="B1127" s="90">
        <v>46073.0</v>
      </c>
      <c r="C1127" s="55">
        <v>2.0</v>
      </c>
      <c r="D1127" s="97" t="s">
        <v>182</v>
      </c>
      <c r="E1127" s="201"/>
      <c r="F1127" s="202"/>
      <c r="G1127" s="194" t="s">
        <v>587</v>
      </c>
      <c r="H1127" s="195" t="s">
        <v>632</v>
      </c>
      <c r="I1127" s="196">
        <v>10000.0</v>
      </c>
      <c r="J1127" s="179">
        <f>IF(A1127="RAPPI",(VLOOKUP(TRIM(D1127), CATALOGO!F:G, 2, FALSE) * C1127)+I1127,IFERROR(IF(COUNTIF('RESTAURANTESDESCUENTOS 2026'!A:A,TRIM(A1127))&gt;0,((VLOOKUP(TRIM(D1127), CATALOGO!A:B, 2, FALSE) * C1127)*(1-VALUE(SUBSTITUTE(VLOOKUP(TRIM(A1127),'RESTAURANTESDESCUENTOS 2026'!A:B,2,FALSE),"%",""))/100)+I1127),(VLOOKUP(TRIM(D1127), CATALOGO!A:B, 2, FALSE) * C1127+I1127)),""))</f>
        <v>84000</v>
      </c>
      <c r="K1127" s="196">
        <v>10000.0</v>
      </c>
      <c r="L1127" s="87"/>
      <c r="M1127" s="197" t="s">
        <v>587</v>
      </c>
      <c r="N1127" s="168"/>
    </row>
    <row r="1128" ht="22.5" hidden="1" customHeight="1">
      <c r="A1128" s="137" t="s">
        <v>967</v>
      </c>
      <c r="B1128" s="90">
        <v>46073.0</v>
      </c>
      <c r="C1128" s="55">
        <v>2.0</v>
      </c>
      <c r="D1128" s="97" t="s">
        <v>620</v>
      </c>
      <c r="E1128" s="201"/>
      <c r="F1128" s="202"/>
      <c r="G1128" s="194" t="s">
        <v>587</v>
      </c>
      <c r="H1128" s="195" t="s">
        <v>632</v>
      </c>
      <c r="I1128" s="196">
        <v>0.0</v>
      </c>
      <c r="J1128" s="179">
        <f>IF(A1128="RAPPI",(VLOOKUP(TRIM(D1128), CATALOGO!F:G, 2, FALSE) * C1128)+I1128,IFERROR(IF(COUNTIF('RESTAURANTESDESCUENTOS 2026'!A:A,TRIM(A1128))&gt;0,((VLOOKUP(TRIM(D1128), CATALOGO!A:B, 2, FALSE) * C1128)*(1-VALUE(SUBSTITUTE(VLOOKUP(TRIM(A1128),'RESTAURANTESDESCUENTOS 2026'!A:B,2,FALSE),"%",""))/100)+I1128),(VLOOKUP(TRIM(D1128), CATALOGO!A:B, 2, FALSE) * C1128+I1128)),""))</f>
        <v>0</v>
      </c>
      <c r="K1128" s="196">
        <v>0.0</v>
      </c>
      <c r="L1128" s="87"/>
      <c r="M1128" s="197" t="s">
        <v>587</v>
      </c>
      <c r="N1128" s="168"/>
    </row>
    <row r="1129" ht="22.5" hidden="1" customHeight="1">
      <c r="A1129" s="137" t="s">
        <v>967</v>
      </c>
      <c r="B1129" s="90">
        <v>46073.0</v>
      </c>
      <c r="C1129" s="55">
        <v>2.0</v>
      </c>
      <c r="D1129" s="97" t="s">
        <v>669</v>
      </c>
      <c r="E1129" s="201"/>
      <c r="F1129" s="202"/>
      <c r="G1129" s="194" t="s">
        <v>587</v>
      </c>
      <c r="H1129" s="195" t="s">
        <v>632</v>
      </c>
      <c r="I1129" s="196">
        <v>0.0</v>
      </c>
      <c r="J1129" s="179">
        <f>IF(A1129="RAPPI",(VLOOKUP(TRIM(D1129), CATALOGO!F:G, 2, FALSE) * C1129)+I1129,IFERROR(IF(COUNTIF('RESTAURANTESDESCUENTOS 2026'!A:A,TRIM(A1129))&gt;0,((VLOOKUP(TRIM(D1129), CATALOGO!A:B, 2, FALSE) * C1129)*(1-VALUE(SUBSTITUTE(VLOOKUP(TRIM(A1129),'RESTAURANTESDESCUENTOS 2026'!A:B,2,FALSE),"%",""))/100)+I1129),(VLOOKUP(TRIM(D1129), CATALOGO!A:B, 2, FALSE) * C1129+I1129)),""))</f>
        <v>0</v>
      </c>
      <c r="K1129" s="196">
        <v>0.0</v>
      </c>
      <c r="L1129" s="87"/>
      <c r="M1129" s="197" t="s">
        <v>587</v>
      </c>
      <c r="N1129" s="168"/>
    </row>
    <row r="1130" ht="22.5" hidden="1" customHeight="1">
      <c r="A1130" s="137" t="s">
        <v>967</v>
      </c>
      <c r="B1130" s="90">
        <v>46073.0</v>
      </c>
      <c r="C1130" s="55">
        <v>2.0</v>
      </c>
      <c r="D1130" s="97" t="s">
        <v>639</v>
      </c>
      <c r="E1130" s="201"/>
      <c r="F1130" s="202"/>
      <c r="G1130" s="194" t="s">
        <v>587</v>
      </c>
      <c r="H1130" s="195" t="s">
        <v>632</v>
      </c>
      <c r="I1130" s="196">
        <v>0.0</v>
      </c>
      <c r="J1130" s="179">
        <f>IF(A1130="RAPPI",(VLOOKUP(TRIM(D1130), CATALOGO!F:G, 2, FALSE) * C1130)+I1130,IFERROR(IF(COUNTIF('RESTAURANTESDESCUENTOS 2026'!A:A,TRIM(A1130))&gt;0,((VLOOKUP(TRIM(D1130), CATALOGO!A:B, 2, FALSE) * C1130)*(1-VALUE(SUBSTITUTE(VLOOKUP(TRIM(A1130),'RESTAURANTESDESCUENTOS 2026'!A:B,2,FALSE),"%",""))/100)+I1130),(VLOOKUP(TRIM(D1130), CATALOGO!A:B, 2, FALSE) * C1130+I1130)),""))</f>
        <v>0</v>
      </c>
      <c r="K1130" s="196">
        <v>0.0</v>
      </c>
      <c r="L1130" s="87"/>
      <c r="M1130" s="197" t="s">
        <v>587</v>
      </c>
      <c r="N1130" s="168"/>
    </row>
    <row r="1131" ht="22.5" hidden="1" customHeight="1">
      <c r="A1131" s="137" t="s">
        <v>967</v>
      </c>
      <c r="B1131" s="90">
        <v>46073.0</v>
      </c>
      <c r="C1131" s="55">
        <v>2.0</v>
      </c>
      <c r="D1131" s="97" t="s">
        <v>236</v>
      </c>
      <c r="E1131" s="201"/>
      <c r="F1131" s="202"/>
      <c r="G1131" s="194" t="s">
        <v>587</v>
      </c>
      <c r="H1131" s="195" t="s">
        <v>632</v>
      </c>
      <c r="I1131" s="196">
        <v>0.0</v>
      </c>
      <c r="J1131" s="179">
        <f>IF(A1131="RAPPI",(VLOOKUP(TRIM(D1131), CATALOGO!F:G, 2, FALSE) * C1131)+I1131,IFERROR(IF(COUNTIF('RESTAURANTESDESCUENTOS 2026'!A:A,TRIM(A1131))&gt;0,((VLOOKUP(TRIM(D1131), CATALOGO!A:B, 2, FALSE) * C1131)*(1-VALUE(SUBSTITUTE(VLOOKUP(TRIM(A1131),'RESTAURANTESDESCUENTOS 2026'!A:B,2,FALSE),"%",""))/100)+I1131),(VLOOKUP(TRIM(D1131), CATALOGO!A:B, 2, FALSE) * C1131+I1131)),""))</f>
        <v>0</v>
      </c>
      <c r="K1131" s="196">
        <v>0.0</v>
      </c>
      <c r="L1131" s="87"/>
      <c r="M1131" s="197" t="s">
        <v>587</v>
      </c>
      <c r="N1131" s="168"/>
    </row>
    <row r="1132" ht="22.5" hidden="1" customHeight="1">
      <c r="A1132" s="137" t="s">
        <v>968</v>
      </c>
      <c r="B1132" s="90">
        <v>46073.0</v>
      </c>
      <c r="C1132" s="55">
        <v>2.0</v>
      </c>
      <c r="D1132" s="97" t="s">
        <v>178</v>
      </c>
      <c r="E1132" s="201" t="s">
        <v>552</v>
      </c>
      <c r="F1132" s="202"/>
      <c r="G1132" s="194" t="s">
        <v>587</v>
      </c>
      <c r="H1132" s="195" t="s">
        <v>632</v>
      </c>
      <c r="I1132" s="196">
        <v>10000.0</v>
      </c>
      <c r="J1132" s="179">
        <f>IF(A1132="RAPPI",(VLOOKUP(TRIM(D1132), CATALOGO!F:G, 2, FALSE) * C1132)+I1132,IFERROR(IF(COUNTIF('RESTAURANTESDESCUENTOS 2026'!A:A,TRIM(A1132))&gt;0,((VLOOKUP(TRIM(D1132), CATALOGO!A:B, 2, FALSE) * C1132)*(1-VALUE(SUBSTITUTE(VLOOKUP(TRIM(A1132),'RESTAURANTESDESCUENTOS 2026'!A:B,2,FALSE),"%",""))/100)+I1132),(VLOOKUP(TRIM(D1132), CATALOGO!A:B, 2, FALSE) * C1132+I1132)),""))</f>
        <v>235000</v>
      </c>
      <c r="K1132" s="196">
        <v>10000.0</v>
      </c>
      <c r="L1132" s="87" t="s">
        <v>587</v>
      </c>
      <c r="M1132" s="197" t="s">
        <v>587</v>
      </c>
      <c r="N1132" s="168"/>
    </row>
    <row r="1133" ht="22.5" hidden="1" customHeight="1">
      <c r="A1133" s="137" t="s">
        <v>603</v>
      </c>
      <c r="B1133" s="90">
        <v>46073.0</v>
      </c>
      <c r="C1133" s="55">
        <v>1.0</v>
      </c>
      <c r="D1133" s="97" t="s">
        <v>186</v>
      </c>
      <c r="E1133" s="201">
        <v>1687.0</v>
      </c>
      <c r="F1133" s="202"/>
      <c r="G1133" s="194" t="s">
        <v>587</v>
      </c>
      <c r="H1133" s="195" t="s">
        <v>603</v>
      </c>
      <c r="I1133" s="196"/>
      <c r="J1133" s="179">
        <f>IF(A1133="RAPPI",(VLOOKUP(TRIM(D1133), CATALOGO!F:G, 2, FALSE) * C1133)+I1133,IFERROR(IF(COUNTIF('RESTAURANTESDESCUENTOS 2026'!A:A,TRIM(A1133))&gt;0,((VLOOKUP(TRIM(D1133), CATALOGO!A:B, 2, FALSE) * C1133)*(1-VALUE(SUBSTITUTE(VLOOKUP(TRIM(A1133),'RESTAURANTESDESCUENTOS 2026'!A:B,2,FALSE),"%",""))/100)+I1133),(VLOOKUP(TRIM(D1133), CATALOGO!A:B, 2, FALSE) * C1133+I1133)),""))</f>
        <v>55000</v>
      </c>
      <c r="K1133" s="196"/>
      <c r="L1133" s="87"/>
      <c r="M1133" s="197" t="s">
        <v>587</v>
      </c>
      <c r="N1133" s="168"/>
    </row>
    <row r="1134" ht="22.5" hidden="1" customHeight="1">
      <c r="A1134" s="137" t="s">
        <v>603</v>
      </c>
      <c r="B1134" s="90">
        <v>46073.0</v>
      </c>
      <c r="C1134" s="55">
        <v>1.0</v>
      </c>
      <c r="D1134" s="97" t="s">
        <v>657</v>
      </c>
      <c r="E1134" s="201">
        <v>1687.0</v>
      </c>
      <c r="F1134" s="202"/>
      <c r="G1134" s="194" t="s">
        <v>587</v>
      </c>
      <c r="H1134" s="195" t="s">
        <v>603</v>
      </c>
      <c r="I1134" s="196"/>
      <c r="J1134" s="179">
        <f>IF(A1134="RAPPI",(VLOOKUP(TRIM(D1134), CATALOGO!F:G, 2, FALSE) * C1134)+I1134,IFERROR(IF(COUNTIF('RESTAURANTESDESCUENTOS 2026'!A:A,TRIM(A1134))&gt;0,((VLOOKUP(TRIM(D1134), CATALOGO!A:B, 2, FALSE) * C1134)*(1-VALUE(SUBSTITUTE(VLOOKUP(TRIM(A1134),'RESTAURANTESDESCUENTOS 2026'!A:B,2,FALSE),"%",""))/100)+I1134),(VLOOKUP(TRIM(D1134), CATALOGO!A:B, 2, FALSE) * C1134+I1134)),""))</f>
        <v>8000</v>
      </c>
      <c r="K1134" s="196"/>
      <c r="L1134" s="87"/>
      <c r="M1134" s="197" t="s">
        <v>587</v>
      </c>
      <c r="N1134" s="168"/>
    </row>
    <row r="1135" ht="22.5" hidden="1" customHeight="1">
      <c r="A1135" s="137" t="s">
        <v>605</v>
      </c>
      <c r="B1135" s="90">
        <v>46073.0</v>
      </c>
      <c r="C1135" s="55">
        <v>1.0</v>
      </c>
      <c r="D1135" s="97" t="s">
        <v>757</v>
      </c>
      <c r="E1135" s="201" t="s">
        <v>606</v>
      </c>
      <c r="F1135" s="202"/>
      <c r="G1135" s="194" t="s">
        <v>35</v>
      </c>
      <c r="H1135" s="198"/>
      <c r="I1135" s="196"/>
      <c r="J1135" s="179">
        <f>IF(A1135="RAPPI",(VLOOKUP(TRIM(D1135), CATALOGO!F:G, 2, FALSE) * C1135)+I1135,IFERROR(IF(COUNTIF('RESTAURANTESDESCUENTOS 2026'!A:A,TRIM(A1135))&gt;0,((VLOOKUP(TRIM(D1135), CATALOGO!A:B, 2, FALSE) * C1135)*(1-VALUE(SUBSTITUTE(VLOOKUP(TRIM(A1135),'RESTAURANTESDESCUENTOS 2026'!A:B,2,FALSE),"%",""))/100)+I1135),(VLOOKUP(TRIM(D1135), CATALOGO!A:B, 2, FALSE) * C1135+I1135)),""))</f>
        <v>22000</v>
      </c>
      <c r="K1135" s="196"/>
      <c r="L1135" s="87"/>
      <c r="M1135" s="197" t="s">
        <v>587</v>
      </c>
      <c r="N1135" s="168"/>
    </row>
    <row r="1136" ht="22.5" hidden="1" customHeight="1">
      <c r="A1136" s="137" t="s">
        <v>603</v>
      </c>
      <c r="B1136" s="90">
        <v>46073.0</v>
      </c>
      <c r="C1136" s="55">
        <v>1.0</v>
      </c>
      <c r="D1136" s="97" t="s">
        <v>618</v>
      </c>
      <c r="E1136" s="201">
        <v>359.0</v>
      </c>
      <c r="F1136" s="202"/>
      <c r="G1136" s="194" t="s">
        <v>587</v>
      </c>
      <c r="H1136" s="195" t="s">
        <v>603</v>
      </c>
      <c r="I1136" s="196"/>
      <c r="J1136" s="179">
        <f>IF(A1136="RAPPI",(VLOOKUP(TRIM(D1136), CATALOGO!F:G, 2, FALSE) * C1136)+I1136,IFERROR(IF(COUNTIF('RESTAURANTESDESCUENTOS 2026'!A:A,TRIM(A1136))&gt;0,((VLOOKUP(TRIM(D1136), CATALOGO!A:B, 2, FALSE) * C1136)*(1-VALUE(SUBSTITUTE(VLOOKUP(TRIM(A1136),'RESTAURANTESDESCUENTOS 2026'!A:B,2,FALSE),"%",""))/100)+I1136),(VLOOKUP(TRIM(D1136), CATALOGO!A:B, 2, FALSE) * C1136+I1136)),""))</f>
        <v>53000</v>
      </c>
      <c r="K1136" s="196"/>
      <c r="L1136" s="87"/>
      <c r="M1136" s="197" t="s">
        <v>587</v>
      </c>
      <c r="N1136" s="168"/>
    </row>
    <row r="1137" ht="22.5" hidden="1" customHeight="1">
      <c r="A1137" s="137" t="s">
        <v>605</v>
      </c>
      <c r="B1137" s="90">
        <v>46073.0</v>
      </c>
      <c r="C1137" s="55">
        <v>1.0</v>
      </c>
      <c r="D1137" s="97" t="s">
        <v>174</v>
      </c>
      <c r="E1137" s="201" t="s">
        <v>606</v>
      </c>
      <c r="F1137" s="202"/>
      <c r="G1137" s="194" t="s">
        <v>35</v>
      </c>
      <c r="H1137" s="198"/>
      <c r="I1137" s="196"/>
      <c r="J1137" s="179">
        <f>IF(A1137="RAPPI",(VLOOKUP(TRIM(D1137), CATALOGO!F:G, 2, FALSE) * C1137)+I1137,IFERROR(IF(COUNTIF('RESTAURANTESDESCUENTOS 2026'!A:A,TRIM(A1137))&gt;0,((VLOOKUP(TRIM(D1137), CATALOGO!A:B, 2, FALSE) * C1137)*(1-VALUE(SUBSTITUTE(VLOOKUP(TRIM(A1137),'RESTAURANTESDESCUENTOS 2026'!A:B,2,FALSE),"%",""))/100)+I1137),(VLOOKUP(TRIM(D1137), CATALOGO!A:B, 2, FALSE) * C1137+I1137)),""))</f>
        <v>18000</v>
      </c>
      <c r="K1137" s="196"/>
      <c r="L1137" s="87"/>
      <c r="M1137" s="197" t="s">
        <v>587</v>
      </c>
      <c r="N1137" s="168"/>
    </row>
    <row r="1138" ht="22.5" hidden="1" customHeight="1">
      <c r="A1138" s="137" t="s">
        <v>128</v>
      </c>
      <c r="B1138" s="90">
        <v>46073.0</v>
      </c>
      <c r="C1138" s="55">
        <v>2.0</v>
      </c>
      <c r="D1138" s="97" t="s">
        <v>178</v>
      </c>
      <c r="E1138" s="201" t="s">
        <v>610</v>
      </c>
      <c r="F1138" s="202"/>
      <c r="G1138" s="194" t="s">
        <v>587</v>
      </c>
      <c r="H1138" s="195" t="s">
        <v>632</v>
      </c>
      <c r="I1138" s="196">
        <v>10000.0</v>
      </c>
      <c r="J1138" s="179">
        <f>IF(A1138="RAPPI",(VLOOKUP(TRIM(D1138), CATALOGO!F:G, 2, FALSE) * C1138)+I1138,IFERROR(IF(COUNTIF('RESTAURANTESDESCUENTOS 2026'!A:A,TRIM(A1138))&gt;0,((VLOOKUP(TRIM(D1138), CATALOGO!A:B, 2, FALSE) * C1138)*(1-VALUE(SUBSTITUTE(VLOOKUP(TRIM(A1138),'RESTAURANTESDESCUENTOS 2026'!A:B,2,FALSE),"%",""))/100)+I1138),(VLOOKUP(TRIM(D1138), CATALOGO!A:B, 2, FALSE) * C1138+I1138)),""))</f>
        <v>220000</v>
      </c>
      <c r="K1138" s="196">
        <v>14000.0</v>
      </c>
      <c r="L1138" s="87" t="s">
        <v>587</v>
      </c>
      <c r="M1138" s="197" t="s">
        <v>587</v>
      </c>
      <c r="N1138" s="168"/>
    </row>
    <row r="1139" ht="22.5" hidden="1" customHeight="1">
      <c r="A1139" s="137" t="s">
        <v>151</v>
      </c>
      <c r="B1139" s="90">
        <v>46073.0</v>
      </c>
      <c r="C1139" s="55">
        <v>1.0</v>
      </c>
      <c r="D1139" s="97" t="s">
        <v>775</v>
      </c>
      <c r="E1139" s="201"/>
      <c r="F1139" s="202"/>
      <c r="G1139" s="194" t="s">
        <v>587</v>
      </c>
      <c r="H1139" s="195" t="s">
        <v>632</v>
      </c>
      <c r="I1139" s="196">
        <v>10000.0</v>
      </c>
      <c r="J1139" s="179">
        <f>IF(A1139="RAPPI",(VLOOKUP(TRIM(D1139), CATALOGO!F:G, 2, FALSE) * C1139)+I1139,IFERROR(IF(COUNTIF('RESTAURANTESDESCUENTOS 2026'!A:A,TRIM(A1139))&gt;0,((VLOOKUP(TRIM(D1139), CATALOGO!A:B, 2, FALSE) * C1139)*(1-VALUE(SUBSTITUTE(VLOOKUP(TRIM(A1139),'RESTAURANTESDESCUENTOS 2026'!A:B,2,FALSE),"%",""))/100)+I1139),(VLOOKUP(TRIM(D1139), CATALOGO!A:B, 2, FALSE) * C1139+I1139)),""))</f>
        <v>132250</v>
      </c>
      <c r="K1139" s="196">
        <v>10000.0</v>
      </c>
      <c r="L1139" s="87"/>
      <c r="M1139" s="197" t="s">
        <v>587</v>
      </c>
      <c r="N1139" s="168"/>
    </row>
    <row r="1140" ht="22.5" hidden="1" customHeight="1">
      <c r="A1140" s="137" t="s">
        <v>603</v>
      </c>
      <c r="B1140" s="90">
        <v>46073.0</v>
      </c>
      <c r="C1140" s="55">
        <v>1.0</v>
      </c>
      <c r="D1140" s="97" t="s">
        <v>617</v>
      </c>
      <c r="E1140" s="201">
        <v>7660.0</v>
      </c>
      <c r="F1140" s="202"/>
      <c r="G1140" s="194" t="s">
        <v>587</v>
      </c>
      <c r="H1140" s="195" t="s">
        <v>603</v>
      </c>
      <c r="I1140" s="196"/>
      <c r="J1140" s="179">
        <f>IF(A1140="RAPPI",(VLOOKUP(TRIM(D1140), CATALOGO!F:G, 2, FALSE) * C1140)+I1140,IFERROR(IF(COUNTIF('RESTAURANTESDESCUENTOS 2026'!A:A,TRIM(A1140))&gt;0,((VLOOKUP(TRIM(D1140), CATALOGO!A:B, 2, FALSE) * C1140)*(1-VALUE(SUBSTITUTE(VLOOKUP(TRIM(A1140),'RESTAURANTESDESCUENTOS 2026'!A:B,2,FALSE),"%",""))/100)+I1140),(VLOOKUP(TRIM(D1140), CATALOGO!A:B, 2, FALSE) * C1140+I1140)),""))</f>
        <v>123000</v>
      </c>
      <c r="K1140" s="196"/>
      <c r="L1140" s="87"/>
      <c r="M1140" s="197" t="s">
        <v>587</v>
      </c>
      <c r="N1140" s="168"/>
    </row>
    <row r="1141" ht="22.5" hidden="1" customHeight="1">
      <c r="A1141" s="137" t="s">
        <v>605</v>
      </c>
      <c r="B1141" s="90">
        <v>46073.0</v>
      </c>
      <c r="C1141" s="55">
        <v>1.0</v>
      </c>
      <c r="D1141" s="97" t="s">
        <v>182</v>
      </c>
      <c r="E1141" s="201" t="s">
        <v>607</v>
      </c>
      <c r="F1141" s="202"/>
      <c r="G1141" s="194" t="s">
        <v>35</v>
      </c>
      <c r="H1141" s="198"/>
      <c r="I1141" s="196"/>
      <c r="J1141" s="179">
        <f>IF(A1141="RAPPI",(VLOOKUP(TRIM(D1141), CATALOGO!F:G, 2, FALSE) * C1141)+I1141,IFERROR(IF(COUNTIF('RESTAURANTESDESCUENTOS 2026'!A:A,TRIM(A1141))&gt;0,((VLOOKUP(TRIM(D1141), CATALOGO!A:B, 2, FALSE) * C1141)*(1-VALUE(SUBSTITUTE(VLOOKUP(TRIM(A1141),'RESTAURANTESDESCUENTOS 2026'!A:B,2,FALSE),"%",""))/100)+I1141),(VLOOKUP(TRIM(D1141), CATALOGO!A:B, 2, FALSE) * C1141+I1141)),""))</f>
        <v>37000</v>
      </c>
      <c r="K1141" s="196"/>
      <c r="L1141" s="87"/>
      <c r="M1141" s="197" t="s">
        <v>587</v>
      </c>
      <c r="N1141" s="168"/>
    </row>
    <row r="1142" ht="22.5" hidden="1" customHeight="1">
      <c r="A1142" s="137" t="s">
        <v>605</v>
      </c>
      <c r="B1142" s="90">
        <v>46073.0</v>
      </c>
      <c r="C1142" s="55">
        <v>2.0</v>
      </c>
      <c r="D1142" s="97" t="s">
        <v>669</v>
      </c>
      <c r="E1142" s="201" t="s">
        <v>607</v>
      </c>
      <c r="F1142" s="202"/>
      <c r="G1142" s="194" t="s">
        <v>35</v>
      </c>
      <c r="H1142" s="198"/>
      <c r="I1142" s="196"/>
      <c r="J1142" s="179">
        <f>IF(A1142="RAPPI",(VLOOKUP(TRIM(D1142), CATALOGO!F:G, 2, FALSE) * C1142)+I1142,IFERROR(IF(COUNTIF('RESTAURANTESDESCUENTOS 2026'!A:A,TRIM(A1142))&gt;0,((VLOOKUP(TRIM(D1142), CATALOGO!A:B, 2, FALSE) * C1142)*(1-VALUE(SUBSTITUTE(VLOOKUP(TRIM(A1142),'RESTAURANTESDESCUENTOS 2026'!A:B,2,FALSE),"%",""))/100)+I1142),(VLOOKUP(TRIM(D1142), CATALOGO!A:B, 2, FALSE) * C1142+I1142)),""))</f>
        <v>0</v>
      </c>
      <c r="K1142" s="196"/>
      <c r="L1142" s="87"/>
      <c r="M1142" s="197" t="s">
        <v>587</v>
      </c>
      <c r="N1142" s="168"/>
    </row>
    <row r="1143" ht="22.5" hidden="1" customHeight="1">
      <c r="A1143" s="137" t="s">
        <v>605</v>
      </c>
      <c r="B1143" s="90">
        <v>46073.0</v>
      </c>
      <c r="C1143" s="55">
        <v>2.0</v>
      </c>
      <c r="D1143" s="97" t="s">
        <v>620</v>
      </c>
      <c r="E1143" s="201" t="s">
        <v>607</v>
      </c>
      <c r="F1143" s="202"/>
      <c r="G1143" s="194" t="s">
        <v>35</v>
      </c>
      <c r="H1143" s="198"/>
      <c r="I1143" s="196"/>
      <c r="J1143" s="179">
        <f>IF(A1143="RAPPI",(VLOOKUP(TRIM(D1143), CATALOGO!F:G, 2, FALSE) * C1143)+I1143,IFERROR(IF(COUNTIF('RESTAURANTESDESCUENTOS 2026'!A:A,TRIM(A1143))&gt;0,((VLOOKUP(TRIM(D1143), CATALOGO!A:B, 2, FALSE) * C1143)*(1-VALUE(SUBSTITUTE(VLOOKUP(TRIM(A1143),'RESTAURANTESDESCUENTOS 2026'!A:B,2,FALSE),"%",""))/100)+I1143),(VLOOKUP(TRIM(D1143), CATALOGO!A:B, 2, FALSE) * C1143+I1143)),""))</f>
        <v>0</v>
      </c>
      <c r="K1143" s="196"/>
      <c r="L1143" s="87"/>
      <c r="M1143" s="197" t="s">
        <v>587</v>
      </c>
      <c r="N1143" s="168"/>
    </row>
    <row r="1144" ht="22.5" hidden="1" customHeight="1">
      <c r="A1144" s="137" t="s">
        <v>603</v>
      </c>
      <c r="B1144" s="90">
        <v>46073.0</v>
      </c>
      <c r="C1144" s="55">
        <v>1.0</v>
      </c>
      <c r="D1144" s="97" t="s">
        <v>176</v>
      </c>
      <c r="E1144" s="201">
        <v>79.0</v>
      </c>
      <c r="F1144" s="202"/>
      <c r="G1144" s="194" t="s">
        <v>587</v>
      </c>
      <c r="H1144" s="195" t="s">
        <v>603</v>
      </c>
      <c r="I1144" s="196"/>
      <c r="J1144" s="179">
        <f>IF(A1144="RAPPI",(VLOOKUP(TRIM(D1144), CATALOGO!F:G, 2, FALSE) * C1144)+I1144,IFERROR(IF(COUNTIF('RESTAURANTESDESCUENTOS 2026'!A:A,TRIM(A1144))&gt;0,((VLOOKUP(TRIM(D1144), CATALOGO!A:B, 2, FALSE) * C1144)*(1-VALUE(SUBSTITUTE(VLOOKUP(TRIM(A1144),'RESTAURANTESDESCUENTOS 2026'!A:B,2,FALSE),"%",""))/100)+I1144),(VLOOKUP(TRIM(D1144), CATALOGO!A:B, 2, FALSE) * C1144+I1144)),""))</f>
        <v>50000</v>
      </c>
      <c r="K1144" s="196"/>
      <c r="L1144" s="87"/>
      <c r="M1144" s="197" t="s">
        <v>587</v>
      </c>
      <c r="N1144" s="168"/>
    </row>
    <row r="1145" ht="22.5" hidden="1" customHeight="1">
      <c r="A1145" s="137" t="s">
        <v>603</v>
      </c>
      <c r="B1145" s="90">
        <v>46073.0</v>
      </c>
      <c r="C1145" s="55">
        <v>1.0</v>
      </c>
      <c r="D1145" s="97" t="s">
        <v>640</v>
      </c>
      <c r="E1145" s="201">
        <v>79.0</v>
      </c>
      <c r="F1145" s="202"/>
      <c r="G1145" s="194" t="s">
        <v>587</v>
      </c>
      <c r="H1145" s="195" t="s">
        <v>603</v>
      </c>
      <c r="I1145" s="196"/>
      <c r="J1145" s="179">
        <f>IF(A1145="RAPPI",(VLOOKUP(TRIM(D1145), CATALOGO!F:G, 2, FALSE) * C1145)+I1145,IFERROR(IF(COUNTIF('RESTAURANTESDESCUENTOS 2026'!A:A,TRIM(A1145))&gt;0,((VLOOKUP(TRIM(D1145), CATALOGO!A:B, 2, FALSE) * C1145)*(1-VALUE(SUBSTITUTE(VLOOKUP(TRIM(A1145),'RESTAURANTESDESCUENTOS 2026'!A:B,2,FALSE),"%",""))/100)+I1145),(VLOOKUP(TRIM(D1145), CATALOGO!A:B, 2, FALSE) * C1145+I1145)),""))</f>
        <v>53000</v>
      </c>
      <c r="K1145" s="196"/>
      <c r="L1145" s="87"/>
      <c r="M1145" s="197" t="s">
        <v>587</v>
      </c>
      <c r="N1145" s="168"/>
    </row>
    <row r="1146" ht="22.5" hidden="1" customHeight="1">
      <c r="A1146" s="137" t="s">
        <v>603</v>
      </c>
      <c r="B1146" s="90">
        <v>46073.0</v>
      </c>
      <c r="C1146" s="55">
        <v>1.0</v>
      </c>
      <c r="D1146" s="97" t="s">
        <v>653</v>
      </c>
      <c r="E1146" s="201">
        <v>9097.0</v>
      </c>
      <c r="F1146" s="202"/>
      <c r="G1146" s="194" t="s">
        <v>587</v>
      </c>
      <c r="H1146" s="195" t="s">
        <v>603</v>
      </c>
      <c r="I1146" s="196"/>
      <c r="J1146" s="179">
        <f>IF(A1146="RAPPI",(VLOOKUP(TRIM(D1146), CATALOGO!F:G, 2, FALSE) * C1146)+I1146,IFERROR(IF(COUNTIF('RESTAURANTESDESCUENTOS 2026'!A:A,TRIM(A1146))&gt;0,((VLOOKUP(TRIM(D1146), CATALOGO!A:B, 2, FALSE) * C1146)*(1-VALUE(SUBSTITUTE(VLOOKUP(TRIM(A1146),'RESTAURANTESDESCUENTOS 2026'!A:B,2,FALSE),"%",""))/100)+I1146),(VLOOKUP(TRIM(D1146), CATALOGO!A:B, 2, FALSE) * C1146+I1146)),""))</f>
        <v>123000</v>
      </c>
      <c r="K1146" s="196"/>
      <c r="L1146" s="87"/>
      <c r="M1146" s="197" t="s">
        <v>587</v>
      </c>
      <c r="N1146" s="168"/>
    </row>
    <row r="1147" ht="22.5" hidden="1" customHeight="1">
      <c r="A1147" s="137" t="s">
        <v>603</v>
      </c>
      <c r="B1147" s="90">
        <v>46073.0</v>
      </c>
      <c r="C1147" s="55">
        <v>1.0</v>
      </c>
      <c r="D1147" s="97" t="s">
        <v>601</v>
      </c>
      <c r="E1147" s="201">
        <v>9097.0</v>
      </c>
      <c r="F1147" s="202"/>
      <c r="G1147" s="194" t="s">
        <v>587</v>
      </c>
      <c r="H1147" s="195" t="s">
        <v>603</v>
      </c>
      <c r="I1147" s="196"/>
      <c r="J1147" s="179">
        <f>IF(A1147="RAPPI",(VLOOKUP(TRIM(D1147), CATALOGO!F:G, 2, FALSE) * C1147)+I1147,IFERROR(IF(COUNTIF('RESTAURANTESDESCUENTOS 2026'!A:A,TRIM(A1147))&gt;0,((VLOOKUP(TRIM(D1147), CATALOGO!A:B, 2, FALSE) * C1147)*(1-VALUE(SUBSTITUTE(VLOOKUP(TRIM(A1147),'RESTAURANTESDESCUENTOS 2026'!A:B,2,FALSE),"%",""))/100)+I1147),(VLOOKUP(TRIM(D1147), CATALOGO!A:B, 2, FALSE) * C1147+I1147)),""))</f>
        <v>53000</v>
      </c>
      <c r="K1147" s="196"/>
      <c r="L1147" s="87"/>
      <c r="M1147" s="197" t="s">
        <v>587</v>
      </c>
      <c r="N1147" s="168"/>
    </row>
    <row r="1148" ht="22.5" hidden="1" customHeight="1">
      <c r="A1148" s="137" t="s">
        <v>603</v>
      </c>
      <c r="B1148" s="90">
        <v>46073.0</v>
      </c>
      <c r="C1148" s="55">
        <v>1.0</v>
      </c>
      <c r="D1148" s="97" t="s">
        <v>678</v>
      </c>
      <c r="E1148" s="201">
        <v>222.0</v>
      </c>
      <c r="F1148" s="202"/>
      <c r="G1148" s="194" t="s">
        <v>587</v>
      </c>
      <c r="H1148" s="195" t="s">
        <v>603</v>
      </c>
      <c r="I1148" s="196"/>
      <c r="J1148" s="179">
        <f>IF(A1148="RAPPI",(VLOOKUP(TRIM(D1148), CATALOGO!F:G, 2, FALSE) * C1148)+I1148,IFERROR(IF(COUNTIF('RESTAURANTESDESCUENTOS 2026'!A:A,TRIM(A1148))&gt;0,((VLOOKUP(TRIM(D1148), CATALOGO!A:B, 2, FALSE) * C1148)*(1-VALUE(SUBSTITUTE(VLOOKUP(TRIM(A1148),'RESTAURANTESDESCUENTOS 2026'!A:B,2,FALSE),"%",""))/100)+I1148),(VLOOKUP(TRIM(D1148), CATALOGO!A:B, 2, FALSE) * C1148+I1148)),""))</f>
        <v>123000</v>
      </c>
      <c r="K1148" s="196"/>
      <c r="L1148" s="87"/>
      <c r="M1148" s="197" t="s">
        <v>587</v>
      </c>
      <c r="N1148" s="168"/>
    </row>
    <row r="1149" ht="22.5" hidden="1" customHeight="1">
      <c r="A1149" s="137" t="s">
        <v>605</v>
      </c>
      <c r="B1149" s="90">
        <v>46073.0</v>
      </c>
      <c r="C1149" s="55">
        <v>1.0</v>
      </c>
      <c r="D1149" s="97" t="s">
        <v>177</v>
      </c>
      <c r="E1149" s="201" t="s">
        <v>607</v>
      </c>
      <c r="F1149" s="202"/>
      <c r="G1149" s="194" t="s">
        <v>35</v>
      </c>
      <c r="H1149" s="198"/>
      <c r="I1149" s="196"/>
      <c r="J1149" s="179">
        <f>IF(A1149="RAPPI",(VLOOKUP(TRIM(D1149), CATALOGO!F:G, 2, FALSE) * C1149)+I1149,IFERROR(IF(COUNTIF('RESTAURANTESDESCUENTOS 2026'!A:A,TRIM(A1149))&gt;0,((VLOOKUP(TRIM(D1149), CATALOGO!A:B, 2, FALSE) * C1149)*(1-VALUE(SUBSTITUTE(VLOOKUP(TRIM(A1149),'RESTAURANTESDESCUENTOS 2026'!A:B,2,FALSE),"%",""))/100)+I1149),(VLOOKUP(TRIM(D1149), CATALOGO!A:B, 2, FALSE) * C1149+I1149)),""))</f>
        <v>115000</v>
      </c>
      <c r="K1149" s="196"/>
      <c r="L1149" s="87"/>
      <c r="M1149" s="197" t="s">
        <v>587</v>
      </c>
      <c r="N1149" s="168"/>
    </row>
    <row r="1150" ht="22.5" hidden="1" customHeight="1">
      <c r="A1150" s="137" t="s">
        <v>603</v>
      </c>
      <c r="B1150" s="90">
        <v>46073.0</v>
      </c>
      <c r="C1150" s="55">
        <v>1.0</v>
      </c>
      <c r="D1150" s="97" t="s">
        <v>640</v>
      </c>
      <c r="E1150" s="201">
        <v>4420.0</v>
      </c>
      <c r="F1150" s="202"/>
      <c r="G1150" s="194" t="s">
        <v>587</v>
      </c>
      <c r="H1150" s="195" t="s">
        <v>603</v>
      </c>
      <c r="I1150" s="196"/>
      <c r="J1150" s="179">
        <f>IF(A1150="RAPPI",(VLOOKUP(TRIM(D1150), CATALOGO!F:G, 2, FALSE) * C1150)+I1150,IFERROR(IF(COUNTIF('RESTAURANTESDESCUENTOS 2026'!A:A,TRIM(A1150))&gt;0,((VLOOKUP(TRIM(D1150), CATALOGO!A:B, 2, FALSE) * C1150)*(1-VALUE(SUBSTITUTE(VLOOKUP(TRIM(A1150),'RESTAURANTESDESCUENTOS 2026'!A:B,2,FALSE),"%",""))/100)+I1150),(VLOOKUP(TRIM(D1150), CATALOGO!A:B, 2, FALSE) * C1150+I1150)),""))</f>
        <v>53000</v>
      </c>
      <c r="K1150" s="196"/>
      <c r="L1150" s="87"/>
      <c r="M1150" s="197" t="s">
        <v>587</v>
      </c>
      <c r="N1150" s="168"/>
    </row>
    <row r="1151" ht="22.5" hidden="1" customHeight="1">
      <c r="A1151" s="137" t="s">
        <v>969</v>
      </c>
      <c r="B1151" s="90">
        <v>46074.0</v>
      </c>
      <c r="C1151" s="55">
        <v>3.0</v>
      </c>
      <c r="D1151" s="97" t="s">
        <v>284</v>
      </c>
      <c r="E1151" s="201"/>
      <c r="F1151" s="202"/>
      <c r="G1151" s="194" t="s">
        <v>587</v>
      </c>
      <c r="H1151" s="195" t="s">
        <v>632</v>
      </c>
      <c r="I1151" s="196">
        <v>10000.0</v>
      </c>
      <c r="J1151" s="199">
        <v>226000.0</v>
      </c>
      <c r="K1151" s="196">
        <v>29000.0</v>
      </c>
      <c r="L1151" s="87" t="s">
        <v>587</v>
      </c>
      <c r="M1151" s="197" t="s">
        <v>587</v>
      </c>
      <c r="N1151" s="168"/>
    </row>
    <row r="1152" ht="22.5" hidden="1" customHeight="1">
      <c r="A1152" s="137" t="s">
        <v>969</v>
      </c>
      <c r="B1152" s="90">
        <v>46074.0</v>
      </c>
      <c r="C1152" s="55">
        <v>4.0</v>
      </c>
      <c r="D1152" s="97" t="s">
        <v>223</v>
      </c>
      <c r="E1152" s="201"/>
      <c r="F1152" s="202"/>
      <c r="G1152" s="194" t="s">
        <v>587</v>
      </c>
      <c r="H1152" s="195" t="s">
        <v>632</v>
      </c>
      <c r="I1152" s="196"/>
      <c r="J1152" s="199">
        <v>80000.0</v>
      </c>
      <c r="K1152" s="196"/>
      <c r="L1152" s="87" t="s">
        <v>587</v>
      </c>
      <c r="M1152" s="197" t="s">
        <v>587</v>
      </c>
      <c r="N1152" s="168"/>
    </row>
    <row r="1153" ht="22.5" hidden="1" customHeight="1">
      <c r="A1153" s="137" t="s">
        <v>969</v>
      </c>
      <c r="B1153" s="90">
        <v>46074.0</v>
      </c>
      <c r="C1153" s="55">
        <v>4.0</v>
      </c>
      <c r="D1153" s="97" t="s">
        <v>218</v>
      </c>
      <c r="E1153" s="201"/>
      <c r="F1153" s="202"/>
      <c r="G1153" s="194" t="s">
        <v>587</v>
      </c>
      <c r="H1153" s="195" t="s">
        <v>632</v>
      </c>
      <c r="I1153" s="196"/>
      <c r="J1153" s="199">
        <v>80000.0</v>
      </c>
      <c r="K1153" s="196"/>
      <c r="L1153" s="87" t="s">
        <v>587</v>
      </c>
      <c r="M1153" s="197" t="s">
        <v>587</v>
      </c>
      <c r="N1153" s="168"/>
    </row>
    <row r="1154" ht="22.5" hidden="1" customHeight="1">
      <c r="A1154" s="137" t="s">
        <v>969</v>
      </c>
      <c r="B1154" s="90">
        <v>46074.0</v>
      </c>
      <c r="C1154" s="55">
        <v>4.0</v>
      </c>
      <c r="D1154" s="97" t="s">
        <v>182</v>
      </c>
      <c r="E1154" s="201"/>
      <c r="F1154" s="202"/>
      <c r="G1154" s="194" t="s">
        <v>587</v>
      </c>
      <c r="H1154" s="195" t="s">
        <v>632</v>
      </c>
      <c r="I1154" s="196"/>
      <c r="J1154" s="199">
        <v>80000.0</v>
      </c>
      <c r="K1154" s="196"/>
      <c r="L1154" s="87" t="s">
        <v>587</v>
      </c>
      <c r="M1154" s="197" t="s">
        <v>587</v>
      </c>
      <c r="N1154" s="168"/>
    </row>
    <row r="1155" ht="22.5" hidden="1" customHeight="1">
      <c r="A1155" s="137" t="s">
        <v>969</v>
      </c>
      <c r="B1155" s="90">
        <v>46074.0</v>
      </c>
      <c r="C1155" s="55">
        <v>16.0</v>
      </c>
      <c r="D1155" s="97" t="s">
        <v>236</v>
      </c>
      <c r="E1155" s="201"/>
      <c r="F1155" s="202"/>
      <c r="G1155" s="194" t="s">
        <v>587</v>
      </c>
      <c r="H1155" s="195" t="s">
        <v>632</v>
      </c>
      <c r="I1155" s="196"/>
      <c r="J1155" s="179">
        <f>IF(A1155="RAPPI",(VLOOKUP(TRIM(D1155), CATALOGO!F:G, 2, FALSE) * C1155)+I1155,IFERROR(IF(COUNTIF('RESTAURANTESDESCUENTOS 2026'!A:A,TRIM(A1155))&gt;0,((VLOOKUP(TRIM(D1155), CATALOGO!A:B, 2, FALSE) * C1155)*(1-VALUE(SUBSTITUTE(VLOOKUP(TRIM(A1155),'RESTAURANTESDESCUENTOS 2026'!A:B,2,FALSE),"%",""))/100)+I1155),(VLOOKUP(TRIM(D1155), CATALOGO!A:B, 2, FALSE) * C1155+I1155)),""))</f>
        <v>0</v>
      </c>
      <c r="K1155" s="196"/>
      <c r="L1155" s="87" t="s">
        <v>587</v>
      </c>
      <c r="M1155" s="197" t="s">
        <v>587</v>
      </c>
      <c r="N1155" s="168"/>
    </row>
    <row r="1156" ht="22.5" hidden="1" customHeight="1">
      <c r="A1156" s="137" t="s">
        <v>969</v>
      </c>
      <c r="B1156" s="90">
        <v>46074.0</v>
      </c>
      <c r="C1156" s="55">
        <v>4.0</v>
      </c>
      <c r="D1156" s="97" t="s">
        <v>220</v>
      </c>
      <c r="E1156" s="201"/>
      <c r="F1156" s="202"/>
      <c r="G1156" s="194" t="s">
        <v>587</v>
      </c>
      <c r="H1156" s="195" t="s">
        <v>632</v>
      </c>
      <c r="I1156" s="196"/>
      <c r="J1156" s="199">
        <v>80000.0</v>
      </c>
      <c r="K1156" s="196"/>
      <c r="L1156" s="87" t="s">
        <v>587</v>
      </c>
      <c r="M1156" s="197" t="s">
        <v>587</v>
      </c>
      <c r="N1156" s="168"/>
    </row>
    <row r="1157" ht="22.5" hidden="1" customHeight="1">
      <c r="A1157" s="137" t="s">
        <v>969</v>
      </c>
      <c r="B1157" s="90">
        <v>46074.0</v>
      </c>
      <c r="C1157" s="55">
        <v>3.0</v>
      </c>
      <c r="D1157" s="97" t="s">
        <v>286</v>
      </c>
      <c r="E1157" s="201"/>
      <c r="F1157" s="202"/>
      <c r="G1157" s="194" t="s">
        <v>587</v>
      </c>
      <c r="H1157" s="195" t="s">
        <v>632</v>
      </c>
      <c r="I1157" s="196"/>
      <c r="J1157" s="179">
        <f>IF(A1157="RAPPI",(VLOOKUP(TRIM(D1157), CATALOGO!F:G, 2, FALSE) * C1157)+I1157,IFERROR(IF(COUNTIF('RESTAURANTESDESCUENTOS 2026'!A:A,TRIM(A1157))&gt;0,((VLOOKUP(TRIM(D1157), CATALOGO!A:B, 2, FALSE) * C1157)*(1-VALUE(SUBSTITUTE(VLOOKUP(TRIM(A1157),'RESTAURANTESDESCUENTOS 2026'!A:B,2,FALSE),"%",""))/100)+I1157),(VLOOKUP(TRIM(D1157), CATALOGO!A:B, 2, FALSE) * C1157+I1157)),""))</f>
        <v>288000</v>
      </c>
      <c r="K1157" s="196"/>
      <c r="L1157" s="87" t="s">
        <v>587</v>
      </c>
      <c r="M1157" s="197" t="s">
        <v>587</v>
      </c>
      <c r="N1157" s="168"/>
    </row>
    <row r="1158" ht="22.5" hidden="1" customHeight="1">
      <c r="A1158" s="137" t="s">
        <v>969</v>
      </c>
      <c r="B1158" s="90">
        <v>46074.0</v>
      </c>
      <c r="C1158" s="55">
        <v>1.0</v>
      </c>
      <c r="D1158" s="97" t="s">
        <v>287</v>
      </c>
      <c r="E1158" s="201"/>
      <c r="F1158" s="202"/>
      <c r="G1158" s="194" t="s">
        <v>587</v>
      </c>
      <c r="H1158" s="195" t="s">
        <v>632</v>
      </c>
      <c r="I1158" s="196"/>
      <c r="J1158" s="179" t="str">
        <f>IF(A1158="RAPPI",(VLOOKUP(TRIM(D1158), CATALOGO!F:G, 2, FALSE) * C1158)+I1158,IFERROR(IF(COUNTIF('RESTAURANTESDESCUENTOS 2026'!A:A,TRIM(A1158))&gt;0,((VLOOKUP(TRIM(D1158), CATALOGO!A:B, 2, FALSE) * C1158)*(1-VALUE(SUBSTITUTE(VLOOKUP(TRIM(A1158),'RESTAURANTESDESCUENTOS 2026'!A:B,2,FALSE),"%",""))/100)+I1158),(VLOOKUP(TRIM(D1158), CATALOGO!A:B, 2, FALSE) * C1158+I1158)),""))</f>
        <v/>
      </c>
      <c r="K1158" s="196"/>
      <c r="L1158" s="87" t="s">
        <v>587</v>
      </c>
      <c r="M1158" s="197" t="s">
        <v>587</v>
      </c>
      <c r="N1158" s="168"/>
    </row>
    <row r="1159" ht="22.5" hidden="1" customHeight="1">
      <c r="A1159" s="137" t="s">
        <v>969</v>
      </c>
      <c r="B1159" s="90">
        <v>46074.0</v>
      </c>
      <c r="C1159" s="55">
        <v>2.0</v>
      </c>
      <c r="D1159" s="97" t="s">
        <v>288</v>
      </c>
      <c r="E1159" s="201"/>
      <c r="F1159" s="202"/>
      <c r="G1159" s="194" t="s">
        <v>587</v>
      </c>
      <c r="H1159" s="195" t="s">
        <v>632</v>
      </c>
      <c r="I1159" s="196"/>
      <c r="J1159" s="179">
        <f>IF(A1159="RAPPI",(VLOOKUP(TRIM(D1159), CATALOGO!F:G, 2, FALSE) * C1159)+I1159,IFERROR(IF(COUNTIF('RESTAURANTESDESCUENTOS 2026'!A:A,TRIM(A1159))&gt;0,((VLOOKUP(TRIM(D1159), CATALOGO!A:B, 2, FALSE) * C1159)*(1-VALUE(SUBSTITUTE(VLOOKUP(TRIM(A1159),'RESTAURANTESDESCUENTOS 2026'!A:B,2,FALSE),"%",""))/100)+I1159),(VLOOKUP(TRIM(D1159), CATALOGO!A:B, 2, FALSE) * C1159+I1159)),""))</f>
        <v>483000</v>
      </c>
      <c r="K1159" s="196"/>
      <c r="L1159" s="87" t="s">
        <v>587</v>
      </c>
      <c r="M1159" s="197" t="s">
        <v>587</v>
      </c>
      <c r="N1159" s="168"/>
    </row>
    <row r="1160" ht="22.5" hidden="1" customHeight="1">
      <c r="A1160" s="137" t="s">
        <v>969</v>
      </c>
      <c r="B1160" s="90">
        <v>46074.0</v>
      </c>
      <c r="C1160" s="55">
        <v>1.0</v>
      </c>
      <c r="D1160" s="97" t="s">
        <v>289</v>
      </c>
      <c r="E1160" s="201"/>
      <c r="F1160" s="202"/>
      <c r="G1160" s="194" t="s">
        <v>587</v>
      </c>
      <c r="H1160" s="195" t="s">
        <v>632</v>
      </c>
      <c r="I1160" s="196"/>
      <c r="J1160" s="179" t="str">
        <f>IF(A1160="RAPPI",(VLOOKUP(TRIM(D1160), CATALOGO!F:G, 2, FALSE) * C1160)+I1160,IFERROR(IF(COUNTIF('RESTAURANTESDESCUENTOS 2026'!A:A,TRIM(A1160))&gt;0,((VLOOKUP(TRIM(D1160), CATALOGO!A:B, 2, FALSE) * C1160)*(1-VALUE(SUBSTITUTE(VLOOKUP(TRIM(A1160),'RESTAURANTESDESCUENTOS 2026'!A:B,2,FALSE),"%",""))/100)+I1160),(VLOOKUP(TRIM(D1160), CATALOGO!A:B, 2, FALSE) * C1160+I1160)),""))</f>
        <v/>
      </c>
      <c r="K1160" s="196"/>
      <c r="L1160" s="87" t="s">
        <v>587</v>
      </c>
      <c r="M1160" s="197" t="s">
        <v>587</v>
      </c>
      <c r="N1160" s="168"/>
    </row>
    <row r="1161" ht="22.5" hidden="1" customHeight="1">
      <c r="A1161" s="137" t="s">
        <v>970</v>
      </c>
      <c r="B1161" s="90">
        <v>46074.0</v>
      </c>
      <c r="C1161" s="55">
        <v>1.0</v>
      </c>
      <c r="D1161" s="97" t="s">
        <v>177</v>
      </c>
      <c r="E1161" s="201"/>
      <c r="F1161" s="202"/>
      <c r="G1161" s="194" t="s">
        <v>587</v>
      </c>
      <c r="H1161" s="195" t="s">
        <v>632</v>
      </c>
      <c r="I1161" s="196">
        <v>15000.0</v>
      </c>
      <c r="J1161" s="179">
        <f>IF(A1161="RAPPI",(VLOOKUP(TRIM(D1161), CATALOGO!F:G, 2, FALSE) * C1161)+I1161,IFERROR(IF(COUNTIF('RESTAURANTESDESCUENTOS 2026'!A:A,TRIM(A1161))&gt;0,((VLOOKUP(TRIM(D1161), CATALOGO!A:B, 2, FALSE) * C1161)*(1-VALUE(SUBSTITUTE(VLOOKUP(TRIM(A1161),'RESTAURANTESDESCUENTOS 2026'!A:B,2,FALSE),"%",""))/100)+I1161),(VLOOKUP(TRIM(D1161), CATALOGO!A:B, 2, FALSE) * C1161+I1161)),""))</f>
        <v>130000</v>
      </c>
      <c r="K1161" s="196">
        <v>15000.0</v>
      </c>
      <c r="L1161" s="87"/>
      <c r="M1161" s="197" t="s">
        <v>587</v>
      </c>
      <c r="N1161" s="168"/>
    </row>
    <row r="1162" ht="22.5" hidden="1" customHeight="1">
      <c r="A1162" s="137" t="s">
        <v>968</v>
      </c>
      <c r="B1162" s="90">
        <v>46074.0</v>
      </c>
      <c r="C1162" s="55">
        <v>2.0</v>
      </c>
      <c r="D1162" s="97" t="s">
        <v>178</v>
      </c>
      <c r="E1162" s="201" t="s">
        <v>552</v>
      </c>
      <c r="F1162" s="202"/>
      <c r="G1162" s="194" t="s">
        <v>587</v>
      </c>
      <c r="H1162" s="195" t="s">
        <v>632</v>
      </c>
      <c r="I1162" s="196">
        <v>10000.0</v>
      </c>
      <c r="J1162" s="179">
        <f>IF(A1162="RAPPI",(VLOOKUP(TRIM(D1162), CATALOGO!F:G, 2, FALSE) * C1162)+I1162,IFERROR(IF(COUNTIF('RESTAURANTESDESCUENTOS 2026'!A:A,TRIM(A1162))&gt;0,((VLOOKUP(TRIM(D1162), CATALOGO!A:B, 2, FALSE) * C1162)*(1-VALUE(SUBSTITUTE(VLOOKUP(TRIM(A1162),'RESTAURANTESDESCUENTOS 2026'!A:B,2,FALSE),"%",""))/100)+I1162),(VLOOKUP(TRIM(D1162), CATALOGO!A:B, 2, FALSE) * C1162+I1162)),""))</f>
        <v>235000</v>
      </c>
      <c r="K1162" s="196">
        <v>10000.0</v>
      </c>
      <c r="L1162" s="87" t="s">
        <v>587</v>
      </c>
      <c r="M1162" s="197" t="s">
        <v>587</v>
      </c>
      <c r="N1162" s="168"/>
    </row>
    <row r="1163" ht="22.5" hidden="1" customHeight="1">
      <c r="A1163" s="137" t="s">
        <v>968</v>
      </c>
      <c r="B1163" s="90">
        <v>46074.0</v>
      </c>
      <c r="C1163" s="55">
        <v>8.0</v>
      </c>
      <c r="D1163" s="97" t="s">
        <v>182</v>
      </c>
      <c r="E1163" s="201"/>
      <c r="F1163" s="202"/>
      <c r="G1163" s="194" t="s">
        <v>587</v>
      </c>
      <c r="H1163" s="195" t="s">
        <v>632</v>
      </c>
      <c r="I1163" s="196">
        <v>0.0</v>
      </c>
      <c r="J1163" s="179">
        <f>IF(A1163="RAPPI",(VLOOKUP(TRIM(D1163), CATALOGO!F:G, 2, FALSE) * C1163)+I1163,IFERROR(IF(COUNTIF('RESTAURANTESDESCUENTOS 2026'!A:A,TRIM(A1163))&gt;0,((VLOOKUP(TRIM(D1163), CATALOGO!A:B, 2, FALSE) * C1163)*(1-VALUE(SUBSTITUTE(VLOOKUP(TRIM(A1163),'RESTAURANTESDESCUENTOS 2026'!A:B,2,FALSE),"%",""))/100)+I1163),(VLOOKUP(TRIM(D1163), CATALOGO!A:B, 2, FALSE) * C1163+I1163)),""))</f>
        <v>222000</v>
      </c>
      <c r="K1163" s="196">
        <v>0.0</v>
      </c>
      <c r="L1163" s="87" t="s">
        <v>587</v>
      </c>
      <c r="M1163" s="197" t="s">
        <v>587</v>
      </c>
      <c r="N1163" s="168"/>
    </row>
    <row r="1164" ht="22.5" hidden="1" customHeight="1">
      <c r="A1164" s="137" t="s">
        <v>971</v>
      </c>
      <c r="B1164" s="90">
        <v>46074.0</v>
      </c>
      <c r="C1164" s="55">
        <v>1.0</v>
      </c>
      <c r="D1164" s="97" t="s">
        <v>182</v>
      </c>
      <c r="E1164" s="201"/>
      <c r="F1164" s="202"/>
      <c r="G1164" s="194" t="s">
        <v>35</v>
      </c>
      <c r="H1164" s="198"/>
      <c r="I1164" s="196"/>
      <c r="J1164" s="179">
        <f>IF(A1164="RAPPI",(VLOOKUP(TRIM(D1164), CATALOGO!F:G, 2, FALSE) * C1164)+I1164,IFERROR(IF(COUNTIF('RESTAURANTESDESCUENTOS 2026'!A:A,TRIM(A1164))&gt;0,((VLOOKUP(TRIM(D1164), CATALOGO!A:B, 2, FALSE) * C1164)*(1-VALUE(SUBSTITUTE(VLOOKUP(TRIM(A1164),'RESTAURANTESDESCUENTOS 2026'!A:B,2,FALSE),"%",""))/100)+I1164),(VLOOKUP(TRIM(D1164), CATALOGO!A:B, 2, FALSE) * C1164+I1164)),""))</f>
        <v>37000</v>
      </c>
      <c r="K1164" s="196"/>
      <c r="L1164" s="87"/>
      <c r="M1164" s="197" t="s">
        <v>587</v>
      </c>
      <c r="N1164" s="168"/>
    </row>
    <row r="1165" ht="22.5" hidden="1" customHeight="1">
      <c r="A1165" s="137" t="s">
        <v>971</v>
      </c>
      <c r="B1165" s="90">
        <v>46074.0</v>
      </c>
      <c r="C1165" s="55">
        <v>1.0</v>
      </c>
      <c r="D1165" s="97" t="s">
        <v>639</v>
      </c>
      <c r="E1165" s="201"/>
      <c r="F1165" s="202"/>
      <c r="G1165" s="194" t="s">
        <v>35</v>
      </c>
      <c r="H1165" s="198"/>
      <c r="I1165" s="196"/>
      <c r="J1165" s="179">
        <f>IF(A1165="RAPPI",(VLOOKUP(TRIM(D1165), CATALOGO!F:G, 2, FALSE) * C1165)+I1165,IFERROR(IF(COUNTIF('RESTAURANTESDESCUENTOS 2026'!A:A,TRIM(A1165))&gt;0,((VLOOKUP(TRIM(D1165), CATALOGO!A:B, 2, FALSE) * C1165)*(1-VALUE(SUBSTITUTE(VLOOKUP(TRIM(A1165),'RESTAURANTESDESCUENTOS 2026'!A:B,2,FALSE),"%",""))/100)+I1165),(VLOOKUP(TRIM(D1165), CATALOGO!A:B, 2, FALSE) * C1165+I1165)),""))</f>
        <v>0</v>
      </c>
      <c r="K1165" s="196"/>
      <c r="L1165" s="87"/>
      <c r="M1165" s="197" t="s">
        <v>587</v>
      </c>
      <c r="N1165" s="168"/>
    </row>
    <row r="1166" ht="22.5" hidden="1" customHeight="1">
      <c r="A1166" s="137" t="s">
        <v>971</v>
      </c>
      <c r="B1166" s="90">
        <v>46074.0</v>
      </c>
      <c r="C1166" s="55">
        <v>1.0</v>
      </c>
      <c r="D1166" s="97" t="s">
        <v>236</v>
      </c>
      <c r="E1166" s="201"/>
      <c r="F1166" s="202"/>
      <c r="G1166" s="194" t="s">
        <v>35</v>
      </c>
      <c r="H1166" s="198"/>
      <c r="I1166" s="196"/>
      <c r="J1166" s="179">
        <f>IF(A1166="RAPPI",(VLOOKUP(TRIM(D1166), CATALOGO!F:G, 2, FALSE) * C1166)+I1166,IFERROR(IF(COUNTIF('RESTAURANTESDESCUENTOS 2026'!A:A,TRIM(A1166))&gt;0,((VLOOKUP(TRIM(D1166), CATALOGO!A:B, 2, FALSE) * C1166)*(1-VALUE(SUBSTITUTE(VLOOKUP(TRIM(A1166),'RESTAURANTESDESCUENTOS 2026'!A:B,2,FALSE),"%",""))/100)+I1166),(VLOOKUP(TRIM(D1166), CATALOGO!A:B, 2, FALSE) * C1166+I1166)),""))</f>
        <v>0</v>
      </c>
      <c r="K1166" s="196"/>
      <c r="L1166" s="87"/>
      <c r="M1166" s="197" t="s">
        <v>587</v>
      </c>
      <c r="N1166" s="168"/>
    </row>
    <row r="1167" ht="22.5" hidden="1" customHeight="1">
      <c r="A1167" s="137" t="s">
        <v>971</v>
      </c>
      <c r="B1167" s="90">
        <v>46074.0</v>
      </c>
      <c r="C1167" s="55">
        <v>1.0</v>
      </c>
      <c r="D1167" s="97" t="s">
        <v>620</v>
      </c>
      <c r="E1167" s="201"/>
      <c r="F1167" s="202"/>
      <c r="G1167" s="194" t="s">
        <v>35</v>
      </c>
      <c r="H1167" s="198"/>
      <c r="I1167" s="196"/>
      <c r="J1167" s="179">
        <f>IF(A1167="RAPPI",(VLOOKUP(TRIM(D1167), CATALOGO!F:G, 2, FALSE) * C1167)+I1167,IFERROR(IF(COUNTIF('RESTAURANTESDESCUENTOS 2026'!A:A,TRIM(A1167))&gt;0,((VLOOKUP(TRIM(D1167), CATALOGO!A:B, 2, FALSE) * C1167)*(1-VALUE(SUBSTITUTE(VLOOKUP(TRIM(A1167),'RESTAURANTESDESCUENTOS 2026'!A:B,2,FALSE),"%",""))/100)+I1167),(VLOOKUP(TRIM(D1167), CATALOGO!A:B, 2, FALSE) * C1167+I1167)),""))</f>
        <v>0</v>
      </c>
      <c r="K1167" s="196"/>
      <c r="L1167" s="87"/>
      <c r="M1167" s="197" t="s">
        <v>587</v>
      </c>
      <c r="N1167" s="168"/>
    </row>
    <row r="1168" ht="22.5" hidden="1" customHeight="1">
      <c r="A1168" s="137" t="s">
        <v>972</v>
      </c>
      <c r="B1168" s="90">
        <v>46074.0</v>
      </c>
      <c r="C1168" s="55">
        <v>1.0</v>
      </c>
      <c r="D1168" s="97" t="s">
        <v>288</v>
      </c>
      <c r="E1168" s="201"/>
      <c r="F1168" s="202"/>
      <c r="G1168" s="194" t="s">
        <v>35</v>
      </c>
      <c r="H1168" s="198"/>
      <c r="I1168" s="196"/>
      <c r="J1168" s="179">
        <f>IF(A1168="RAPPI",(VLOOKUP(TRIM(D1168), CATALOGO!F:G, 2, FALSE) * C1168)+I1168,IFERROR(IF(COUNTIF('RESTAURANTESDESCUENTOS 2026'!A:A,TRIM(A1168))&gt;0,((VLOOKUP(TRIM(D1168), CATALOGO!A:B, 2, FALSE) * C1168)*(1-VALUE(SUBSTITUTE(VLOOKUP(TRIM(A1168),'RESTAURANTESDESCUENTOS 2026'!A:B,2,FALSE),"%",""))/100)+I1168),(VLOOKUP(TRIM(D1168), CATALOGO!A:B, 2, FALSE) * C1168+I1168)),""))</f>
        <v>241500</v>
      </c>
      <c r="K1168" s="196"/>
      <c r="L1168" s="87"/>
      <c r="M1168" s="197" t="s">
        <v>587</v>
      </c>
      <c r="N1168" s="168"/>
    </row>
    <row r="1169" ht="22.5" hidden="1" customHeight="1">
      <c r="A1169" s="137" t="s">
        <v>153</v>
      </c>
      <c r="B1169" s="90">
        <v>46074.0</v>
      </c>
      <c r="C1169" s="55">
        <v>1.0</v>
      </c>
      <c r="D1169" s="97" t="s">
        <v>190</v>
      </c>
      <c r="E1169" s="201"/>
      <c r="F1169" s="202"/>
      <c r="G1169" s="194" t="s">
        <v>587</v>
      </c>
      <c r="H1169" s="195" t="s">
        <v>632</v>
      </c>
      <c r="I1169" s="196">
        <v>10000.0</v>
      </c>
      <c r="J1169" s="179">
        <f>IF(A1169="RAPPI",(VLOOKUP(TRIM(D1169), CATALOGO!F:G, 2, FALSE) * C1169)+I1169,IFERROR(IF(COUNTIF('RESTAURANTESDESCUENTOS 2026'!A:A,TRIM(A1169))&gt;0,((VLOOKUP(TRIM(D1169), CATALOGO!A:B, 2, FALSE) * C1169)*(1-VALUE(SUBSTITUTE(VLOOKUP(TRIM(A1169),'RESTAURANTESDESCUENTOS 2026'!A:B,2,FALSE),"%",""))/100)+I1169),(VLOOKUP(TRIM(D1169), CATALOGO!A:B, 2, FALSE) * C1169+I1169)),""))</f>
        <v>146500</v>
      </c>
      <c r="K1169" s="196">
        <v>10000.0</v>
      </c>
      <c r="L1169" s="87"/>
      <c r="M1169" s="197" t="s">
        <v>587</v>
      </c>
      <c r="N1169" s="168"/>
    </row>
    <row r="1170" ht="22.5" hidden="1" customHeight="1">
      <c r="A1170" s="137" t="s">
        <v>973</v>
      </c>
      <c r="B1170" s="90">
        <v>46074.0</v>
      </c>
      <c r="C1170" s="55">
        <v>1.0</v>
      </c>
      <c r="D1170" s="97" t="s">
        <v>178</v>
      </c>
      <c r="E1170" s="70" t="s">
        <v>974</v>
      </c>
      <c r="F1170" s="212"/>
      <c r="G1170" s="194" t="s">
        <v>587</v>
      </c>
      <c r="H1170" s="195" t="s">
        <v>632</v>
      </c>
      <c r="I1170" s="196">
        <v>14000.0</v>
      </c>
      <c r="J1170" s="179">
        <f>IF(A1170="RAPPI",(VLOOKUP(TRIM(D1170), CATALOGO!F:G, 2, FALSE) * C1170)+I1170,IFERROR(IF(COUNTIF('RESTAURANTESDESCUENTOS 2026'!A:A,TRIM(A1170))&gt;0,((VLOOKUP(TRIM(D1170), CATALOGO!A:B, 2, FALSE) * C1170)*(1-VALUE(SUBSTITUTE(VLOOKUP(TRIM(A1170),'RESTAURANTESDESCUENTOS 2026'!A:B,2,FALSE),"%",""))/100)+I1170),(VLOOKUP(TRIM(D1170), CATALOGO!A:B, 2, FALSE) * C1170+I1170)),""))</f>
        <v>164000</v>
      </c>
      <c r="K1170" s="196">
        <v>14000.0</v>
      </c>
      <c r="L1170" s="87"/>
      <c r="M1170" s="197" t="s">
        <v>587</v>
      </c>
      <c r="N1170" s="168"/>
    </row>
    <row r="1171" ht="22.5" hidden="1" customHeight="1">
      <c r="A1171" s="137" t="s">
        <v>975</v>
      </c>
      <c r="B1171" s="90">
        <v>46074.0</v>
      </c>
      <c r="C1171" s="55">
        <v>1.0</v>
      </c>
      <c r="D1171" s="97" t="s">
        <v>176</v>
      </c>
      <c r="E1171" s="201"/>
      <c r="F1171" s="202"/>
      <c r="G1171" s="194" t="s">
        <v>35</v>
      </c>
      <c r="H1171" s="198"/>
      <c r="I1171" s="196"/>
      <c r="J1171" s="179">
        <f>IF(A1171="RAPPI",(VLOOKUP(TRIM(D1171), CATALOGO!F:G, 2, FALSE) * C1171)+I1171,IFERROR(IF(COUNTIF('RESTAURANTESDESCUENTOS 2026'!A:A,TRIM(A1171))&gt;0,((VLOOKUP(TRIM(D1171), CATALOGO!A:B, 2, FALSE) * C1171)*(1-VALUE(SUBSTITUTE(VLOOKUP(TRIM(A1171),'RESTAURANTESDESCUENTOS 2026'!A:B,2,FALSE),"%",""))/100)+I1171),(VLOOKUP(TRIM(D1171), CATALOGO!A:B, 2, FALSE) * C1171+I1171)),""))</f>
        <v>50000</v>
      </c>
      <c r="K1171" s="196"/>
      <c r="L1171" s="87"/>
      <c r="M1171" s="197" t="s">
        <v>587</v>
      </c>
      <c r="N1171" s="168"/>
    </row>
    <row r="1172" ht="22.5" hidden="1" customHeight="1">
      <c r="A1172" s="137" t="s">
        <v>92</v>
      </c>
      <c r="B1172" s="90">
        <v>46074.0</v>
      </c>
      <c r="C1172" s="55">
        <v>1.0</v>
      </c>
      <c r="D1172" s="97" t="s">
        <v>178</v>
      </c>
      <c r="E1172" s="201" t="s">
        <v>610</v>
      </c>
      <c r="F1172" s="202"/>
      <c r="G1172" s="194" t="s">
        <v>587</v>
      </c>
      <c r="H1172" s="198"/>
      <c r="I1172" s="196">
        <v>5000.0</v>
      </c>
      <c r="J1172" s="179">
        <f>IF(A1172="RAPPI",(VLOOKUP(TRIM(D1172), CATALOGO!F:G, 2, FALSE) * C1172)+I1172,IFERROR(IF(COUNTIF('RESTAURANTESDESCUENTOS 2026'!A:A,TRIM(A1172))&gt;0,((VLOOKUP(TRIM(D1172), CATALOGO!A:B, 2, FALSE) * C1172)*(1-VALUE(SUBSTITUTE(VLOOKUP(TRIM(A1172),'RESTAURANTESDESCUENTOS 2026'!A:B,2,FALSE),"%",""))/100)+I1172),(VLOOKUP(TRIM(D1172), CATALOGO!A:B, 2, FALSE) * C1172+I1172)),""))</f>
        <v>110000</v>
      </c>
      <c r="K1172" s="196">
        <v>10000.0</v>
      </c>
      <c r="L1172" s="87" t="s">
        <v>587</v>
      </c>
      <c r="M1172" s="197" t="s">
        <v>587</v>
      </c>
      <c r="N1172" s="168"/>
    </row>
    <row r="1173" ht="22.5" hidden="1" customHeight="1">
      <c r="A1173" s="137" t="s">
        <v>92</v>
      </c>
      <c r="B1173" s="90">
        <v>46074.0</v>
      </c>
      <c r="C1173" s="55">
        <v>1.0</v>
      </c>
      <c r="D1173" s="97" t="s">
        <v>236</v>
      </c>
      <c r="E1173" s="201"/>
      <c r="F1173" s="202"/>
      <c r="G1173" s="194" t="s">
        <v>587</v>
      </c>
      <c r="H1173" s="198"/>
      <c r="I1173" s="196">
        <v>0.0</v>
      </c>
      <c r="J1173" s="199">
        <v>16500.0</v>
      </c>
      <c r="K1173" s="196">
        <v>0.0</v>
      </c>
      <c r="L1173" s="87" t="s">
        <v>587</v>
      </c>
      <c r="M1173" s="197" t="s">
        <v>587</v>
      </c>
      <c r="N1173" s="168"/>
    </row>
    <row r="1174" ht="22.5" hidden="1" customHeight="1">
      <c r="A1174" s="137" t="s">
        <v>603</v>
      </c>
      <c r="B1174" s="90">
        <v>46074.0</v>
      </c>
      <c r="C1174" s="55">
        <v>1.0</v>
      </c>
      <c r="D1174" s="97" t="s">
        <v>617</v>
      </c>
      <c r="E1174" s="201">
        <v>8146.0</v>
      </c>
      <c r="F1174" s="202"/>
      <c r="G1174" s="194" t="s">
        <v>587</v>
      </c>
      <c r="H1174" s="195" t="s">
        <v>603</v>
      </c>
      <c r="I1174" s="196"/>
      <c r="J1174" s="179">
        <f>IF(A1174="RAPPI",(VLOOKUP(TRIM(D1174), CATALOGO!F:G, 2, FALSE) * C1174)+I1174,IFERROR(IF(COUNTIF('RESTAURANTESDESCUENTOS 2026'!A:A,TRIM(A1174))&gt;0,((VLOOKUP(TRIM(D1174), CATALOGO!A:B, 2, FALSE) * C1174)*(1-VALUE(SUBSTITUTE(VLOOKUP(TRIM(A1174),'RESTAURANTESDESCUENTOS 2026'!A:B,2,FALSE),"%",""))/100)+I1174),(VLOOKUP(TRIM(D1174), CATALOGO!A:B, 2, FALSE) * C1174+I1174)),""))</f>
        <v>123000</v>
      </c>
      <c r="K1174" s="196"/>
      <c r="L1174" s="87"/>
      <c r="M1174" s="197" t="s">
        <v>587</v>
      </c>
      <c r="N1174" s="168"/>
    </row>
    <row r="1175" ht="22.5" hidden="1" customHeight="1">
      <c r="A1175" s="137" t="s">
        <v>603</v>
      </c>
      <c r="B1175" s="90">
        <v>46074.0</v>
      </c>
      <c r="C1175" s="55">
        <v>1.0</v>
      </c>
      <c r="D1175" s="97" t="s">
        <v>678</v>
      </c>
      <c r="E1175" s="201">
        <v>7203.0</v>
      </c>
      <c r="F1175" s="202"/>
      <c r="G1175" s="194" t="s">
        <v>587</v>
      </c>
      <c r="H1175" s="195" t="s">
        <v>603</v>
      </c>
      <c r="I1175" s="196"/>
      <c r="J1175" s="179">
        <f>IF(A1175="RAPPI",(VLOOKUP(TRIM(D1175), CATALOGO!F:G, 2, FALSE) * C1175)+I1175,IFERROR(IF(COUNTIF('RESTAURANTESDESCUENTOS 2026'!A:A,TRIM(A1175))&gt;0,((VLOOKUP(TRIM(D1175), CATALOGO!A:B, 2, FALSE) * C1175)*(1-VALUE(SUBSTITUTE(VLOOKUP(TRIM(A1175),'RESTAURANTESDESCUENTOS 2026'!A:B,2,FALSE),"%",""))/100)+I1175),(VLOOKUP(TRIM(D1175), CATALOGO!A:B, 2, FALSE) * C1175+I1175)),""))</f>
        <v>123000</v>
      </c>
      <c r="K1175" s="196"/>
      <c r="L1175" s="87"/>
      <c r="M1175" s="197" t="s">
        <v>587</v>
      </c>
      <c r="N1175" s="168"/>
    </row>
    <row r="1176" ht="22.5" hidden="1" customHeight="1">
      <c r="A1176" s="137" t="s">
        <v>603</v>
      </c>
      <c r="B1176" s="90">
        <v>46074.0</v>
      </c>
      <c r="C1176" s="55">
        <v>1.0</v>
      </c>
      <c r="D1176" s="97" t="s">
        <v>601</v>
      </c>
      <c r="E1176" s="201">
        <v>1431.0</v>
      </c>
      <c r="F1176" s="202"/>
      <c r="G1176" s="194" t="s">
        <v>587</v>
      </c>
      <c r="H1176" s="195" t="s">
        <v>603</v>
      </c>
      <c r="I1176" s="196"/>
      <c r="J1176" s="179">
        <f>IF(A1176="RAPPI",(VLOOKUP(TRIM(D1176), CATALOGO!F:G, 2, FALSE) * C1176)+I1176,IFERROR(IF(COUNTIF('RESTAURANTESDESCUENTOS 2026'!A:A,TRIM(A1176))&gt;0,((VLOOKUP(TRIM(D1176), CATALOGO!A:B, 2, FALSE) * C1176)*(1-VALUE(SUBSTITUTE(VLOOKUP(TRIM(A1176),'RESTAURANTESDESCUENTOS 2026'!A:B,2,FALSE),"%",""))/100)+I1176),(VLOOKUP(TRIM(D1176), CATALOGO!A:B, 2, FALSE) * C1176+I1176)),""))</f>
        <v>53000</v>
      </c>
      <c r="K1176" s="196"/>
      <c r="L1176" s="87"/>
      <c r="M1176" s="197" t="s">
        <v>587</v>
      </c>
      <c r="N1176" s="168"/>
    </row>
    <row r="1177" ht="22.5" hidden="1" customHeight="1">
      <c r="A1177" s="137" t="s">
        <v>603</v>
      </c>
      <c r="B1177" s="90">
        <v>46074.0</v>
      </c>
      <c r="C1177" s="55">
        <v>1.0</v>
      </c>
      <c r="D1177" s="97" t="s">
        <v>179</v>
      </c>
      <c r="E1177" s="201">
        <v>1689.0</v>
      </c>
      <c r="F1177" s="202"/>
      <c r="G1177" s="194" t="s">
        <v>587</v>
      </c>
      <c r="H1177" s="195" t="s">
        <v>603</v>
      </c>
      <c r="I1177" s="196"/>
      <c r="J1177" s="179">
        <f>IF(A1177="RAPPI",(VLOOKUP(TRIM(D1177), CATALOGO!F:G, 2, FALSE) * C1177)+I1177,IFERROR(IF(COUNTIF('RESTAURANTESDESCUENTOS 2026'!A:A,TRIM(A1177))&gt;0,((VLOOKUP(TRIM(D1177), CATALOGO!A:B, 2, FALSE) * C1177)*(1-VALUE(SUBSTITUTE(VLOOKUP(TRIM(A1177),'RESTAURANTESDESCUENTOS 2026'!A:B,2,FALSE),"%",""))/100)+I1177),(VLOOKUP(TRIM(D1177), CATALOGO!A:B, 2, FALSE) * C1177+I1177)),""))</f>
        <v>55000</v>
      </c>
      <c r="K1177" s="196"/>
      <c r="L1177" s="87"/>
      <c r="M1177" s="197" t="s">
        <v>587</v>
      </c>
      <c r="N1177" s="168"/>
    </row>
    <row r="1178" ht="22.5" hidden="1" customHeight="1">
      <c r="A1178" s="137" t="s">
        <v>976</v>
      </c>
      <c r="B1178" s="90">
        <v>46074.0</v>
      </c>
      <c r="C1178" s="55">
        <v>1.0</v>
      </c>
      <c r="D1178" s="97" t="s">
        <v>640</v>
      </c>
      <c r="E1178" s="201"/>
      <c r="F1178" s="202"/>
      <c r="G1178" s="194" t="s">
        <v>587</v>
      </c>
      <c r="H1178" s="195" t="s">
        <v>632</v>
      </c>
      <c r="I1178" s="196">
        <v>12000.0</v>
      </c>
      <c r="J1178" s="179">
        <f>IF(A1178="RAPPI",(VLOOKUP(TRIM(D1178), CATALOGO!F:G, 2, FALSE) * C1178)+I1178,IFERROR(IF(COUNTIF('RESTAURANTESDESCUENTOS 2026'!A:A,TRIM(A1178))&gt;0,((VLOOKUP(TRIM(D1178), CATALOGO!A:B, 2, FALSE) * C1178)*(1-VALUE(SUBSTITUTE(VLOOKUP(TRIM(A1178),'RESTAURANTESDESCUENTOS 2026'!A:B,2,FALSE),"%",""))/100)+I1178),(VLOOKUP(TRIM(D1178), CATALOGO!A:B, 2, FALSE) * C1178+I1178)),""))</f>
        <v>65000</v>
      </c>
      <c r="K1178" s="196">
        <v>12000.0</v>
      </c>
      <c r="L1178" s="87"/>
      <c r="M1178" s="197" t="s">
        <v>587</v>
      </c>
      <c r="N1178" s="168"/>
    </row>
    <row r="1179" ht="22.5" hidden="1" customHeight="1">
      <c r="A1179" s="137" t="s">
        <v>605</v>
      </c>
      <c r="B1179" s="90">
        <v>46074.0</v>
      </c>
      <c r="C1179" s="55">
        <v>2.0</v>
      </c>
      <c r="D1179" s="97" t="s">
        <v>739</v>
      </c>
      <c r="E1179" s="201" t="s">
        <v>607</v>
      </c>
      <c r="F1179" s="202"/>
      <c r="G1179" s="194" t="s">
        <v>35</v>
      </c>
      <c r="H1179" s="198"/>
      <c r="I1179" s="196"/>
      <c r="J1179" s="179">
        <f>IF(A1179="RAPPI",(VLOOKUP(TRIM(D1179), CATALOGO!F:G, 2, FALSE) * C1179)+I1179,IFERROR(IF(COUNTIF('RESTAURANTESDESCUENTOS 2026'!A:A,TRIM(A1179))&gt;0,((VLOOKUP(TRIM(D1179), CATALOGO!A:B, 2, FALSE) * C1179)*(1-VALUE(SUBSTITUTE(VLOOKUP(TRIM(A1179),'RESTAURANTESDESCUENTOS 2026'!A:B,2,FALSE),"%",""))/100)+I1179),(VLOOKUP(TRIM(D1179), CATALOGO!A:B, 2, FALSE) * C1179+I1179)),""))</f>
        <v>326000</v>
      </c>
      <c r="K1179" s="196"/>
      <c r="L1179" s="87"/>
      <c r="M1179" s="197" t="s">
        <v>587</v>
      </c>
      <c r="N1179" s="168"/>
    </row>
    <row r="1180" ht="22.5" hidden="1" customHeight="1">
      <c r="A1180" s="137" t="s">
        <v>605</v>
      </c>
      <c r="B1180" s="90">
        <v>46074.0</v>
      </c>
      <c r="C1180" s="55">
        <v>2.0</v>
      </c>
      <c r="D1180" s="97" t="s">
        <v>179</v>
      </c>
      <c r="E1180" s="201" t="s">
        <v>607</v>
      </c>
      <c r="F1180" s="202"/>
      <c r="G1180" s="194" t="s">
        <v>35</v>
      </c>
      <c r="H1180" s="198"/>
      <c r="I1180" s="196"/>
      <c r="J1180" s="179">
        <f>IF(A1180="RAPPI",(VLOOKUP(TRIM(D1180), CATALOGO!F:G, 2, FALSE) * C1180)+I1180,IFERROR(IF(COUNTIF('RESTAURANTESDESCUENTOS 2026'!A:A,TRIM(A1180))&gt;0,((VLOOKUP(TRIM(D1180), CATALOGO!A:B, 2, FALSE) * C1180)*(1-VALUE(SUBSTITUTE(VLOOKUP(TRIM(A1180),'RESTAURANTESDESCUENTOS 2026'!A:B,2,FALSE),"%",""))/100)+I1180),(VLOOKUP(TRIM(D1180), CATALOGO!A:B, 2, FALSE) * C1180+I1180)),""))</f>
        <v>110000</v>
      </c>
      <c r="K1180" s="196"/>
      <c r="L1180" s="87"/>
      <c r="M1180" s="197" t="s">
        <v>587</v>
      </c>
      <c r="N1180" s="168"/>
    </row>
    <row r="1181" ht="22.5" hidden="1" customHeight="1">
      <c r="A1181" s="137" t="s">
        <v>605</v>
      </c>
      <c r="B1181" s="90">
        <v>46074.0</v>
      </c>
      <c r="C1181" s="55">
        <v>1.0</v>
      </c>
      <c r="D1181" s="97" t="s">
        <v>653</v>
      </c>
      <c r="E1181" s="201" t="s">
        <v>607</v>
      </c>
      <c r="F1181" s="202"/>
      <c r="G1181" s="194" t="s">
        <v>35</v>
      </c>
      <c r="H1181" s="198"/>
      <c r="I1181" s="196"/>
      <c r="J1181" s="179">
        <f>IF(A1181="RAPPI",(VLOOKUP(TRIM(D1181), CATALOGO!F:G, 2, FALSE) * C1181)+I1181,IFERROR(IF(COUNTIF('RESTAURANTESDESCUENTOS 2026'!A:A,TRIM(A1181))&gt;0,((VLOOKUP(TRIM(D1181), CATALOGO!A:B, 2, FALSE) * C1181)*(1-VALUE(SUBSTITUTE(VLOOKUP(TRIM(A1181),'RESTAURANTESDESCUENTOS 2026'!A:B,2,FALSE),"%",""))/100)+I1181),(VLOOKUP(TRIM(D1181), CATALOGO!A:B, 2, FALSE) * C1181+I1181)),""))</f>
        <v>123000</v>
      </c>
      <c r="K1181" s="196"/>
      <c r="L1181" s="87"/>
      <c r="M1181" s="197" t="s">
        <v>587</v>
      </c>
      <c r="N1181" s="168"/>
    </row>
    <row r="1182" ht="22.5" hidden="1" customHeight="1">
      <c r="A1182" s="137" t="s">
        <v>603</v>
      </c>
      <c r="B1182" s="90">
        <v>46074.0</v>
      </c>
      <c r="C1182" s="55">
        <v>1.0</v>
      </c>
      <c r="D1182" s="97" t="s">
        <v>757</v>
      </c>
      <c r="E1182" s="201">
        <v>8489.0</v>
      </c>
      <c r="F1182" s="202"/>
      <c r="G1182" s="194" t="s">
        <v>587</v>
      </c>
      <c r="H1182" s="195" t="s">
        <v>603</v>
      </c>
      <c r="I1182" s="196"/>
      <c r="J1182" s="179">
        <f>IF(A1182="RAPPI",(VLOOKUP(TRIM(D1182), CATALOGO!F:G, 2, FALSE) * C1182)+I1182,IFERROR(IF(COUNTIF('RESTAURANTESDESCUENTOS 2026'!A:A,TRIM(A1182))&gt;0,((VLOOKUP(TRIM(D1182), CATALOGO!A:B, 2, FALSE) * C1182)*(1-VALUE(SUBSTITUTE(VLOOKUP(TRIM(A1182),'RESTAURANTESDESCUENTOS 2026'!A:B,2,FALSE),"%",""))/100)+I1182),(VLOOKUP(TRIM(D1182), CATALOGO!A:B, 2, FALSE) * C1182+I1182)),""))</f>
        <v>22000</v>
      </c>
      <c r="K1182" s="196"/>
      <c r="L1182" s="87"/>
      <c r="M1182" s="197" t="s">
        <v>587</v>
      </c>
      <c r="N1182" s="168"/>
    </row>
    <row r="1183" ht="22.5" hidden="1" customHeight="1">
      <c r="A1183" s="137" t="s">
        <v>977</v>
      </c>
      <c r="B1183" s="90">
        <v>46074.0</v>
      </c>
      <c r="C1183" s="55">
        <v>1.0</v>
      </c>
      <c r="D1183" s="97" t="s">
        <v>653</v>
      </c>
      <c r="E1183" s="201" t="s">
        <v>864</v>
      </c>
      <c r="F1183" s="202"/>
      <c r="G1183" s="194" t="s">
        <v>587</v>
      </c>
      <c r="H1183" s="195" t="s">
        <v>588</v>
      </c>
      <c r="I1183" s="196">
        <v>12000.0</v>
      </c>
      <c r="J1183" s="179">
        <f>IF(A1183="RAPPI",(VLOOKUP(TRIM(D1183), CATALOGO!F:G, 2, FALSE) * C1183)+I1183,IFERROR(IF(COUNTIF('RESTAURANTESDESCUENTOS 2026'!A:A,TRIM(A1183))&gt;0,((VLOOKUP(TRIM(D1183), CATALOGO!A:B, 2, FALSE) * C1183)*(1-VALUE(SUBSTITUTE(VLOOKUP(TRIM(A1183),'RESTAURANTESDESCUENTOS 2026'!A:B,2,FALSE),"%",""))/100)+I1183),(VLOOKUP(TRIM(D1183), CATALOGO!A:B, 2, FALSE) * C1183+I1183)),""))</f>
        <v>135000</v>
      </c>
      <c r="K1183" s="196">
        <v>13500.0</v>
      </c>
      <c r="L1183" s="87"/>
      <c r="M1183" s="197" t="s">
        <v>587</v>
      </c>
      <c r="N1183" s="168"/>
    </row>
    <row r="1184" ht="22.5" hidden="1" customHeight="1">
      <c r="A1184" s="137" t="s">
        <v>605</v>
      </c>
      <c r="B1184" s="90">
        <v>46074.0</v>
      </c>
      <c r="C1184" s="55">
        <v>1.0</v>
      </c>
      <c r="D1184" s="97" t="s">
        <v>174</v>
      </c>
      <c r="E1184" s="201" t="s">
        <v>607</v>
      </c>
      <c r="F1184" s="202"/>
      <c r="G1184" s="194" t="s">
        <v>35</v>
      </c>
      <c r="H1184" s="198"/>
      <c r="I1184" s="196"/>
      <c r="J1184" s="179">
        <f>IF(A1184="RAPPI",(VLOOKUP(TRIM(D1184), CATALOGO!F:G, 2, FALSE) * C1184)+I1184,IFERROR(IF(COUNTIF('RESTAURANTESDESCUENTOS 2026'!A:A,TRIM(A1184))&gt;0,((VLOOKUP(TRIM(D1184), CATALOGO!A:B, 2, FALSE) * C1184)*(1-VALUE(SUBSTITUTE(VLOOKUP(TRIM(A1184),'RESTAURANTESDESCUENTOS 2026'!A:B,2,FALSE),"%",""))/100)+I1184),(VLOOKUP(TRIM(D1184), CATALOGO!A:B, 2, FALSE) * C1184+I1184)),""))</f>
        <v>18000</v>
      </c>
      <c r="K1184" s="196"/>
      <c r="L1184" s="87"/>
      <c r="M1184" s="197" t="s">
        <v>587</v>
      </c>
      <c r="N1184" s="168"/>
    </row>
    <row r="1185" ht="22.5" hidden="1" customHeight="1">
      <c r="A1185" s="137" t="s">
        <v>605</v>
      </c>
      <c r="B1185" s="90">
        <v>46074.0</v>
      </c>
      <c r="C1185" s="55">
        <v>1.0</v>
      </c>
      <c r="D1185" s="97" t="s">
        <v>601</v>
      </c>
      <c r="E1185" s="201" t="s">
        <v>607</v>
      </c>
      <c r="F1185" s="202"/>
      <c r="G1185" s="194" t="s">
        <v>35</v>
      </c>
      <c r="H1185" s="198"/>
      <c r="I1185" s="196"/>
      <c r="J1185" s="179">
        <f>IF(A1185="RAPPI",(VLOOKUP(TRIM(D1185), CATALOGO!F:G, 2, FALSE) * C1185)+I1185,IFERROR(IF(COUNTIF('RESTAURANTESDESCUENTOS 2026'!A:A,TRIM(A1185))&gt;0,((VLOOKUP(TRIM(D1185), CATALOGO!A:B, 2, FALSE) * C1185)*(1-VALUE(SUBSTITUTE(VLOOKUP(TRIM(A1185),'RESTAURANTESDESCUENTOS 2026'!A:B,2,FALSE),"%",""))/100)+I1185),(VLOOKUP(TRIM(D1185), CATALOGO!A:B, 2, FALSE) * C1185+I1185)),""))</f>
        <v>53000</v>
      </c>
      <c r="K1185" s="196"/>
      <c r="L1185" s="87"/>
      <c r="M1185" s="197" t="s">
        <v>587</v>
      </c>
      <c r="N1185" s="168"/>
    </row>
    <row r="1186" ht="22.5" hidden="1" customHeight="1">
      <c r="A1186" s="137" t="s">
        <v>603</v>
      </c>
      <c r="B1186" s="90">
        <v>46074.0</v>
      </c>
      <c r="C1186" s="55">
        <v>1.0</v>
      </c>
      <c r="D1186" s="97" t="s">
        <v>640</v>
      </c>
      <c r="E1186" s="201">
        <v>7394.0</v>
      </c>
      <c r="F1186" s="202"/>
      <c r="G1186" s="194" t="s">
        <v>587</v>
      </c>
      <c r="H1186" s="195" t="s">
        <v>603</v>
      </c>
      <c r="I1186" s="196"/>
      <c r="J1186" s="179">
        <f>IF(A1186="RAPPI",(VLOOKUP(TRIM(D1186), CATALOGO!F:G, 2, FALSE) * C1186)+I1186,IFERROR(IF(COUNTIF('RESTAURANTESDESCUENTOS 2026'!A:A,TRIM(A1186))&gt;0,((VLOOKUP(TRIM(D1186), CATALOGO!A:B, 2, FALSE) * C1186)*(1-VALUE(SUBSTITUTE(VLOOKUP(TRIM(A1186),'RESTAURANTESDESCUENTOS 2026'!A:B,2,FALSE),"%",""))/100)+I1186),(VLOOKUP(TRIM(D1186), CATALOGO!A:B, 2, FALSE) * C1186+I1186)),""))</f>
        <v>53000</v>
      </c>
      <c r="K1186" s="196"/>
      <c r="L1186" s="87"/>
      <c r="M1186" s="197" t="s">
        <v>587</v>
      </c>
      <c r="N1186" s="168"/>
    </row>
    <row r="1187" ht="22.5" hidden="1" customHeight="1">
      <c r="A1187" s="137" t="s">
        <v>605</v>
      </c>
      <c r="B1187" s="90">
        <v>46074.0</v>
      </c>
      <c r="C1187" s="55">
        <v>1.0</v>
      </c>
      <c r="D1187" s="97" t="s">
        <v>653</v>
      </c>
      <c r="E1187" s="201" t="s">
        <v>606</v>
      </c>
      <c r="F1187" s="202"/>
      <c r="G1187" s="194" t="s">
        <v>35</v>
      </c>
      <c r="H1187" s="198"/>
      <c r="I1187" s="196"/>
      <c r="J1187" s="179">
        <f>IF(A1187="RAPPI",(VLOOKUP(TRIM(D1187), CATALOGO!F:G, 2, FALSE) * C1187)+I1187,IFERROR(IF(COUNTIF('RESTAURANTESDESCUENTOS 2026'!A:A,TRIM(A1187))&gt;0,((VLOOKUP(TRIM(D1187), CATALOGO!A:B, 2, FALSE) * C1187)*(1-VALUE(SUBSTITUTE(VLOOKUP(TRIM(A1187),'RESTAURANTESDESCUENTOS 2026'!A:B,2,FALSE),"%",""))/100)+I1187),(VLOOKUP(TRIM(D1187), CATALOGO!A:B, 2, FALSE) * C1187+I1187)),""))</f>
        <v>123000</v>
      </c>
      <c r="K1187" s="196"/>
      <c r="L1187" s="87"/>
      <c r="M1187" s="197" t="s">
        <v>587</v>
      </c>
      <c r="N1187" s="168"/>
    </row>
    <row r="1188" ht="22.5" hidden="1" customHeight="1">
      <c r="A1188" s="137" t="s">
        <v>605</v>
      </c>
      <c r="B1188" s="90">
        <v>46074.0</v>
      </c>
      <c r="C1188" s="55">
        <v>1.0</v>
      </c>
      <c r="D1188" s="97" t="s">
        <v>176</v>
      </c>
      <c r="E1188" s="201" t="s">
        <v>606</v>
      </c>
      <c r="F1188" s="202"/>
      <c r="G1188" s="194" t="s">
        <v>35</v>
      </c>
      <c r="H1188" s="198"/>
      <c r="I1188" s="196"/>
      <c r="J1188" s="179">
        <f>IF(A1188="RAPPI",(VLOOKUP(TRIM(D1188), CATALOGO!F:G, 2, FALSE) * C1188)+I1188,IFERROR(IF(COUNTIF('RESTAURANTESDESCUENTOS 2026'!A:A,TRIM(A1188))&gt;0,((VLOOKUP(TRIM(D1188), CATALOGO!A:B, 2, FALSE) * C1188)*(1-VALUE(SUBSTITUTE(VLOOKUP(TRIM(A1188),'RESTAURANTESDESCUENTOS 2026'!A:B,2,FALSE),"%",""))/100)+I1188),(VLOOKUP(TRIM(D1188), CATALOGO!A:B, 2, FALSE) * C1188+I1188)),""))</f>
        <v>50000</v>
      </c>
      <c r="K1188" s="196"/>
      <c r="L1188" s="87"/>
      <c r="M1188" s="197" t="s">
        <v>587</v>
      </c>
      <c r="N1188" s="168"/>
    </row>
    <row r="1189" ht="22.5" hidden="1" customHeight="1">
      <c r="A1189" s="137" t="s">
        <v>605</v>
      </c>
      <c r="B1189" s="90">
        <v>46074.0</v>
      </c>
      <c r="C1189" s="55">
        <v>1.0</v>
      </c>
      <c r="D1189" s="97" t="s">
        <v>177</v>
      </c>
      <c r="E1189" s="201" t="s">
        <v>606</v>
      </c>
      <c r="F1189" s="202"/>
      <c r="G1189" s="194" t="s">
        <v>35</v>
      </c>
      <c r="H1189" s="198"/>
      <c r="I1189" s="196"/>
      <c r="J1189" s="179">
        <f>IF(A1189="RAPPI",(VLOOKUP(TRIM(D1189), CATALOGO!F:G, 2, FALSE) * C1189)+I1189,IFERROR(IF(COUNTIF('RESTAURANTESDESCUENTOS 2026'!A:A,TRIM(A1189))&gt;0,((VLOOKUP(TRIM(D1189), CATALOGO!A:B, 2, FALSE) * C1189)*(1-VALUE(SUBSTITUTE(VLOOKUP(TRIM(A1189),'RESTAURANTESDESCUENTOS 2026'!A:B,2,FALSE),"%",""))/100)+I1189),(VLOOKUP(TRIM(D1189), CATALOGO!A:B, 2, FALSE) * C1189+I1189)),""))</f>
        <v>115000</v>
      </c>
      <c r="K1189" s="196"/>
      <c r="L1189" s="87"/>
      <c r="M1189" s="197" t="s">
        <v>587</v>
      </c>
      <c r="N1189" s="168"/>
    </row>
    <row r="1190" ht="22.5" hidden="1" customHeight="1">
      <c r="A1190" s="137" t="s">
        <v>623</v>
      </c>
      <c r="B1190" s="90">
        <v>46076.0</v>
      </c>
      <c r="C1190" s="55">
        <v>1.0</v>
      </c>
      <c r="D1190" s="97" t="s">
        <v>189</v>
      </c>
      <c r="E1190" s="201"/>
      <c r="F1190" s="202"/>
      <c r="G1190" s="194" t="s">
        <v>587</v>
      </c>
      <c r="H1190" s="195" t="s">
        <v>632</v>
      </c>
      <c r="I1190" s="196">
        <v>10000.0</v>
      </c>
      <c r="J1190" s="179">
        <f>IF(A1190="RAPPI",(VLOOKUP(TRIM(D1190), CATALOGO!F:G, 2, FALSE) * C1190)+I1190,IFERROR(IF(COUNTIF('RESTAURANTESDESCUENTOS 2026'!A:A,TRIM(A1190))&gt;0,((VLOOKUP(TRIM(D1190), CATALOGO!A:B, 2, FALSE) * C1190)*(1-VALUE(SUBSTITUTE(VLOOKUP(TRIM(A1190),'RESTAURANTESDESCUENTOS 2026'!A:B,2,FALSE),"%",""))/100)+I1190),(VLOOKUP(TRIM(D1190), CATALOGO!A:B, 2, FALSE) * C1190+I1190)),""))</f>
        <v>155000</v>
      </c>
      <c r="K1190" s="196">
        <v>10000.0</v>
      </c>
      <c r="L1190" s="87"/>
      <c r="M1190" s="197" t="s">
        <v>587</v>
      </c>
      <c r="N1190" s="168"/>
    </row>
    <row r="1191" ht="22.5" hidden="1" customHeight="1">
      <c r="A1191" s="137" t="s">
        <v>597</v>
      </c>
      <c r="B1191" s="90">
        <v>46076.0</v>
      </c>
      <c r="C1191" s="55">
        <v>8.0</v>
      </c>
      <c r="D1191" s="97" t="s">
        <v>178</v>
      </c>
      <c r="E1191" s="201" t="s">
        <v>552</v>
      </c>
      <c r="F1191" s="202"/>
      <c r="G1191" s="194" t="s">
        <v>35</v>
      </c>
      <c r="H1191" s="198"/>
      <c r="I1191" s="196">
        <v>0.0</v>
      </c>
      <c r="J1191" s="199">
        <v>0.0</v>
      </c>
      <c r="K1191" s="196"/>
      <c r="L1191" s="87"/>
      <c r="M1191" s="197" t="s">
        <v>587</v>
      </c>
      <c r="N1191" s="168"/>
    </row>
    <row r="1192" ht="22.5" hidden="1" customHeight="1">
      <c r="A1192" s="137" t="s">
        <v>597</v>
      </c>
      <c r="B1192" s="90">
        <v>46076.0</v>
      </c>
      <c r="C1192" s="55">
        <v>4.0</v>
      </c>
      <c r="D1192" s="97" t="s">
        <v>177</v>
      </c>
      <c r="E1192" s="201"/>
      <c r="F1192" s="202"/>
      <c r="G1192" s="194" t="s">
        <v>35</v>
      </c>
      <c r="H1192" s="198"/>
      <c r="I1192" s="196">
        <v>0.0</v>
      </c>
      <c r="J1192" s="199">
        <v>0.0</v>
      </c>
      <c r="K1192" s="196">
        <v>0.0</v>
      </c>
      <c r="L1192" s="87"/>
      <c r="M1192" s="197" t="s">
        <v>587</v>
      </c>
      <c r="N1192" s="168"/>
    </row>
    <row r="1193" ht="22.5" hidden="1" customHeight="1">
      <c r="A1193" s="137" t="s">
        <v>597</v>
      </c>
      <c r="B1193" s="90">
        <v>46076.0</v>
      </c>
      <c r="C1193" s="55">
        <v>6.0</v>
      </c>
      <c r="D1193" s="97" t="s">
        <v>176</v>
      </c>
      <c r="E1193" s="201"/>
      <c r="F1193" s="202"/>
      <c r="G1193" s="194" t="s">
        <v>35</v>
      </c>
      <c r="H1193" s="198"/>
      <c r="I1193" s="196">
        <v>0.0</v>
      </c>
      <c r="J1193" s="199">
        <v>0.0</v>
      </c>
      <c r="K1193" s="196">
        <v>0.0</v>
      </c>
      <c r="L1193" s="87"/>
      <c r="M1193" s="197" t="s">
        <v>587</v>
      </c>
      <c r="N1193" s="168"/>
    </row>
    <row r="1194" ht="22.5" hidden="1" customHeight="1">
      <c r="A1194" s="137" t="s">
        <v>46</v>
      </c>
      <c r="B1194" s="90">
        <v>46076.0</v>
      </c>
      <c r="C1194" s="55">
        <v>1.0</v>
      </c>
      <c r="D1194" s="97" t="s">
        <v>177</v>
      </c>
      <c r="E1194" s="201" t="s">
        <v>610</v>
      </c>
      <c r="F1194" s="202"/>
      <c r="G1194" s="194" t="s">
        <v>587</v>
      </c>
      <c r="H1194" s="195" t="s">
        <v>632</v>
      </c>
      <c r="I1194" s="196">
        <v>0.0</v>
      </c>
      <c r="J1194" s="179">
        <f>IF(A1194="RAPPI",(VLOOKUP(TRIM(D1194), CATALOGO!F:G, 2, FALSE) * C1194)+I1194,IFERROR(IF(COUNTIF('RESTAURANTESDESCUENTOS 2026'!A:A,TRIM(A1194))&gt;0,((VLOOKUP(TRIM(D1194), CATALOGO!A:B, 2, FALSE) * C1194)*(1-VALUE(SUBSTITUTE(VLOOKUP(TRIM(A1194),'RESTAURANTESDESCUENTOS 2026'!A:B,2,FALSE),"%",""))/100)+I1194),(VLOOKUP(TRIM(D1194), CATALOGO!A:B, 2, FALSE) * C1194+I1194)),""))</f>
        <v>86250</v>
      </c>
      <c r="K1194" s="196">
        <v>0.0</v>
      </c>
      <c r="L1194" s="87" t="s">
        <v>587</v>
      </c>
      <c r="M1194" s="197" t="s">
        <v>587</v>
      </c>
      <c r="N1194" s="168"/>
    </row>
    <row r="1195" ht="22.5" hidden="1" customHeight="1">
      <c r="A1195" s="137" t="s">
        <v>798</v>
      </c>
      <c r="B1195" s="90">
        <v>46076.0</v>
      </c>
      <c r="C1195" s="55">
        <v>2.0</v>
      </c>
      <c r="D1195" s="97" t="s">
        <v>178</v>
      </c>
      <c r="E1195" s="201" t="s">
        <v>610</v>
      </c>
      <c r="F1195" s="202"/>
      <c r="G1195" s="194" t="s">
        <v>587</v>
      </c>
      <c r="H1195" s="195" t="s">
        <v>907</v>
      </c>
      <c r="I1195" s="196">
        <v>25000.0</v>
      </c>
      <c r="J1195" s="179">
        <f>IF(A1195="RAPPI",(VLOOKUP(TRIM(D1195), CATALOGO!F:G, 2, FALSE) * C1195)+I1195,IFERROR(IF(COUNTIF('RESTAURANTESDESCUENTOS 2026'!A:A,TRIM(A1195))&gt;0,((VLOOKUP(TRIM(D1195), CATALOGO!A:B, 2, FALSE) * C1195)*(1-VALUE(SUBSTITUTE(VLOOKUP(TRIM(A1195),'RESTAURANTESDESCUENTOS 2026'!A:B,2,FALSE),"%",""))/100)+I1195),(VLOOKUP(TRIM(D1195), CATALOGO!A:B, 2, FALSE) * C1195+I1195)),""))</f>
        <v>325000</v>
      </c>
      <c r="K1195" s="196">
        <v>25000.0</v>
      </c>
      <c r="L1195" s="87" t="s">
        <v>587</v>
      </c>
      <c r="M1195" s="197" t="s">
        <v>587</v>
      </c>
      <c r="N1195" s="168"/>
    </row>
    <row r="1196" ht="22.5" hidden="1" customHeight="1">
      <c r="A1196" s="137" t="s">
        <v>99</v>
      </c>
      <c r="B1196" s="90">
        <v>46076.0</v>
      </c>
      <c r="C1196" s="55">
        <v>3.0</v>
      </c>
      <c r="D1196" s="97" t="s">
        <v>178</v>
      </c>
      <c r="E1196" s="201" t="s">
        <v>610</v>
      </c>
      <c r="F1196" s="202"/>
      <c r="G1196" s="194" t="s">
        <v>587</v>
      </c>
      <c r="H1196" s="195" t="s">
        <v>632</v>
      </c>
      <c r="I1196" s="196">
        <v>5000.0</v>
      </c>
      <c r="J1196" s="179">
        <f>IF(A1196="RAPPI",(VLOOKUP(TRIM(D1196), CATALOGO!F:G, 2, FALSE) * C1196)+I1196,IFERROR(IF(COUNTIF('RESTAURANTESDESCUENTOS 2026'!A:A,TRIM(A1196))&gt;0,((VLOOKUP(TRIM(D1196), CATALOGO!A:B, 2, FALSE) * C1196)*(1-VALUE(SUBSTITUTE(VLOOKUP(TRIM(A1196),'RESTAURANTESDESCUENTOS 2026'!A:B,2,FALSE),"%",""))/100)+I1196),(VLOOKUP(TRIM(D1196), CATALOGO!A:B, 2, FALSE) * C1196+I1196)),""))</f>
        <v>320000</v>
      </c>
      <c r="K1196" s="196">
        <v>10000.0</v>
      </c>
      <c r="L1196" s="87" t="s">
        <v>587</v>
      </c>
      <c r="M1196" s="197" t="s">
        <v>587</v>
      </c>
      <c r="N1196" s="168"/>
    </row>
    <row r="1197" ht="22.5" hidden="1" customHeight="1">
      <c r="A1197" s="137" t="s">
        <v>33</v>
      </c>
      <c r="B1197" s="90">
        <v>46076.0</v>
      </c>
      <c r="C1197" s="55">
        <v>1.0</v>
      </c>
      <c r="D1197" s="97" t="s">
        <v>177</v>
      </c>
      <c r="E1197" s="201" t="s">
        <v>610</v>
      </c>
      <c r="F1197" s="202"/>
      <c r="G1197" s="194" t="s">
        <v>587</v>
      </c>
      <c r="H1197" s="195" t="s">
        <v>632</v>
      </c>
      <c r="I1197" s="196">
        <v>0.0</v>
      </c>
      <c r="J1197" s="179">
        <f>IF(A1197="RAPPI",(VLOOKUP(TRIM(D1197), CATALOGO!F:G, 2, FALSE) * C1197)+I1197,IFERROR(IF(COUNTIF('RESTAURANTESDESCUENTOS 2026'!A:A,TRIM(A1197))&gt;0,((VLOOKUP(TRIM(D1197), CATALOGO!A:B, 2, FALSE) * C1197)*(1-VALUE(SUBSTITUTE(VLOOKUP(TRIM(A1197),'RESTAURANTESDESCUENTOS 2026'!A:B,2,FALSE),"%",""))/100)+I1197),(VLOOKUP(TRIM(D1197), CATALOGO!A:B, 2, FALSE) * C1197+I1197)),""))</f>
        <v>86250</v>
      </c>
      <c r="K1197" s="196">
        <v>18000.0</v>
      </c>
      <c r="L1197" s="87" t="s">
        <v>587</v>
      </c>
      <c r="M1197" s="197" t="s">
        <v>587</v>
      </c>
      <c r="N1197" s="168"/>
    </row>
    <row r="1198" ht="22.5" hidden="1" customHeight="1">
      <c r="A1198" s="137" t="s">
        <v>968</v>
      </c>
      <c r="B1198" s="90">
        <v>46076.0</v>
      </c>
      <c r="C1198" s="55">
        <v>1.0</v>
      </c>
      <c r="D1198" s="97" t="s">
        <v>178</v>
      </c>
      <c r="E1198" s="201" t="s">
        <v>552</v>
      </c>
      <c r="F1198" s="202"/>
      <c r="G1198" s="194" t="s">
        <v>587</v>
      </c>
      <c r="H1198" s="195" t="s">
        <v>632</v>
      </c>
      <c r="I1198" s="196">
        <v>10000.0</v>
      </c>
      <c r="J1198" s="179">
        <f>IF(A1198="RAPPI",(VLOOKUP(TRIM(D1198), CATALOGO!F:G, 2, FALSE) * C1198)+I1198,IFERROR(IF(COUNTIF('RESTAURANTESDESCUENTOS 2026'!A:A,TRIM(A1198))&gt;0,((VLOOKUP(TRIM(D1198), CATALOGO!A:B, 2, FALSE) * C1198)*(1-VALUE(SUBSTITUTE(VLOOKUP(TRIM(A1198),'RESTAURANTESDESCUENTOS 2026'!A:B,2,FALSE),"%",""))/100)+I1198),(VLOOKUP(TRIM(D1198), CATALOGO!A:B, 2, FALSE) * C1198+I1198)),""))</f>
        <v>122500</v>
      </c>
      <c r="K1198" s="196">
        <v>10000.0</v>
      </c>
      <c r="L1198" s="87" t="s">
        <v>587</v>
      </c>
      <c r="M1198" s="197" t="s">
        <v>587</v>
      </c>
      <c r="N1198" s="168"/>
    </row>
    <row r="1199" ht="22.5" hidden="1" customHeight="1">
      <c r="A1199" s="137" t="s">
        <v>86</v>
      </c>
      <c r="B1199" s="90">
        <v>46076.0</v>
      </c>
      <c r="C1199" s="55">
        <v>1.0</v>
      </c>
      <c r="D1199" s="97" t="s">
        <v>177</v>
      </c>
      <c r="E1199" s="201" t="s">
        <v>610</v>
      </c>
      <c r="F1199" s="202"/>
      <c r="G1199" s="194" t="s">
        <v>587</v>
      </c>
      <c r="H1199" s="195" t="s">
        <v>632</v>
      </c>
      <c r="I1199" s="196">
        <v>0.0</v>
      </c>
      <c r="J1199" s="179">
        <f>IF(A1199="RAPPI",(VLOOKUP(TRIM(D1199), CATALOGO!F:G, 2, FALSE) * C1199)+I1199,IFERROR(IF(COUNTIF('RESTAURANTESDESCUENTOS 2026'!A:A,TRIM(A1199))&gt;0,((VLOOKUP(TRIM(D1199), CATALOGO!A:B, 2, FALSE) * C1199)*(1-VALUE(SUBSTITUTE(VLOOKUP(TRIM(A1199),'RESTAURANTESDESCUENTOS 2026'!A:B,2,FALSE),"%",""))/100)+I1199),(VLOOKUP(TRIM(D1199), CATALOGO!A:B, 2, FALSE) * C1199+I1199)),""))</f>
        <v>86250</v>
      </c>
      <c r="K1199" s="196">
        <v>15000.0</v>
      </c>
      <c r="L1199" s="87" t="s">
        <v>587</v>
      </c>
      <c r="M1199" s="197" t="s">
        <v>587</v>
      </c>
      <c r="N1199" s="168"/>
    </row>
    <row r="1200" ht="22.5" hidden="1" customHeight="1">
      <c r="A1200" s="137" t="s">
        <v>622</v>
      </c>
      <c r="B1200" s="90">
        <v>46076.0</v>
      </c>
      <c r="C1200" s="55">
        <v>1.0</v>
      </c>
      <c r="D1200" s="97" t="s">
        <v>178</v>
      </c>
      <c r="E1200" s="201" t="s">
        <v>28</v>
      </c>
      <c r="F1200" s="202"/>
      <c r="G1200" s="194" t="s">
        <v>35</v>
      </c>
      <c r="H1200" s="198"/>
      <c r="I1200" s="196"/>
      <c r="J1200" s="199">
        <v>0.0</v>
      </c>
      <c r="K1200" s="196"/>
      <c r="L1200" s="87"/>
      <c r="M1200" s="197" t="s">
        <v>587</v>
      </c>
      <c r="N1200" s="168"/>
    </row>
    <row r="1201" ht="22.5" hidden="1" customHeight="1">
      <c r="A1201" s="137" t="s">
        <v>978</v>
      </c>
      <c r="B1201" s="90">
        <v>46076.0</v>
      </c>
      <c r="C1201" s="55">
        <v>2.0</v>
      </c>
      <c r="D1201" s="97" t="s">
        <v>177</v>
      </c>
      <c r="E1201" s="201" t="s">
        <v>610</v>
      </c>
      <c r="F1201" s="202"/>
      <c r="G1201" s="194" t="s">
        <v>587</v>
      </c>
      <c r="H1201" s="195" t="s">
        <v>632</v>
      </c>
      <c r="I1201" s="196">
        <v>0.0</v>
      </c>
      <c r="J1201" s="179">
        <f>IF(A1201="RAPPI",(VLOOKUP(TRIM(D1201), CATALOGO!F:G, 2, FALSE) * C1201)+I1201,IFERROR(IF(COUNTIF('RESTAURANTESDESCUENTOS 2026'!A:A,TRIM(A1201))&gt;0,((VLOOKUP(TRIM(D1201), CATALOGO!A:B, 2, FALSE) * C1201)*(1-VALUE(SUBSTITUTE(VLOOKUP(TRIM(A1201),'RESTAURANTESDESCUENTOS 2026'!A:B,2,FALSE),"%",""))/100)+I1201),(VLOOKUP(TRIM(D1201), CATALOGO!A:B, 2, FALSE) * C1201+I1201)),""))</f>
        <v>230000</v>
      </c>
      <c r="K1201" s="196">
        <v>10000.0</v>
      </c>
      <c r="L1201" s="87" t="s">
        <v>587</v>
      </c>
      <c r="M1201" s="197" t="s">
        <v>587</v>
      </c>
      <c r="N1201" s="168"/>
    </row>
    <row r="1202" ht="22.5" hidden="1" customHeight="1">
      <c r="A1202" s="137" t="s">
        <v>96</v>
      </c>
      <c r="B1202" s="90">
        <v>46076.0</v>
      </c>
      <c r="C1202" s="55">
        <v>1.0</v>
      </c>
      <c r="D1202" s="97" t="s">
        <v>178</v>
      </c>
      <c r="E1202" s="201" t="s">
        <v>610</v>
      </c>
      <c r="F1202" s="202"/>
      <c r="G1202" s="194" t="s">
        <v>587</v>
      </c>
      <c r="H1202" s="195" t="s">
        <v>632</v>
      </c>
      <c r="I1202" s="196">
        <v>5000.0</v>
      </c>
      <c r="J1202" s="179">
        <f>IF(A1202="RAPPI",(VLOOKUP(TRIM(D1202), CATALOGO!F:G, 2, FALSE) * C1202)+I1202,IFERROR(IF(COUNTIF('RESTAURANTESDESCUENTOS 2026'!A:A,TRIM(A1202))&gt;0,((VLOOKUP(TRIM(D1202), CATALOGO!A:B, 2, FALSE) * C1202)*(1-VALUE(SUBSTITUTE(VLOOKUP(TRIM(A1202),'RESTAURANTESDESCUENTOS 2026'!A:B,2,FALSE),"%",""))/100)+I1202),(VLOOKUP(TRIM(D1202), CATALOGO!A:B, 2, FALSE) * C1202+I1202)),""))</f>
        <v>110000</v>
      </c>
      <c r="K1202" s="196">
        <v>10000.0</v>
      </c>
      <c r="L1202" s="87" t="s">
        <v>587</v>
      </c>
      <c r="M1202" s="197" t="s">
        <v>587</v>
      </c>
      <c r="N1202" s="168"/>
    </row>
    <row r="1203" ht="22.5" hidden="1" customHeight="1">
      <c r="A1203" s="137" t="s">
        <v>25</v>
      </c>
      <c r="B1203" s="90">
        <v>46076.0</v>
      </c>
      <c r="C1203" s="55">
        <v>1.0</v>
      </c>
      <c r="D1203" s="97" t="s">
        <v>178</v>
      </c>
      <c r="E1203" s="201" t="s">
        <v>552</v>
      </c>
      <c r="F1203" s="202"/>
      <c r="G1203" s="194" t="s">
        <v>35</v>
      </c>
      <c r="H1203" s="198"/>
      <c r="I1203" s="196">
        <v>0.0</v>
      </c>
      <c r="J1203" s="179">
        <f>IF(A1203="RAPPI",(VLOOKUP(TRIM(D1203), CATALOGO!F:G, 2, FALSE) * C1203)+I1203,IFERROR(IF(COUNTIF('RESTAURANTESDESCUENTOS 2026'!A:A,TRIM(A1203))&gt;0,((VLOOKUP(TRIM(D1203), CATALOGO!A:B, 2, FALSE) * C1203)*(1-VALUE(SUBSTITUTE(VLOOKUP(TRIM(A1203),'RESTAURANTESDESCUENTOS 2026'!A:B,2,FALSE),"%",""))/100)+I1203),(VLOOKUP(TRIM(D1203), CATALOGO!A:B, 2, FALSE) * C1203+I1203)),""))</f>
        <v>112500</v>
      </c>
      <c r="K1203" s="196">
        <v>0.0</v>
      </c>
      <c r="L1203" s="87" t="s">
        <v>587</v>
      </c>
      <c r="M1203" s="197" t="s">
        <v>587</v>
      </c>
      <c r="N1203" s="168"/>
    </row>
    <row r="1204" ht="22.5" hidden="1" customHeight="1">
      <c r="A1204" s="137" t="s">
        <v>605</v>
      </c>
      <c r="B1204" s="90">
        <v>46076.0</v>
      </c>
      <c r="C1204" s="55">
        <v>2.0</v>
      </c>
      <c r="D1204" s="97" t="s">
        <v>174</v>
      </c>
      <c r="E1204" s="201" t="s">
        <v>606</v>
      </c>
      <c r="F1204" s="202"/>
      <c r="G1204" s="194" t="s">
        <v>35</v>
      </c>
      <c r="H1204" s="198"/>
      <c r="I1204" s="196"/>
      <c r="J1204" s="179">
        <f>IF(A1204="RAPPI",(VLOOKUP(TRIM(D1204), CATALOGO!F:G, 2, FALSE) * C1204)+I1204,IFERROR(IF(COUNTIF('RESTAURANTESDESCUENTOS 2026'!A:A,TRIM(A1204))&gt;0,((VLOOKUP(TRIM(D1204), CATALOGO!A:B, 2, FALSE) * C1204)*(1-VALUE(SUBSTITUTE(VLOOKUP(TRIM(A1204),'RESTAURANTESDESCUENTOS 2026'!A:B,2,FALSE),"%",""))/100)+I1204),(VLOOKUP(TRIM(D1204), CATALOGO!A:B, 2, FALSE) * C1204+I1204)),""))</f>
        <v>36000</v>
      </c>
      <c r="K1204" s="196"/>
      <c r="L1204" s="87"/>
      <c r="M1204" s="197" t="s">
        <v>587</v>
      </c>
      <c r="N1204" s="168"/>
    </row>
    <row r="1205" ht="22.5" hidden="1" customHeight="1">
      <c r="A1205" s="137" t="s">
        <v>49</v>
      </c>
      <c r="B1205" s="90">
        <v>46076.0</v>
      </c>
      <c r="C1205" s="55">
        <v>1.0</v>
      </c>
      <c r="D1205" s="97" t="s">
        <v>177</v>
      </c>
      <c r="E1205" s="201" t="s">
        <v>610</v>
      </c>
      <c r="F1205" s="202"/>
      <c r="G1205" s="194" t="s">
        <v>35</v>
      </c>
      <c r="H1205" s="198"/>
      <c r="I1205" s="196">
        <v>0.0</v>
      </c>
      <c r="J1205" s="179">
        <f>IF(A1205="RAPPI",(VLOOKUP(TRIM(D1205), CATALOGO!F:G, 2, FALSE) * C1205)+I1205,IFERROR(IF(COUNTIF('RESTAURANTESDESCUENTOS 2026'!A:A,TRIM(A1205))&gt;0,((VLOOKUP(TRIM(D1205), CATALOGO!A:B, 2, FALSE) * C1205)*(1-VALUE(SUBSTITUTE(VLOOKUP(TRIM(A1205),'RESTAURANTESDESCUENTOS 2026'!A:B,2,FALSE),"%",""))/100)+I1205),(VLOOKUP(TRIM(D1205), CATALOGO!A:B, 2, FALSE) * C1205+I1205)),""))</f>
        <v>86250</v>
      </c>
      <c r="K1205" s="196">
        <v>0.0</v>
      </c>
      <c r="L1205" s="87" t="s">
        <v>587</v>
      </c>
      <c r="M1205" s="197" t="s">
        <v>587</v>
      </c>
      <c r="N1205" s="168"/>
    </row>
    <row r="1206" ht="22.5" hidden="1" customHeight="1">
      <c r="A1206" s="137" t="s">
        <v>979</v>
      </c>
      <c r="B1206" s="90">
        <v>46076.0</v>
      </c>
      <c r="C1206" s="55">
        <v>1.0</v>
      </c>
      <c r="D1206" s="97" t="s">
        <v>653</v>
      </c>
      <c r="E1206" s="201"/>
      <c r="F1206" s="202"/>
      <c r="G1206" s="194" t="s">
        <v>587</v>
      </c>
      <c r="H1206" s="195" t="s">
        <v>632</v>
      </c>
      <c r="I1206" s="196">
        <v>13000.0</v>
      </c>
      <c r="J1206" s="179">
        <f>IF(A1206="RAPPI",(VLOOKUP(TRIM(D1206), CATALOGO!F:G, 2, FALSE) * C1206)+I1206,IFERROR(IF(COUNTIF('RESTAURANTESDESCUENTOS 2026'!A:A,TRIM(A1206))&gt;0,((VLOOKUP(TRIM(D1206), CATALOGO!A:B, 2, FALSE) * C1206)*(1-VALUE(SUBSTITUTE(VLOOKUP(TRIM(A1206),'RESTAURANTESDESCUENTOS 2026'!A:B,2,FALSE),"%",""))/100)+I1206),(VLOOKUP(TRIM(D1206), CATALOGO!A:B, 2, FALSE) * C1206+I1206)),""))</f>
        <v>136000</v>
      </c>
      <c r="K1206" s="196">
        <v>13000.0</v>
      </c>
      <c r="L1206" s="87"/>
      <c r="M1206" s="197" t="s">
        <v>587</v>
      </c>
      <c r="N1206" s="168"/>
    </row>
    <row r="1207" ht="22.5" hidden="1" customHeight="1">
      <c r="A1207" s="137" t="s">
        <v>980</v>
      </c>
      <c r="B1207" s="90">
        <v>46076.0</v>
      </c>
      <c r="C1207" s="55">
        <v>1.0</v>
      </c>
      <c r="D1207" s="97" t="s">
        <v>177</v>
      </c>
      <c r="E1207" s="201" t="s">
        <v>864</v>
      </c>
      <c r="F1207" s="202"/>
      <c r="G1207" s="194" t="s">
        <v>587</v>
      </c>
      <c r="H1207" s="195" t="s">
        <v>632</v>
      </c>
      <c r="I1207" s="196">
        <v>13000.0</v>
      </c>
      <c r="J1207" s="179">
        <f>IF(A1207="RAPPI",(VLOOKUP(TRIM(D1207), CATALOGO!F:G, 2, FALSE) * C1207)+I1207,IFERROR(IF(COUNTIF('RESTAURANTESDESCUENTOS 2026'!A:A,TRIM(A1207))&gt;0,((VLOOKUP(TRIM(D1207), CATALOGO!A:B, 2, FALSE) * C1207)*(1-VALUE(SUBSTITUTE(VLOOKUP(TRIM(A1207),'RESTAURANTESDESCUENTOS 2026'!A:B,2,FALSE),"%",""))/100)+I1207),(VLOOKUP(TRIM(D1207), CATALOGO!A:B, 2, FALSE) * C1207+I1207)),""))</f>
        <v>128000</v>
      </c>
      <c r="K1207" s="196">
        <v>13000.0</v>
      </c>
      <c r="L1207" s="87"/>
      <c r="M1207" s="197" t="s">
        <v>587</v>
      </c>
      <c r="N1207" s="168"/>
    </row>
    <row r="1208" ht="22.5" hidden="1" customHeight="1">
      <c r="A1208" s="137" t="s">
        <v>981</v>
      </c>
      <c r="B1208" s="90">
        <v>46076.0</v>
      </c>
      <c r="C1208" s="55">
        <v>1.0</v>
      </c>
      <c r="D1208" s="97" t="s">
        <v>177</v>
      </c>
      <c r="E1208" s="201" t="s">
        <v>645</v>
      </c>
      <c r="F1208" s="202"/>
      <c r="G1208" s="194" t="s">
        <v>587</v>
      </c>
      <c r="H1208" s="195" t="s">
        <v>632</v>
      </c>
      <c r="I1208" s="196">
        <v>10000.0</v>
      </c>
      <c r="J1208" s="179">
        <f>IF(A1208="RAPPI",(VLOOKUP(TRIM(D1208), CATALOGO!F:G, 2, FALSE) * C1208)+I1208,IFERROR(IF(COUNTIF('RESTAURANTESDESCUENTOS 2026'!A:A,TRIM(A1208))&gt;0,((VLOOKUP(TRIM(D1208), CATALOGO!A:B, 2, FALSE) * C1208)*(1-VALUE(SUBSTITUTE(VLOOKUP(TRIM(A1208),'RESTAURANTESDESCUENTOS 2026'!A:B,2,FALSE),"%",""))/100)+I1208),(VLOOKUP(TRIM(D1208), CATALOGO!A:B, 2, FALSE) * C1208+I1208)),""))</f>
        <v>125000</v>
      </c>
      <c r="K1208" s="196">
        <v>10000.0</v>
      </c>
      <c r="L1208" s="87"/>
      <c r="M1208" s="197" t="s">
        <v>587</v>
      </c>
      <c r="N1208" s="168"/>
    </row>
    <row r="1209" ht="22.5" hidden="1" customHeight="1">
      <c r="A1209" s="137" t="s">
        <v>982</v>
      </c>
      <c r="B1209" s="90">
        <v>46076.0</v>
      </c>
      <c r="C1209" s="55">
        <v>1.0</v>
      </c>
      <c r="D1209" s="97" t="s">
        <v>176</v>
      </c>
      <c r="E1209" s="201" t="s">
        <v>645</v>
      </c>
      <c r="F1209" s="202"/>
      <c r="G1209" s="194" t="s">
        <v>587</v>
      </c>
      <c r="H1209" s="195" t="s">
        <v>632</v>
      </c>
      <c r="I1209" s="196">
        <v>14000.0</v>
      </c>
      <c r="J1209" s="179">
        <f>IF(A1209="RAPPI",(VLOOKUP(TRIM(D1209), CATALOGO!F:G, 2, FALSE) * C1209)+I1209,IFERROR(IF(COUNTIF('RESTAURANTESDESCUENTOS 2026'!A:A,TRIM(A1209))&gt;0,((VLOOKUP(TRIM(D1209), CATALOGO!A:B, 2, FALSE) * C1209)*(1-VALUE(SUBSTITUTE(VLOOKUP(TRIM(A1209),'RESTAURANTESDESCUENTOS 2026'!A:B,2,FALSE),"%",""))/100)+I1209),(VLOOKUP(TRIM(D1209), CATALOGO!A:B, 2, FALSE) * C1209+I1209)),""))</f>
        <v>64000</v>
      </c>
      <c r="K1209" s="196">
        <v>14000.0</v>
      </c>
      <c r="L1209" s="87"/>
      <c r="M1209" s="197" t="s">
        <v>587</v>
      </c>
      <c r="N1209" s="168"/>
    </row>
    <row r="1210" ht="22.5" hidden="1" customHeight="1">
      <c r="A1210" s="137" t="s">
        <v>603</v>
      </c>
      <c r="B1210" s="90">
        <v>46076.0</v>
      </c>
      <c r="C1210" s="55">
        <v>1.0</v>
      </c>
      <c r="D1210" s="97" t="s">
        <v>176</v>
      </c>
      <c r="E1210" s="201">
        <v>9051.0</v>
      </c>
      <c r="F1210" s="202"/>
      <c r="G1210" s="194" t="s">
        <v>587</v>
      </c>
      <c r="H1210" s="195" t="s">
        <v>603</v>
      </c>
      <c r="I1210" s="196"/>
      <c r="J1210" s="179">
        <f>IF(A1210="RAPPI",(VLOOKUP(TRIM(D1210), CATALOGO!F:G, 2, FALSE) * C1210)+I1210,IFERROR(IF(COUNTIF('RESTAURANTESDESCUENTOS 2026'!A:A,TRIM(A1210))&gt;0,((VLOOKUP(TRIM(D1210), CATALOGO!A:B, 2, FALSE) * C1210)*(1-VALUE(SUBSTITUTE(VLOOKUP(TRIM(A1210),'RESTAURANTESDESCUENTOS 2026'!A:B,2,FALSE),"%",""))/100)+I1210),(VLOOKUP(TRIM(D1210), CATALOGO!A:B, 2, FALSE) * C1210+I1210)),""))</f>
        <v>50000</v>
      </c>
      <c r="K1210" s="196"/>
      <c r="L1210" s="87"/>
      <c r="M1210" s="197" t="s">
        <v>587</v>
      </c>
      <c r="N1210" s="168"/>
    </row>
    <row r="1211" ht="22.5" hidden="1" customHeight="1">
      <c r="A1211" s="137" t="s">
        <v>983</v>
      </c>
      <c r="B1211" s="90">
        <v>46076.0</v>
      </c>
      <c r="C1211" s="55">
        <v>1.0</v>
      </c>
      <c r="D1211" s="97" t="s">
        <v>617</v>
      </c>
      <c r="E1211" s="201"/>
      <c r="F1211" s="202"/>
      <c r="G1211" s="194" t="s">
        <v>587</v>
      </c>
      <c r="H1211" s="195" t="s">
        <v>588</v>
      </c>
      <c r="I1211" s="196">
        <v>13000.0</v>
      </c>
      <c r="J1211" s="179">
        <f>IF(A1211="RAPPI",(VLOOKUP(TRIM(D1211), CATALOGO!F:G, 2, FALSE) * C1211)+I1211,IFERROR(IF(COUNTIF('RESTAURANTESDESCUENTOS 2026'!A:A,TRIM(A1211))&gt;0,((VLOOKUP(TRIM(D1211), CATALOGO!A:B, 2, FALSE) * C1211)*(1-VALUE(SUBSTITUTE(VLOOKUP(TRIM(A1211),'RESTAURANTESDESCUENTOS 2026'!A:B,2,FALSE),"%",""))/100)+I1211),(VLOOKUP(TRIM(D1211), CATALOGO!A:B, 2, FALSE) * C1211+I1211)),""))</f>
        <v>136000</v>
      </c>
      <c r="K1211" s="196">
        <v>13000.0</v>
      </c>
      <c r="L1211" s="87"/>
      <c r="M1211" s="197" t="s">
        <v>587</v>
      </c>
      <c r="N1211" s="168"/>
    </row>
    <row r="1212" ht="22.5" hidden="1" customHeight="1">
      <c r="A1212" s="137" t="s">
        <v>709</v>
      </c>
      <c r="B1212" s="90">
        <v>46077.0</v>
      </c>
      <c r="C1212" s="55">
        <v>1.0</v>
      </c>
      <c r="D1212" s="97" t="s">
        <v>617</v>
      </c>
      <c r="E1212" s="201"/>
      <c r="F1212" s="202"/>
      <c r="G1212" s="194" t="s">
        <v>587</v>
      </c>
      <c r="H1212" s="195" t="s">
        <v>632</v>
      </c>
      <c r="I1212" s="196">
        <v>13000.0</v>
      </c>
      <c r="J1212" s="179">
        <f>IF(A1212="RAPPI",(VLOOKUP(TRIM(D1212), CATALOGO!F:G, 2, FALSE) * C1212)+I1212,IFERROR(IF(COUNTIF('RESTAURANTESDESCUENTOS 2026'!A:A,TRIM(A1212))&gt;0,((VLOOKUP(TRIM(D1212), CATALOGO!A:B, 2, FALSE) * C1212)*(1-VALUE(SUBSTITUTE(VLOOKUP(TRIM(A1212),'RESTAURANTESDESCUENTOS 2026'!A:B,2,FALSE),"%",""))/100)+I1212),(VLOOKUP(TRIM(D1212), CATALOGO!A:B, 2, FALSE) * C1212+I1212)),""))</f>
        <v>136000</v>
      </c>
      <c r="K1212" s="196">
        <v>13000.0</v>
      </c>
      <c r="L1212" s="87" t="s">
        <v>587</v>
      </c>
      <c r="M1212" s="197" t="s">
        <v>587</v>
      </c>
      <c r="N1212" s="168"/>
    </row>
    <row r="1213" ht="22.5" hidden="1" customHeight="1">
      <c r="A1213" s="137" t="s">
        <v>709</v>
      </c>
      <c r="B1213" s="90">
        <v>46077.0</v>
      </c>
      <c r="C1213" s="55">
        <v>1.0</v>
      </c>
      <c r="D1213" s="193"/>
      <c r="E1213" s="201" t="s">
        <v>984</v>
      </c>
      <c r="F1213" s="202"/>
      <c r="G1213" s="194" t="s">
        <v>587</v>
      </c>
      <c r="H1213" s="195" t="s">
        <v>632</v>
      </c>
      <c r="I1213" s="196">
        <v>0.0</v>
      </c>
      <c r="J1213" s="199">
        <v>30000.0</v>
      </c>
      <c r="K1213" s="196">
        <v>0.0</v>
      </c>
      <c r="L1213" s="87" t="s">
        <v>587</v>
      </c>
      <c r="M1213" s="197" t="s">
        <v>587</v>
      </c>
      <c r="N1213" s="168"/>
    </row>
    <row r="1214" ht="22.5" hidden="1" customHeight="1">
      <c r="A1214" s="137" t="s">
        <v>983</v>
      </c>
      <c r="B1214" s="90">
        <v>46077.0</v>
      </c>
      <c r="C1214" s="55">
        <v>1.0</v>
      </c>
      <c r="D1214" s="97" t="s">
        <v>191</v>
      </c>
      <c r="E1214" s="201"/>
      <c r="F1214" s="202"/>
      <c r="G1214" s="194" t="s">
        <v>587</v>
      </c>
      <c r="H1214" s="195" t="s">
        <v>632</v>
      </c>
      <c r="I1214" s="196">
        <v>13000.0</v>
      </c>
      <c r="J1214" s="179">
        <f>IF(A1214="RAPPI",(VLOOKUP(TRIM(D1214), CATALOGO!F:G, 2, FALSE) * C1214)+I1214,IFERROR(IF(COUNTIF('RESTAURANTESDESCUENTOS 2026'!A:A,TRIM(A1214))&gt;0,((VLOOKUP(TRIM(D1214), CATALOGO!A:B, 2, FALSE) * C1214)*(1-VALUE(SUBSTITUTE(VLOOKUP(TRIM(A1214),'RESTAURANTESDESCUENTOS 2026'!A:B,2,FALSE),"%",""))/100)+I1214),(VLOOKUP(TRIM(D1214), CATALOGO!A:B, 2, FALSE) * C1214+I1214)),""))</f>
        <v>145000</v>
      </c>
      <c r="K1214" s="196">
        <v>13000.0</v>
      </c>
      <c r="L1214" s="87"/>
      <c r="M1214" s="197" t="s">
        <v>587</v>
      </c>
      <c r="N1214" s="168"/>
    </row>
    <row r="1215" ht="22.5" hidden="1" customHeight="1">
      <c r="A1215" s="137" t="s">
        <v>985</v>
      </c>
      <c r="B1215" s="90">
        <v>46077.0</v>
      </c>
      <c r="C1215" s="55">
        <v>1.0</v>
      </c>
      <c r="D1215" s="97" t="s">
        <v>739</v>
      </c>
      <c r="E1215" s="70" t="s">
        <v>974</v>
      </c>
      <c r="F1215" s="212"/>
      <c r="G1215" s="194" t="s">
        <v>587</v>
      </c>
      <c r="H1215" s="195" t="s">
        <v>632</v>
      </c>
      <c r="I1215" s="196">
        <v>13000.0</v>
      </c>
      <c r="J1215" s="179">
        <f>IF(A1215="RAPPI",(VLOOKUP(TRIM(D1215), CATALOGO!F:G, 2, FALSE) * C1215)+I1215,IFERROR(IF(COUNTIF('RESTAURANTESDESCUENTOS 2026'!A:A,TRIM(A1215))&gt;0,((VLOOKUP(TRIM(D1215), CATALOGO!A:B, 2, FALSE) * C1215)*(1-VALUE(SUBSTITUTE(VLOOKUP(TRIM(A1215),'RESTAURANTESDESCUENTOS 2026'!A:B,2,FALSE),"%",""))/100)+I1215),(VLOOKUP(TRIM(D1215), CATALOGO!A:B, 2, FALSE) * C1215+I1215)),""))</f>
        <v>176000</v>
      </c>
      <c r="K1215" s="196">
        <v>13000.0</v>
      </c>
      <c r="L1215" s="87"/>
      <c r="M1215" s="197" t="s">
        <v>587</v>
      </c>
      <c r="N1215" s="168"/>
    </row>
    <row r="1216" ht="22.5" hidden="1" customHeight="1">
      <c r="A1216" s="137" t="s">
        <v>958</v>
      </c>
      <c r="B1216" s="90">
        <v>46077.0</v>
      </c>
      <c r="C1216" s="55">
        <v>1.0</v>
      </c>
      <c r="D1216" s="97" t="s">
        <v>178</v>
      </c>
      <c r="E1216" s="201" t="s">
        <v>552</v>
      </c>
      <c r="F1216" s="202"/>
      <c r="G1216" s="194" t="s">
        <v>587</v>
      </c>
      <c r="H1216" s="195" t="s">
        <v>632</v>
      </c>
      <c r="I1216" s="196">
        <v>10000.0</v>
      </c>
      <c r="J1216" s="179">
        <f>IF(A1216="RAPPI",(VLOOKUP(TRIM(D1216), CATALOGO!F:G, 2, FALSE) * C1216)+I1216,IFERROR(IF(COUNTIF('RESTAURANTESDESCUENTOS 2026'!A:A,TRIM(A1216))&gt;0,((VLOOKUP(TRIM(D1216), CATALOGO!A:B, 2, FALSE) * C1216)*(1-VALUE(SUBSTITUTE(VLOOKUP(TRIM(A1216),'RESTAURANTESDESCUENTOS 2026'!A:B,2,FALSE),"%",""))/100)+I1216),(VLOOKUP(TRIM(D1216), CATALOGO!A:B, 2, FALSE) * C1216+I1216)),""))</f>
        <v>122500</v>
      </c>
      <c r="K1216" s="196">
        <v>23000.0</v>
      </c>
      <c r="L1216" s="87" t="s">
        <v>587</v>
      </c>
      <c r="M1216" s="197" t="s">
        <v>587</v>
      </c>
      <c r="N1216" s="168"/>
    </row>
    <row r="1217" ht="22.5" hidden="1" customHeight="1">
      <c r="A1217" s="137" t="s">
        <v>10</v>
      </c>
      <c r="B1217" s="90">
        <v>46077.0</v>
      </c>
      <c r="C1217" s="55">
        <v>1.0</v>
      </c>
      <c r="D1217" s="97" t="s">
        <v>178</v>
      </c>
      <c r="E1217" s="201" t="s">
        <v>610</v>
      </c>
      <c r="F1217" s="202"/>
      <c r="G1217" s="194" t="s">
        <v>587</v>
      </c>
      <c r="H1217" s="195" t="s">
        <v>632</v>
      </c>
      <c r="I1217" s="196">
        <v>10000.0</v>
      </c>
      <c r="J1217" s="179">
        <f>IF(A1217="RAPPI",(VLOOKUP(TRIM(D1217), CATALOGO!F:G, 2, FALSE) * C1217)+I1217,IFERROR(IF(COUNTIF('RESTAURANTESDESCUENTOS 2026'!A:A,TRIM(A1217))&gt;0,((VLOOKUP(TRIM(D1217), CATALOGO!A:B, 2, FALSE) * C1217)*(1-VALUE(SUBSTITUTE(VLOOKUP(TRIM(A1217),'RESTAURANTESDESCUENTOS 2026'!A:B,2,FALSE),"%",""))/100)+I1217),(VLOOKUP(TRIM(D1217), CATALOGO!A:B, 2, FALSE) * C1217+I1217)),""))</f>
        <v>122500</v>
      </c>
      <c r="K1217" s="196">
        <v>10000.0</v>
      </c>
      <c r="L1217" s="87" t="s">
        <v>587</v>
      </c>
      <c r="M1217" s="197" t="s">
        <v>587</v>
      </c>
      <c r="N1217" s="168"/>
    </row>
    <row r="1218" ht="22.5" hidden="1" customHeight="1">
      <c r="A1218" s="137" t="s">
        <v>986</v>
      </c>
      <c r="B1218" s="90">
        <v>46077.0</v>
      </c>
      <c r="C1218" s="55">
        <v>1.0</v>
      </c>
      <c r="D1218" s="97" t="s">
        <v>739</v>
      </c>
      <c r="E1218" s="201"/>
      <c r="F1218" s="202"/>
      <c r="G1218" s="194" t="s">
        <v>35</v>
      </c>
      <c r="H1218" s="198"/>
      <c r="I1218" s="196"/>
      <c r="J1218" s="179">
        <f>IF(A1218="RAPPI",(VLOOKUP(TRIM(D1218), CATALOGO!F:G, 2, FALSE) * C1218)+I1218,IFERROR(IF(COUNTIF('RESTAURANTESDESCUENTOS 2026'!A:A,TRIM(A1218))&gt;0,((VLOOKUP(TRIM(D1218), CATALOGO!A:B, 2, FALSE) * C1218)*(1-VALUE(SUBSTITUTE(VLOOKUP(TRIM(A1218),'RESTAURANTESDESCUENTOS 2026'!A:B,2,FALSE),"%",""))/100)+I1218),(VLOOKUP(TRIM(D1218), CATALOGO!A:B, 2, FALSE) * C1218+I1218)),""))</f>
        <v>163000</v>
      </c>
      <c r="K1218" s="196"/>
      <c r="L1218" s="87" t="s">
        <v>587</v>
      </c>
      <c r="M1218" s="197" t="s">
        <v>587</v>
      </c>
      <c r="N1218" s="168"/>
    </row>
    <row r="1219" ht="22.5" hidden="1" customHeight="1">
      <c r="A1219" s="137" t="s">
        <v>987</v>
      </c>
      <c r="B1219" s="90">
        <v>46077.0</v>
      </c>
      <c r="C1219" s="55">
        <v>1.0</v>
      </c>
      <c r="D1219" s="97" t="s">
        <v>176</v>
      </c>
      <c r="E1219" s="201"/>
      <c r="F1219" s="202"/>
      <c r="G1219" s="194" t="s">
        <v>587</v>
      </c>
      <c r="H1219" s="195" t="s">
        <v>632</v>
      </c>
      <c r="I1219" s="196">
        <v>12000.0</v>
      </c>
      <c r="J1219" s="179">
        <f>IF(A1219="RAPPI",(VLOOKUP(TRIM(D1219), CATALOGO!F:G, 2, FALSE) * C1219)+I1219,IFERROR(IF(COUNTIF('RESTAURANTESDESCUENTOS 2026'!A:A,TRIM(A1219))&gt;0,((VLOOKUP(TRIM(D1219), CATALOGO!A:B, 2, FALSE) * C1219)*(1-VALUE(SUBSTITUTE(VLOOKUP(TRIM(A1219),'RESTAURANTESDESCUENTOS 2026'!A:B,2,FALSE),"%",""))/100)+I1219),(VLOOKUP(TRIM(D1219), CATALOGO!A:B, 2, FALSE) * C1219+I1219)),""))</f>
        <v>62000</v>
      </c>
      <c r="K1219" s="196">
        <v>12000.0</v>
      </c>
      <c r="L1219" s="87"/>
      <c r="M1219" s="197" t="s">
        <v>587</v>
      </c>
      <c r="N1219" s="168"/>
    </row>
    <row r="1220" ht="22.5" hidden="1" customHeight="1">
      <c r="A1220" s="137" t="s">
        <v>605</v>
      </c>
      <c r="B1220" s="90">
        <v>46077.0</v>
      </c>
      <c r="C1220" s="55">
        <v>1.0</v>
      </c>
      <c r="D1220" s="97" t="s">
        <v>177</v>
      </c>
      <c r="E1220" s="201" t="s">
        <v>607</v>
      </c>
      <c r="F1220" s="202"/>
      <c r="G1220" s="194" t="s">
        <v>35</v>
      </c>
      <c r="H1220" s="198"/>
      <c r="I1220" s="196"/>
      <c r="J1220" s="179">
        <f>IF(A1220="RAPPI",(VLOOKUP(TRIM(D1220), CATALOGO!F:G, 2, FALSE) * C1220)+I1220,IFERROR(IF(COUNTIF('RESTAURANTESDESCUENTOS 2026'!A:A,TRIM(A1220))&gt;0,((VLOOKUP(TRIM(D1220), CATALOGO!A:B, 2, FALSE) * C1220)*(1-VALUE(SUBSTITUTE(VLOOKUP(TRIM(A1220),'RESTAURANTESDESCUENTOS 2026'!A:B,2,FALSE),"%",""))/100)+I1220),(VLOOKUP(TRIM(D1220), CATALOGO!A:B, 2, FALSE) * C1220+I1220)),""))</f>
        <v>115000</v>
      </c>
      <c r="K1220" s="196"/>
      <c r="L1220" s="87"/>
      <c r="M1220" s="197" t="s">
        <v>587</v>
      </c>
      <c r="N1220" s="168"/>
    </row>
    <row r="1221" ht="22.5" hidden="1" customHeight="1">
      <c r="A1221" s="137" t="s">
        <v>603</v>
      </c>
      <c r="B1221" s="90">
        <v>46077.0</v>
      </c>
      <c r="C1221" s="55">
        <v>1.0</v>
      </c>
      <c r="D1221" s="97" t="s">
        <v>618</v>
      </c>
      <c r="E1221" s="201">
        <v>3291.0</v>
      </c>
      <c r="F1221" s="202"/>
      <c r="G1221" s="194" t="s">
        <v>587</v>
      </c>
      <c r="H1221" s="195" t="s">
        <v>603</v>
      </c>
      <c r="I1221" s="196"/>
      <c r="J1221" s="179">
        <f>IF(A1221="RAPPI",(VLOOKUP(TRIM(D1221), CATALOGO!F:G, 2, FALSE) * C1221)+I1221,IFERROR(IF(COUNTIF('RESTAURANTESDESCUENTOS 2026'!A:A,TRIM(A1221))&gt;0,((VLOOKUP(TRIM(D1221), CATALOGO!A:B, 2, FALSE) * C1221)*(1-VALUE(SUBSTITUTE(VLOOKUP(TRIM(A1221),'RESTAURANTESDESCUENTOS 2026'!A:B,2,FALSE),"%",""))/100)+I1221),(VLOOKUP(TRIM(D1221), CATALOGO!A:B, 2, FALSE) * C1221+I1221)),""))</f>
        <v>53000</v>
      </c>
      <c r="K1221" s="196"/>
      <c r="L1221" s="87"/>
      <c r="M1221" s="197" t="s">
        <v>587</v>
      </c>
      <c r="N1221" s="168"/>
    </row>
    <row r="1222" ht="22.5" hidden="1" customHeight="1">
      <c r="A1222" s="137" t="s">
        <v>603</v>
      </c>
      <c r="B1222" s="90">
        <v>46077.0</v>
      </c>
      <c r="C1222" s="55">
        <v>1.0</v>
      </c>
      <c r="D1222" s="97" t="s">
        <v>618</v>
      </c>
      <c r="E1222" s="201">
        <v>499.0</v>
      </c>
      <c r="F1222" s="202"/>
      <c r="G1222" s="194" t="s">
        <v>587</v>
      </c>
      <c r="H1222" s="195" t="s">
        <v>603</v>
      </c>
      <c r="I1222" s="196"/>
      <c r="J1222" s="179">
        <f>IF(A1222="RAPPI",(VLOOKUP(TRIM(D1222), CATALOGO!F:G, 2, FALSE) * C1222)+I1222,IFERROR(IF(COUNTIF('RESTAURANTESDESCUENTOS 2026'!A:A,TRIM(A1222))&gt;0,((VLOOKUP(TRIM(D1222), CATALOGO!A:B, 2, FALSE) * C1222)*(1-VALUE(SUBSTITUTE(VLOOKUP(TRIM(A1222),'RESTAURANTESDESCUENTOS 2026'!A:B,2,FALSE),"%",""))/100)+I1222),(VLOOKUP(TRIM(D1222), CATALOGO!A:B, 2, FALSE) * C1222+I1222)),""))</f>
        <v>53000</v>
      </c>
      <c r="K1222" s="196"/>
      <c r="L1222" s="87"/>
      <c r="M1222" s="197" t="s">
        <v>587</v>
      </c>
      <c r="N1222" s="168"/>
    </row>
    <row r="1223" ht="22.5" hidden="1" customHeight="1">
      <c r="A1223" s="137" t="s">
        <v>605</v>
      </c>
      <c r="B1223" s="90">
        <v>46077.0</v>
      </c>
      <c r="C1223" s="55">
        <v>1.0</v>
      </c>
      <c r="D1223" s="97" t="s">
        <v>697</v>
      </c>
      <c r="E1223" s="201" t="s">
        <v>607</v>
      </c>
      <c r="F1223" s="202"/>
      <c r="G1223" s="194" t="s">
        <v>35</v>
      </c>
      <c r="H1223" s="198"/>
      <c r="I1223" s="196"/>
      <c r="J1223" s="179">
        <f>IF(A1223="RAPPI",(VLOOKUP(TRIM(D1223), CATALOGO!F:G, 2, FALSE) * C1223)+I1223,IFERROR(IF(COUNTIF('RESTAURANTESDESCUENTOS 2026'!A:A,TRIM(A1223))&gt;0,((VLOOKUP(TRIM(D1223), CATALOGO!A:B, 2, FALSE) * C1223)*(1-VALUE(SUBSTITUTE(VLOOKUP(TRIM(A1223),'RESTAURANTESDESCUENTOS 2026'!A:B,2,FALSE),"%",""))/100)+I1223),(VLOOKUP(TRIM(D1223), CATALOGO!A:B, 2, FALSE) * C1223+I1223)),""))</f>
        <v>163000</v>
      </c>
      <c r="K1223" s="196"/>
      <c r="L1223" s="87"/>
      <c r="M1223" s="197" t="s">
        <v>587</v>
      </c>
      <c r="N1223" s="168"/>
    </row>
    <row r="1224" ht="22.5" hidden="1" customHeight="1">
      <c r="A1224" s="137" t="s">
        <v>988</v>
      </c>
      <c r="B1224" s="90">
        <v>46077.0</v>
      </c>
      <c r="C1224" s="55">
        <v>1.0</v>
      </c>
      <c r="D1224" s="97" t="s">
        <v>177</v>
      </c>
      <c r="E1224" s="201"/>
      <c r="F1224" s="202"/>
      <c r="G1224" s="194" t="s">
        <v>587</v>
      </c>
      <c r="H1224" s="195" t="s">
        <v>632</v>
      </c>
      <c r="I1224" s="196">
        <v>14000.0</v>
      </c>
      <c r="J1224" s="179">
        <f>IF(A1224="RAPPI",(VLOOKUP(TRIM(D1224), CATALOGO!F:G, 2, FALSE) * C1224)+I1224,IFERROR(IF(COUNTIF('RESTAURANTESDESCUENTOS 2026'!A:A,TRIM(A1224))&gt;0,((VLOOKUP(TRIM(D1224), CATALOGO!A:B, 2, FALSE) * C1224)*(1-VALUE(SUBSTITUTE(VLOOKUP(TRIM(A1224),'RESTAURANTESDESCUENTOS 2026'!A:B,2,FALSE),"%",""))/100)+I1224),(VLOOKUP(TRIM(D1224), CATALOGO!A:B, 2, FALSE) * C1224+I1224)),""))</f>
        <v>129000</v>
      </c>
      <c r="K1224" s="196">
        <v>14000.0</v>
      </c>
      <c r="L1224" s="87"/>
      <c r="M1224" s="197" t="s">
        <v>587</v>
      </c>
      <c r="N1224" s="168"/>
    </row>
    <row r="1225" ht="22.5" hidden="1" customHeight="1">
      <c r="A1225" s="137" t="s">
        <v>603</v>
      </c>
      <c r="B1225" s="90">
        <v>46077.0</v>
      </c>
      <c r="C1225" s="55">
        <v>1.0</v>
      </c>
      <c r="D1225" s="97" t="s">
        <v>177</v>
      </c>
      <c r="E1225" s="201">
        <v>3052.0</v>
      </c>
      <c r="F1225" s="202"/>
      <c r="G1225" s="194" t="s">
        <v>587</v>
      </c>
      <c r="H1225" s="195" t="s">
        <v>603</v>
      </c>
      <c r="I1225" s="196"/>
      <c r="J1225" s="179">
        <f>IF(A1225="RAPPI",(VLOOKUP(TRIM(D1225), CATALOGO!F:G, 2, FALSE) * C1225)+I1225,IFERROR(IF(COUNTIF('RESTAURANTESDESCUENTOS 2026'!A:A,TRIM(A1225))&gt;0,((VLOOKUP(TRIM(D1225), CATALOGO!A:B, 2, FALSE) * C1225)*(1-VALUE(SUBSTITUTE(VLOOKUP(TRIM(A1225),'RESTAURANTESDESCUENTOS 2026'!A:B,2,FALSE),"%",""))/100)+I1225),(VLOOKUP(TRIM(D1225), CATALOGO!A:B, 2, FALSE) * C1225+I1225)),""))</f>
        <v>115000</v>
      </c>
      <c r="K1225" s="196"/>
      <c r="L1225" s="87"/>
      <c r="M1225" s="197" t="s">
        <v>587</v>
      </c>
      <c r="N1225" s="168"/>
    </row>
    <row r="1226" ht="22.5" hidden="1" customHeight="1">
      <c r="A1226" s="137" t="s">
        <v>603</v>
      </c>
      <c r="B1226" s="90">
        <v>46077.0</v>
      </c>
      <c r="C1226" s="55">
        <v>1.0</v>
      </c>
      <c r="D1226" s="97" t="s">
        <v>176</v>
      </c>
      <c r="E1226" s="201">
        <v>3870.0</v>
      </c>
      <c r="F1226" s="202"/>
      <c r="G1226" s="194" t="s">
        <v>587</v>
      </c>
      <c r="H1226" s="195" t="s">
        <v>603</v>
      </c>
      <c r="I1226" s="196"/>
      <c r="J1226" s="179">
        <f>IF(A1226="RAPPI",(VLOOKUP(TRIM(D1226), CATALOGO!F:G, 2, FALSE) * C1226)+I1226,IFERROR(IF(COUNTIF('RESTAURANTESDESCUENTOS 2026'!A:A,TRIM(A1226))&gt;0,((VLOOKUP(TRIM(D1226), CATALOGO!A:B, 2, FALSE) * C1226)*(1-VALUE(SUBSTITUTE(VLOOKUP(TRIM(A1226),'RESTAURANTESDESCUENTOS 2026'!A:B,2,FALSE),"%",""))/100)+I1226),(VLOOKUP(TRIM(D1226), CATALOGO!A:B, 2, FALSE) * C1226+I1226)),""))</f>
        <v>50000</v>
      </c>
      <c r="K1226" s="196"/>
      <c r="L1226" s="87"/>
      <c r="M1226" s="197" t="s">
        <v>587</v>
      </c>
      <c r="N1226" s="168"/>
    </row>
    <row r="1227" ht="22.5" hidden="1" customHeight="1">
      <c r="A1227" s="137" t="s">
        <v>603</v>
      </c>
      <c r="B1227" s="90">
        <v>46077.0</v>
      </c>
      <c r="C1227" s="55">
        <v>1.0</v>
      </c>
      <c r="D1227" s="97" t="s">
        <v>601</v>
      </c>
      <c r="E1227" s="201">
        <v>5197.0</v>
      </c>
      <c r="F1227" s="202"/>
      <c r="G1227" s="194" t="s">
        <v>587</v>
      </c>
      <c r="H1227" s="195" t="s">
        <v>603</v>
      </c>
      <c r="I1227" s="196"/>
      <c r="J1227" s="179">
        <f>IF(A1227="RAPPI",(VLOOKUP(TRIM(D1227), CATALOGO!F:G, 2, FALSE) * C1227)+I1227,IFERROR(IF(COUNTIF('RESTAURANTESDESCUENTOS 2026'!A:A,TRIM(A1227))&gt;0,((VLOOKUP(TRIM(D1227), CATALOGO!A:B, 2, FALSE) * C1227)*(1-VALUE(SUBSTITUTE(VLOOKUP(TRIM(A1227),'RESTAURANTESDESCUENTOS 2026'!A:B,2,FALSE),"%",""))/100)+I1227),(VLOOKUP(TRIM(D1227), CATALOGO!A:B, 2, FALSE) * C1227+I1227)),""))</f>
        <v>53000</v>
      </c>
      <c r="K1227" s="196"/>
      <c r="L1227" s="87"/>
      <c r="M1227" s="197" t="s">
        <v>587</v>
      </c>
      <c r="N1227" s="168"/>
    </row>
    <row r="1228" ht="22.5" hidden="1" customHeight="1">
      <c r="A1228" s="137" t="s">
        <v>605</v>
      </c>
      <c r="B1228" s="90">
        <v>46077.0</v>
      </c>
      <c r="C1228" s="55">
        <v>1.0</v>
      </c>
      <c r="D1228" s="97" t="s">
        <v>176</v>
      </c>
      <c r="E1228" s="201" t="s">
        <v>606</v>
      </c>
      <c r="F1228" s="202"/>
      <c r="G1228" s="194" t="s">
        <v>35</v>
      </c>
      <c r="H1228" s="198"/>
      <c r="I1228" s="196"/>
      <c r="J1228" s="179">
        <f>IF(A1228="RAPPI",(VLOOKUP(TRIM(D1228), CATALOGO!F:G, 2, FALSE) * C1228)+I1228,IFERROR(IF(COUNTIF('RESTAURANTESDESCUENTOS 2026'!A:A,TRIM(A1228))&gt;0,((VLOOKUP(TRIM(D1228), CATALOGO!A:B, 2, FALSE) * C1228)*(1-VALUE(SUBSTITUTE(VLOOKUP(TRIM(A1228),'RESTAURANTESDESCUENTOS 2026'!A:B,2,FALSE),"%",""))/100)+I1228),(VLOOKUP(TRIM(D1228), CATALOGO!A:B, 2, FALSE) * C1228+I1228)),""))</f>
        <v>50000</v>
      </c>
      <c r="K1228" s="196"/>
      <c r="L1228" s="87"/>
      <c r="M1228" s="197" t="s">
        <v>587</v>
      </c>
      <c r="N1228" s="168"/>
    </row>
    <row r="1229" ht="22.5" hidden="1" customHeight="1">
      <c r="A1229" s="137" t="s">
        <v>603</v>
      </c>
      <c r="B1229" s="90">
        <v>46077.0</v>
      </c>
      <c r="C1229" s="55">
        <v>1.0</v>
      </c>
      <c r="D1229" s="97" t="s">
        <v>708</v>
      </c>
      <c r="E1229" s="201">
        <v>7319.0</v>
      </c>
      <c r="F1229" s="202"/>
      <c r="G1229" s="194" t="s">
        <v>587</v>
      </c>
      <c r="H1229" s="195" t="s">
        <v>603</v>
      </c>
      <c r="I1229" s="196"/>
      <c r="J1229" s="179">
        <f>IF(A1229="RAPPI",(VLOOKUP(TRIM(D1229), CATALOGO!F:G, 2, FALSE) * C1229)+I1229,IFERROR(IF(COUNTIF('RESTAURANTESDESCUENTOS 2026'!A:A,TRIM(A1229))&gt;0,((VLOOKUP(TRIM(D1229), CATALOGO!A:B, 2, FALSE) * C1229)*(1-VALUE(SUBSTITUTE(VLOOKUP(TRIM(A1229),'RESTAURANTESDESCUENTOS 2026'!A:B,2,FALSE),"%",""))/100)+I1229),(VLOOKUP(TRIM(D1229), CATALOGO!A:B, 2, FALSE) * C1229+I1229)),""))</f>
        <v>53000</v>
      </c>
      <c r="K1229" s="196"/>
      <c r="L1229" s="87"/>
      <c r="M1229" s="197" t="s">
        <v>587</v>
      </c>
      <c r="N1229" s="168"/>
    </row>
    <row r="1230" ht="22.5" hidden="1" customHeight="1">
      <c r="A1230" s="137" t="s">
        <v>603</v>
      </c>
      <c r="B1230" s="90">
        <v>46077.0</v>
      </c>
      <c r="C1230" s="55">
        <v>1.0</v>
      </c>
      <c r="D1230" s="97" t="s">
        <v>174</v>
      </c>
      <c r="E1230" s="201">
        <v>4370.0</v>
      </c>
      <c r="F1230" s="202"/>
      <c r="G1230" s="194" t="s">
        <v>587</v>
      </c>
      <c r="H1230" s="195" t="s">
        <v>603</v>
      </c>
      <c r="I1230" s="196"/>
      <c r="J1230" s="179">
        <f>IF(A1230="RAPPI",(VLOOKUP(TRIM(D1230), CATALOGO!F:G, 2, FALSE) * C1230)+I1230,IFERROR(IF(COUNTIF('RESTAURANTESDESCUENTOS 2026'!A:A,TRIM(A1230))&gt;0,((VLOOKUP(TRIM(D1230), CATALOGO!A:B, 2, FALSE) * C1230)*(1-VALUE(SUBSTITUTE(VLOOKUP(TRIM(A1230),'RESTAURANTESDESCUENTOS 2026'!A:B,2,FALSE),"%",""))/100)+I1230),(VLOOKUP(TRIM(D1230), CATALOGO!A:B, 2, FALSE) * C1230+I1230)),""))</f>
        <v>18000</v>
      </c>
      <c r="K1230" s="196"/>
      <c r="L1230" s="87"/>
      <c r="M1230" s="197" t="s">
        <v>587</v>
      </c>
      <c r="N1230" s="168"/>
    </row>
    <row r="1231" ht="22.5" hidden="1" customHeight="1">
      <c r="A1231" s="137" t="s">
        <v>603</v>
      </c>
      <c r="B1231" s="90">
        <v>46077.0</v>
      </c>
      <c r="C1231" s="55">
        <v>1.0</v>
      </c>
      <c r="D1231" s="97" t="s">
        <v>708</v>
      </c>
      <c r="E1231" s="201">
        <v>7341.0</v>
      </c>
      <c r="F1231" s="202"/>
      <c r="G1231" s="194" t="s">
        <v>587</v>
      </c>
      <c r="H1231" s="195" t="s">
        <v>603</v>
      </c>
      <c r="I1231" s="196"/>
      <c r="J1231" s="179">
        <f>IF(A1231="RAPPI",(VLOOKUP(TRIM(D1231), CATALOGO!F:G, 2, FALSE) * C1231)+I1231,IFERROR(IF(COUNTIF('RESTAURANTESDESCUENTOS 2026'!A:A,TRIM(A1231))&gt;0,((VLOOKUP(TRIM(D1231), CATALOGO!A:B, 2, FALSE) * C1231)*(1-VALUE(SUBSTITUTE(VLOOKUP(TRIM(A1231),'RESTAURANTESDESCUENTOS 2026'!A:B,2,FALSE),"%",""))/100)+I1231),(VLOOKUP(TRIM(D1231), CATALOGO!A:B, 2, FALSE) * C1231+I1231)),""))</f>
        <v>53000</v>
      </c>
      <c r="K1231" s="196"/>
      <c r="L1231" s="87"/>
      <c r="M1231" s="197" t="s">
        <v>587</v>
      </c>
      <c r="N1231" s="168"/>
    </row>
    <row r="1232" ht="22.5" hidden="1" customHeight="1">
      <c r="A1232" s="137" t="s">
        <v>5</v>
      </c>
      <c r="B1232" s="90">
        <v>46077.0</v>
      </c>
      <c r="C1232" s="55">
        <v>0.0</v>
      </c>
      <c r="D1232" s="193"/>
      <c r="E1232" s="201" t="s">
        <v>989</v>
      </c>
      <c r="F1232" s="202"/>
      <c r="G1232" s="194" t="s">
        <v>587</v>
      </c>
      <c r="H1232" s="195" t="s">
        <v>588</v>
      </c>
      <c r="I1232" s="196">
        <v>0.0</v>
      </c>
      <c r="J1232" s="199">
        <v>0.0</v>
      </c>
      <c r="K1232" s="196">
        <v>7000.0</v>
      </c>
      <c r="L1232" s="87"/>
      <c r="M1232" s="197" t="s">
        <v>587</v>
      </c>
      <c r="N1232" s="168"/>
    </row>
    <row r="1233" ht="22.5" hidden="1" customHeight="1">
      <c r="A1233" s="137" t="s">
        <v>605</v>
      </c>
      <c r="B1233" s="90">
        <v>46077.0</v>
      </c>
      <c r="C1233" s="55">
        <v>1.0</v>
      </c>
      <c r="D1233" s="97" t="s">
        <v>653</v>
      </c>
      <c r="E1233" s="201" t="s">
        <v>607</v>
      </c>
      <c r="F1233" s="202"/>
      <c r="G1233" s="194" t="s">
        <v>35</v>
      </c>
      <c r="H1233" s="198"/>
      <c r="I1233" s="196"/>
      <c r="J1233" s="179">
        <f>IF(A1233="RAPPI",(VLOOKUP(TRIM(D1233), CATALOGO!F:G, 2, FALSE) * C1233)+I1233,IFERROR(IF(COUNTIF('RESTAURANTESDESCUENTOS 2026'!A:A,TRIM(A1233))&gt;0,((VLOOKUP(TRIM(D1233), CATALOGO!A:B, 2, FALSE) * C1233)*(1-VALUE(SUBSTITUTE(VLOOKUP(TRIM(A1233),'RESTAURANTESDESCUENTOS 2026'!A:B,2,FALSE),"%",""))/100)+I1233),(VLOOKUP(TRIM(D1233), CATALOGO!A:B, 2, FALSE) * C1233+I1233)),""))</f>
        <v>123000</v>
      </c>
      <c r="K1233" s="196"/>
      <c r="L1233" s="87"/>
      <c r="M1233" s="197" t="s">
        <v>587</v>
      </c>
      <c r="N1233" s="168"/>
    </row>
    <row r="1234" ht="22.5" hidden="1" customHeight="1">
      <c r="A1234" s="137" t="s">
        <v>990</v>
      </c>
      <c r="B1234" s="90">
        <v>46077.0</v>
      </c>
      <c r="C1234" s="55">
        <v>1.0</v>
      </c>
      <c r="D1234" s="97" t="s">
        <v>176</v>
      </c>
      <c r="E1234" s="201"/>
      <c r="F1234" s="202"/>
      <c r="G1234" s="194" t="s">
        <v>587</v>
      </c>
      <c r="H1234" s="195" t="s">
        <v>588</v>
      </c>
      <c r="I1234" s="196">
        <v>14000.0</v>
      </c>
      <c r="J1234" s="179">
        <f>IF(A1234="RAPPI",(VLOOKUP(TRIM(D1234), CATALOGO!F:G, 2, FALSE) * C1234)+I1234,IFERROR(IF(COUNTIF('RESTAURANTESDESCUENTOS 2026'!A:A,TRIM(A1234))&gt;0,((VLOOKUP(TRIM(D1234), CATALOGO!A:B, 2, FALSE) * C1234)*(1-VALUE(SUBSTITUTE(VLOOKUP(TRIM(A1234),'RESTAURANTESDESCUENTOS 2026'!A:B,2,FALSE),"%",""))/100)+I1234),(VLOOKUP(TRIM(D1234), CATALOGO!A:B, 2, FALSE) * C1234+I1234)),""))</f>
        <v>64000</v>
      </c>
      <c r="K1234" s="196">
        <v>15000.0</v>
      </c>
      <c r="L1234" s="87"/>
      <c r="M1234" s="197" t="s">
        <v>587</v>
      </c>
      <c r="N1234" s="168"/>
    </row>
    <row r="1235" ht="22.5" hidden="1" customHeight="1">
      <c r="A1235" s="137" t="s">
        <v>603</v>
      </c>
      <c r="B1235" s="90">
        <v>46077.0</v>
      </c>
      <c r="C1235" s="55">
        <v>1.0</v>
      </c>
      <c r="D1235" s="97" t="s">
        <v>601</v>
      </c>
      <c r="E1235" s="201">
        <v>3845.0</v>
      </c>
      <c r="F1235" s="202"/>
      <c r="G1235" s="194" t="s">
        <v>587</v>
      </c>
      <c r="H1235" s="195" t="s">
        <v>603</v>
      </c>
      <c r="I1235" s="196"/>
      <c r="J1235" s="179">
        <f>IF(A1235="RAPPI",(VLOOKUP(TRIM(D1235), CATALOGO!F:G, 2, FALSE) * C1235)+I1235,IFERROR(IF(COUNTIF('RESTAURANTESDESCUENTOS 2026'!A:A,TRIM(A1235))&gt;0,((VLOOKUP(TRIM(D1235), CATALOGO!A:B, 2, FALSE) * C1235)*(1-VALUE(SUBSTITUTE(VLOOKUP(TRIM(A1235),'RESTAURANTESDESCUENTOS 2026'!A:B,2,FALSE),"%",""))/100)+I1235),(VLOOKUP(TRIM(D1235), CATALOGO!A:B, 2, FALSE) * C1235+I1235)),""))</f>
        <v>53000</v>
      </c>
      <c r="K1235" s="196"/>
      <c r="L1235" s="87"/>
      <c r="M1235" s="197" t="s">
        <v>587</v>
      </c>
      <c r="N1235" s="168"/>
    </row>
    <row r="1236" ht="22.5" hidden="1" customHeight="1">
      <c r="A1236" s="137" t="s">
        <v>991</v>
      </c>
      <c r="B1236" s="90">
        <v>46078.0</v>
      </c>
      <c r="C1236" s="55">
        <v>1.0</v>
      </c>
      <c r="D1236" s="97" t="s">
        <v>180</v>
      </c>
      <c r="E1236" s="201"/>
      <c r="F1236" s="202"/>
      <c r="G1236" s="194" t="s">
        <v>587</v>
      </c>
      <c r="H1236" s="195" t="s">
        <v>753</v>
      </c>
      <c r="I1236" s="196">
        <v>14000.0</v>
      </c>
      <c r="J1236" s="179">
        <f>IF(A1236="RAPPI",(VLOOKUP(TRIM(D1236), CATALOGO!F:G, 2, FALSE) * C1236)+I1236,IFERROR(IF(COUNTIF('RESTAURANTESDESCUENTOS 2026'!A:A,TRIM(A1236))&gt;0,((VLOOKUP(TRIM(D1236), CATALOGO!A:B, 2, FALSE) * C1236)*(1-VALUE(SUBSTITUTE(VLOOKUP(TRIM(A1236),'RESTAURANTESDESCUENTOS 2026'!A:B,2,FALSE),"%",""))/100)+I1236),(VLOOKUP(TRIM(D1236), CATALOGO!A:B, 2, FALSE) * C1236+I1236)),""))</f>
        <v>163000</v>
      </c>
      <c r="K1236" s="196">
        <v>14000.0</v>
      </c>
      <c r="L1236" s="87"/>
      <c r="M1236" s="197" t="s">
        <v>587</v>
      </c>
      <c r="N1236" s="168"/>
    </row>
    <row r="1237" ht="22.5" hidden="1" customHeight="1">
      <c r="A1237" s="137" t="s">
        <v>109</v>
      </c>
      <c r="B1237" s="90">
        <v>46078.0</v>
      </c>
      <c r="C1237" s="55">
        <v>18.0</v>
      </c>
      <c r="D1237" s="97" t="s">
        <v>183</v>
      </c>
      <c r="E1237" s="201"/>
      <c r="F1237" s="202"/>
      <c r="G1237" s="194" t="s">
        <v>587</v>
      </c>
      <c r="H1237" s="195" t="s">
        <v>753</v>
      </c>
      <c r="I1237" s="196">
        <v>0.0</v>
      </c>
      <c r="J1237" s="179">
        <f>IF(A1237="RAPPI",(VLOOKUP(TRIM(D1237), CATALOGO!F:G, 2, FALSE) * C1237)+I1237,IFERROR(IF(COUNTIF('RESTAURANTESDESCUENTOS 2026'!A:A,TRIM(A1237))&gt;0,((VLOOKUP(TRIM(D1237), CATALOGO!A:B, 2, FALSE) * C1237)*(1-VALUE(SUBSTITUTE(VLOOKUP(TRIM(A1237),'RESTAURANTESDESCUENTOS 2026'!A:B,2,FALSE),"%",""))/100)+I1237),(VLOOKUP(TRIM(D1237), CATALOGO!A:B, 2, FALSE) * C1237+I1237)),""))</f>
        <v>277200</v>
      </c>
      <c r="K1237" s="196">
        <v>24000.0</v>
      </c>
      <c r="L1237" s="87" t="s">
        <v>587</v>
      </c>
      <c r="M1237" s="197" t="s">
        <v>587</v>
      </c>
      <c r="N1237" s="168"/>
    </row>
    <row r="1238" ht="22.5" hidden="1" customHeight="1">
      <c r="A1238" s="137" t="s">
        <v>109</v>
      </c>
      <c r="B1238" s="90">
        <v>46078.0</v>
      </c>
      <c r="C1238" s="55">
        <v>12.0</v>
      </c>
      <c r="D1238" s="97" t="s">
        <v>184</v>
      </c>
      <c r="E1238" s="201"/>
      <c r="F1238" s="202"/>
      <c r="G1238" s="194" t="s">
        <v>587</v>
      </c>
      <c r="H1238" s="195" t="s">
        <v>753</v>
      </c>
      <c r="I1238" s="196">
        <v>0.0</v>
      </c>
      <c r="J1238" s="179">
        <f>IF(A1238="RAPPI",(VLOOKUP(TRIM(D1238), CATALOGO!F:G, 2, FALSE) * C1238)+I1238,IFERROR(IF(COUNTIF('RESTAURANTESDESCUENTOS 2026'!A:A,TRIM(A1238))&gt;0,((VLOOKUP(TRIM(D1238), CATALOGO!A:B, 2, FALSE) * C1238)*(1-VALUE(SUBSTITUTE(VLOOKUP(TRIM(A1238),'RESTAURANTESDESCUENTOS 2026'!A:B,2,FALSE),"%",""))/100)+I1238),(VLOOKUP(TRIM(D1238), CATALOGO!A:B, 2, FALSE) * C1238+I1238)),""))</f>
        <v>288000</v>
      </c>
      <c r="K1238" s="196">
        <v>0.0</v>
      </c>
      <c r="L1238" s="87" t="s">
        <v>587</v>
      </c>
      <c r="M1238" s="197" t="s">
        <v>587</v>
      </c>
      <c r="N1238" s="168"/>
    </row>
    <row r="1239" ht="22.5" hidden="1" customHeight="1">
      <c r="A1239" s="137" t="s">
        <v>968</v>
      </c>
      <c r="B1239" s="90">
        <v>46078.0</v>
      </c>
      <c r="C1239" s="55">
        <v>3.0</v>
      </c>
      <c r="D1239" s="97" t="s">
        <v>178</v>
      </c>
      <c r="E1239" s="201" t="s">
        <v>552</v>
      </c>
      <c r="F1239" s="202"/>
      <c r="G1239" s="194" t="s">
        <v>587</v>
      </c>
      <c r="H1239" s="195" t="s">
        <v>753</v>
      </c>
      <c r="I1239" s="196">
        <v>10000.0</v>
      </c>
      <c r="J1239" s="179">
        <f>IF(A1239="RAPPI",(VLOOKUP(TRIM(D1239), CATALOGO!F:G, 2, FALSE) * C1239)+I1239,IFERROR(IF(COUNTIF('RESTAURANTESDESCUENTOS 2026'!A:A,TRIM(A1239))&gt;0,((VLOOKUP(TRIM(D1239), CATALOGO!A:B, 2, FALSE) * C1239)*(1-VALUE(SUBSTITUTE(VLOOKUP(TRIM(A1239),'RESTAURANTESDESCUENTOS 2026'!A:B,2,FALSE),"%",""))/100)+I1239),(VLOOKUP(TRIM(D1239), CATALOGO!A:B, 2, FALSE) * C1239+I1239)),""))</f>
        <v>347500</v>
      </c>
      <c r="K1239" s="196">
        <v>12000.0</v>
      </c>
      <c r="L1239" s="87" t="s">
        <v>587</v>
      </c>
      <c r="M1239" s="197" t="s">
        <v>587</v>
      </c>
      <c r="N1239" s="168"/>
    </row>
    <row r="1240" ht="22.5" hidden="1" customHeight="1">
      <c r="A1240" s="137" t="s">
        <v>992</v>
      </c>
      <c r="B1240" s="90">
        <v>46078.0</v>
      </c>
      <c r="C1240" s="55">
        <v>1.0</v>
      </c>
      <c r="D1240" s="97" t="s">
        <v>182</v>
      </c>
      <c r="E1240" s="70" t="s">
        <v>699</v>
      </c>
      <c r="F1240" s="212"/>
      <c r="G1240" s="194" t="s">
        <v>587</v>
      </c>
      <c r="H1240" s="195" t="s">
        <v>753</v>
      </c>
      <c r="I1240" s="196">
        <v>10000.0</v>
      </c>
      <c r="J1240" s="179">
        <f>IF(A1240="RAPPI",(VLOOKUP(TRIM(D1240), CATALOGO!F:G, 2, FALSE) * C1240)+I1240,IFERROR(IF(COUNTIF('RESTAURANTESDESCUENTOS 2026'!A:A,TRIM(A1240))&gt;0,((VLOOKUP(TRIM(D1240), CATALOGO!A:B, 2, FALSE) * C1240)*(1-VALUE(SUBSTITUTE(VLOOKUP(TRIM(A1240),'RESTAURANTESDESCUENTOS 2026'!A:B,2,FALSE),"%",""))/100)+I1240),(VLOOKUP(TRIM(D1240), CATALOGO!A:B, 2, FALSE) * C1240+I1240)),""))</f>
        <v>47000</v>
      </c>
      <c r="K1240" s="196">
        <v>10000.0</v>
      </c>
      <c r="L1240" s="87"/>
      <c r="M1240" s="197" t="s">
        <v>587</v>
      </c>
      <c r="N1240" s="168"/>
    </row>
    <row r="1241" ht="22.5" hidden="1" customHeight="1">
      <c r="A1241" s="137" t="s">
        <v>992</v>
      </c>
      <c r="B1241" s="90">
        <v>46078.0</v>
      </c>
      <c r="C1241" s="55">
        <v>1.0</v>
      </c>
      <c r="D1241" s="97" t="s">
        <v>620</v>
      </c>
      <c r="E1241" s="201"/>
      <c r="F1241" s="202"/>
      <c r="G1241" s="194" t="s">
        <v>587</v>
      </c>
      <c r="H1241" s="195" t="s">
        <v>753</v>
      </c>
      <c r="I1241" s="196">
        <v>0.0</v>
      </c>
      <c r="J1241" s="179">
        <f>IF(A1241="RAPPI",(VLOOKUP(TRIM(D1241), CATALOGO!F:G, 2, FALSE) * C1241)+I1241,IFERROR(IF(COUNTIF('RESTAURANTESDESCUENTOS 2026'!A:A,TRIM(A1241))&gt;0,((VLOOKUP(TRIM(D1241), CATALOGO!A:B, 2, FALSE) * C1241)*(1-VALUE(SUBSTITUTE(VLOOKUP(TRIM(A1241),'RESTAURANTESDESCUENTOS 2026'!A:B,2,FALSE),"%",""))/100)+I1241),(VLOOKUP(TRIM(D1241), CATALOGO!A:B, 2, FALSE) * C1241+I1241)),""))</f>
        <v>0</v>
      </c>
      <c r="K1241" s="196">
        <v>0.0</v>
      </c>
      <c r="L1241" s="87"/>
      <c r="M1241" s="197" t="s">
        <v>587</v>
      </c>
      <c r="N1241" s="168"/>
    </row>
    <row r="1242" ht="22.5" hidden="1" customHeight="1">
      <c r="A1242" s="137" t="s">
        <v>992</v>
      </c>
      <c r="B1242" s="90">
        <v>46078.0</v>
      </c>
      <c r="C1242" s="55">
        <v>1.0</v>
      </c>
      <c r="D1242" s="97" t="s">
        <v>669</v>
      </c>
      <c r="E1242" s="201"/>
      <c r="F1242" s="202"/>
      <c r="G1242" s="194" t="s">
        <v>587</v>
      </c>
      <c r="H1242" s="195" t="s">
        <v>753</v>
      </c>
      <c r="I1242" s="196">
        <v>0.0</v>
      </c>
      <c r="J1242" s="179">
        <f>IF(A1242="RAPPI",(VLOOKUP(TRIM(D1242), CATALOGO!F:G, 2, FALSE) * C1242)+I1242,IFERROR(IF(COUNTIF('RESTAURANTESDESCUENTOS 2026'!A:A,TRIM(A1242))&gt;0,((VLOOKUP(TRIM(D1242), CATALOGO!A:B, 2, FALSE) * C1242)*(1-VALUE(SUBSTITUTE(VLOOKUP(TRIM(A1242),'RESTAURANTESDESCUENTOS 2026'!A:B,2,FALSE),"%",""))/100)+I1242),(VLOOKUP(TRIM(D1242), CATALOGO!A:B, 2, FALSE) * C1242+I1242)),""))</f>
        <v>0</v>
      </c>
      <c r="K1242" s="196">
        <v>0.0</v>
      </c>
      <c r="L1242" s="87"/>
      <c r="M1242" s="197" t="s">
        <v>587</v>
      </c>
      <c r="N1242" s="168"/>
    </row>
    <row r="1243" ht="22.5" hidden="1" customHeight="1">
      <c r="A1243" s="137" t="s">
        <v>992</v>
      </c>
      <c r="B1243" s="90">
        <v>46078.0</v>
      </c>
      <c r="C1243" s="55">
        <v>1.0</v>
      </c>
      <c r="D1243" s="97" t="s">
        <v>236</v>
      </c>
      <c r="E1243" s="201"/>
      <c r="F1243" s="202"/>
      <c r="G1243" s="194" t="s">
        <v>587</v>
      </c>
      <c r="H1243" s="195" t="s">
        <v>753</v>
      </c>
      <c r="I1243" s="196">
        <v>0.0</v>
      </c>
      <c r="J1243" s="179">
        <f>IF(A1243="RAPPI",(VLOOKUP(TRIM(D1243), CATALOGO!F:G, 2, FALSE) * C1243)+I1243,IFERROR(IF(COUNTIF('RESTAURANTESDESCUENTOS 2026'!A:A,TRIM(A1243))&gt;0,((VLOOKUP(TRIM(D1243), CATALOGO!A:B, 2, FALSE) * C1243)*(1-VALUE(SUBSTITUTE(VLOOKUP(TRIM(A1243),'RESTAURANTESDESCUENTOS 2026'!A:B,2,FALSE),"%",""))/100)+I1243),(VLOOKUP(TRIM(D1243), CATALOGO!A:B, 2, FALSE) * C1243+I1243)),""))</f>
        <v>0</v>
      </c>
      <c r="K1243" s="196">
        <v>0.0</v>
      </c>
      <c r="L1243" s="87"/>
      <c r="M1243" s="197" t="s">
        <v>587</v>
      </c>
      <c r="N1243" s="168"/>
    </row>
    <row r="1244" ht="22.5" hidden="1" customHeight="1">
      <c r="A1244" s="137" t="s">
        <v>992</v>
      </c>
      <c r="B1244" s="90">
        <v>46078.0</v>
      </c>
      <c r="C1244" s="55">
        <v>1.0</v>
      </c>
      <c r="D1244" s="97" t="s">
        <v>639</v>
      </c>
      <c r="E1244" s="201"/>
      <c r="F1244" s="202"/>
      <c r="G1244" s="194" t="s">
        <v>587</v>
      </c>
      <c r="H1244" s="195" t="s">
        <v>753</v>
      </c>
      <c r="I1244" s="196">
        <v>0.0</v>
      </c>
      <c r="J1244" s="179">
        <f>IF(A1244="RAPPI",(VLOOKUP(TRIM(D1244), CATALOGO!F:G, 2, FALSE) * C1244)+I1244,IFERROR(IF(COUNTIF('RESTAURANTESDESCUENTOS 2026'!A:A,TRIM(A1244))&gt;0,((VLOOKUP(TRIM(D1244), CATALOGO!A:B, 2, FALSE) * C1244)*(1-VALUE(SUBSTITUTE(VLOOKUP(TRIM(A1244),'RESTAURANTESDESCUENTOS 2026'!A:B,2,FALSE),"%",""))/100)+I1244),(VLOOKUP(TRIM(D1244), CATALOGO!A:B, 2, FALSE) * C1244+I1244)),""))</f>
        <v>0</v>
      </c>
      <c r="K1244" s="196">
        <v>0.0</v>
      </c>
      <c r="L1244" s="87"/>
      <c r="M1244" s="197" t="s">
        <v>587</v>
      </c>
      <c r="N1244" s="168"/>
    </row>
    <row r="1245" ht="22.5" hidden="1" customHeight="1">
      <c r="A1245" s="137" t="s">
        <v>603</v>
      </c>
      <c r="B1245" s="90">
        <v>46078.0</v>
      </c>
      <c r="C1245" s="55">
        <v>1.0</v>
      </c>
      <c r="D1245" s="97" t="s">
        <v>601</v>
      </c>
      <c r="E1245" s="201">
        <v>3294.0</v>
      </c>
      <c r="F1245" s="202"/>
      <c r="G1245" s="194" t="s">
        <v>587</v>
      </c>
      <c r="H1245" s="195" t="s">
        <v>603</v>
      </c>
      <c r="I1245" s="196"/>
      <c r="J1245" s="179">
        <f>IF(A1245="RAPPI",(VLOOKUP(TRIM(D1245), CATALOGO!F:G, 2, FALSE) * C1245)+I1245,IFERROR(IF(COUNTIF('RESTAURANTESDESCUENTOS 2026'!A:A,TRIM(A1245))&gt;0,((VLOOKUP(TRIM(D1245), CATALOGO!A:B, 2, FALSE) * C1245)*(1-VALUE(SUBSTITUTE(VLOOKUP(TRIM(A1245),'RESTAURANTESDESCUENTOS 2026'!A:B,2,FALSE),"%",""))/100)+I1245),(VLOOKUP(TRIM(D1245), CATALOGO!A:B, 2, FALSE) * C1245+I1245)),""))</f>
        <v>53000</v>
      </c>
      <c r="K1245" s="196"/>
      <c r="L1245" s="87"/>
      <c r="M1245" s="197" t="s">
        <v>587</v>
      </c>
      <c r="N1245" s="168"/>
    </row>
    <row r="1246" ht="22.5" hidden="1" customHeight="1">
      <c r="A1246" s="137" t="s">
        <v>603</v>
      </c>
      <c r="B1246" s="90">
        <v>46078.0</v>
      </c>
      <c r="C1246" s="55">
        <v>1.0</v>
      </c>
      <c r="D1246" s="97" t="s">
        <v>604</v>
      </c>
      <c r="E1246" s="201">
        <v>3123.0</v>
      </c>
      <c r="F1246" s="202"/>
      <c r="G1246" s="194" t="s">
        <v>587</v>
      </c>
      <c r="H1246" s="195" t="s">
        <v>603</v>
      </c>
      <c r="I1246" s="196"/>
      <c r="J1246" s="179">
        <f>IF(A1246="RAPPI",(VLOOKUP(TRIM(D1246), CATALOGO!F:G, 2, FALSE) * C1246)+I1246,IFERROR(IF(COUNTIF('RESTAURANTESDESCUENTOS 2026'!A:A,TRIM(A1246))&gt;0,((VLOOKUP(TRIM(D1246), CATALOGO!A:B, 2, FALSE) * C1246)*(1-VALUE(SUBSTITUTE(VLOOKUP(TRIM(A1246),'RESTAURANTESDESCUENTOS 2026'!A:B,2,FALSE),"%",""))/100)+I1246),(VLOOKUP(TRIM(D1246), CATALOGO!A:B, 2, FALSE) * C1246+I1246)),""))</f>
        <v>22000</v>
      </c>
      <c r="K1246" s="196"/>
      <c r="L1246" s="87"/>
      <c r="M1246" s="197" t="s">
        <v>587</v>
      </c>
      <c r="N1246" s="168"/>
    </row>
    <row r="1247" ht="22.5" hidden="1" customHeight="1">
      <c r="A1247" s="137" t="s">
        <v>106</v>
      </c>
      <c r="B1247" s="90">
        <v>46078.0</v>
      </c>
      <c r="C1247" s="55">
        <v>1.0</v>
      </c>
      <c r="D1247" s="97" t="s">
        <v>178</v>
      </c>
      <c r="E1247" s="201" t="s">
        <v>610</v>
      </c>
      <c r="F1247" s="202"/>
      <c r="G1247" s="194" t="s">
        <v>587</v>
      </c>
      <c r="H1247" s="195" t="s">
        <v>753</v>
      </c>
      <c r="I1247" s="196">
        <v>8000.0</v>
      </c>
      <c r="J1247" s="179">
        <f>IF(A1247="RAPPI",(VLOOKUP(TRIM(D1247), CATALOGO!F:G, 2, FALSE) * C1247)+I1247,IFERROR(IF(COUNTIF('RESTAURANTESDESCUENTOS 2026'!A:A,TRIM(A1247))&gt;0,((VLOOKUP(TRIM(D1247), CATALOGO!A:B, 2, FALSE) * C1247)*(1-VALUE(SUBSTITUTE(VLOOKUP(TRIM(A1247),'RESTAURANTESDESCUENTOS 2026'!A:B,2,FALSE),"%",""))/100)+I1247),(VLOOKUP(TRIM(D1247), CATALOGO!A:B, 2, FALSE) * C1247+I1247)),""))</f>
        <v>105125</v>
      </c>
      <c r="K1247" s="196">
        <v>10000.0</v>
      </c>
      <c r="L1247" s="87" t="s">
        <v>587</v>
      </c>
      <c r="M1247" s="197" t="s">
        <v>587</v>
      </c>
      <c r="N1247" s="168"/>
    </row>
    <row r="1248" ht="22.5" hidden="1" customHeight="1">
      <c r="A1248" s="137" t="s">
        <v>605</v>
      </c>
      <c r="B1248" s="90">
        <v>46078.0</v>
      </c>
      <c r="C1248" s="55">
        <v>1.0</v>
      </c>
      <c r="D1248" s="97" t="s">
        <v>176</v>
      </c>
      <c r="E1248" s="201" t="s">
        <v>606</v>
      </c>
      <c r="F1248" s="202"/>
      <c r="G1248" s="194" t="s">
        <v>35</v>
      </c>
      <c r="H1248" s="198"/>
      <c r="I1248" s="196"/>
      <c r="J1248" s="179">
        <f>IF(A1248="RAPPI",(VLOOKUP(TRIM(D1248), CATALOGO!F:G, 2, FALSE) * C1248)+I1248,IFERROR(IF(COUNTIF('RESTAURANTESDESCUENTOS 2026'!A:A,TRIM(A1248))&gt;0,((VLOOKUP(TRIM(D1248), CATALOGO!A:B, 2, FALSE) * C1248)*(1-VALUE(SUBSTITUTE(VLOOKUP(TRIM(A1248),'RESTAURANTESDESCUENTOS 2026'!A:B,2,FALSE),"%",""))/100)+I1248),(VLOOKUP(TRIM(D1248), CATALOGO!A:B, 2, FALSE) * C1248+I1248)),""))</f>
        <v>50000</v>
      </c>
      <c r="K1248" s="196"/>
      <c r="L1248" s="87"/>
      <c r="M1248" s="197" t="s">
        <v>587</v>
      </c>
      <c r="N1248" s="168"/>
    </row>
    <row r="1249" ht="22.5" hidden="1" customHeight="1">
      <c r="A1249" s="137" t="s">
        <v>603</v>
      </c>
      <c r="B1249" s="90">
        <v>46078.0</v>
      </c>
      <c r="C1249" s="55">
        <v>1.0</v>
      </c>
      <c r="D1249" s="97" t="s">
        <v>824</v>
      </c>
      <c r="E1249" s="201">
        <v>9124.0</v>
      </c>
      <c r="F1249" s="202"/>
      <c r="G1249" s="194" t="s">
        <v>587</v>
      </c>
      <c r="H1249" s="195" t="s">
        <v>603</v>
      </c>
      <c r="I1249" s="196"/>
      <c r="J1249" s="179">
        <f>IF(A1249="RAPPI",(VLOOKUP(TRIM(D1249), CATALOGO!F:G, 2, FALSE) * C1249)+I1249,IFERROR(IF(COUNTIF('RESTAURANTESDESCUENTOS 2026'!A:A,TRIM(A1249))&gt;0,((VLOOKUP(TRIM(D1249), CATALOGO!A:B, 2, FALSE) * C1249)*(1-VALUE(SUBSTITUTE(VLOOKUP(TRIM(A1249),'RESTAURANTESDESCUENTOS 2026'!A:B,2,FALSE),"%",""))/100)+I1249),(VLOOKUP(TRIM(D1249), CATALOGO!A:B, 2, FALSE) * C1249+I1249)),""))</f>
        <v>123000</v>
      </c>
      <c r="K1249" s="196"/>
      <c r="L1249" s="87"/>
      <c r="M1249" s="197" t="s">
        <v>587</v>
      </c>
      <c r="N1249" s="168"/>
    </row>
    <row r="1250" ht="22.5" hidden="1" customHeight="1">
      <c r="A1250" s="137" t="s">
        <v>993</v>
      </c>
      <c r="B1250" s="90">
        <v>46078.0</v>
      </c>
      <c r="C1250" s="55">
        <v>1.0</v>
      </c>
      <c r="D1250" s="97" t="s">
        <v>182</v>
      </c>
      <c r="E1250" s="201"/>
      <c r="F1250" s="202"/>
      <c r="G1250" s="194" t="s">
        <v>587</v>
      </c>
      <c r="H1250" s="195" t="s">
        <v>588</v>
      </c>
      <c r="I1250" s="196">
        <v>13000.0</v>
      </c>
      <c r="J1250" s="179">
        <f>IF(A1250="RAPPI",(VLOOKUP(TRIM(D1250), CATALOGO!F:G, 2, FALSE) * C1250)+I1250,IFERROR(IF(COUNTIF('RESTAURANTESDESCUENTOS 2026'!A:A,TRIM(A1250))&gt;0,((VLOOKUP(TRIM(D1250), CATALOGO!A:B, 2, FALSE) * C1250)*(1-VALUE(SUBSTITUTE(VLOOKUP(TRIM(A1250),'RESTAURANTESDESCUENTOS 2026'!A:B,2,FALSE),"%",""))/100)+I1250),(VLOOKUP(TRIM(D1250), CATALOGO!A:B, 2, FALSE) * C1250+I1250)),""))</f>
        <v>50000</v>
      </c>
      <c r="K1250" s="196">
        <v>12000.0</v>
      </c>
      <c r="L1250" s="87"/>
      <c r="M1250" s="197" t="s">
        <v>587</v>
      </c>
      <c r="N1250" s="168"/>
    </row>
    <row r="1251" ht="22.5" hidden="1" customHeight="1">
      <c r="A1251" s="137" t="s">
        <v>993</v>
      </c>
      <c r="B1251" s="90">
        <v>46078.0</v>
      </c>
      <c r="C1251" s="55">
        <v>1.0</v>
      </c>
      <c r="D1251" s="97" t="s">
        <v>620</v>
      </c>
      <c r="E1251" s="201"/>
      <c r="F1251" s="202"/>
      <c r="G1251" s="194" t="s">
        <v>587</v>
      </c>
      <c r="H1251" s="195" t="s">
        <v>588</v>
      </c>
      <c r="I1251" s="196">
        <v>0.0</v>
      </c>
      <c r="J1251" s="179">
        <f>IF(A1251="RAPPI",(VLOOKUP(TRIM(D1251), CATALOGO!F:G, 2, FALSE) * C1251)+I1251,IFERROR(IF(COUNTIF('RESTAURANTESDESCUENTOS 2026'!A:A,TRIM(A1251))&gt;0,((VLOOKUP(TRIM(D1251), CATALOGO!A:B, 2, FALSE) * C1251)*(1-VALUE(SUBSTITUTE(VLOOKUP(TRIM(A1251),'RESTAURANTESDESCUENTOS 2026'!A:B,2,FALSE),"%",""))/100)+I1251),(VLOOKUP(TRIM(D1251), CATALOGO!A:B, 2, FALSE) * C1251+I1251)),""))</f>
        <v>0</v>
      </c>
      <c r="K1251" s="196">
        <v>0.0</v>
      </c>
      <c r="L1251" s="87"/>
      <c r="M1251" s="197" t="s">
        <v>587</v>
      </c>
      <c r="N1251" s="168"/>
    </row>
    <row r="1252" ht="22.5" hidden="1" customHeight="1">
      <c r="A1252" s="137" t="s">
        <v>993</v>
      </c>
      <c r="B1252" s="90">
        <v>46078.0</v>
      </c>
      <c r="C1252" s="55">
        <v>1.0</v>
      </c>
      <c r="D1252" s="97" t="s">
        <v>669</v>
      </c>
      <c r="E1252" s="201"/>
      <c r="F1252" s="202"/>
      <c r="G1252" s="194" t="s">
        <v>587</v>
      </c>
      <c r="H1252" s="195" t="s">
        <v>588</v>
      </c>
      <c r="I1252" s="196">
        <v>0.0</v>
      </c>
      <c r="J1252" s="179">
        <f>IF(A1252="RAPPI",(VLOOKUP(TRIM(D1252), CATALOGO!F:G, 2, FALSE) * C1252)+I1252,IFERROR(IF(COUNTIF('RESTAURANTESDESCUENTOS 2026'!A:A,TRIM(A1252))&gt;0,((VLOOKUP(TRIM(D1252), CATALOGO!A:B, 2, FALSE) * C1252)*(1-VALUE(SUBSTITUTE(VLOOKUP(TRIM(A1252),'RESTAURANTESDESCUENTOS 2026'!A:B,2,FALSE),"%",""))/100)+I1252),(VLOOKUP(TRIM(D1252), CATALOGO!A:B, 2, FALSE) * C1252+I1252)),""))</f>
        <v>0</v>
      </c>
      <c r="K1252" s="196">
        <v>0.0</v>
      </c>
      <c r="L1252" s="87"/>
      <c r="M1252" s="197" t="s">
        <v>587</v>
      </c>
      <c r="N1252" s="168"/>
    </row>
    <row r="1253" ht="22.5" hidden="1" customHeight="1">
      <c r="A1253" s="137" t="s">
        <v>993</v>
      </c>
      <c r="B1253" s="90">
        <v>46078.0</v>
      </c>
      <c r="C1253" s="55">
        <v>1.0</v>
      </c>
      <c r="D1253" s="97" t="s">
        <v>236</v>
      </c>
      <c r="E1253" s="201"/>
      <c r="F1253" s="202"/>
      <c r="G1253" s="194" t="s">
        <v>587</v>
      </c>
      <c r="H1253" s="195" t="s">
        <v>588</v>
      </c>
      <c r="I1253" s="196">
        <v>0.0</v>
      </c>
      <c r="J1253" s="179">
        <f>IF(A1253="RAPPI",(VLOOKUP(TRIM(D1253), CATALOGO!F:G, 2, FALSE) * C1253)+I1253,IFERROR(IF(COUNTIF('RESTAURANTESDESCUENTOS 2026'!A:A,TRIM(A1253))&gt;0,((VLOOKUP(TRIM(D1253), CATALOGO!A:B, 2, FALSE) * C1253)*(1-VALUE(SUBSTITUTE(VLOOKUP(TRIM(A1253),'RESTAURANTESDESCUENTOS 2026'!A:B,2,FALSE),"%",""))/100)+I1253),(VLOOKUP(TRIM(D1253), CATALOGO!A:B, 2, FALSE) * C1253+I1253)),""))</f>
        <v>0</v>
      </c>
      <c r="K1253" s="196">
        <v>0.0</v>
      </c>
      <c r="L1253" s="87"/>
      <c r="M1253" s="197" t="s">
        <v>587</v>
      </c>
      <c r="N1253" s="168"/>
    </row>
    <row r="1254" ht="22.5" hidden="1" customHeight="1">
      <c r="A1254" s="137" t="s">
        <v>993</v>
      </c>
      <c r="B1254" s="90">
        <v>46078.0</v>
      </c>
      <c r="C1254" s="55">
        <v>1.0</v>
      </c>
      <c r="D1254" s="97" t="s">
        <v>639</v>
      </c>
      <c r="E1254" s="201"/>
      <c r="F1254" s="202"/>
      <c r="G1254" s="194" t="s">
        <v>587</v>
      </c>
      <c r="H1254" s="195" t="s">
        <v>588</v>
      </c>
      <c r="I1254" s="196">
        <v>0.0</v>
      </c>
      <c r="J1254" s="179">
        <f>IF(A1254="RAPPI",(VLOOKUP(TRIM(D1254), CATALOGO!F:G, 2, FALSE) * C1254)+I1254,IFERROR(IF(COUNTIF('RESTAURANTESDESCUENTOS 2026'!A:A,TRIM(A1254))&gt;0,((VLOOKUP(TRIM(D1254), CATALOGO!A:B, 2, FALSE) * C1254)*(1-VALUE(SUBSTITUTE(VLOOKUP(TRIM(A1254),'RESTAURANTESDESCUENTOS 2026'!A:B,2,FALSE),"%",""))/100)+I1254),(VLOOKUP(TRIM(D1254), CATALOGO!A:B, 2, FALSE) * C1254+I1254)),""))</f>
        <v>0</v>
      </c>
      <c r="K1254" s="196">
        <v>0.0</v>
      </c>
      <c r="L1254" s="87"/>
      <c r="M1254" s="197" t="s">
        <v>587</v>
      </c>
      <c r="N1254" s="168"/>
    </row>
    <row r="1255" ht="22.5" hidden="1" customHeight="1">
      <c r="A1255" s="137" t="s">
        <v>603</v>
      </c>
      <c r="B1255" s="90">
        <v>46078.0</v>
      </c>
      <c r="C1255" s="55">
        <v>1.0</v>
      </c>
      <c r="D1255" s="97" t="s">
        <v>601</v>
      </c>
      <c r="E1255" s="201">
        <v>3063.0</v>
      </c>
      <c r="F1255" s="202"/>
      <c r="G1255" s="194" t="s">
        <v>587</v>
      </c>
      <c r="H1255" s="195" t="s">
        <v>603</v>
      </c>
      <c r="I1255" s="196"/>
      <c r="J1255" s="179">
        <f>IF(A1255="RAPPI",(VLOOKUP(TRIM(D1255), CATALOGO!F:G, 2, FALSE) * C1255)+I1255,IFERROR(IF(COUNTIF('RESTAURANTESDESCUENTOS 2026'!A:A,TRIM(A1255))&gt;0,((VLOOKUP(TRIM(D1255), CATALOGO!A:B, 2, FALSE) * C1255)*(1-VALUE(SUBSTITUTE(VLOOKUP(TRIM(A1255),'RESTAURANTESDESCUENTOS 2026'!A:B,2,FALSE),"%",""))/100)+I1255),(VLOOKUP(TRIM(D1255), CATALOGO!A:B, 2, FALSE) * C1255+I1255)),""))</f>
        <v>53000</v>
      </c>
      <c r="K1255" s="196"/>
      <c r="L1255" s="87"/>
      <c r="M1255" s="197" t="s">
        <v>587</v>
      </c>
      <c r="N1255" s="168"/>
    </row>
    <row r="1256" ht="22.5" hidden="1" customHeight="1">
      <c r="A1256" s="137" t="s">
        <v>603</v>
      </c>
      <c r="B1256" s="90">
        <v>46078.0</v>
      </c>
      <c r="C1256" s="55">
        <v>1.0</v>
      </c>
      <c r="D1256" s="97" t="s">
        <v>757</v>
      </c>
      <c r="E1256" s="201">
        <v>5329.0</v>
      </c>
      <c r="F1256" s="202"/>
      <c r="G1256" s="194" t="s">
        <v>587</v>
      </c>
      <c r="H1256" s="195" t="s">
        <v>603</v>
      </c>
      <c r="I1256" s="196"/>
      <c r="J1256" s="179">
        <f>IF(A1256="RAPPI",(VLOOKUP(TRIM(D1256), CATALOGO!F:G, 2, FALSE) * C1256)+I1256,IFERROR(IF(COUNTIF('RESTAURANTESDESCUENTOS 2026'!A:A,TRIM(A1256))&gt;0,((VLOOKUP(TRIM(D1256), CATALOGO!A:B, 2, FALSE) * C1256)*(1-VALUE(SUBSTITUTE(VLOOKUP(TRIM(A1256),'RESTAURANTESDESCUENTOS 2026'!A:B,2,FALSE),"%",""))/100)+I1256),(VLOOKUP(TRIM(D1256), CATALOGO!A:B, 2, FALSE) * C1256+I1256)),""))</f>
        <v>22000</v>
      </c>
      <c r="K1256" s="196"/>
      <c r="L1256" s="87"/>
      <c r="M1256" s="197" t="s">
        <v>587</v>
      </c>
      <c r="N1256" s="168"/>
    </row>
    <row r="1257" ht="22.5" hidden="1" customHeight="1">
      <c r="A1257" s="137" t="s">
        <v>603</v>
      </c>
      <c r="B1257" s="90">
        <v>46078.0</v>
      </c>
      <c r="C1257" s="55">
        <v>1.0</v>
      </c>
      <c r="D1257" s="97" t="s">
        <v>604</v>
      </c>
      <c r="E1257" s="201" t="s">
        <v>994</v>
      </c>
      <c r="F1257" s="202"/>
      <c r="G1257" s="194" t="s">
        <v>587</v>
      </c>
      <c r="H1257" s="195" t="s">
        <v>603</v>
      </c>
      <c r="I1257" s="196"/>
      <c r="J1257" s="179">
        <f>IF(A1257="RAPPI",(VLOOKUP(TRIM(D1257), CATALOGO!F:G, 2, FALSE) * C1257)+I1257,IFERROR(IF(COUNTIF('RESTAURANTESDESCUENTOS 2026'!A:A,TRIM(A1257))&gt;0,((VLOOKUP(TRIM(D1257), CATALOGO!A:B, 2, FALSE) * C1257)*(1-VALUE(SUBSTITUTE(VLOOKUP(TRIM(A1257),'RESTAURANTESDESCUENTOS 2026'!A:B,2,FALSE),"%",""))/100)+I1257),(VLOOKUP(TRIM(D1257), CATALOGO!A:B, 2, FALSE) * C1257+I1257)),""))</f>
        <v>22000</v>
      </c>
      <c r="K1257" s="196"/>
      <c r="L1257" s="87"/>
      <c r="M1257" s="197" t="s">
        <v>587</v>
      </c>
      <c r="N1257" s="168"/>
    </row>
    <row r="1258" ht="22.5" hidden="1" customHeight="1">
      <c r="A1258" s="137" t="s">
        <v>605</v>
      </c>
      <c r="B1258" s="90">
        <v>46078.0</v>
      </c>
      <c r="C1258" s="55">
        <v>1.0</v>
      </c>
      <c r="D1258" s="97" t="s">
        <v>174</v>
      </c>
      <c r="E1258" s="201" t="s">
        <v>607</v>
      </c>
      <c r="F1258" s="202"/>
      <c r="G1258" s="194" t="s">
        <v>35</v>
      </c>
      <c r="H1258" s="198"/>
      <c r="I1258" s="196"/>
      <c r="J1258" s="179">
        <f>IF(A1258="RAPPI",(VLOOKUP(TRIM(D1258), CATALOGO!F:G, 2, FALSE) * C1258)+I1258,IFERROR(IF(COUNTIF('RESTAURANTESDESCUENTOS 2026'!A:A,TRIM(A1258))&gt;0,((VLOOKUP(TRIM(D1258), CATALOGO!A:B, 2, FALSE) * C1258)*(1-VALUE(SUBSTITUTE(VLOOKUP(TRIM(A1258),'RESTAURANTESDESCUENTOS 2026'!A:B,2,FALSE),"%",""))/100)+I1258),(VLOOKUP(TRIM(D1258), CATALOGO!A:B, 2, FALSE) * C1258+I1258)),""))</f>
        <v>18000</v>
      </c>
      <c r="K1258" s="196"/>
      <c r="L1258" s="87"/>
      <c r="M1258" s="197" t="s">
        <v>587</v>
      </c>
      <c r="N1258" s="168"/>
    </row>
    <row r="1259" ht="22.5" hidden="1" customHeight="1">
      <c r="A1259" s="137" t="s">
        <v>46</v>
      </c>
      <c r="B1259" s="90">
        <v>46079.0</v>
      </c>
      <c r="C1259" s="55">
        <v>1.0</v>
      </c>
      <c r="D1259" s="97" t="s">
        <v>177</v>
      </c>
      <c r="E1259" s="201" t="s">
        <v>610</v>
      </c>
      <c r="F1259" s="202"/>
      <c r="G1259" s="194" t="s">
        <v>587</v>
      </c>
      <c r="H1259" s="195" t="s">
        <v>632</v>
      </c>
      <c r="I1259" s="196">
        <v>0.0</v>
      </c>
      <c r="J1259" s="179">
        <f>IF(A1259="RAPPI",(VLOOKUP(TRIM(D1259), CATALOGO!F:G, 2, FALSE) * C1259)+I1259,IFERROR(IF(COUNTIF('RESTAURANTESDESCUENTOS 2026'!A:A,TRIM(A1259))&gt;0,((VLOOKUP(TRIM(D1259), CATALOGO!A:B, 2, FALSE) * C1259)*(1-VALUE(SUBSTITUTE(VLOOKUP(TRIM(A1259),'RESTAURANTESDESCUENTOS 2026'!A:B,2,FALSE),"%",""))/100)+I1259),(VLOOKUP(TRIM(D1259), CATALOGO!A:B, 2, FALSE) * C1259+I1259)),""))</f>
        <v>86250</v>
      </c>
      <c r="K1259" s="196">
        <v>13000.0</v>
      </c>
      <c r="L1259" s="87" t="s">
        <v>587</v>
      </c>
      <c r="M1259" s="197" t="s">
        <v>587</v>
      </c>
      <c r="N1259" s="168"/>
    </row>
    <row r="1260" ht="22.5" hidden="1" customHeight="1">
      <c r="A1260" s="137" t="s">
        <v>995</v>
      </c>
      <c r="B1260" s="90">
        <v>46079.0</v>
      </c>
      <c r="C1260" s="55">
        <v>1.0</v>
      </c>
      <c r="D1260" s="97" t="s">
        <v>678</v>
      </c>
      <c r="E1260" s="201" t="s">
        <v>744</v>
      </c>
      <c r="F1260" s="202"/>
      <c r="G1260" s="194" t="s">
        <v>35</v>
      </c>
      <c r="H1260" s="198"/>
      <c r="I1260" s="196"/>
      <c r="J1260" s="179">
        <f>IF(A1260="RAPPI",(VLOOKUP(TRIM(D1260), CATALOGO!F:G, 2, FALSE) * C1260)+I1260,IFERROR(IF(COUNTIF('RESTAURANTESDESCUENTOS 2026'!A:A,TRIM(A1260))&gt;0,((VLOOKUP(TRIM(D1260), CATALOGO!A:B, 2, FALSE) * C1260)*(1-VALUE(SUBSTITUTE(VLOOKUP(TRIM(A1260),'RESTAURANTESDESCUENTOS 2026'!A:B,2,FALSE),"%",""))/100)+I1260),(VLOOKUP(TRIM(D1260), CATALOGO!A:B, 2, FALSE) * C1260+I1260)),""))</f>
        <v>123000</v>
      </c>
      <c r="K1260" s="196"/>
      <c r="L1260" s="87"/>
      <c r="M1260" s="197" t="s">
        <v>587</v>
      </c>
      <c r="N1260" s="168"/>
    </row>
    <row r="1261" ht="22.5" hidden="1" customHeight="1">
      <c r="A1261" s="26" t="s">
        <v>65</v>
      </c>
      <c r="B1261" s="90">
        <v>46079.0</v>
      </c>
      <c r="C1261" s="55">
        <v>1.0</v>
      </c>
      <c r="D1261" s="97" t="s">
        <v>178</v>
      </c>
      <c r="E1261" s="201" t="s">
        <v>610</v>
      </c>
      <c r="F1261" s="202"/>
      <c r="G1261" s="194" t="s">
        <v>587</v>
      </c>
      <c r="H1261" s="195" t="s">
        <v>632</v>
      </c>
      <c r="I1261" s="196">
        <v>0.0</v>
      </c>
      <c r="J1261" s="179">
        <f>IF(A1261="RAPPI",(VLOOKUP(TRIM(D1261), CATALOGO!F:G, 2, FALSE) * C1261)+I1261,IFERROR(IF(COUNTIF('RESTAURANTESDESCUENTOS 2026'!A:A,TRIM(A1261))&gt;0,((VLOOKUP(TRIM(D1261), CATALOGO!A:B, 2, FALSE) * C1261)*(1-VALUE(SUBSTITUTE(VLOOKUP(TRIM(A1261),'RESTAURANTESDESCUENTOS 2026'!A:B,2,FALSE),"%",""))/100)+I1261),(VLOOKUP(TRIM(D1261), CATALOGO!A:B, 2, FALSE) * C1261+I1261)),""))</f>
        <v>112500</v>
      </c>
      <c r="K1261" s="196">
        <v>14000.0</v>
      </c>
      <c r="L1261" s="87" t="s">
        <v>587</v>
      </c>
      <c r="M1261" s="234" t="s">
        <v>587</v>
      </c>
      <c r="N1261" s="235"/>
    </row>
    <row r="1262" ht="22.5" hidden="1" customHeight="1">
      <c r="A1262" s="26" t="s">
        <v>65</v>
      </c>
      <c r="B1262" s="90">
        <v>46079.0</v>
      </c>
      <c r="C1262" s="55">
        <v>100.0</v>
      </c>
      <c r="D1262" s="97" t="s">
        <v>639</v>
      </c>
      <c r="E1262" s="201"/>
      <c r="F1262" s="202"/>
      <c r="G1262" s="194" t="s">
        <v>587</v>
      </c>
      <c r="H1262" s="195" t="s">
        <v>632</v>
      </c>
      <c r="I1262" s="196">
        <v>0.0</v>
      </c>
      <c r="J1262" s="179">
        <f>IF(A1262="RAPPI",(VLOOKUP(TRIM(D1262), CATALOGO!F:G, 2, FALSE) * C1262)+I1262,IFERROR(IF(COUNTIF('RESTAURANTESDESCUENTOS 2026'!A:A,TRIM(A1262))&gt;0,((VLOOKUP(TRIM(D1262), CATALOGO!A:B, 2, FALSE) * C1262)*(1-VALUE(SUBSTITUTE(VLOOKUP(TRIM(A1262),'RESTAURANTESDESCUENTOS 2026'!A:B,2,FALSE),"%",""))/100)+I1262),(VLOOKUP(TRIM(D1262), CATALOGO!A:B, 2, FALSE) * C1262+I1262)),""))</f>
        <v>0</v>
      </c>
      <c r="K1262" s="196">
        <v>0.0</v>
      </c>
      <c r="L1262" s="87" t="s">
        <v>587</v>
      </c>
      <c r="M1262" s="234" t="s">
        <v>587</v>
      </c>
      <c r="N1262" s="235"/>
    </row>
    <row r="1263" ht="22.5" hidden="1" customHeight="1">
      <c r="A1263" s="26" t="s">
        <v>65</v>
      </c>
      <c r="B1263" s="90">
        <v>46079.0</v>
      </c>
      <c r="C1263" s="55">
        <v>100.0</v>
      </c>
      <c r="D1263" s="97" t="s">
        <v>620</v>
      </c>
      <c r="E1263" s="201"/>
      <c r="F1263" s="202"/>
      <c r="G1263" s="194" t="s">
        <v>587</v>
      </c>
      <c r="H1263" s="195" t="s">
        <v>632</v>
      </c>
      <c r="I1263" s="196">
        <v>0.0</v>
      </c>
      <c r="J1263" s="179">
        <f>IF(A1263="RAPPI",(VLOOKUP(TRIM(D1263), CATALOGO!F:G, 2, FALSE) * C1263)+I1263,IFERROR(IF(COUNTIF('RESTAURANTESDESCUENTOS 2026'!A:A,TRIM(A1263))&gt;0,((VLOOKUP(TRIM(D1263), CATALOGO!A:B, 2, FALSE) * C1263)*(1-VALUE(SUBSTITUTE(VLOOKUP(TRIM(A1263),'RESTAURANTESDESCUENTOS 2026'!A:B,2,FALSE),"%",""))/100)+I1263),(VLOOKUP(TRIM(D1263), CATALOGO!A:B, 2, FALSE) * C1263+I1263)),""))</f>
        <v>0</v>
      </c>
      <c r="K1263" s="196">
        <v>0.0</v>
      </c>
      <c r="L1263" s="87" t="s">
        <v>587</v>
      </c>
      <c r="M1263" s="234" t="s">
        <v>587</v>
      </c>
      <c r="N1263" s="235"/>
    </row>
    <row r="1264" ht="22.5" hidden="1" customHeight="1">
      <c r="A1264" s="26" t="s">
        <v>69</v>
      </c>
      <c r="B1264" s="90">
        <v>46079.0</v>
      </c>
      <c r="C1264" s="55">
        <v>1.0</v>
      </c>
      <c r="D1264" s="97" t="s">
        <v>178</v>
      </c>
      <c r="E1264" s="201" t="s">
        <v>610</v>
      </c>
      <c r="F1264" s="202"/>
      <c r="G1264" s="194" t="s">
        <v>587</v>
      </c>
      <c r="H1264" s="195" t="s">
        <v>632</v>
      </c>
      <c r="I1264" s="196">
        <v>0.0</v>
      </c>
      <c r="J1264" s="179">
        <f>IF(A1264="RAPPI",(VLOOKUP(TRIM(D1264), CATALOGO!F:G, 2, FALSE) * C1264)+I1264,IFERROR(IF(COUNTIF('RESTAURANTESDESCUENTOS 2026'!A:A,TRIM(A1264))&gt;0,((VLOOKUP(TRIM(D1264), CATALOGO!A:B, 2, FALSE) * C1264)*(1-VALUE(SUBSTITUTE(VLOOKUP(TRIM(A1264),'RESTAURANTESDESCUENTOS 2026'!A:B,2,FALSE),"%",""))/100)+I1264),(VLOOKUP(TRIM(D1264), CATALOGO!A:B, 2, FALSE) * C1264+I1264)),""))</f>
        <v>112500</v>
      </c>
      <c r="K1264" s="196">
        <v>10000.0</v>
      </c>
      <c r="L1264" s="87" t="s">
        <v>587</v>
      </c>
      <c r="M1264" s="234" t="s">
        <v>587</v>
      </c>
      <c r="N1264" s="235"/>
    </row>
    <row r="1265" ht="22.5" hidden="1" customHeight="1">
      <c r="A1265" s="26" t="s">
        <v>69</v>
      </c>
      <c r="B1265" s="90">
        <v>46079.0</v>
      </c>
      <c r="C1265" s="55">
        <v>100.0</v>
      </c>
      <c r="D1265" s="97" t="s">
        <v>639</v>
      </c>
      <c r="E1265" s="201"/>
      <c r="F1265" s="202"/>
      <c r="G1265" s="194" t="s">
        <v>587</v>
      </c>
      <c r="H1265" s="195" t="s">
        <v>632</v>
      </c>
      <c r="I1265" s="196">
        <v>0.0</v>
      </c>
      <c r="J1265" s="179">
        <f>IF(A1265="RAPPI",(VLOOKUP(TRIM(D1265), CATALOGO!F:G, 2, FALSE) * C1265)+I1265,IFERROR(IF(COUNTIF('RESTAURANTESDESCUENTOS 2026'!A:A,TRIM(A1265))&gt;0,((VLOOKUP(TRIM(D1265), CATALOGO!A:B, 2, FALSE) * C1265)*(1-VALUE(SUBSTITUTE(VLOOKUP(TRIM(A1265),'RESTAURANTESDESCUENTOS 2026'!A:B,2,FALSE),"%",""))/100)+I1265),(VLOOKUP(TRIM(D1265), CATALOGO!A:B, 2, FALSE) * C1265+I1265)),""))</f>
        <v>0</v>
      </c>
      <c r="K1265" s="196">
        <v>0.0</v>
      </c>
      <c r="L1265" s="87" t="s">
        <v>587</v>
      </c>
      <c r="M1265" s="234" t="s">
        <v>587</v>
      </c>
      <c r="N1265" s="235"/>
    </row>
    <row r="1266" ht="22.5" hidden="1" customHeight="1">
      <c r="A1266" s="26" t="s">
        <v>69</v>
      </c>
      <c r="B1266" s="90">
        <v>46079.0</v>
      </c>
      <c r="C1266" s="55">
        <v>100.0</v>
      </c>
      <c r="D1266" s="97" t="s">
        <v>620</v>
      </c>
      <c r="E1266" s="201"/>
      <c r="F1266" s="202"/>
      <c r="G1266" s="194" t="s">
        <v>587</v>
      </c>
      <c r="H1266" s="195" t="s">
        <v>632</v>
      </c>
      <c r="I1266" s="196">
        <v>0.0</v>
      </c>
      <c r="J1266" s="179">
        <f>IF(A1266="RAPPI",(VLOOKUP(TRIM(D1266), CATALOGO!F:G, 2, FALSE) * C1266)+I1266,IFERROR(IF(COUNTIF('RESTAURANTESDESCUENTOS 2026'!A:A,TRIM(A1266))&gt;0,((VLOOKUP(TRIM(D1266), CATALOGO!A:B, 2, FALSE) * C1266)*(1-VALUE(SUBSTITUTE(VLOOKUP(TRIM(A1266),'RESTAURANTESDESCUENTOS 2026'!A:B,2,FALSE),"%",""))/100)+I1266),(VLOOKUP(TRIM(D1266), CATALOGO!A:B, 2, FALSE) * C1266+I1266)),""))</f>
        <v>0</v>
      </c>
      <c r="K1266" s="196">
        <v>0.0</v>
      </c>
      <c r="L1266" s="87" t="s">
        <v>587</v>
      </c>
      <c r="M1266" s="234" t="s">
        <v>587</v>
      </c>
      <c r="N1266" s="235"/>
    </row>
    <row r="1267" ht="22.5" hidden="1" customHeight="1">
      <c r="A1267" s="137" t="s">
        <v>134</v>
      </c>
      <c r="B1267" s="90">
        <v>46079.0</v>
      </c>
      <c r="C1267" s="55">
        <v>2.0</v>
      </c>
      <c r="D1267" s="97" t="s">
        <v>181</v>
      </c>
      <c r="E1267" s="201" t="s">
        <v>610</v>
      </c>
      <c r="F1267" s="202"/>
      <c r="G1267" s="194" t="s">
        <v>587</v>
      </c>
      <c r="H1267" s="195" t="s">
        <v>632</v>
      </c>
      <c r="I1267" s="196">
        <v>5000.0</v>
      </c>
      <c r="J1267" s="179">
        <f>IF(A1267="RAPPI",(VLOOKUP(TRIM(D1267), CATALOGO!F:G, 2, FALSE) * C1267)+I1267,IFERROR(IF(COUNTIF('RESTAURANTESDESCUENTOS 2026'!A:A,TRIM(A1267))&gt;0,((VLOOKUP(TRIM(D1267), CATALOGO!A:B, 2, FALSE) * C1267)*(1-VALUE(SUBSTITUTE(VLOOKUP(TRIM(A1267),'RESTAURANTESDESCUENTOS 2026'!A:B,2,FALSE),"%",""))/100)+I1267),(VLOOKUP(TRIM(D1267), CATALOGO!A:B, 2, FALSE) * C1267+I1267)),""))</f>
        <v>248600</v>
      </c>
      <c r="K1267" s="196">
        <v>10000.0</v>
      </c>
      <c r="L1267" s="87" t="s">
        <v>587</v>
      </c>
      <c r="M1267" s="234" t="s">
        <v>587</v>
      </c>
      <c r="N1267" s="235"/>
    </row>
    <row r="1268" ht="22.5" hidden="1" customHeight="1">
      <c r="A1268" s="137" t="s">
        <v>968</v>
      </c>
      <c r="B1268" s="90">
        <v>46079.0</v>
      </c>
      <c r="C1268" s="55">
        <v>8.0</v>
      </c>
      <c r="D1268" s="97" t="s">
        <v>182</v>
      </c>
      <c r="E1268" s="201" t="s">
        <v>996</v>
      </c>
      <c r="F1268" s="202"/>
      <c r="G1268" s="194" t="s">
        <v>587</v>
      </c>
      <c r="H1268" s="195" t="s">
        <v>632</v>
      </c>
      <c r="I1268" s="196">
        <v>10000.0</v>
      </c>
      <c r="J1268" s="179">
        <f>IF(A1268="RAPPI",(VLOOKUP(TRIM(D1268), CATALOGO!F:G, 2, FALSE) * C1268)+I1268,IFERROR(IF(COUNTIF('RESTAURANTESDESCUENTOS 2026'!A:A,TRIM(A1268))&gt;0,((VLOOKUP(TRIM(D1268), CATALOGO!A:B, 2, FALSE) * C1268)*(1-VALUE(SUBSTITUTE(VLOOKUP(TRIM(A1268),'RESTAURANTESDESCUENTOS 2026'!A:B,2,FALSE),"%",""))/100)+I1268),(VLOOKUP(TRIM(D1268), CATALOGO!A:B, 2, FALSE) * C1268+I1268)),""))</f>
        <v>232000</v>
      </c>
      <c r="K1268" s="196">
        <v>10000.0</v>
      </c>
      <c r="L1268" s="87" t="s">
        <v>587</v>
      </c>
      <c r="M1268" s="234" t="s">
        <v>587</v>
      </c>
      <c r="N1268" s="235"/>
    </row>
    <row r="1269" ht="22.5" hidden="1" customHeight="1">
      <c r="A1269" s="137" t="s">
        <v>997</v>
      </c>
      <c r="B1269" s="90">
        <v>46079.0</v>
      </c>
      <c r="C1269" s="55">
        <v>1.0</v>
      </c>
      <c r="D1269" s="97" t="s">
        <v>177</v>
      </c>
      <c r="E1269" s="201"/>
      <c r="F1269" s="202"/>
      <c r="G1269" s="194" t="s">
        <v>587</v>
      </c>
      <c r="H1269" s="195" t="s">
        <v>588</v>
      </c>
      <c r="I1269" s="196">
        <v>10000.0</v>
      </c>
      <c r="J1269" s="179">
        <f>IF(A1269="RAPPI",(VLOOKUP(TRIM(D1269), CATALOGO!F:G, 2, FALSE) * C1269)+I1269,IFERROR(IF(COUNTIF('RESTAURANTESDESCUENTOS 2026'!A:A,TRIM(A1269))&gt;0,((VLOOKUP(TRIM(D1269), CATALOGO!A:B, 2, FALSE) * C1269)*(1-VALUE(SUBSTITUTE(VLOOKUP(TRIM(A1269),'RESTAURANTESDESCUENTOS 2026'!A:B,2,FALSE),"%",""))/100)+I1269),(VLOOKUP(TRIM(D1269), CATALOGO!A:B, 2, FALSE) * C1269+I1269)),""))</f>
        <v>125000</v>
      </c>
      <c r="K1269" s="196">
        <v>10000.0</v>
      </c>
      <c r="L1269" s="87"/>
      <c r="M1269" s="197" t="s">
        <v>587</v>
      </c>
      <c r="N1269" s="168"/>
    </row>
    <row r="1270" ht="22.5" hidden="1" customHeight="1">
      <c r="A1270" s="137" t="s">
        <v>998</v>
      </c>
      <c r="B1270" s="90">
        <v>46079.0</v>
      </c>
      <c r="C1270" s="55">
        <v>1.0</v>
      </c>
      <c r="D1270" s="97" t="s">
        <v>775</v>
      </c>
      <c r="E1270" s="201"/>
      <c r="F1270" s="202"/>
      <c r="G1270" s="194" t="s">
        <v>587</v>
      </c>
      <c r="H1270" s="195" t="s">
        <v>588</v>
      </c>
      <c r="I1270" s="196">
        <v>10000.0</v>
      </c>
      <c r="J1270" s="179">
        <f>IF(A1270="RAPPI",(VLOOKUP(TRIM(D1270), CATALOGO!F:G, 2, FALSE) * C1270)+I1270,IFERROR(IF(COUNTIF('RESTAURANTESDESCUENTOS 2026'!A:A,TRIM(A1270))&gt;0,((VLOOKUP(TRIM(D1270), CATALOGO!A:B, 2, FALSE) * C1270)*(1-VALUE(SUBSTITUTE(VLOOKUP(TRIM(A1270),'RESTAURANTESDESCUENTOS 2026'!A:B,2,FALSE),"%",""))/100)+I1270),(VLOOKUP(TRIM(D1270), CATALOGO!A:B, 2, FALSE) * C1270+I1270)),""))</f>
        <v>173000</v>
      </c>
      <c r="K1270" s="196">
        <v>8000.0</v>
      </c>
      <c r="L1270" s="87"/>
      <c r="M1270" s="197" t="s">
        <v>587</v>
      </c>
      <c r="N1270" s="168"/>
    </row>
    <row r="1271" ht="22.5" hidden="1" customHeight="1">
      <c r="A1271" s="137" t="s">
        <v>40</v>
      </c>
      <c r="B1271" s="90">
        <v>46079.0</v>
      </c>
      <c r="C1271" s="55">
        <v>1.0</v>
      </c>
      <c r="D1271" s="97" t="s">
        <v>177</v>
      </c>
      <c r="E1271" s="201" t="s">
        <v>610</v>
      </c>
      <c r="F1271" s="202"/>
      <c r="G1271" s="194" t="s">
        <v>587</v>
      </c>
      <c r="H1271" s="195" t="s">
        <v>632</v>
      </c>
      <c r="I1271" s="196">
        <v>0.0</v>
      </c>
      <c r="J1271" s="179">
        <f>IF(A1271="RAPPI",(VLOOKUP(TRIM(D1271), CATALOGO!F:G, 2, FALSE) * C1271)+I1271,IFERROR(IF(COUNTIF('RESTAURANTESDESCUENTOS 2026'!A:A,TRIM(A1271))&gt;0,((VLOOKUP(TRIM(D1271), CATALOGO!A:B, 2, FALSE) * C1271)*(1-VALUE(SUBSTITUTE(VLOOKUP(TRIM(A1271),'RESTAURANTESDESCUENTOS 2026'!A:B,2,FALSE),"%",""))/100)+I1271),(VLOOKUP(TRIM(D1271), CATALOGO!A:B, 2, FALSE) * C1271+I1271)),""))</f>
        <v>86250</v>
      </c>
      <c r="K1271" s="196">
        <v>10000.0</v>
      </c>
      <c r="L1271" s="87" t="s">
        <v>587</v>
      </c>
      <c r="M1271" s="234" t="s">
        <v>587</v>
      </c>
      <c r="N1271" s="235"/>
    </row>
    <row r="1272" ht="22.5" hidden="1" customHeight="1">
      <c r="A1272" s="137" t="s">
        <v>943</v>
      </c>
      <c r="B1272" s="90">
        <v>46079.0</v>
      </c>
      <c r="C1272" s="55">
        <v>1.0</v>
      </c>
      <c r="D1272" s="97" t="s">
        <v>177</v>
      </c>
      <c r="E1272" s="201" t="s">
        <v>610</v>
      </c>
      <c r="F1272" s="202"/>
      <c r="G1272" s="194" t="s">
        <v>587</v>
      </c>
      <c r="H1272" s="195" t="s">
        <v>632</v>
      </c>
      <c r="I1272" s="196">
        <v>0.0</v>
      </c>
      <c r="J1272" s="179">
        <f>IF(A1272="RAPPI",(VLOOKUP(TRIM(D1272), CATALOGO!F:G, 2, FALSE) * C1272)+I1272,IFERROR(IF(COUNTIF('RESTAURANTESDESCUENTOS 2026'!A:A,TRIM(A1272))&gt;0,((VLOOKUP(TRIM(D1272), CATALOGO!A:B, 2, FALSE) * C1272)*(1-VALUE(SUBSTITUTE(VLOOKUP(TRIM(A1272),'RESTAURANTESDESCUENTOS 2026'!A:B,2,FALSE),"%",""))/100)+I1272),(VLOOKUP(TRIM(D1272), CATALOGO!A:B, 2, FALSE) * C1272+I1272)),""))</f>
        <v>86250</v>
      </c>
      <c r="K1272" s="196">
        <v>15000.0</v>
      </c>
      <c r="L1272" s="87" t="s">
        <v>587</v>
      </c>
      <c r="M1272" s="234" t="s">
        <v>587</v>
      </c>
      <c r="N1272" s="235"/>
    </row>
    <row r="1273" ht="22.5" hidden="1" customHeight="1">
      <c r="A1273" s="137" t="s">
        <v>999</v>
      </c>
      <c r="B1273" s="90">
        <v>46079.0</v>
      </c>
      <c r="C1273" s="55">
        <v>3.0</v>
      </c>
      <c r="D1273" s="97" t="s">
        <v>182</v>
      </c>
      <c r="E1273" s="201"/>
      <c r="F1273" s="202"/>
      <c r="G1273" s="194" t="s">
        <v>587</v>
      </c>
      <c r="H1273" s="195" t="s">
        <v>588</v>
      </c>
      <c r="I1273" s="196">
        <v>10000.0</v>
      </c>
      <c r="J1273" s="179">
        <f>IF(A1273="RAPPI",(VLOOKUP(TRIM(D1273), CATALOGO!F:G, 2, FALSE) * C1273)+I1273,IFERROR(IF(COUNTIF('RESTAURANTESDESCUENTOS 2026'!A:A,TRIM(A1273))&gt;0,((VLOOKUP(TRIM(D1273), CATALOGO!A:B, 2, FALSE) * C1273)*(1-VALUE(SUBSTITUTE(VLOOKUP(TRIM(A1273),'RESTAURANTESDESCUENTOS 2026'!A:B,2,FALSE),"%",""))/100)+I1273),(VLOOKUP(TRIM(D1273), CATALOGO!A:B, 2, FALSE) * C1273+I1273)),""))</f>
        <v>121000</v>
      </c>
      <c r="K1273" s="196">
        <v>10000.0</v>
      </c>
      <c r="L1273" s="87"/>
      <c r="M1273" s="197" t="s">
        <v>587</v>
      </c>
      <c r="N1273" s="168"/>
    </row>
    <row r="1274" ht="22.5" hidden="1" customHeight="1">
      <c r="A1274" s="137" t="s">
        <v>999</v>
      </c>
      <c r="B1274" s="90">
        <v>46079.0</v>
      </c>
      <c r="C1274" s="55">
        <v>4.0</v>
      </c>
      <c r="D1274" s="97" t="s">
        <v>620</v>
      </c>
      <c r="E1274" s="201"/>
      <c r="F1274" s="202"/>
      <c r="G1274" s="194" t="s">
        <v>587</v>
      </c>
      <c r="H1274" s="195" t="s">
        <v>588</v>
      </c>
      <c r="I1274" s="196">
        <v>0.0</v>
      </c>
      <c r="J1274" s="179">
        <f>IF(A1274="RAPPI",(VLOOKUP(TRIM(D1274), CATALOGO!F:G, 2, FALSE) * C1274)+I1274,IFERROR(IF(COUNTIF('RESTAURANTESDESCUENTOS 2026'!A:A,TRIM(A1274))&gt;0,((VLOOKUP(TRIM(D1274), CATALOGO!A:B, 2, FALSE) * C1274)*(1-VALUE(SUBSTITUTE(VLOOKUP(TRIM(A1274),'RESTAURANTESDESCUENTOS 2026'!A:B,2,FALSE),"%",""))/100)+I1274),(VLOOKUP(TRIM(D1274), CATALOGO!A:B, 2, FALSE) * C1274+I1274)),""))</f>
        <v>0</v>
      </c>
      <c r="K1274" s="196">
        <v>0.0</v>
      </c>
      <c r="L1274" s="87"/>
      <c r="M1274" s="197" t="s">
        <v>587</v>
      </c>
      <c r="N1274" s="168"/>
    </row>
    <row r="1275" ht="22.5" hidden="1" customHeight="1">
      <c r="A1275" s="137" t="s">
        <v>999</v>
      </c>
      <c r="B1275" s="90">
        <v>46079.0</v>
      </c>
      <c r="C1275" s="55">
        <v>4.0</v>
      </c>
      <c r="D1275" s="97" t="s">
        <v>669</v>
      </c>
      <c r="E1275" s="201"/>
      <c r="F1275" s="202"/>
      <c r="G1275" s="194" t="s">
        <v>587</v>
      </c>
      <c r="H1275" s="195" t="s">
        <v>588</v>
      </c>
      <c r="I1275" s="196">
        <v>0.0</v>
      </c>
      <c r="J1275" s="179">
        <f>IF(A1275="RAPPI",(VLOOKUP(TRIM(D1275), CATALOGO!F:G, 2, FALSE) * C1275)+I1275,IFERROR(IF(COUNTIF('RESTAURANTESDESCUENTOS 2026'!A:A,TRIM(A1275))&gt;0,((VLOOKUP(TRIM(D1275), CATALOGO!A:B, 2, FALSE) * C1275)*(1-VALUE(SUBSTITUTE(VLOOKUP(TRIM(A1275),'RESTAURANTESDESCUENTOS 2026'!A:B,2,FALSE),"%",""))/100)+I1275),(VLOOKUP(TRIM(D1275), CATALOGO!A:B, 2, FALSE) * C1275+I1275)),""))</f>
        <v>0</v>
      </c>
      <c r="K1275" s="196">
        <v>0.0</v>
      </c>
      <c r="L1275" s="87"/>
      <c r="M1275" s="197" t="s">
        <v>587</v>
      </c>
      <c r="N1275" s="168"/>
    </row>
    <row r="1276" ht="22.5" hidden="1" customHeight="1">
      <c r="A1276" s="137" t="s">
        <v>1000</v>
      </c>
      <c r="B1276" s="90">
        <v>46079.0</v>
      </c>
      <c r="C1276" s="55">
        <v>1.0</v>
      </c>
      <c r="D1276" s="97" t="s">
        <v>824</v>
      </c>
      <c r="E1276" s="201"/>
      <c r="F1276" s="202"/>
      <c r="G1276" s="194" t="s">
        <v>35</v>
      </c>
      <c r="H1276" s="198"/>
      <c r="I1276" s="196"/>
      <c r="J1276" s="179">
        <f>IF(A1276="RAPPI",(VLOOKUP(TRIM(D1276), CATALOGO!F:G, 2, FALSE) * C1276)+I1276,IFERROR(IF(COUNTIF('RESTAURANTESDESCUENTOS 2026'!A:A,TRIM(A1276))&gt;0,((VLOOKUP(TRIM(D1276), CATALOGO!A:B, 2, FALSE) * C1276)*(1-VALUE(SUBSTITUTE(VLOOKUP(TRIM(A1276),'RESTAURANTESDESCUENTOS 2026'!A:B,2,FALSE),"%",""))/100)+I1276),(VLOOKUP(TRIM(D1276), CATALOGO!A:B, 2, FALSE) * C1276+I1276)),""))</f>
        <v>123000</v>
      </c>
      <c r="K1276" s="196"/>
      <c r="L1276" s="87"/>
      <c r="M1276" s="234" t="s">
        <v>587</v>
      </c>
      <c r="N1276" s="235"/>
    </row>
    <row r="1277" ht="22.5" hidden="1" customHeight="1">
      <c r="A1277" s="137" t="s">
        <v>1000</v>
      </c>
      <c r="B1277" s="90">
        <v>46079.0</v>
      </c>
      <c r="C1277" s="55">
        <v>1.0</v>
      </c>
      <c r="D1277" s="97" t="s">
        <v>676</v>
      </c>
      <c r="E1277" s="201"/>
      <c r="F1277" s="202"/>
      <c r="G1277" s="194" t="s">
        <v>35</v>
      </c>
      <c r="H1277" s="198"/>
      <c r="I1277" s="196"/>
      <c r="J1277" s="179">
        <f>IF(A1277="RAPPI",(VLOOKUP(TRIM(D1277), CATALOGO!F:G, 2, FALSE) * C1277)+I1277,IFERROR(IF(COUNTIF('RESTAURANTESDESCUENTOS 2026'!A:A,TRIM(A1277))&gt;0,((VLOOKUP(TRIM(D1277), CATALOGO!A:B, 2, FALSE) * C1277)*(1-VALUE(SUBSTITUTE(VLOOKUP(TRIM(A1277),'RESTAURANTESDESCUENTOS 2026'!A:B,2,FALSE),"%",""))/100)+I1277),(VLOOKUP(TRIM(D1277), CATALOGO!A:B, 2, FALSE) * C1277+I1277)),""))</f>
        <v>8000</v>
      </c>
      <c r="K1277" s="196"/>
      <c r="L1277" s="87"/>
      <c r="M1277" s="234" t="s">
        <v>587</v>
      </c>
      <c r="N1277" s="235"/>
    </row>
    <row r="1278" ht="22.5" hidden="1" customHeight="1">
      <c r="A1278" s="137" t="s">
        <v>10</v>
      </c>
      <c r="B1278" s="90">
        <v>46079.0</v>
      </c>
      <c r="C1278" s="55">
        <v>2.0</v>
      </c>
      <c r="D1278" s="97" t="s">
        <v>178</v>
      </c>
      <c r="E1278" s="201" t="s">
        <v>610</v>
      </c>
      <c r="F1278" s="202"/>
      <c r="G1278" s="194" t="s">
        <v>587</v>
      </c>
      <c r="H1278" s="195" t="s">
        <v>632</v>
      </c>
      <c r="I1278" s="196">
        <v>0.0</v>
      </c>
      <c r="J1278" s="179">
        <f>IF(A1278="RAPPI",(VLOOKUP(TRIM(D1278), CATALOGO!F:G, 2, FALSE) * C1278)+I1278,IFERROR(IF(COUNTIF('RESTAURANTESDESCUENTOS 2026'!A:A,TRIM(A1278))&gt;0,((VLOOKUP(TRIM(D1278), CATALOGO!A:B, 2, FALSE) * C1278)*(1-VALUE(SUBSTITUTE(VLOOKUP(TRIM(A1278),'RESTAURANTESDESCUENTOS 2026'!A:B,2,FALSE),"%",""))/100)+I1278),(VLOOKUP(TRIM(D1278), CATALOGO!A:B, 2, FALSE) * C1278+I1278)),""))</f>
        <v>225000</v>
      </c>
      <c r="K1278" s="196">
        <v>10000.0</v>
      </c>
      <c r="L1278" s="87" t="s">
        <v>587</v>
      </c>
      <c r="M1278" s="234" t="s">
        <v>587</v>
      </c>
      <c r="N1278" s="235"/>
    </row>
    <row r="1279" ht="22.5" hidden="1" customHeight="1">
      <c r="A1279" s="137" t="s">
        <v>1001</v>
      </c>
      <c r="B1279" s="90">
        <v>46079.0</v>
      </c>
      <c r="C1279" s="55">
        <v>1.0</v>
      </c>
      <c r="D1279" s="97" t="s">
        <v>178</v>
      </c>
      <c r="E1279" s="201"/>
      <c r="F1279" s="202"/>
      <c r="G1279" s="194" t="s">
        <v>587</v>
      </c>
      <c r="H1279" s="195" t="s">
        <v>632</v>
      </c>
      <c r="I1279" s="196">
        <v>10000.0</v>
      </c>
      <c r="J1279" s="179">
        <f>IF(A1279="RAPPI",(VLOOKUP(TRIM(D1279), CATALOGO!F:G, 2, FALSE) * C1279)+I1279,IFERROR(IF(COUNTIF('RESTAURANTESDESCUENTOS 2026'!A:A,TRIM(A1279))&gt;0,((VLOOKUP(TRIM(D1279), CATALOGO!A:B, 2, FALSE) * C1279)*(1-VALUE(SUBSTITUTE(VLOOKUP(TRIM(A1279),'RESTAURANTESDESCUENTOS 2026'!A:B,2,FALSE),"%",""))/100)+I1279),(VLOOKUP(TRIM(D1279), CATALOGO!A:B, 2, FALSE) * C1279+I1279)),""))</f>
        <v>160000</v>
      </c>
      <c r="K1279" s="196">
        <v>10000.0</v>
      </c>
      <c r="L1279" s="87"/>
      <c r="M1279" s="234" t="s">
        <v>587</v>
      </c>
      <c r="N1279" s="235"/>
    </row>
    <row r="1280" ht="22.5" hidden="1" customHeight="1">
      <c r="A1280" s="137" t="s">
        <v>603</v>
      </c>
      <c r="B1280" s="90">
        <v>46079.0</v>
      </c>
      <c r="C1280" s="55">
        <v>1.0</v>
      </c>
      <c r="D1280" s="97" t="s">
        <v>186</v>
      </c>
      <c r="E1280" s="201">
        <v>2313.0</v>
      </c>
      <c r="F1280" s="202"/>
      <c r="G1280" s="194" t="s">
        <v>587</v>
      </c>
      <c r="H1280" s="195" t="s">
        <v>603</v>
      </c>
      <c r="I1280" s="196"/>
      <c r="J1280" s="179">
        <f>IF(A1280="RAPPI",(VLOOKUP(TRIM(D1280), CATALOGO!F:G, 2, FALSE) * C1280)+I1280,IFERROR(IF(COUNTIF('RESTAURANTESDESCUENTOS 2026'!A:A,TRIM(A1280))&gt;0,((VLOOKUP(TRIM(D1280), CATALOGO!A:B, 2, FALSE) * C1280)*(1-VALUE(SUBSTITUTE(VLOOKUP(TRIM(A1280),'RESTAURANTESDESCUENTOS 2026'!A:B,2,FALSE),"%",""))/100)+I1280),(VLOOKUP(TRIM(D1280), CATALOGO!A:B, 2, FALSE) * C1280+I1280)),""))</f>
        <v>55000</v>
      </c>
      <c r="K1280" s="196"/>
      <c r="L1280" s="87"/>
      <c r="M1280" s="197" t="s">
        <v>587</v>
      </c>
      <c r="N1280" s="168"/>
    </row>
    <row r="1281" ht="22.5" hidden="1" customHeight="1">
      <c r="A1281" s="137" t="s">
        <v>605</v>
      </c>
      <c r="B1281" s="90">
        <v>46079.0</v>
      </c>
      <c r="C1281" s="55">
        <v>1.0</v>
      </c>
      <c r="D1281" s="97" t="s">
        <v>176</v>
      </c>
      <c r="E1281" s="201" t="s">
        <v>606</v>
      </c>
      <c r="F1281" s="202"/>
      <c r="G1281" s="194" t="s">
        <v>35</v>
      </c>
      <c r="H1281" s="198"/>
      <c r="I1281" s="196"/>
      <c r="J1281" s="179">
        <f>IF(A1281="RAPPI",(VLOOKUP(TRIM(D1281), CATALOGO!F:G, 2, FALSE) * C1281)+I1281,IFERROR(IF(COUNTIF('RESTAURANTESDESCUENTOS 2026'!A:A,TRIM(A1281))&gt;0,((VLOOKUP(TRIM(D1281), CATALOGO!A:B, 2, FALSE) * C1281)*(1-VALUE(SUBSTITUTE(VLOOKUP(TRIM(A1281),'RESTAURANTESDESCUENTOS 2026'!A:B,2,FALSE),"%",""))/100)+I1281),(VLOOKUP(TRIM(D1281), CATALOGO!A:B, 2, FALSE) * C1281+I1281)),""))</f>
        <v>50000</v>
      </c>
      <c r="K1281" s="196"/>
      <c r="L1281" s="87"/>
      <c r="M1281" s="197" t="s">
        <v>587</v>
      </c>
      <c r="N1281" s="168"/>
    </row>
    <row r="1282" ht="22.5" hidden="1" customHeight="1">
      <c r="A1282" s="137" t="s">
        <v>603</v>
      </c>
      <c r="B1282" s="90">
        <v>46079.0</v>
      </c>
      <c r="C1282" s="55">
        <v>1.0</v>
      </c>
      <c r="D1282" s="97" t="s">
        <v>176</v>
      </c>
      <c r="E1282" s="201">
        <v>6793.0</v>
      </c>
      <c r="F1282" s="202"/>
      <c r="G1282" s="194" t="s">
        <v>587</v>
      </c>
      <c r="H1282" s="195" t="s">
        <v>603</v>
      </c>
      <c r="I1282" s="196"/>
      <c r="J1282" s="179">
        <f>IF(A1282="RAPPI",(VLOOKUP(TRIM(D1282), CATALOGO!F:G, 2, FALSE) * C1282)+I1282,IFERROR(IF(COUNTIF('RESTAURANTESDESCUENTOS 2026'!A:A,TRIM(A1282))&gt;0,((VLOOKUP(TRIM(D1282), CATALOGO!A:B, 2, FALSE) * C1282)*(1-VALUE(SUBSTITUTE(VLOOKUP(TRIM(A1282),'RESTAURANTESDESCUENTOS 2026'!A:B,2,FALSE),"%",""))/100)+I1282),(VLOOKUP(TRIM(D1282), CATALOGO!A:B, 2, FALSE) * C1282+I1282)),""))</f>
        <v>50000</v>
      </c>
      <c r="K1282" s="196"/>
      <c r="L1282" s="87"/>
      <c r="M1282" s="197" t="s">
        <v>587</v>
      </c>
      <c r="N1282" s="168"/>
    </row>
    <row r="1283" ht="22.5" hidden="1" customHeight="1">
      <c r="A1283" s="137" t="s">
        <v>603</v>
      </c>
      <c r="B1283" s="90">
        <v>46079.0</v>
      </c>
      <c r="C1283" s="55">
        <v>2.0</v>
      </c>
      <c r="D1283" s="97" t="s">
        <v>628</v>
      </c>
      <c r="E1283" s="201">
        <v>6793.0</v>
      </c>
      <c r="F1283" s="202"/>
      <c r="G1283" s="194" t="s">
        <v>587</v>
      </c>
      <c r="H1283" s="195" t="s">
        <v>603</v>
      </c>
      <c r="I1283" s="196"/>
      <c r="J1283" s="179">
        <f>IF(A1283="RAPPI",(VLOOKUP(TRIM(D1283), CATALOGO!F:G, 2, FALSE) * C1283)+I1283,IFERROR(IF(COUNTIF('RESTAURANTESDESCUENTOS 2026'!A:A,TRIM(A1283))&gt;0,((VLOOKUP(TRIM(D1283), CATALOGO!A:B, 2, FALSE) * C1283)*(1-VALUE(SUBSTITUTE(VLOOKUP(TRIM(A1283),'RESTAURANTESDESCUENTOS 2026'!A:B,2,FALSE),"%",""))/100)+I1283),(VLOOKUP(TRIM(D1283), CATALOGO!A:B, 2, FALSE) * C1283+I1283)),""))</f>
        <v>44000</v>
      </c>
      <c r="K1283" s="196"/>
      <c r="L1283" s="87"/>
      <c r="M1283" s="197" t="s">
        <v>587</v>
      </c>
      <c r="N1283" s="168"/>
    </row>
    <row r="1284" ht="22.5" hidden="1" customHeight="1">
      <c r="A1284" s="137" t="s">
        <v>603</v>
      </c>
      <c r="B1284" s="90">
        <v>46079.0</v>
      </c>
      <c r="C1284" s="55">
        <v>1.0</v>
      </c>
      <c r="D1284" s="97" t="s">
        <v>757</v>
      </c>
      <c r="E1284" s="201">
        <v>6793.0</v>
      </c>
      <c r="F1284" s="202"/>
      <c r="G1284" s="194" t="s">
        <v>587</v>
      </c>
      <c r="H1284" s="195" t="s">
        <v>603</v>
      </c>
      <c r="I1284" s="196"/>
      <c r="J1284" s="179">
        <f>IF(A1284="RAPPI",(VLOOKUP(TRIM(D1284), CATALOGO!F:G, 2, FALSE) * C1284)+I1284,IFERROR(IF(COUNTIF('RESTAURANTESDESCUENTOS 2026'!A:A,TRIM(A1284))&gt;0,((VLOOKUP(TRIM(D1284), CATALOGO!A:B, 2, FALSE) * C1284)*(1-VALUE(SUBSTITUTE(VLOOKUP(TRIM(A1284),'RESTAURANTESDESCUENTOS 2026'!A:B,2,FALSE),"%",""))/100)+I1284),(VLOOKUP(TRIM(D1284), CATALOGO!A:B, 2, FALSE) * C1284+I1284)),""))</f>
        <v>22000</v>
      </c>
      <c r="K1284" s="196"/>
      <c r="L1284" s="87"/>
      <c r="M1284" s="197" t="s">
        <v>587</v>
      </c>
      <c r="N1284" s="168"/>
    </row>
    <row r="1285" ht="22.5" hidden="1" customHeight="1">
      <c r="A1285" s="137" t="s">
        <v>603</v>
      </c>
      <c r="B1285" s="90">
        <v>46079.0</v>
      </c>
      <c r="C1285" s="55">
        <v>1.0</v>
      </c>
      <c r="D1285" s="97" t="s">
        <v>601</v>
      </c>
      <c r="E1285" s="201">
        <v>5189.0</v>
      </c>
      <c r="F1285" s="202"/>
      <c r="G1285" s="194" t="s">
        <v>587</v>
      </c>
      <c r="H1285" s="195" t="s">
        <v>603</v>
      </c>
      <c r="I1285" s="196"/>
      <c r="J1285" s="179">
        <f>IF(A1285="RAPPI",(VLOOKUP(TRIM(D1285), CATALOGO!F:G, 2, FALSE) * C1285)+I1285,IFERROR(IF(COUNTIF('RESTAURANTESDESCUENTOS 2026'!A:A,TRIM(A1285))&gt;0,((VLOOKUP(TRIM(D1285), CATALOGO!A:B, 2, FALSE) * C1285)*(1-VALUE(SUBSTITUTE(VLOOKUP(TRIM(A1285),'RESTAURANTESDESCUENTOS 2026'!A:B,2,FALSE),"%",""))/100)+I1285),(VLOOKUP(TRIM(D1285), CATALOGO!A:B, 2, FALSE) * C1285+I1285)),""))</f>
        <v>53000</v>
      </c>
      <c r="K1285" s="196"/>
      <c r="L1285" s="87"/>
      <c r="M1285" s="197" t="s">
        <v>587</v>
      </c>
      <c r="N1285" s="168"/>
    </row>
    <row r="1286" ht="22.5" hidden="1" customHeight="1">
      <c r="A1286" s="137" t="s">
        <v>73</v>
      </c>
      <c r="B1286" s="90">
        <v>46079.0</v>
      </c>
      <c r="C1286" s="55">
        <v>1.0</v>
      </c>
      <c r="D1286" s="97" t="s">
        <v>178</v>
      </c>
      <c r="E1286" s="201" t="s">
        <v>552</v>
      </c>
      <c r="F1286" s="202"/>
      <c r="G1286" s="194" t="s">
        <v>587</v>
      </c>
      <c r="H1286" s="195" t="s">
        <v>632</v>
      </c>
      <c r="I1286" s="196">
        <v>0.0</v>
      </c>
      <c r="J1286" s="179">
        <f>IF(A1286="RAPPI",(VLOOKUP(TRIM(D1286), CATALOGO!F:G, 2, FALSE) * C1286)+I1286,IFERROR(IF(COUNTIF('RESTAURANTESDESCUENTOS 2026'!A:A,TRIM(A1286))&gt;0,((VLOOKUP(TRIM(D1286), CATALOGO!A:B, 2, FALSE) * C1286)*(1-VALUE(SUBSTITUTE(VLOOKUP(TRIM(A1286),'RESTAURANTESDESCUENTOS 2026'!A:B,2,FALSE),"%",""))/100)+I1286),(VLOOKUP(TRIM(D1286), CATALOGO!A:B, 2, FALSE) * C1286+I1286)),""))</f>
        <v>112500</v>
      </c>
      <c r="K1286" s="196">
        <v>10000.0</v>
      </c>
      <c r="L1286" s="87" t="s">
        <v>587</v>
      </c>
      <c r="M1286" s="197" t="s">
        <v>587</v>
      </c>
      <c r="N1286" s="168"/>
    </row>
    <row r="1287" ht="22.5" hidden="1" customHeight="1">
      <c r="A1287" s="137" t="s">
        <v>17</v>
      </c>
      <c r="B1287" s="90">
        <v>46079.0</v>
      </c>
      <c r="C1287" s="55">
        <v>1.0</v>
      </c>
      <c r="D1287" s="97" t="s">
        <v>178</v>
      </c>
      <c r="E1287" s="201" t="s">
        <v>610</v>
      </c>
      <c r="F1287" s="202"/>
      <c r="G1287" s="194" t="s">
        <v>587</v>
      </c>
      <c r="H1287" s="195" t="s">
        <v>632</v>
      </c>
      <c r="I1287" s="196">
        <v>10000.0</v>
      </c>
      <c r="J1287" s="179">
        <f>IF(A1287="RAPPI",(VLOOKUP(TRIM(D1287), CATALOGO!F:G, 2, FALSE) * C1287)+I1287,IFERROR(IF(COUNTIF('RESTAURANTESDESCUENTOS 2026'!A:A,TRIM(A1287))&gt;0,((VLOOKUP(TRIM(D1287), CATALOGO!A:B, 2, FALSE) * C1287)*(1-VALUE(SUBSTITUTE(VLOOKUP(TRIM(A1287),'RESTAURANTESDESCUENTOS 2026'!A:B,2,FALSE),"%",""))/100)+I1287),(VLOOKUP(TRIM(D1287), CATALOGO!A:B, 2, FALSE) * C1287+I1287)),""))</f>
        <v>122500</v>
      </c>
      <c r="K1287" s="196">
        <v>10000.0</v>
      </c>
      <c r="L1287" s="87" t="s">
        <v>587</v>
      </c>
      <c r="M1287" s="197" t="s">
        <v>587</v>
      </c>
      <c r="N1287" s="168"/>
    </row>
    <row r="1288" ht="22.5" hidden="1" customHeight="1">
      <c r="A1288" s="137" t="s">
        <v>1002</v>
      </c>
      <c r="B1288" s="90">
        <v>46079.0</v>
      </c>
      <c r="C1288" s="55">
        <v>1.0</v>
      </c>
      <c r="D1288" s="97" t="s">
        <v>178</v>
      </c>
      <c r="E1288" s="201" t="s">
        <v>610</v>
      </c>
      <c r="F1288" s="202"/>
      <c r="G1288" s="194" t="s">
        <v>587</v>
      </c>
      <c r="H1288" s="195" t="s">
        <v>632</v>
      </c>
      <c r="I1288" s="196">
        <v>15000.0</v>
      </c>
      <c r="J1288" s="179">
        <f>IF(A1288="RAPPI",(VLOOKUP(TRIM(D1288), CATALOGO!F:G, 2, FALSE) * C1288)+I1288,IFERROR(IF(COUNTIF('RESTAURANTESDESCUENTOS 2026'!A:A,TRIM(A1288))&gt;0,((VLOOKUP(TRIM(D1288), CATALOGO!A:B, 2, FALSE) * C1288)*(1-VALUE(SUBSTITUTE(VLOOKUP(TRIM(A1288),'RESTAURANTESDESCUENTOS 2026'!A:B,2,FALSE),"%",""))/100)+I1288),(VLOOKUP(TRIM(D1288), CATALOGO!A:B, 2, FALSE) * C1288+I1288)),""))</f>
        <v>127500</v>
      </c>
      <c r="K1288" s="196">
        <v>15000.0</v>
      </c>
      <c r="L1288" s="87" t="s">
        <v>587</v>
      </c>
      <c r="M1288" s="197" t="s">
        <v>587</v>
      </c>
      <c r="N1288" s="168"/>
    </row>
    <row r="1289" ht="22.5" hidden="1" customHeight="1">
      <c r="A1289" s="137" t="s">
        <v>603</v>
      </c>
      <c r="B1289" s="90">
        <v>46079.0</v>
      </c>
      <c r="C1289" s="55">
        <v>1.0</v>
      </c>
      <c r="D1289" s="97" t="s">
        <v>602</v>
      </c>
      <c r="E1289" s="201">
        <v>8360.0</v>
      </c>
      <c r="F1289" s="202"/>
      <c r="G1289" s="194" t="s">
        <v>587</v>
      </c>
      <c r="H1289" s="195" t="s">
        <v>603</v>
      </c>
      <c r="I1289" s="196"/>
      <c r="J1289" s="179">
        <f>IF(A1289="RAPPI",(VLOOKUP(TRIM(D1289), CATALOGO!F:G, 2, FALSE) * C1289)+I1289,IFERROR(IF(COUNTIF('RESTAURANTESDESCUENTOS 2026'!A:A,TRIM(A1289))&gt;0,((VLOOKUP(TRIM(D1289), CATALOGO!A:B, 2, FALSE) * C1289)*(1-VALUE(SUBSTITUTE(VLOOKUP(TRIM(A1289),'RESTAURANTESDESCUENTOS 2026'!A:B,2,FALSE),"%",""))/100)+I1289),(VLOOKUP(TRIM(D1289), CATALOGO!A:B, 2, FALSE) * C1289+I1289)),""))</f>
        <v>22000</v>
      </c>
      <c r="K1289" s="196"/>
      <c r="L1289" s="87"/>
      <c r="M1289" s="197" t="s">
        <v>587</v>
      </c>
      <c r="N1289" s="168"/>
    </row>
    <row r="1290" ht="22.5" hidden="1" customHeight="1">
      <c r="A1290" s="137" t="s">
        <v>603</v>
      </c>
      <c r="B1290" s="90">
        <v>46079.0</v>
      </c>
      <c r="C1290" s="55">
        <v>1.0</v>
      </c>
      <c r="D1290" s="97" t="s">
        <v>628</v>
      </c>
      <c r="E1290" s="201">
        <v>4129.0</v>
      </c>
      <c r="F1290" s="202"/>
      <c r="G1290" s="194" t="s">
        <v>587</v>
      </c>
      <c r="H1290" s="195" t="s">
        <v>603</v>
      </c>
      <c r="I1290" s="196"/>
      <c r="J1290" s="179">
        <f>IF(A1290="RAPPI",(VLOOKUP(TRIM(D1290), CATALOGO!F:G, 2, FALSE) * C1290)+I1290,IFERROR(IF(COUNTIF('RESTAURANTESDESCUENTOS 2026'!A:A,TRIM(A1290))&gt;0,((VLOOKUP(TRIM(D1290), CATALOGO!A:B, 2, FALSE) * C1290)*(1-VALUE(SUBSTITUTE(VLOOKUP(TRIM(A1290),'RESTAURANTESDESCUENTOS 2026'!A:B,2,FALSE),"%",""))/100)+I1290),(VLOOKUP(TRIM(D1290), CATALOGO!A:B, 2, FALSE) * C1290+I1290)),""))</f>
        <v>22000</v>
      </c>
      <c r="K1290" s="196"/>
      <c r="L1290" s="87"/>
      <c r="M1290" s="197" t="s">
        <v>587</v>
      </c>
      <c r="N1290" s="168"/>
    </row>
    <row r="1291" ht="22.5" hidden="1" customHeight="1">
      <c r="A1291" s="137" t="s">
        <v>603</v>
      </c>
      <c r="B1291" s="90">
        <v>46079.0</v>
      </c>
      <c r="C1291" s="55">
        <v>1.0</v>
      </c>
      <c r="D1291" s="97" t="s">
        <v>757</v>
      </c>
      <c r="E1291" s="201">
        <v>4129.0</v>
      </c>
      <c r="F1291" s="202"/>
      <c r="G1291" s="194" t="s">
        <v>587</v>
      </c>
      <c r="H1291" s="195" t="s">
        <v>603</v>
      </c>
      <c r="I1291" s="196"/>
      <c r="J1291" s="179">
        <f>IF(A1291="RAPPI",(VLOOKUP(TRIM(D1291), CATALOGO!F:G, 2, FALSE) * C1291)+I1291,IFERROR(IF(COUNTIF('RESTAURANTESDESCUENTOS 2026'!A:A,TRIM(A1291))&gt;0,((VLOOKUP(TRIM(D1291), CATALOGO!A:B, 2, FALSE) * C1291)*(1-VALUE(SUBSTITUTE(VLOOKUP(TRIM(A1291),'RESTAURANTESDESCUENTOS 2026'!A:B,2,FALSE),"%",""))/100)+I1291),(VLOOKUP(TRIM(D1291), CATALOGO!A:B, 2, FALSE) * C1291+I1291)),""))</f>
        <v>22000</v>
      </c>
      <c r="K1291" s="196"/>
      <c r="L1291" s="87"/>
      <c r="M1291" s="197" t="s">
        <v>587</v>
      </c>
      <c r="N1291" s="168"/>
    </row>
    <row r="1292" ht="22.5" hidden="1" customHeight="1">
      <c r="A1292" s="137" t="s">
        <v>603</v>
      </c>
      <c r="B1292" s="90">
        <v>46079.0</v>
      </c>
      <c r="C1292" s="55">
        <v>1.0</v>
      </c>
      <c r="D1292" s="97" t="s">
        <v>177</v>
      </c>
      <c r="E1292" s="201">
        <v>9870.0</v>
      </c>
      <c r="F1292" s="202"/>
      <c r="G1292" s="194" t="s">
        <v>587</v>
      </c>
      <c r="H1292" s="195" t="s">
        <v>603</v>
      </c>
      <c r="I1292" s="196"/>
      <c r="J1292" s="179">
        <f>IF(A1292="RAPPI",(VLOOKUP(TRIM(D1292), CATALOGO!F:G, 2, FALSE) * C1292)+I1292,IFERROR(IF(COUNTIF('RESTAURANTESDESCUENTOS 2026'!A:A,TRIM(A1292))&gt;0,((VLOOKUP(TRIM(D1292), CATALOGO!A:B, 2, FALSE) * C1292)*(1-VALUE(SUBSTITUTE(VLOOKUP(TRIM(A1292),'RESTAURANTESDESCUENTOS 2026'!A:B,2,FALSE),"%",""))/100)+I1292),(VLOOKUP(TRIM(D1292), CATALOGO!A:B, 2, FALSE) * C1292+I1292)),""))</f>
        <v>115000</v>
      </c>
      <c r="K1292" s="196"/>
      <c r="L1292" s="87"/>
      <c r="M1292" s="197" t="s">
        <v>587</v>
      </c>
      <c r="N1292" s="168"/>
    </row>
    <row r="1293" ht="22.5" hidden="1" customHeight="1">
      <c r="A1293" s="137" t="s">
        <v>603</v>
      </c>
      <c r="B1293" s="90">
        <v>46079.0</v>
      </c>
      <c r="C1293" s="55">
        <v>1.0</v>
      </c>
      <c r="D1293" s="97" t="s">
        <v>186</v>
      </c>
      <c r="E1293" s="201">
        <v>6278.0</v>
      </c>
      <c r="F1293" s="202"/>
      <c r="G1293" s="194" t="s">
        <v>587</v>
      </c>
      <c r="H1293" s="195" t="s">
        <v>603</v>
      </c>
      <c r="I1293" s="196"/>
      <c r="J1293" s="179">
        <f>IF(A1293="RAPPI",(VLOOKUP(TRIM(D1293), CATALOGO!F:G, 2, FALSE) * C1293)+I1293,IFERROR(IF(COUNTIF('RESTAURANTESDESCUENTOS 2026'!A:A,TRIM(A1293))&gt;0,((VLOOKUP(TRIM(D1293), CATALOGO!A:B, 2, FALSE) * C1293)*(1-VALUE(SUBSTITUTE(VLOOKUP(TRIM(A1293),'RESTAURANTESDESCUENTOS 2026'!A:B,2,FALSE),"%",""))/100)+I1293),(VLOOKUP(TRIM(D1293), CATALOGO!A:B, 2, FALSE) * C1293+I1293)),""))</f>
        <v>55000</v>
      </c>
      <c r="K1293" s="196"/>
      <c r="L1293" s="87"/>
      <c r="M1293" s="197" t="s">
        <v>587</v>
      </c>
      <c r="N1293" s="168"/>
    </row>
    <row r="1294" ht="22.5" hidden="1" customHeight="1">
      <c r="A1294" s="137" t="s">
        <v>603</v>
      </c>
      <c r="B1294" s="90">
        <v>46079.0</v>
      </c>
      <c r="C1294" s="55">
        <v>1.0</v>
      </c>
      <c r="D1294" s="97" t="s">
        <v>618</v>
      </c>
      <c r="E1294" s="201">
        <v>177.0</v>
      </c>
      <c r="F1294" s="202"/>
      <c r="G1294" s="194" t="s">
        <v>587</v>
      </c>
      <c r="H1294" s="195" t="s">
        <v>603</v>
      </c>
      <c r="I1294" s="196"/>
      <c r="J1294" s="179">
        <f>IF(A1294="RAPPI",(VLOOKUP(TRIM(D1294), CATALOGO!F:G, 2, FALSE) * C1294)+I1294,IFERROR(IF(COUNTIF('RESTAURANTESDESCUENTOS 2026'!A:A,TRIM(A1294))&gt;0,((VLOOKUP(TRIM(D1294), CATALOGO!A:B, 2, FALSE) * C1294)*(1-VALUE(SUBSTITUTE(VLOOKUP(TRIM(A1294),'RESTAURANTESDESCUENTOS 2026'!A:B,2,FALSE),"%",""))/100)+I1294),(VLOOKUP(TRIM(D1294), CATALOGO!A:B, 2, FALSE) * C1294+I1294)),""))</f>
        <v>53000</v>
      </c>
      <c r="K1294" s="196"/>
      <c r="L1294" s="87"/>
      <c r="M1294" s="197" t="s">
        <v>587</v>
      </c>
      <c r="N1294" s="168"/>
    </row>
    <row r="1295" ht="22.5" hidden="1" customHeight="1">
      <c r="A1295" s="137" t="s">
        <v>1003</v>
      </c>
      <c r="B1295" s="90">
        <v>46080.0</v>
      </c>
      <c r="C1295" s="55">
        <v>1.0</v>
      </c>
      <c r="D1295" s="97" t="s">
        <v>176</v>
      </c>
      <c r="E1295" s="201"/>
      <c r="F1295" s="202"/>
      <c r="G1295" s="194" t="s">
        <v>587</v>
      </c>
      <c r="H1295" s="195" t="s">
        <v>632</v>
      </c>
      <c r="I1295" s="196">
        <v>13000.0</v>
      </c>
      <c r="J1295" s="179">
        <f>IF(A1295="RAPPI",(VLOOKUP(TRIM(D1295), CATALOGO!F:G, 2, FALSE) * C1295)+I1295,IFERROR(IF(COUNTIF('RESTAURANTESDESCUENTOS 2026'!A:A,TRIM(A1295))&gt;0,((VLOOKUP(TRIM(D1295), CATALOGO!A:B, 2, FALSE) * C1295)*(1-VALUE(SUBSTITUTE(VLOOKUP(TRIM(A1295),'RESTAURANTESDESCUENTOS 2026'!A:B,2,FALSE),"%",""))/100)+I1295),(VLOOKUP(TRIM(D1295), CATALOGO!A:B, 2, FALSE) * C1295+I1295)),""))</f>
        <v>63000</v>
      </c>
      <c r="K1295" s="196">
        <v>13000.0</v>
      </c>
      <c r="L1295" s="87"/>
      <c r="M1295" s="197" t="s">
        <v>587</v>
      </c>
      <c r="N1295" s="168"/>
    </row>
    <row r="1296" ht="22.5" hidden="1" customHeight="1">
      <c r="A1296" s="137" t="s">
        <v>109</v>
      </c>
      <c r="B1296" s="90">
        <v>46080.0</v>
      </c>
      <c r="C1296" s="55">
        <v>18.0</v>
      </c>
      <c r="D1296" s="97" t="s">
        <v>183</v>
      </c>
      <c r="E1296" s="201"/>
      <c r="F1296" s="202"/>
      <c r="G1296" s="194" t="s">
        <v>587</v>
      </c>
      <c r="H1296" s="195" t="s">
        <v>632</v>
      </c>
      <c r="I1296" s="196">
        <v>0.0</v>
      </c>
      <c r="J1296" s="179">
        <f>IF(A1296="RAPPI",(VLOOKUP(TRIM(D1296), CATALOGO!F:G, 2, FALSE) * C1296)+I1296,IFERROR(IF(COUNTIF('RESTAURANTESDESCUENTOS 2026'!A:A,TRIM(A1296))&gt;0,((VLOOKUP(TRIM(D1296), CATALOGO!A:B, 2, FALSE) * C1296)*(1-VALUE(SUBSTITUTE(VLOOKUP(TRIM(A1296),'RESTAURANTESDESCUENTOS 2026'!A:B,2,FALSE),"%",""))/100)+I1296),(VLOOKUP(TRIM(D1296), CATALOGO!A:B, 2, FALSE) * C1296+I1296)),""))</f>
        <v>277200</v>
      </c>
      <c r="K1296" s="196">
        <v>12000.0</v>
      </c>
      <c r="L1296" s="87" t="s">
        <v>587</v>
      </c>
      <c r="M1296" s="197" t="s">
        <v>587</v>
      </c>
      <c r="N1296" s="168"/>
    </row>
    <row r="1297" ht="22.5" hidden="1" customHeight="1">
      <c r="A1297" s="137" t="s">
        <v>109</v>
      </c>
      <c r="B1297" s="90">
        <v>46080.0</v>
      </c>
      <c r="C1297" s="55">
        <v>12.0</v>
      </c>
      <c r="D1297" s="97" t="s">
        <v>184</v>
      </c>
      <c r="E1297" s="201"/>
      <c r="F1297" s="202"/>
      <c r="G1297" s="194" t="s">
        <v>587</v>
      </c>
      <c r="H1297" s="195" t="s">
        <v>632</v>
      </c>
      <c r="I1297" s="196">
        <v>0.0</v>
      </c>
      <c r="J1297" s="179">
        <f>IF(A1297="RAPPI",(VLOOKUP(TRIM(D1297), CATALOGO!F:G, 2, FALSE) * C1297)+I1297,IFERROR(IF(COUNTIF('RESTAURANTESDESCUENTOS 2026'!A:A,TRIM(A1297))&gt;0,((VLOOKUP(TRIM(D1297), CATALOGO!A:B, 2, FALSE) * C1297)*(1-VALUE(SUBSTITUTE(VLOOKUP(TRIM(A1297),'RESTAURANTESDESCUENTOS 2026'!A:B,2,FALSE),"%",""))/100)+I1297),(VLOOKUP(TRIM(D1297), CATALOGO!A:B, 2, FALSE) * C1297+I1297)),""))</f>
        <v>288000</v>
      </c>
      <c r="K1297" s="196">
        <v>0.0</v>
      </c>
      <c r="L1297" s="87" t="s">
        <v>587</v>
      </c>
      <c r="M1297" s="197" t="s">
        <v>587</v>
      </c>
      <c r="N1297" s="168"/>
    </row>
    <row r="1298" ht="22.5" hidden="1" customHeight="1">
      <c r="A1298" s="137" t="s">
        <v>116</v>
      </c>
      <c r="B1298" s="90">
        <v>46080.0</v>
      </c>
      <c r="C1298" s="55">
        <v>6.0</v>
      </c>
      <c r="D1298" s="97" t="s">
        <v>183</v>
      </c>
      <c r="E1298" s="201"/>
      <c r="F1298" s="202"/>
      <c r="G1298" s="194" t="s">
        <v>587</v>
      </c>
      <c r="H1298" s="195" t="s">
        <v>632</v>
      </c>
      <c r="I1298" s="196">
        <v>0.0</v>
      </c>
      <c r="J1298" s="179">
        <f>IF(A1298="RAPPI",(VLOOKUP(TRIM(D1298), CATALOGO!F:G, 2, FALSE) * C1298)+I1298,IFERROR(IF(COUNTIF('RESTAURANTESDESCUENTOS 2026'!A:A,TRIM(A1298))&gt;0,((VLOOKUP(TRIM(D1298), CATALOGO!A:B, 2, FALSE) * C1298)*(1-VALUE(SUBSTITUTE(VLOOKUP(TRIM(A1298),'RESTAURANTESDESCUENTOS 2026'!A:B,2,FALSE),"%",""))/100)+I1298),(VLOOKUP(TRIM(D1298), CATALOGO!A:B, 2, FALSE) * C1298+I1298)),""))</f>
        <v>92400</v>
      </c>
      <c r="K1298" s="196">
        <v>12000.0</v>
      </c>
      <c r="L1298" s="87" t="s">
        <v>587</v>
      </c>
      <c r="M1298" s="197" t="s">
        <v>587</v>
      </c>
      <c r="N1298" s="168"/>
    </row>
    <row r="1299" ht="22.5" hidden="1" customHeight="1">
      <c r="A1299" s="137" t="s">
        <v>116</v>
      </c>
      <c r="B1299" s="90">
        <v>46080.0</v>
      </c>
      <c r="C1299" s="55">
        <v>6.0</v>
      </c>
      <c r="D1299" s="97" t="s">
        <v>184</v>
      </c>
      <c r="E1299" s="201"/>
      <c r="F1299" s="202"/>
      <c r="G1299" s="194" t="s">
        <v>587</v>
      </c>
      <c r="H1299" s="195" t="s">
        <v>632</v>
      </c>
      <c r="I1299" s="196">
        <v>0.0</v>
      </c>
      <c r="J1299" s="179">
        <f>IF(A1299="RAPPI",(VLOOKUP(TRIM(D1299), CATALOGO!F:G, 2, FALSE) * C1299)+I1299,IFERROR(IF(COUNTIF('RESTAURANTESDESCUENTOS 2026'!A:A,TRIM(A1299))&gt;0,((VLOOKUP(TRIM(D1299), CATALOGO!A:B, 2, FALSE) * C1299)*(1-VALUE(SUBSTITUTE(VLOOKUP(TRIM(A1299),'RESTAURANTESDESCUENTOS 2026'!A:B,2,FALSE),"%",""))/100)+I1299),(VLOOKUP(TRIM(D1299), CATALOGO!A:B, 2, FALSE) * C1299+I1299)),""))</f>
        <v>144000</v>
      </c>
      <c r="K1299" s="196">
        <v>0.0</v>
      </c>
      <c r="L1299" s="87" t="s">
        <v>587</v>
      </c>
      <c r="M1299" s="197" t="s">
        <v>587</v>
      </c>
      <c r="N1299" s="168"/>
    </row>
    <row r="1300" ht="22.5" hidden="1" customHeight="1">
      <c r="A1300" s="137" t="s">
        <v>116</v>
      </c>
      <c r="B1300" s="90">
        <v>46080.0</v>
      </c>
      <c r="C1300" s="55">
        <v>3.0</v>
      </c>
      <c r="D1300" s="97" t="s">
        <v>185</v>
      </c>
      <c r="E1300" s="201"/>
      <c r="F1300" s="202"/>
      <c r="G1300" s="194" t="s">
        <v>587</v>
      </c>
      <c r="H1300" s="195" t="s">
        <v>632</v>
      </c>
      <c r="I1300" s="196">
        <v>0.0</v>
      </c>
      <c r="J1300" s="179">
        <f>IF(A1300="RAPPI",(VLOOKUP(TRIM(D1300), CATALOGO!F:G, 2, FALSE) * C1300)+I1300,IFERROR(IF(COUNTIF('RESTAURANTESDESCUENTOS 2026'!A:A,TRIM(A1300))&gt;0,((VLOOKUP(TRIM(D1300), CATALOGO!A:B, 2, FALSE) * C1300)*(1-VALUE(SUBSTITUTE(VLOOKUP(TRIM(A1300),'RESTAURANTESDESCUENTOS 2026'!A:B,2,FALSE),"%",""))/100)+I1300),(VLOOKUP(TRIM(D1300), CATALOGO!A:B, 2, FALSE) * C1300+I1300)),""))</f>
        <v>52800</v>
      </c>
      <c r="K1300" s="196">
        <v>0.0</v>
      </c>
      <c r="L1300" s="87" t="s">
        <v>587</v>
      </c>
      <c r="M1300" s="197" t="s">
        <v>587</v>
      </c>
      <c r="N1300" s="168"/>
    </row>
    <row r="1301" ht="22.5" hidden="1" customHeight="1">
      <c r="A1301" s="137" t="s">
        <v>1004</v>
      </c>
      <c r="B1301" s="90">
        <v>46080.0</v>
      </c>
      <c r="C1301" s="55">
        <v>1.0</v>
      </c>
      <c r="D1301" s="97" t="s">
        <v>188</v>
      </c>
      <c r="E1301" s="201" t="s">
        <v>645</v>
      </c>
      <c r="F1301" s="202"/>
      <c r="G1301" s="194" t="s">
        <v>587</v>
      </c>
      <c r="H1301" s="195" t="s">
        <v>632</v>
      </c>
      <c r="I1301" s="196">
        <v>14000.0</v>
      </c>
      <c r="J1301" s="179">
        <f>IF(A1301="RAPPI",(VLOOKUP(TRIM(D1301), CATALOGO!F:G, 2, FALSE) * C1301)+I1301,IFERROR(IF(COUNTIF('RESTAURANTESDESCUENTOS 2026'!A:A,TRIM(A1301))&gt;0,((VLOOKUP(TRIM(D1301), CATALOGO!A:B, 2, FALSE) * C1301)*(1-VALUE(SUBSTITUTE(VLOOKUP(TRIM(A1301),'RESTAURANTESDESCUENTOS 2026'!A:B,2,FALSE),"%",""))/100)+I1301),(VLOOKUP(TRIM(D1301), CATALOGO!A:B, 2, FALSE) * C1301+I1301)),""))</f>
        <v>177000</v>
      </c>
      <c r="K1301" s="196">
        <v>14000.0</v>
      </c>
      <c r="L1301" s="87"/>
      <c r="M1301" s="197" t="s">
        <v>587</v>
      </c>
      <c r="N1301" s="168"/>
    </row>
    <row r="1302" ht="22.5" hidden="1" customHeight="1">
      <c r="A1302" s="137" t="s">
        <v>1005</v>
      </c>
      <c r="B1302" s="90">
        <v>46080.0</v>
      </c>
      <c r="C1302" s="55">
        <v>1.0</v>
      </c>
      <c r="D1302" s="97" t="s">
        <v>193</v>
      </c>
      <c r="E1302" s="70" t="s">
        <v>1006</v>
      </c>
      <c r="F1302" s="212"/>
      <c r="G1302" s="194" t="s">
        <v>587</v>
      </c>
      <c r="H1302" s="195" t="s">
        <v>632</v>
      </c>
      <c r="I1302" s="196">
        <v>10000.0</v>
      </c>
      <c r="J1302" s="179">
        <f>IF(A1302="RAPPI",(VLOOKUP(TRIM(D1302), CATALOGO!F:G, 2, FALSE) * C1302)+I1302,IFERROR(IF(COUNTIF('RESTAURANTESDESCUENTOS 2026'!A:A,TRIM(A1302))&gt;0,((VLOOKUP(TRIM(D1302), CATALOGO!A:B, 2, FALSE) * C1302)*(1-VALUE(SUBSTITUTE(VLOOKUP(TRIM(A1302),'RESTAURANTESDESCUENTOS 2026'!A:B,2,FALSE),"%",""))/100)+I1302),(VLOOKUP(TRIM(D1302), CATALOGO!A:B, 2, FALSE) * C1302+I1302)),""))</f>
        <v>170000</v>
      </c>
      <c r="K1302" s="196">
        <v>10000.0</v>
      </c>
      <c r="L1302" s="87"/>
      <c r="M1302" s="197" t="s">
        <v>587</v>
      </c>
      <c r="N1302" s="168"/>
    </row>
    <row r="1303" ht="22.5" hidden="1" customHeight="1">
      <c r="A1303" s="137" t="s">
        <v>605</v>
      </c>
      <c r="B1303" s="90">
        <v>46080.0</v>
      </c>
      <c r="C1303" s="55">
        <v>1.0</v>
      </c>
      <c r="D1303" s="97" t="s">
        <v>176</v>
      </c>
      <c r="E1303" s="201" t="s">
        <v>1007</v>
      </c>
      <c r="F1303" s="202"/>
      <c r="G1303" s="194" t="s">
        <v>35</v>
      </c>
      <c r="H1303" s="198"/>
      <c r="I1303" s="196"/>
      <c r="J1303" s="179">
        <f>IF(A1303="RAPPI",(VLOOKUP(TRIM(D1303), CATALOGO!F:G, 2, FALSE) * C1303)+I1303,IFERROR(IF(COUNTIF('RESTAURANTESDESCUENTOS 2026'!A:A,TRIM(A1303))&gt;0,((VLOOKUP(TRIM(D1303), CATALOGO!A:B, 2, FALSE) * C1303)*(1-VALUE(SUBSTITUTE(VLOOKUP(TRIM(A1303),'RESTAURANTESDESCUENTOS 2026'!A:B,2,FALSE),"%",""))/100)+I1303),(VLOOKUP(TRIM(D1303), CATALOGO!A:B, 2, FALSE) * C1303+I1303)),""))</f>
        <v>50000</v>
      </c>
      <c r="K1303" s="196"/>
      <c r="L1303" s="87"/>
      <c r="M1303" s="197" t="s">
        <v>587</v>
      </c>
      <c r="N1303" s="168"/>
    </row>
    <row r="1304" ht="22.5" hidden="1" customHeight="1">
      <c r="A1304" s="137" t="s">
        <v>622</v>
      </c>
      <c r="B1304" s="90">
        <v>46080.0</v>
      </c>
      <c r="C1304" s="55">
        <v>1.0</v>
      </c>
      <c r="D1304" s="97" t="s">
        <v>178</v>
      </c>
      <c r="E1304" s="201" t="s">
        <v>28</v>
      </c>
      <c r="F1304" s="202"/>
      <c r="G1304" s="194" t="s">
        <v>35</v>
      </c>
      <c r="H1304" s="198"/>
      <c r="I1304" s="196"/>
      <c r="J1304" s="199">
        <v>0.0</v>
      </c>
      <c r="K1304" s="196"/>
      <c r="L1304" s="87"/>
      <c r="M1304" s="197" t="s">
        <v>587</v>
      </c>
      <c r="N1304" s="168"/>
    </row>
    <row r="1305" ht="22.5" hidden="1" customHeight="1">
      <c r="A1305" s="137" t="s">
        <v>605</v>
      </c>
      <c r="B1305" s="90">
        <v>46080.0</v>
      </c>
      <c r="C1305" s="55">
        <v>1.0</v>
      </c>
      <c r="D1305" s="97" t="s">
        <v>176</v>
      </c>
      <c r="E1305" s="201" t="s">
        <v>606</v>
      </c>
      <c r="F1305" s="202"/>
      <c r="G1305" s="194" t="s">
        <v>35</v>
      </c>
      <c r="H1305" s="198"/>
      <c r="I1305" s="196"/>
      <c r="J1305" s="179">
        <f>IF(A1305="RAPPI",(VLOOKUP(TRIM(D1305), CATALOGO!F:G, 2, FALSE) * C1305)+I1305,IFERROR(IF(COUNTIF('RESTAURANTESDESCUENTOS 2026'!A:A,TRIM(A1305))&gt;0,((VLOOKUP(TRIM(D1305), CATALOGO!A:B, 2, FALSE) * C1305)*(1-VALUE(SUBSTITUTE(VLOOKUP(TRIM(A1305),'RESTAURANTESDESCUENTOS 2026'!A:B,2,FALSE),"%",""))/100)+I1305),(VLOOKUP(TRIM(D1305), CATALOGO!A:B, 2, FALSE) * C1305+I1305)),""))</f>
        <v>50000</v>
      </c>
      <c r="K1305" s="196"/>
      <c r="L1305" s="87"/>
      <c r="M1305" s="197" t="s">
        <v>587</v>
      </c>
      <c r="N1305" s="168"/>
    </row>
    <row r="1306" ht="22.5" hidden="1" customHeight="1">
      <c r="A1306" s="137" t="s">
        <v>1008</v>
      </c>
      <c r="B1306" s="90">
        <v>46080.0</v>
      </c>
      <c r="C1306" s="55">
        <v>1.0</v>
      </c>
      <c r="D1306" s="97" t="s">
        <v>653</v>
      </c>
      <c r="E1306" s="201" t="s">
        <v>864</v>
      </c>
      <c r="F1306" s="202"/>
      <c r="G1306" s="194" t="s">
        <v>587</v>
      </c>
      <c r="H1306" s="195" t="s">
        <v>753</v>
      </c>
      <c r="I1306" s="196">
        <v>14000.0</v>
      </c>
      <c r="J1306" s="179">
        <f>IF(A1306="RAPPI",(VLOOKUP(TRIM(D1306), CATALOGO!F:G, 2, FALSE) * C1306)+I1306,IFERROR(IF(COUNTIF('RESTAURANTESDESCUENTOS 2026'!A:A,TRIM(A1306))&gt;0,((VLOOKUP(TRIM(D1306), CATALOGO!A:B, 2, FALSE) * C1306)*(1-VALUE(SUBSTITUTE(VLOOKUP(TRIM(A1306),'RESTAURANTESDESCUENTOS 2026'!A:B,2,FALSE),"%",""))/100)+I1306),(VLOOKUP(TRIM(D1306), CATALOGO!A:B, 2, FALSE) * C1306+I1306)),""))</f>
        <v>137000</v>
      </c>
      <c r="K1306" s="196">
        <v>14000.0</v>
      </c>
      <c r="L1306" s="87"/>
      <c r="M1306" s="197" t="s">
        <v>587</v>
      </c>
      <c r="N1306" s="168"/>
    </row>
    <row r="1307" ht="22.5" hidden="1" customHeight="1">
      <c r="A1307" s="137" t="s">
        <v>1009</v>
      </c>
      <c r="B1307" s="90">
        <v>46080.0</v>
      </c>
      <c r="C1307" s="55">
        <v>1.0</v>
      </c>
      <c r="D1307" s="97" t="s">
        <v>182</v>
      </c>
      <c r="E1307" s="201"/>
      <c r="F1307" s="202"/>
      <c r="G1307" s="194" t="s">
        <v>587</v>
      </c>
      <c r="H1307" s="195" t="s">
        <v>588</v>
      </c>
      <c r="I1307" s="196">
        <v>12000.0</v>
      </c>
      <c r="J1307" s="179">
        <f>IF(A1307="RAPPI",(VLOOKUP(TRIM(D1307), CATALOGO!F:G, 2, FALSE) * C1307)+I1307,IFERROR(IF(COUNTIF('RESTAURANTESDESCUENTOS 2026'!A:A,TRIM(A1307))&gt;0,((VLOOKUP(TRIM(D1307), CATALOGO!A:B, 2, FALSE) * C1307)*(1-VALUE(SUBSTITUTE(VLOOKUP(TRIM(A1307),'RESTAURANTESDESCUENTOS 2026'!A:B,2,FALSE),"%",""))/100)+I1307),(VLOOKUP(TRIM(D1307), CATALOGO!A:B, 2, FALSE) * C1307+I1307)),""))</f>
        <v>49000</v>
      </c>
      <c r="K1307" s="196">
        <v>12000.0</v>
      </c>
      <c r="L1307" s="87"/>
      <c r="M1307" s="197" t="s">
        <v>587</v>
      </c>
      <c r="N1307" s="168"/>
    </row>
    <row r="1308" ht="22.5" hidden="1" customHeight="1">
      <c r="A1308" s="137" t="s">
        <v>1009</v>
      </c>
      <c r="B1308" s="90">
        <v>46080.0</v>
      </c>
      <c r="C1308" s="55">
        <v>2.0</v>
      </c>
      <c r="D1308" s="97" t="s">
        <v>639</v>
      </c>
      <c r="E1308" s="201"/>
      <c r="F1308" s="202"/>
      <c r="G1308" s="194" t="s">
        <v>587</v>
      </c>
      <c r="H1308" s="195" t="s">
        <v>588</v>
      </c>
      <c r="I1308" s="196">
        <v>0.0</v>
      </c>
      <c r="J1308" s="179">
        <f>IF(A1308="RAPPI",(VLOOKUP(TRIM(D1308), CATALOGO!F:G, 2, FALSE) * C1308)+I1308,IFERROR(IF(COUNTIF('RESTAURANTESDESCUENTOS 2026'!A:A,TRIM(A1308))&gt;0,((VLOOKUP(TRIM(D1308), CATALOGO!A:B, 2, FALSE) * C1308)*(1-VALUE(SUBSTITUTE(VLOOKUP(TRIM(A1308),'RESTAURANTESDESCUENTOS 2026'!A:B,2,FALSE),"%",""))/100)+I1308),(VLOOKUP(TRIM(D1308), CATALOGO!A:B, 2, FALSE) * C1308+I1308)),""))</f>
        <v>0</v>
      </c>
      <c r="K1308" s="196">
        <v>0.0</v>
      </c>
      <c r="L1308" s="87"/>
      <c r="M1308" s="197" t="s">
        <v>587</v>
      </c>
      <c r="N1308" s="168"/>
    </row>
    <row r="1309" ht="22.5" hidden="1" customHeight="1">
      <c r="A1309" s="137" t="s">
        <v>1009</v>
      </c>
      <c r="B1309" s="90">
        <v>46080.0</v>
      </c>
      <c r="C1309" s="55">
        <v>1.0</v>
      </c>
      <c r="D1309" s="97" t="s">
        <v>669</v>
      </c>
      <c r="E1309" s="201"/>
      <c r="F1309" s="202"/>
      <c r="G1309" s="194" t="s">
        <v>587</v>
      </c>
      <c r="H1309" s="195" t="s">
        <v>588</v>
      </c>
      <c r="I1309" s="196">
        <v>0.0</v>
      </c>
      <c r="J1309" s="179">
        <f>IF(A1309="RAPPI",(VLOOKUP(TRIM(D1309), CATALOGO!F:G, 2, FALSE) * C1309)+I1309,IFERROR(IF(COUNTIF('RESTAURANTESDESCUENTOS 2026'!A:A,TRIM(A1309))&gt;0,((VLOOKUP(TRIM(D1309), CATALOGO!A:B, 2, FALSE) * C1309)*(1-VALUE(SUBSTITUTE(VLOOKUP(TRIM(A1309),'RESTAURANTESDESCUENTOS 2026'!A:B,2,FALSE),"%",""))/100)+I1309),(VLOOKUP(TRIM(D1309), CATALOGO!A:B, 2, FALSE) * C1309+I1309)),""))</f>
        <v>0</v>
      </c>
      <c r="K1309" s="196">
        <v>0.0</v>
      </c>
      <c r="L1309" s="87"/>
      <c r="M1309" s="197" t="s">
        <v>587</v>
      </c>
      <c r="N1309" s="168"/>
    </row>
    <row r="1310" ht="22.5" hidden="1" customHeight="1">
      <c r="A1310" s="137" t="s">
        <v>1009</v>
      </c>
      <c r="B1310" s="90">
        <v>46080.0</v>
      </c>
      <c r="C1310" s="55">
        <v>1.0</v>
      </c>
      <c r="D1310" s="97" t="s">
        <v>620</v>
      </c>
      <c r="E1310" s="201"/>
      <c r="F1310" s="202"/>
      <c r="G1310" s="194" t="s">
        <v>587</v>
      </c>
      <c r="H1310" s="195" t="s">
        <v>588</v>
      </c>
      <c r="I1310" s="196">
        <v>0.0</v>
      </c>
      <c r="J1310" s="179">
        <f>IF(A1310="RAPPI",(VLOOKUP(TRIM(D1310), CATALOGO!F:G, 2, FALSE) * C1310)+I1310,IFERROR(IF(COUNTIF('RESTAURANTESDESCUENTOS 2026'!A:A,TRIM(A1310))&gt;0,((VLOOKUP(TRIM(D1310), CATALOGO!A:B, 2, FALSE) * C1310)*(1-VALUE(SUBSTITUTE(VLOOKUP(TRIM(A1310),'RESTAURANTESDESCUENTOS 2026'!A:B,2,FALSE),"%",""))/100)+I1310),(VLOOKUP(TRIM(D1310), CATALOGO!A:B, 2, FALSE) * C1310+I1310)),""))</f>
        <v>0</v>
      </c>
      <c r="K1310" s="196">
        <v>0.0</v>
      </c>
      <c r="L1310" s="87"/>
      <c r="M1310" s="197" t="s">
        <v>587</v>
      </c>
      <c r="N1310" s="168"/>
    </row>
    <row r="1311" ht="22.5" hidden="1" customHeight="1">
      <c r="A1311" s="137" t="s">
        <v>603</v>
      </c>
      <c r="B1311" s="90">
        <v>46080.0</v>
      </c>
      <c r="C1311" s="55">
        <v>1.0</v>
      </c>
      <c r="D1311" s="97" t="s">
        <v>697</v>
      </c>
      <c r="E1311" s="201">
        <v>6117.0</v>
      </c>
      <c r="F1311" s="202"/>
      <c r="G1311" s="194" t="s">
        <v>587</v>
      </c>
      <c r="H1311" s="195" t="s">
        <v>603</v>
      </c>
      <c r="I1311" s="196"/>
      <c r="J1311" s="179">
        <f>IF(A1311="RAPPI",(VLOOKUP(TRIM(D1311), CATALOGO!F:G, 2, FALSE) * C1311)+I1311,IFERROR(IF(COUNTIF('RESTAURANTESDESCUENTOS 2026'!A:A,TRIM(A1311))&gt;0,((VLOOKUP(TRIM(D1311), CATALOGO!A:B, 2, FALSE) * C1311)*(1-VALUE(SUBSTITUTE(VLOOKUP(TRIM(A1311),'RESTAURANTESDESCUENTOS 2026'!A:B,2,FALSE),"%",""))/100)+I1311),(VLOOKUP(TRIM(D1311), CATALOGO!A:B, 2, FALSE) * C1311+I1311)),""))</f>
        <v>163000</v>
      </c>
      <c r="K1311" s="196"/>
      <c r="L1311" s="87"/>
      <c r="M1311" s="197" t="s">
        <v>587</v>
      </c>
      <c r="N1311" s="168"/>
    </row>
    <row r="1312" ht="22.5" hidden="1" customHeight="1">
      <c r="A1312" s="137" t="s">
        <v>666</v>
      </c>
      <c r="B1312" s="90">
        <v>46080.0</v>
      </c>
      <c r="C1312" s="55">
        <v>1.0</v>
      </c>
      <c r="D1312" s="97" t="s">
        <v>186</v>
      </c>
      <c r="E1312" s="201"/>
      <c r="F1312" s="202"/>
      <c r="G1312" s="194" t="s">
        <v>35</v>
      </c>
      <c r="H1312" s="198"/>
      <c r="I1312" s="196"/>
      <c r="J1312" s="179">
        <f>IF(A1312="RAPPI",(VLOOKUP(TRIM(D1312), CATALOGO!F:G, 2, FALSE) * C1312)+I1312,IFERROR(IF(COUNTIF('RESTAURANTESDESCUENTOS 2026'!A:A,TRIM(A1312))&gt;0,((VLOOKUP(TRIM(D1312), CATALOGO!A:B, 2, FALSE) * C1312)*(1-VALUE(SUBSTITUTE(VLOOKUP(TRIM(A1312),'RESTAURANTESDESCUENTOS 2026'!A:B,2,FALSE),"%",""))/100)+I1312),(VLOOKUP(TRIM(D1312), CATALOGO!A:B, 2, FALSE) * C1312+I1312)),""))</f>
        <v>55000</v>
      </c>
      <c r="K1312" s="196"/>
      <c r="L1312" s="87"/>
      <c r="M1312" s="197" t="s">
        <v>587</v>
      </c>
      <c r="N1312" s="168"/>
    </row>
    <row r="1313" ht="22.5" hidden="1" customHeight="1">
      <c r="A1313" s="137" t="s">
        <v>666</v>
      </c>
      <c r="B1313" s="90">
        <v>46080.0</v>
      </c>
      <c r="C1313" s="55">
        <v>1.0</v>
      </c>
      <c r="D1313" s="97" t="s">
        <v>179</v>
      </c>
      <c r="E1313" s="201"/>
      <c r="F1313" s="202"/>
      <c r="G1313" s="194" t="s">
        <v>35</v>
      </c>
      <c r="H1313" s="198"/>
      <c r="I1313" s="196"/>
      <c r="J1313" s="179">
        <f>IF(A1313="RAPPI",(VLOOKUP(TRIM(D1313), CATALOGO!F:G, 2, FALSE) * C1313)+I1313,IFERROR(IF(COUNTIF('RESTAURANTESDESCUENTOS 2026'!A:A,TRIM(A1313))&gt;0,((VLOOKUP(TRIM(D1313), CATALOGO!A:B, 2, FALSE) * C1313)*(1-VALUE(SUBSTITUTE(VLOOKUP(TRIM(A1313),'RESTAURANTESDESCUENTOS 2026'!A:B,2,FALSE),"%",""))/100)+I1313),(VLOOKUP(TRIM(D1313), CATALOGO!A:B, 2, FALSE) * C1313+I1313)),""))</f>
        <v>55000</v>
      </c>
      <c r="K1313" s="196"/>
      <c r="L1313" s="87"/>
      <c r="M1313" s="197" t="s">
        <v>587</v>
      </c>
      <c r="N1313" s="168"/>
    </row>
    <row r="1314" ht="22.5" hidden="1" customHeight="1">
      <c r="A1314" s="137" t="s">
        <v>1010</v>
      </c>
      <c r="B1314" s="90">
        <v>46080.0</v>
      </c>
      <c r="C1314" s="55">
        <v>1.0</v>
      </c>
      <c r="D1314" s="97" t="s">
        <v>775</v>
      </c>
      <c r="E1314" s="201"/>
      <c r="F1314" s="202"/>
      <c r="G1314" s="194" t="s">
        <v>587</v>
      </c>
      <c r="H1314" s="195" t="s">
        <v>588</v>
      </c>
      <c r="I1314" s="196">
        <v>10000.0</v>
      </c>
      <c r="J1314" s="179">
        <f>IF(A1314="RAPPI",(VLOOKUP(TRIM(D1314), CATALOGO!F:G, 2, FALSE) * C1314)+I1314,IFERROR(IF(COUNTIF('RESTAURANTESDESCUENTOS 2026'!A:A,TRIM(A1314))&gt;0,((VLOOKUP(TRIM(D1314), CATALOGO!A:B, 2, FALSE) * C1314)*(1-VALUE(SUBSTITUTE(VLOOKUP(TRIM(A1314),'RESTAURANTESDESCUENTOS 2026'!A:B,2,FALSE),"%",""))/100)+I1314),(VLOOKUP(TRIM(D1314), CATALOGO!A:B, 2, FALSE) * C1314+I1314)),""))</f>
        <v>173000</v>
      </c>
      <c r="K1314" s="196">
        <v>10000.0</v>
      </c>
      <c r="L1314" s="87"/>
      <c r="M1314" s="197" t="s">
        <v>587</v>
      </c>
      <c r="N1314" s="168"/>
    </row>
    <row r="1315" ht="22.5" hidden="1" customHeight="1">
      <c r="A1315" s="137" t="s">
        <v>968</v>
      </c>
      <c r="B1315" s="90">
        <v>46080.0</v>
      </c>
      <c r="C1315" s="55">
        <v>3.0</v>
      </c>
      <c r="D1315" s="97" t="s">
        <v>178</v>
      </c>
      <c r="E1315" s="201" t="s">
        <v>552</v>
      </c>
      <c r="F1315" s="202"/>
      <c r="G1315" s="194" t="s">
        <v>587</v>
      </c>
      <c r="H1315" s="195" t="s">
        <v>632</v>
      </c>
      <c r="I1315" s="196">
        <v>10000.0</v>
      </c>
      <c r="J1315" s="179">
        <f>IF(A1315="RAPPI",(VLOOKUP(TRIM(D1315), CATALOGO!F:G, 2, FALSE) * C1315)+I1315,IFERROR(IF(COUNTIF('RESTAURANTESDESCUENTOS 2026'!A:A,TRIM(A1315))&gt;0,((VLOOKUP(TRIM(D1315), CATALOGO!A:B, 2, FALSE) * C1315)*(1-VALUE(SUBSTITUTE(VLOOKUP(TRIM(A1315),'RESTAURANTESDESCUENTOS 2026'!A:B,2,FALSE),"%",""))/100)+I1315),(VLOOKUP(TRIM(D1315), CATALOGO!A:B, 2, FALSE) * C1315+I1315)),""))</f>
        <v>347500</v>
      </c>
      <c r="K1315" s="196">
        <v>10000.0</v>
      </c>
      <c r="L1315" s="87" t="s">
        <v>587</v>
      </c>
      <c r="M1315" s="197" t="s">
        <v>587</v>
      </c>
      <c r="N1315" s="168"/>
    </row>
    <row r="1316" ht="22.5" hidden="1" customHeight="1">
      <c r="A1316" s="137" t="s">
        <v>603</v>
      </c>
      <c r="B1316" s="90">
        <v>46080.0</v>
      </c>
      <c r="C1316" s="55">
        <v>1.0</v>
      </c>
      <c r="D1316" s="97" t="s">
        <v>640</v>
      </c>
      <c r="E1316" s="201">
        <v>6411.0</v>
      </c>
      <c r="F1316" s="202"/>
      <c r="G1316" s="194" t="s">
        <v>587</v>
      </c>
      <c r="H1316" s="195" t="s">
        <v>603</v>
      </c>
      <c r="I1316" s="196"/>
      <c r="J1316" s="179">
        <f>IF(A1316="RAPPI",(VLOOKUP(TRIM(D1316), CATALOGO!F:G, 2, FALSE) * C1316)+I1316,IFERROR(IF(COUNTIF('RESTAURANTESDESCUENTOS 2026'!A:A,TRIM(A1316))&gt;0,((VLOOKUP(TRIM(D1316), CATALOGO!A:B, 2, FALSE) * C1316)*(1-VALUE(SUBSTITUTE(VLOOKUP(TRIM(A1316),'RESTAURANTESDESCUENTOS 2026'!A:B,2,FALSE),"%",""))/100)+I1316),(VLOOKUP(TRIM(D1316), CATALOGO!A:B, 2, FALSE) * C1316+I1316)),""))</f>
        <v>53000</v>
      </c>
      <c r="K1316" s="196"/>
      <c r="L1316" s="87"/>
      <c r="M1316" s="197" t="s">
        <v>587</v>
      </c>
      <c r="N1316" s="168"/>
    </row>
    <row r="1317" ht="22.5" hidden="1" customHeight="1">
      <c r="A1317" s="137" t="s">
        <v>605</v>
      </c>
      <c r="B1317" s="90">
        <v>46080.0</v>
      </c>
      <c r="C1317" s="55">
        <v>1.0</v>
      </c>
      <c r="D1317" s="97" t="s">
        <v>177</v>
      </c>
      <c r="E1317" s="201" t="s">
        <v>606</v>
      </c>
      <c r="F1317" s="202"/>
      <c r="G1317" s="194" t="s">
        <v>35</v>
      </c>
      <c r="H1317" s="198"/>
      <c r="I1317" s="196"/>
      <c r="J1317" s="179">
        <f>IF(A1317="RAPPI",(VLOOKUP(TRIM(D1317), CATALOGO!F:G, 2, FALSE) * C1317)+I1317,IFERROR(IF(COUNTIF('RESTAURANTESDESCUENTOS 2026'!A:A,TRIM(A1317))&gt;0,((VLOOKUP(TRIM(D1317), CATALOGO!A:B, 2, FALSE) * C1317)*(1-VALUE(SUBSTITUTE(VLOOKUP(TRIM(A1317),'RESTAURANTESDESCUENTOS 2026'!A:B,2,FALSE),"%",""))/100)+I1317),(VLOOKUP(TRIM(D1317), CATALOGO!A:B, 2, FALSE) * C1317+I1317)),""))</f>
        <v>115000</v>
      </c>
      <c r="K1317" s="196"/>
      <c r="L1317" s="87"/>
      <c r="M1317" s="197" t="s">
        <v>587</v>
      </c>
      <c r="N1317" s="168"/>
    </row>
    <row r="1318" ht="22.5" hidden="1" customHeight="1">
      <c r="A1318" s="137" t="s">
        <v>163</v>
      </c>
      <c r="B1318" s="90">
        <v>46080.0</v>
      </c>
      <c r="C1318" s="55">
        <v>1.0</v>
      </c>
      <c r="D1318" s="97" t="s">
        <v>178</v>
      </c>
      <c r="E1318" s="201"/>
      <c r="F1318" s="202"/>
      <c r="G1318" s="194" t="s">
        <v>35</v>
      </c>
      <c r="H1318" s="198"/>
      <c r="I1318" s="196"/>
      <c r="J1318" s="179">
        <f>IF(A1318="RAPPI",(VLOOKUP(TRIM(D1318), CATALOGO!F:G, 2, FALSE) * C1318)+I1318,IFERROR(IF(COUNTIF('RESTAURANTESDESCUENTOS 2026'!A:A,TRIM(A1318))&gt;0,((VLOOKUP(TRIM(D1318), CATALOGO!A:B, 2, FALSE) * C1318)*(1-VALUE(SUBSTITUTE(VLOOKUP(TRIM(A1318),'RESTAURANTESDESCUENTOS 2026'!A:B,2,FALSE),"%",""))/100)+I1318),(VLOOKUP(TRIM(D1318), CATALOGO!A:B, 2, FALSE) * C1318+I1318)),""))</f>
        <v>105000</v>
      </c>
      <c r="K1318" s="196"/>
      <c r="L1318" s="87"/>
      <c r="M1318" s="197" t="s">
        <v>587</v>
      </c>
      <c r="N1318" s="168"/>
    </row>
    <row r="1319" ht="22.5" hidden="1" customHeight="1">
      <c r="A1319" s="137" t="s">
        <v>605</v>
      </c>
      <c r="B1319" s="90">
        <v>46080.0</v>
      </c>
      <c r="C1319" s="55">
        <v>1.0</v>
      </c>
      <c r="D1319" s="97" t="s">
        <v>177</v>
      </c>
      <c r="E1319" s="201" t="s">
        <v>606</v>
      </c>
      <c r="F1319" s="202"/>
      <c r="G1319" s="194" t="s">
        <v>35</v>
      </c>
      <c r="H1319" s="198"/>
      <c r="I1319" s="196"/>
      <c r="J1319" s="179">
        <f>IF(A1319="RAPPI",(VLOOKUP(TRIM(D1319), CATALOGO!F:G, 2, FALSE) * C1319)+I1319,IFERROR(IF(COUNTIF('RESTAURANTESDESCUENTOS 2026'!A:A,TRIM(A1319))&gt;0,((VLOOKUP(TRIM(D1319), CATALOGO!A:B, 2, FALSE) * C1319)*(1-VALUE(SUBSTITUTE(VLOOKUP(TRIM(A1319),'RESTAURANTESDESCUENTOS 2026'!A:B,2,FALSE),"%",""))/100)+I1319),(VLOOKUP(TRIM(D1319), CATALOGO!A:B, 2, FALSE) * C1319+I1319)),""))</f>
        <v>115000</v>
      </c>
      <c r="K1319" s="196"/>
      <c r="L1319" s="87"/>
      <c r="M1319" s="197" t="s">
        <v>587</v>
      </c>
      <c r="N1319" s="168"/>
    </row>
    <row r="1320" ht="22.5" hidden="1" customHeight="1">
      <c r="A1320" s="137" t="s">
        <v>1011</v>
      </c>
      <c r="B1320" s="90">
        <v>46080.0</v>
      </c>
      <c r="C1320" s="55">
        <v>1.0</v>
      </c>
      <c r="D1320" s="97" t="s">
        <v>177</v>
      </c>
      <c r="E1320" s="201"/>
      <c r="F1320" s="202"/>
      <c r="G1320" s="194" t="s">
        <v>587</v>
      </c>
      <c r="H1320" s="195" t="s">
        <v>588</v>
      </c>
      <c r="I1320" s="196">
        <v>14000.0</v>
      </c>
      <c r="J1320" s="179">
        <f>IF(A1320="RAPPI",(VLOOKUP(TRIM(D1320), CATALOGO!F:G, 2, FALSE) * C1320)+I1320,IFERROR(IF(COUNTIF('RESTAURANTESDESCUENTOS 2026'!A:A,TRIM(A1320))&gt;0,((VLOOKUP(TRIM(D1320), CATALOGO!A:B, 2, FALSE) * C1320)*(1-VALUE(SUBSTITUTE(VLOOKUP(TRIM(A1320),'RESTAURANTESDESCUENTOS 2026'!A:B,2,FALSE),"%",""))/100)+I1320),(VLOOKUP(TRIM(D1320), CATALOGO!A:B, 2, FALSE) * C1320+I1320)),""))</f>
        <v>129000</v>
      </c>
      <c r="K1320" s="196">
        <v>20000.0</v>
      </c>
      <c r="L1320" s="87"/>
      <c r="M1320" s="197" t="s">
        <v>587</v>
      </c>
      <c r="N1320" s="168"/>
    </row>
    <row r="1321" ht="22.5" hidden="1" customHeight="1">
      <c r="A1321" s="137" t="s">
        <v>1011</v>
      </c>
      <c r="B1321" s="90">
        <v>46080.0</v>
      </c>
      <c r="C1321" s="55">
        <v>150.0</v>
      </c>
      <c r="D1321" s="97" t="s">
        <v>236</v>
      </c>
      <c r="E1321" s="201"/>
      <c r="F1321" s="202"/>
      <c r="G1321" s="194" t="s">
        <v>587</v>
      </c>
      <c r="H1321" s="195" t="s">
        <v>588</v>
      </c>
      <c r="I1321" s="196">
        <v>0.0</v>
      </c>
      <c r="J1321" s="199">
        <v>13000.0</v>
      </c>
      <c r="K1321" s="196">
        <v>0.0</v>
      </c>
      <c r="L1321" s="87"/>
      <c r="M1321" s="197" t="s">
        <v>587</v>
      </c>
      <c r="N1321" s="168"/>
    </row>
    <row r="1322" ht="22.5" hidden="1" customHeight="1">
      <c r="A1322" s="137" t="s">
        <v>603</v>
      </c>
      <c r="B1322" s="90">
        <v>46080.0</v>
      </c>
      <c r="C1322" s="55">
        <v>1.0</v>
      </c>
      <c r="D1322" s="97" t="s">
        <v>177</v>
      </c>
      <c r="E1322" s="201">
        <v>7026.0</v>
      </c>
      <c r="F1322" s="202"/>
      <c r="G1322" s="194" t="s">
        <v>587</v>
      </c>
      <c r="H1322" s="195" t="s">
        <v>603</v>
      </c>
      <c r="I1322" s="196"/>
      <c r="J1322" s="179">
        <f>IF(A1322="RAPPI",(VLOOKUP(TRIM(D1322), CATALOGO!F:G, 2, FALSE) * C1322)+I1322,IFERROR(IF(COUNTIF('RESTAURANTESDESCUENTOS 2026'!A:A,TRIM(A1322))&gt;0,((VLOOKUP(TRIM(D1322), CATALOGO!A:B, 2, FALSE) * C1322)*(1-VALUE(SUBSTITUTE(VLOOKUP(TRIM(A1322),'RESTAURANTESDESCUENTOS 2026'!A:B,2,FALSE),"%",""))/100)+I1322),(VLOOKUP(TRIM(D1322), CATALOGO!A:B, 2, FALSE) * C1322+I1322)),""))</f>
        <v>115000</v>
      </c>
      <c r="K1322" s="196"/>
      <c r="L1322" s="87"/>
      <c r="M1322" s="197" t="s">
        <v>587</v>
      </c>
      <c r="N1322" s="168"/>
    </row>
    <row r="1323" ht="22.5" hidden="1" customHeight="1">
      <c r="A1323" s="137" t="s">
        <v>603</v>
      </c>
      <c r="B1323" s="90">
        <v>46080.0</v>
      </c>
      <c r="C1323" s="55">
        <v>1.0</v>
      </c>
      <c r="D1323" s="97" t="s">
        <v>176</v>
      </c>
      <c r="E1323" s="201">
        <v>6189.0</v>
      </c>
      <c r="F1323" s="202"/>
      <c r="G1323" s="194" t="s">
        <v>587</v>
      </c>
      <c r="H1323" s="195" t="s">
        <v>603</v>
      </c>
      <c r="I1323" s="196"/>
      <c r="J1323" s="179">
        <f>IF(A1323="RAPPI",(VLOOKUP(TRIM(D1323), CATALOGO!F:G, 2, FALSE) * C1323)+I1323,IFERROR(IF(COUNTIF('RESTAURANTESDESCUENTOS 2026'!A:A,TRIM(A1323))&gt;0,((VLOOKUP(TRIM(D1323), CATALOGO!A:B, 2, FALSE) * C1323)*(1-VALUE(SUBSTITUTE(VLOOKUP(TRIM(A1323),'RESTAURANTESDESCUENTOS 2026'!A:B,2,FALSE),"%",""))/100)+I1323),(VLOOKUP(TRIM(D1323), CATALOGO!A:B, 2, FALSE) * C1323+I1323)),""))</f>
        <v>50000</v>
      </c>
      <c r="K1323" s="196"/>
      <c r="L1323" s="87"/>
      <c r="M1323" s="197" t="s">
        <v>587</v>
      </c>
      <c r="N1323" s="168"/>
    </row>
    <row r="1324" ht="22.5" hidden="1" customHeight="1">
      <c r="A1324" s="137" t="s">
        <v>5</v>
      </c>
      <c r="B1324" s="90">
        <v>46080.0</v>
      </c>
      <c r="C1324" s="55"/>
      <c r="D1324" s="193"/>
      <c r="E1324" s="201" t="s">
        <v>1012</v>
      </c>
      <c r="F1324" s="202"/>
      <c r="G1324" s="194" t="s">
        <v>587</v>
      </c>
      <c r="H1324" s="195" t="s">
        <v>907</v>
      </c>
      <c r="I1324" s="196">
        <v>0.0</v>
      </c>
      <c r="J1324" s="199">
        <v>0.0</v>
      </c>
      <c r="K1324" s="196">
        <v>25000.0</v>
      </c>
      <c r="L1324" s="87"/>
      <c r="M1324" s="197" t="s">
        <v>587</v>
      </c>
      <c r="N1324" s="168"/>
    </row>
    <row r="1325" ht="22.5" hidden="1" customHeight="1">
      <c r="A1325" s="137" t="s">
        <v>603</v>
      </c>
      <c r="B1325" s="90">
        <v>46080.0</v>
      </c>
      <c r="C1325" s="55">
        <v>1.0</v>
      </c>
      <c r="D1325" s="97" t="s">
        <v>678</v>
      </c>
      <c r="E1325" s="201">
        <v>8770.0</v>
      </c>
      <c r="F1325" s="202"/>
      <c r="G1325" s="194" t="s">
        <v>587</v>
      </c>
      <c r="H1325" s="195" t="s">
        <v>603</v>
      </c>
      <c r="I1325" s="196"/>
      <c r="J1325" s="179">
        <f>IF(A1325="RAPPI",(VLOOKUP(TRIM(D1325), CATALOGO!F:G, 2, FALSE) * C1325)+I1325,IFERROR(IF(COUNTIF('RESTAURANTESDESCUENTOS 2026'!A:A,TRIM(A1325))&gt;0,((VLOOKUP(TRIM(D1325), CATALOGO!A:B, 2, FALSE) * C1325)*(1-VALUE(SUBSTITUTE(VLOOKUP(TRIM(A1325),'RESTAURANTESDESCUENTOS 2026'!A:B,2,FALSE),"%",""))/100)+I1325),(VLOOKUP(TRIM(D1325), CATALOGO!A:B, 2, FALSE) * C1325+I1325)),""))</f>
        <v>123000</v>
      </c>
      <c r="K1325" s="196"/>
      <c r="L1325" s="87"/>
      <c r="M1325" s="197" t="s">
        <v>587</v>
      </c>
      <c r="N1325" s="168"/>
    </row>
    <row r="1326" ht="22.5" hidden="1" customHeight="1">
      <c r="A1326" s="137" t="s">
        <v>1013</v>
      </c>
      <c r="B1326" s="90">
        <v>46081.0</v>
      </c>
      <c r="C1326" s="55">
        <v>16.0</v>
      </c>
      <c r="D1326" s="97" t="s">
        <v>225</v>
      </c>
      <c r="E1326" s="70" t="s">
        <v>1014</v>
      </c>
      <c r="F1326" s="212"/>
      <c r="G1326" s="194" t="s">
        <v>587</v>
      </c>
      <c r="H1326" s="195" t="s">
        <v>632</v>
      </c>
      <c r="I1326" s="196">
        <v>14000.0</v>
      </c>
      <c r="J1326" s="199">
        <v>94000.0</v>
      </c>
      <c r="K1326" s="196">
        <v>14000.0</v>
      </c>
      <c r="L1326" s="87"/>
      <c r="M1326" s="197" t="s">
        <v>587</v>
      </c>
      <c r="N1326" s="168"/>
    </row>
    <row r="1327" ht="22.5" hidden="1" customHeight="1">
      <c r="A1327" s="137" t="s">
        <v>1013</v>
      </c>
      <c r="B1327" s="90">
        <v>46081.0</v>
      </c>
      <c r="C1327" s="55">
        <v>16.0</v>
      </c>
      <c r="D1327" s="97" t="s">
        <v>182</v>
      </c>
      <c r="E1327" s="201"/>
      <c r="F1327" s="202"/>
      <c r="G1327" s="194" t="s">
        <v>587</v>
      </c>
      <c r="H1327" s="195" t="s">
        <v>632</v>
      </c>
      <c r="I1327" s="196">
        <v>0.0</v>
      </c>
      <c r="J1327" s="199">
        <v>80000.0</v>
      </c>
      <c r="K1327" s="196">
        <v>0.0</v>
      </c>
      <c r="L1327" s="87"/>
      <c r="M1327" s="197" t="s">
        <v>587</v>
      </c>
      <c r="N1327" s="168"/>
    </row>
    <row r="1328" ht="22.5" hidden="1" customHeight="1">
      <c r="A1328" s="137" t="s">
        <v>1013</v>
      </c>
      <c r="B1328" s="90">
        <v>46081.0</v>
      </c>
      <c r="C1328" s="55">
        <v>16.0</v>
      </c>
      <c r="D1328" s="97" t="s">
        <v>236</v>
      </c>
      <c r="E1328" s="201"/>
      <c r="F1328" s="202"/>
      <c r="G1328" s="194" t="s">
        <v>587</v>
      </c>
      <c r="H1328" s="195" t="s">
        <v>632</v>
      </c>
      <c r="I1328" s="196">
        <v>0.0</v>
      </c>
      <c r="J1328" s="179">
        <f>IF(A1328="RAPPI",(VLOOKUP(TRIM(D1328), CATALOGO!F:G, 2, FALSE) * C1328)+I1328,IFERROR(IF(COUNTIF('RESTAURANTESDESCUENTOS 2026'!A:A,TRIM(A1328))&gt;0,((VLOOKUP(TRIM(D1328), CATALOGO!A:B, 2, FALSE) * C1328)*(1-VALUE(SUBSTITUTE(VLOOKUP(TRIM(A1328),'RESTAURANTESDESCUENTOS 2026'!A:B,2,FALSE),"%",""))/100)+I1328),(VLOOKUP(TRIM(D1328), CATALOGO!A:B, 2, FALSE) * C1328+I1328)),""))</f>
        <v>0</v>
      </c>
      <c r="K1328" s="196">
        <v>0.0</v>
      </c>
      <c r="L1328" s="87"/>
      <c r="M1328" s="197" t="s">
        <v>587</v>
      </c>
      <c r="N1328" s="168"/>
    </row>
    <row r="1329" ht="22.5" hidden="1" customHeight="1">
      <c r="A1329" s="137" t="s">
        <v>1013</v>
      </c>
      <c r="B1329" s="90">
        <v>46081.0</v>
      </c>
      <c r="C1329" s="55">
        <v>1.0</v>
      </c>
      <c r="D1329" s="97" t="s">
        <v>228</v>
      </c>
      <c r="E1329" s="201"/>
      <c r="F1329" s="202"/>
      <c r="G1329" s="194" t="s">
        <v>587</v>
      </c>
      <c r="H1329" s="195" t="s">
        <v>632</v>
      </c>
      <c r="I1329" s="196">
        <v>0.0</v>
      </c>
      <c r="J1329" s="179">
        <f>IF(A1329="RAPPI",(VLOOKUP(TRIM(D1329), CATALOGO!F:G, 2, FALSE) * C1329)+I1329,IFERROR(IF(COUNTIF('RESTAURANTESDESCUENTOS 2026'!A:A,TRIM(A1329))&gt;0,((VLOOKUP(TRIM(D1329), CATALOGO!A:B, 2, FALSE) * C1329)*(1-VALUE(SUBSTITUTE(VLOOKUP(TRIM(A1329),'RESTAURANTESDESCUENTOS 2026'!A:B,2,FALSE),"%",""))/100)+I1329),(VLOOKUP(TRIM(D1329), CATALOGO!A:B, 2, FALSE) * C1329+I1329)),""))</f>
        <v>105000</v>
      </c>
      <c r="K1329" s="196">
        <v>0.0</v>
      </c>
      <c r="L1329" s="87"/>
      <c r="M1329" s="197" t="s">
        <v>587</v>
      </c>
      <c r="N1329" s="168"/>
    </row>
    <row r="1330" ht="22.5" hidden="1" customHeight="1">
      <c r="A1330" s="137" t="s">
        <v>1013</v>
      </c>
      <c r="B1330" s="90">
        <v>46081.0</v>
      </c>
      <c r="C1330" s="55">
        <v>1.0</v>
      </c>
      <c r="D1330" s="97" t="s">
        <v>235</v>
      </c>
      <c r="E1330" s="201"/>
      <c r="F1330" s="202"/>
      <c r="G1330" s="194" t="s">
        <v>587</v>
      </c>
      <c r="H1330" s="195" t="s">
        <v>632</v>
      </c>
      <c r="I1330" s="196">
        <v>0.0</v>
      </c>
      <c r="J1330" s="179">
        <f>IF(A1330="RAPPI",(VLOOKUP(TRIM(D1330), CATALOGO!F:G, 2, FALSE) * C1330)+I1330,IFERROR(IF(COUNTIF('RESTAURANTESDESCUENTOS 2026'!A:A,TRIM(A1330))&gt;0,((VLOOKUP(TRIM(D1330), CATALOGO!A:B, 2, FALSE) * C1330)*(1-VALUE(SUBSTITUTE(VLOOKUP(TRIM(A1330),'RESTAURANTESDESCUENTOS 2026'!A:B,2,FALSE),"%",""))/100)+I1330),(VLOOKUP(TRIM(D1330), CATALOGO!A:B, 2, FALSE) * C1330+I1330)),""))</f>
        <v>164000</v>
      </c>
      <c r="K1330" s="196">
        <v>0.0</v>
      </c>
      <c r="L1330" s="87"/>
      <c r="M1330" s="197" t="s">
        <v>587</v>
      </c>
      <c r="N1330" s="168"/>
    </row>
    <row r="1331" ht="22.5" hidden="1" customHeight="1">
      <c r="A1331" s="137" t="s">
        <v>1015</v>
      </c>
      <c r="B1331" s="90">
        <v>46081.0</v>
      </c>
      <c r="C1331" s="55">
        <v>16.0</v>
      </c>
      <c r="D1331" s="97" t="s">
        <v>182</v>
      </c>
      <c r="E1331" s="70" t="s">
        <v>1014</v>
      </c>
      <c r="F1331" s="212"/>
      <c r="G1331" s="194" t="s">
        <v>587</v>
      </c>
      <c r="H1331" s="195" t="s">
        <v>632</v>
      </c>
      <c r="I1331" s="196">
        <v>15000.0</v>
      </c>
      <c r="J1331" s="199">
        <v>95000.0</v>
      </c>
      <c r="K1331" s="196">
        <v>15000.0</v>
      </c>
      <c r="L1331" s="87"/>
      <c r="M1331" s="197" t="s">
        <v>587</v>
      </c>
      <c r="N1331" s="168"/>
    </row>
    <row r="1332" ht="22.5" hidden="1" customHeight="1">
      <c r="A1332" s="137" t="s">
        <v>1015</v>
      </c>
      <c r="B1332" s="90">
        <v>46081.0</v>
      </c>
      <c r="C1332" s="55">
        <v>16.0</v>
      </c>
      <c r="D1332" s="97" t="s">
        <v>236</v>
      </c>
      <c r="E1332" s="201"/>
      <c r="F1332" s="202"/>
      <c r="G1332" s="194" t="s">
        <v>587</v>
      </c>
      <c r="H1332" s="195" t="s">
        <v>632</v>
      </c>
      <c r="I1332" s="196">
        <v>0.0</v>
      </c>
      <c r="J1332" s="179">
        <f>IF(A1332="RAPPI",(VLOOKUP(TRIM(D1332), CATALOGO!F:G, 2, FALSE) * C1332)+I1332,IFERROR(IF(COUNTIF('RESTAURANTESDESCUENTOS 2026'!A:A,TRIM(A1332))&gt;0,((VLOOKUP(TRIM(D1332), CATALOGO!A:B, 2, FALSE) * C1332)*(1-VALUE(SUBSTITUTE(VLOOKUP(TRIM(A1332),'RESTAURANTESDESCUENTOS 2026'!A:B,2,FALSE),"%",""))/100)+I1332),(VLOOKUP(TRIM(D1332), CATALOGO!A:B, 2, FALSE) * C1332+I1332)),""))</f>
        <v>0</v>
      </c>
      <c r="K1332" s="196">
        <v>0.0</v>
      </c>
      <c r="L1332" s="87"/>
      <c r="M1332" s="197" t="s">
        <v>587</v>
      </c>
      <c r="N1332" s="168"/>
    </row>
    <row r="1333" ht="22.5" hidden="1" customHeight="1">
      <c r="A1333" s="137" t="s">
        <v>1015</v>
      </c>
      <c r="B1333" s="90">
        <v>46081.0</v>
      </c>
      <c r="C1333" s="55">
        <v>16.0</v>
      </c>
      <c r="D1333" s="97" t="s">
        <v>223</v>
      </c>
      <c r="E1333" s="201"/>
      <c r="F1333" s="202"/>
      <c r="G1333" s="194" t="s">
        <v>587</v>
      </c>
      <c r="H1333" s="195" t="s">
        <v>632</v>
      </c>
      <c r="I1333" s="196">
        <v>0.0</v>
      </c>
      <c r="J1333" s="199">
        <v>80000.0</v>
      </c>
      <c r="K1333" s="196">
        <v>0.0</v>
      </c>
      <c r="L1333" s="87"/>
      <c r="M1333" s="197" t="s">
        <v>587</v>
      </c>
      <c r="N1333" s="168"/>
    </row>
    <row r="1334" ht="22.5" hidden="1" customHeight="1">
      <c r="A1334" s="137" t="s">
        <v>1015</v>
      </c>
      <c r="B1334" s="90">
        <v>46081.0</v>
      </c>
      <c r="C1334" s="55">
        <v>16.0</v>
      </c>
      <c r="D1334" s="97" t="s">
        <v>220</v>
      </c>
      <c r="E1334" s="201"/>
      <c r="F1334" s="202"/>
      <c r="G1334" s="194" t="s">
        <v>587</v>
      </c>
      <c r="H1334" s="195" t="s">
        <v>632</v>
      </c>
      <c r="I1334" s="196">
        <v>0.0</v>
      </c>
      <c r="J1334" s="199">
        <v>80000.0</v>
      </c>
      <c r="K1334" s="196">
        <v>0.0</v>
      </c>
      <c r="L1334" s="87"/>
      <c r="M1334" s="197" t="s">
        <v>587</v>
      </c>
      <c r="N1334" s="168"/>
    </row>
    <row r="1335" ht="22.5" hidden="1" customHeight="1">
      <c r="A1335" s="137" t="s">
        <v>1016</v>
      </c>
      <c r="B1335" s="90">
        <v>46081.0</v>
      </c>
      <c r="C1335" s="55">
        <v>1.0</v>
      </c>
      <c r="D1335" s="97" t="s">
        <v>618</v>
      </c>
      <c r="E1335" s="201" t="s">
        <v>1017</v>
      </c>
      <c r="F1335" s="202"/>
      <c r="G1335" s="194" t="s">
        <v>587</v>
      </c>
      <c r="H1335" s="195" t="s">
        <v>632</v>
      </c>
      <c r="I1335" s="196">
        <v>12000.0</v>
      </c>
      <c r="J1335" s="179">
        <f>IF(A1335="RAPPI",(VLOOKUP(TRIM(D1335), CATALOGO!F:G, 2, FALSE) * C1335)+I1335,IFERROR(IF(COUNTIF('RESTAURANTESDESCUENTOS 2026'!A:A,TRIM(A1335))&gt;0,((VLOOKUP(TRIM(D1335), CATALOGO!A:B, 2, FALSE) * C1335)*(1-VALUE(SUBSTITUTE(VLOOKUP(TRIM(A1335),'RESTAURANTESDESCUENTOS 2026'!A:B,2,FALSE),"%",""))/100)+I1335),(VLOOKUP(TRIM(D1335), CATALOGO!A:B, 2, FALSE) * C1335+I1335)),""))</f>
        <v>65000</v>
      </c>
      <c r="K1335" s="196">
        <v>12000.0</v>
      </c>
      <c r="L1335" s="87"/>
      <c r="M1335" s="197" t="s">
        <v>587</v>
      </c>
      <c r="N1335" s="168"/>
    </row>
    <row r="1336" ht="22.5" hidden="1" customHeight="1">
      <c r="A1336" s="137" t="s">
        <v>1018</v>
      </c>
      <c r="B1336" s="90">
        <v>46081.0</v>
      </c>
      <c r="C1336" s="55">
        <v>1.0</v>
      </c>
      <c r="D1336" s="97" t="s">
        <v>193</v>
      </c>
      <c r="E1336" s="201"/>
      <c r="F1336" s="202"/>
      <c r="G1336" s="194" t="s">
        <v>587</v>
      </c>
      <c r="H1336" s="195" t="s">
        <v>632</v>
      </c>
      <c r="I1336" s="196">
        <v>12000.0</v>
      </c>
      <c r="J1336" s="179">
        <f>IF(A1336="RAPPI",(VLOOKUP(TRIM(D1336), CATALOGO!F:G, 2, FALSE) * C1336)+I1336,IFERROR(IF(COUNTIF('RESTAURANTESDESCUENTOS 2026'!A:A,TRIM(A1336))&gt;0,((VLOOKUP(TRIM(D1336), CATALOGO!A:B, 2, FALSE) * C1336)*(1-VALUE(SUBSTITUTE(VLOOKUP(TRIM(A1336),'RESTAURANTESDESCUENTOS 2026'!A:B,2,FALSE),"%",""))/100)+I1336),(VLOOKUP(TRIM(D1336), CATALOGO!A:B, 2, FALSE) * C1336+I1336)),""))</f>
        <v>172000</v>
      </c>
      <c r="K1336" s="196">
        <v>12000.0</v>
      </c>
      <c r="L1336" s="87"/>
      <c r="M1336" s="197" t="s">
        <v>587</v>
      </c>
      <c r="N1336" s="168"/>
    </row>
    <row r="1337" ht="22.5" hidden="1" customHeight="1">
      <c r="A1337" s="137" t="s">
        <v>1019</v>
      </c>
      <c r="B1337" s="90">
        <v>46081.0</v>
      </c>
      <c r="C1337" s="55">
        <v>1.0</v>
      </c>
      <c r="D1337" s="97" t="s">
        <v>678</v>
      </c>
      <c r="E1337" s="70" t="s">
        <v>1006</v>
      </c>
      <c r="F1337" s="212"/>
      <c r="G1337" s="194" t="s">
        <v>587</v>
      </c>
      <c r="H1337" s="195" t="s">
        <v>632</v>
      </c>
      <c r="I1337" s="196">
        <v>14000.0</v>
      </c>
      <c r="J1337" s="179">
        <f>IF(A1337="RAPPI",(VLOOKUP(TRIM(D1337), CATALOGO!F:G, 2, FALSE) * C1337)+I1337,IFERROR(IF(COUNTIF('RESTAURANTESDESCUENTOS 2026'!A:A,TRIM(A1337))&gt;0,((VLOOKUP(TRIM(D1337), CATALOGO!A:B, 2, FALSE) * C1337)*(1-VALUE(SUBSTITUTE(VLOOKUP(TRIM(A1337),'RESTAURANTESDESCUENTOS 2026'!A:B,2,FALSE),"%",""))/100)+I1337),(VLOOKUP(TRIM(D1337), CATALOGO!A:B, 2, FALSE) * C1337+I1337)),""))</f>
        <v>137000</v>
      </c>
      <c r="K1337" s="196">
        <v>14000.0</v>
      </c>
      <c r="L1337" s="87"/>
      <c r="M1337" s="197" t="s">
        <v>587</v>
      </c>
      <c r="N1337" s="168"/>
    </row>
    <row r="1338" ht="22.5" hidden="1" customHeight="1">
      <c r="A1338" s="137" t="s">
        <v>1020</v>
      </c>
      <c r="B1338" s="90">
        <v>46081.0</v>
      </c>
      <c r="C1338" s="55">
        <v>1.0</v>
      </c>
      <c r="D1338" s="97" t="s">
        <v>194</v>
      </c>
      <c r="E1338" s="201"/>
      <c r="F1338" s="202"/>
      <c r="G1338" s="194" t="s">
        <v>35</v>
      </c>
      <c r="H1338" s="198"/>
      <c r="I1338" s="196"/>
      <c r="J1338" s="179">
        <f>IF(A1338="RAPPI",(VLOOKUP(TRIM(D1338), CATALOGO!F:G, 2, FALSE) * C1338)+I1338,IFERROR(IF(COUNTIF('RESTAURANTESDESCUENTOS 2026'!A:A,TRIM(A1338))&gt;0,((VLOOKUP(TRIM(D1338), CATALOGO!A:B, 2, FALSE) * C1338)*(1-VALUE(SUBSTITUTE(VLOOKUP(TRIM(A1338),'RESTAURANTESDESCUENTOS 2026'!A:B,2,FALSE),"%",""))/100)+I1338),(VLOOKUP(TRIM(D1338), CATALOGO!A:B, 2, FALSE) * C1338+I1338)),""))</f>
        <v>119000</v>
      </c>
      <c r="K1338" s="196"/>
      <c r="L1338" s="87"/>
      <c r="M1338" s="197" t="s">
        <v>587</v>
      </c>
      <c r="N1338" s="168"/>
    </row>
    <row r="1339" ht="22.5" hidden="1" customHeight="1">
      <c r="A1339" s="137" t="s">
        <v>1021</v>
      </c>
      <c r="B1339" s="90">
        <v>46081.0</v>
      </c>
      <c r="C1339" s="55">
        <v>1.0</v>
      </c>
      <c r="D1339" s="97" t="s">
        <v>178</v>
      </c>
      <c r="E1339" s="70" t="s">
        <v>635</v>
      </c>
      <c r="F1339" s="212"/>
      <c r="G1339" s="194" t="s">
        <v>587</v>
      </c>
      <c r="H1339" s="195" t="s">
        <v>588</v>
      </c>
      <c r="I1339" s="196">
        <v>12000.0</v>
      </c>
      <c r="J1339" s="179">
        <f>IF(A1339="RAPPI",(VLOOKUP(TRIM(D1339), CATALOGO!F:G, 2, FALSE) * C1339)+I1339,IFERROR(IF(COUNTIF('RESTAURANTESDESCUENTOS 2026'!A:A,TRIM(A1339))&gt;0,((VLOOKUP(TRIM(D1339), CATALOGO!A:B, 2, FALSE) * C1339)*(1-VALUE(SUBSTITUTE(VLOOKUP(TRIM(A1339),'RESTAURANTESDESCUENTOS 2026'!A:B,2,FALSE),"%",""))/100)+I1339),(VLOOKUP(TRIM(D1339), CATALOGO!A:B, 2, FALSE) * C1339+I1339)),""))</f>
        <v>162000</v>
      </c>
      <c r="K1339" s="196">
        <v>12000.0</v>
      </c>
      <c r="L1339" s="87"/>
      <c r="M1339" s="197" t="s">
        <v>587</v>
      </c>
      <c r="N1339" s="168"/>
    </row>
    <row r="1340" ht="22.5" hidden="1" customHeight="1">
      <c r="A1340" s="137" t="s">
        <v>1022</v>
      </c>
      <c r="B1340" s="90">
        <v>46081.0</v>
      </c>
      <c r="C1340" s="55">
        <v>1.0</v>
      </c>
      <c r="D1340" s="97" t="s">
        <v>177</v>
      </c>
      <c r="E1340" s="201" t="s">
        <v>1023</v>
      </c>
      <c r="F1340" s="202"/>
      <c r="G1340" s="194" t="s">
        <v>587</v>
      </c>
      <c r="H1340" s="195" t="s">
        <v>632</v>
      </c>
      <c r="I1340" s="196">
        <v>12000.0</v>
      </c>
      <c r="J1340" s="179">
        <f>IF(A1340="RAPPI",(VLOOKUP(TRIM(D1340), CATALOGO!F:G, 2, FALSE) * C1340)+I1340,IFERROR(IF(COUNTIF('RESTAURANTESDESCUENTOS 2026'!A:A,TRIM(A1340))&gt;0,((VLOOKUP(TRIM(D1340), CATALOGO!A:B, 2, FALSE) * C1340)*(1-VALUE(SUBSTITUTE(VLOOKUP(TRIM(A1340),'RESTAURANTESDESCUENTOS 2026'!A:B,2,FALSE),"%",""))/100)+I1340),(VLOOKUP(TRIM(D1340), CATALOGO!A:B, 2, FALSE) * C1340+I1340)),""))</f>
        <v>127000</v>
      </c>
      <c r="K1340" s="196">
        <v>12000.0</v>
      </c>
      <c r="L1340" s="87"/>
      <c r="M1340" s="197" t="s">
        <v>587</v>
      </c>
      <c r="N1340" s="168"/>
    </row>
    <row r="1341" ht="22.5" hidden="1" customHeight="1">
      <c r="A1341" s="137" t="s">
        <v>597</v>
      </c>
      <c r="B1341" s="90">
        <v>46081.0</v>
      </c>
      <c r="C1341" s="55">
        <v>7.0</v>
      </c>
      <c r="D1341" s="97" t="s">
        <v>176</v>
      </c>
      <c r="E1341" s="201"/>
      <c r="F1341" s="202"/>
      <c r="G1341" s="194" t="s">
        <v>587</v>
      </c>
      <c r="H1341" s="195" t="s">
        <v>632</v>
      </c>
      <c r="I1341" s="196">
        <v>0.0</v>
      </c>
      <c r="J1341" s="199">
        <v>0.0</v>
      </c>
      <c r="K1341" s="196">
        <v>110000.0</v>
      </c>
      <c r="L1341" s="87"/>
      <c r="M1341" s="197" t="s">
        <v>587</v>
      </c>
      <c r="N1341" s="168"/>
    </row>
    <row r="1342" ht="22.5" hidden="1" customHeight="1">
      <c r="A1342" s="137" t="s">
        <v>597</v>
      </c>
      <c r="B1342" s="90">
        <v>46081.0</v>
      </c>
      <c r="C1342" s="55">
        <v>4.0</v>
      </c>
      <c r="D1342" s="97" t="s">
        <v>177</v>
      </c>
      <c r="E1342" s="201"/>
      <c r="F1342" s="202"/>
      <c r="G1342" s="194" t="s">
        <v>587</v>
      </c>
      <c r="H1342" s="195" t="s">
        <v>632</v>
      </c>
      <c r="I1342" s="196">
        <v>0.0</v>
      </c>
      <c r="J1342" s="199">
        <v>0.0</v>
      </c>
      <c r="K1342" s="196">
        <v>0.0</v>
      </c>
      <c r="L1342" s="87"/>
      <c r="M1342" s="197" t="s">
        <v>587</v>
      </c>
      <c r="N1342" s="168"/>
    </row>
    <row r="1343" ht="22.5" hidden="1" customHeight="1">
      <c r="A1343" s="137" t="s">
        <v>597</v>
      </c>
      <c r="B1343" s="90">
        <v>46081.0</v>
      </c>
      <c r="C1343" s="55">
        <v>8.0</v>
      </c>
      <c r="D1343" s="97" t="s">
        <v>178</v>
      </c>
      <c r="E1343" s="201" t="s">
        <v>552</v>
      </c>
      <c r="F1343" s="202"/>
      <c r="G1343" s="194" t="s">
        <v>587</v>
      </c>
      <c r="H1343" s="195" t="s">
        <v>632</v>
      </c>
      <c r="I1343" s="196">
        <v>0.0</v>
      </c>
      <c r="J1343" s="199">
        <v>0.0</v>
      </c>
      <c r="K1343" s="196">
        <v>0.0</v>
      </c>
      <c r="L1343" s="87"/>
      <c r="M1343" s="197" t="s">
        <v>587</v>
      </c>
      <c r="N1343" s="168"/>
    </row>
    <row r="1344" ht="22.5" hidden="1" customHeight="1">
      <c r="A1344" s="137" t="s">
        <v>1024</v>
      </c>
      <c r="B1344" s="90">
        <v>46081.0</v>
      </c>
      <c r="C1344" s="55">
        <v>1.0</v>
      </c>
      <c r="D1344" s="97" t="s">
        <v>176</v>
      </c>
      <c r="E1344" s="70" t="s">
        <v>1025</v>
      </c>
      <c r="F1344" s="212"/>
      <c r="G1344" s="194" t="s">
        <v>587</v>
      </c>
      <c r="H1344" s="195" t="s">
        <v>632</v>
      </c>
      <c r="I1344" s="196">
        <v>10000.0</v>
      </c>
      <c r="J1344" s="179">
        <f>IF(A1344="RAPPI",(VLOOKUP(TRIM(D1344), CATALOGO!F:G, 2, FALSE) * C1344)+I1344,IFERROR(IF(COUNTIF('RESTAURANTESDESCUENTOS 2026'!A:A,TRIM(A1344))&gt;0,((VLOOKUP(TRIM(D1344), CATALOGO!A:B, 2, FALSE) * C1344)*(1-VALUE(SUBSTITUTE(VLOOKUP(TRIM(A1344),'RESTAURANTESDESCUENTOS 2026'!A:B,2,FALSE),"%",""))/100)+I1344),(VLOOKUP(TRIM(D1344), CATALOGO!A:B, 2, FALSE) * C1344+I1344)),""))</f>
        <v>60000</v>
      </c>
      <c r="K1344" s="196">
        <v>10000.0</v>
      </c>
      <c r="L1344" s="87"/>
      <c r="M1344" s="197" t="s">
        <v>587</v>
      </c>
      <c r="N1344" s="168"/>
    </row>
    <row r="1345" ht="22.5" hidden="1" customHeight="1">
      <c r="A1345" s="137" t="s">
        <v>1024</v>
      </c>
      <c r="B1345" s="90">
        <v>46081.0</v>
      </c>
      <c r="C1345" s="55">
        <v>1.0</v>
      </c>
      <c r="D1345" s="97" t="s">
        <v>708</v>
      </c>
      <c r="E1345" s="201"/>
      <c r="F1345" s="202"/>
      <c r="G1345" s="194" t="s">
        <v>587</v>
      </c>
      <c r="H1345" s="195" t="s">
        <v>632</v>
      </c>
      <c r="I1345" s="196">
        <v>0.0</v>
      </c>
      <c r="J1345" s="179">
        <f>IF(A1345="RAPPI",(VLOOKUP(TRIM(D1345), CATALOGO!F:G, 2, FALSE) * C1345)+I1345,IFERROR(IF(COUNTIF('RESTAURANTESDESCUENTOS 2026'!A:A,TRIM(A1345))&gt;0,((VLOOKUP(TRIM(D1345), CATALOGO!A:B, 2, FALSE) * C1345)*(1-VALUE(SUBSTITUTE(VLOOKUP(TRIM(A1345),'RESTAURANTESDESCUENTOS 2026'!A:B,2,FALSE),"%",""))/100)+I1345),(VLOOKUP(TRIM(D1345), CATALOGO!A:B, 2, FALSE) * C1345+I1345)),""))</f>
        <v>53000</v>
      </c>
      <c r="K1345" s="196">
        <v>0.0</v>
      </c>
      <c r="L1345" s="87"/>
      <c r="M1345" s="197" t="s">
        <v>587</v>
      </c>
      <c r="N1345" s="168"/>
    </row>
    <row r="1346" ht="22.5" hidden="1" customHeight="1">
      <c r="A1346" s="137" t="s">
        <v>25</v>
      </c>
      <c r="B1346" s="90">
        <v>46081.0</v>
      </c>
      <c r="C1346" s="55">
        <v>2.0</v>
      </c>
      <c r="D1346" s="97" t="s">
        <v>178</v>
      </c>
      <c r="E1346" s="201" t="s">
        <v>552</v>
      </c>
      <c r="F1346" s="202"/>
      <c r="G1346" s="194" t="s">
        <v>587</v>
      </c>
      <c r="H1346" s="195" t="s">
        <v>632</v>
      </c>
      <c r="I1346" s="196">
        <v>0.0</v>
      </c>
      <c r="J1346" s="179">
        <f>IF(A1346="RAPPI",(VLOOKUP(TRIM(D1346), CATALOGO!F:G, 2, FALSE) * C1346)+I1346,IFERROR(IF(COUNTIF('RESTAURANTESDESCUENTOS 2026'!A:A,TRIM(A1346))&gt;0,((VLOOKUP(TRIM(D1346), CATALOGO!A:B, 2, FALSE) * C1346)*(1-VALUE(SUBSTITUTE(VLOOKUP(TRIM(A1346),'RESTAURANTESDESCUENTOS 2026'!A:B,2,FALSE),"%",""))/100)+I1346),(VLOOKUP(TRIM(D1346), CATALOGO!A:B, 2, FALSE) * C1346+I1346)),""))</f>
        <v>225000</v>
      </c>
      <c r="K1346" s="196">
        <v>0.0</v>
      </c>
      <c r="L1346" s="87" t="s">
        <v>587</v>
      </c>
      <c r="M1346" s="197" t="s">
        <v>587</v>
      </c>
      <c r="N1346" s="168"/>
    </row>
    <row r="1347" ht="22.5" hidden="1" customHeight="1">
      <c r="A1347" s="137" t="s">
        <v>1026</v>
      </c>
      <c r="B1347" s="90">
        <v>46081.0</v>
      </c>
      <c r="C1347" s="55">
        <v>1.0</v>
      </c>
      <c r="D1347" s="97" t="s">
        <v>177</v>
      </c>
      <c r="E1347" s="201"/>
      <c r="F1347" s="202"/>
      <c r="G1347" s="194" t="s">
        <v>587</v>
      </c>
      <c r="H1347" s="195" t="s">
        <v>632</v>
      </c>
      <c r="I1347" s="196">
        <v>12000.0</v>
      </c>
      <c r="J1347" s="179">
        <f>IF(A1347="RAPPI",(VLOOKUP(TRIM(D1347), CATALOGO!F:G, 2, FALSE) * C1347)+I1347,IFERROR(IF(COUNTIF('RESTAURANTESDESCUENTOS 2026'!A:A,TRIM(A1347))&gt;0,((VLOOKUP(TRIM(D1347), CATALOGO!A:B, 2, FALSE) * C1347)*(1-VALUE(SUBSTITUTE(VLOOKUP(TRIM(A1347),'RESTAURANTESDESCUENTOS 2026'!A:B,2,FALSE),"%",""))/100)+I1347),(VLOOKUP(TRIM(D1347), CATALOGO!A:B, 2, FALSE) * C1347+I1347)),""))</f>
        <v>127000</v>
      </c>
      <c r="K1347" s="196">
        <v>12000.0</v>
      </c>
      <c r="L1347" s="87"/>
      <c r="M1347" s="197" t="s">
        <v>587</v>
      </c>
      <c r="N1347" s="168"/>
    </row>
    <row r="1348" ht="22.5" hidden="1" customHeight="1">
      <c r="A1348" s="137" t="s">
        <v>1027</v>
      </c>
      <c r="B1348" s="90">
        <v>46081.0</v>
      </c>
      <c r="C1348" s="55">
        <v>1.0</v>
      </c>
      <c r="D1348" s="97" t="s">
        <v>176</v>
      </c>
      <c r="E1348" s="201"/>
      <c r="F1348" s="202"/>
      <c r="G1348" s="194" t="s">
        <v>587</v>
      </c>
      <c r="H1348" s="195" t="s">
        <v>588</v>
      </c>
      <c r="I1348" s="196">
        <v>13000.0</v>
      </c>
      <c r="J1348" s="179">
        <f>IF(A1348="RAPPI",(VLOOKUP(TRIM(D1348), CATALOGO!F:G, 2, FALSE) * C1348)+I1348,IFERROR(IF(COUNTIF('RESTAURANTESDESCUENTOS 2026'!A:A,TRIM(A1348))&gt;0,((VLOOKUP(TRIM(D1348), CATALOGO!A:B, 2, FALSE) * C1348)*(1-VALUE(SUBSTITUTE(VLOOKUP(TRIM(A1348),'RESTAURANTESDESCUENTOS 2026'!A:B,2,FALSE),"%",""))/100)+I1348),(VLOOKUP(TRIM(D1348), CATALOGO!A:B, 2, FALSE) * C1348+I1348)),""))</f>
        <v>63000</v>
      </c>
      <c r="K1348" s="196">
        <v>14000.0</v>
      </c>
      <c r="L1348" s="87"/>
      <c r="M1348" s="197" t="s">
        <v>587</v>
      </c>
      <c r="N1348" s="168"/>
    </row>
    <row r="1349" ht="22.5" hidden="1" customHeight="1">
      <c r="A1349" s="137" t="s">
        <v>1028</v>
      </c>
      <c r="B1349" s="90">
        <v>46081.0</v>
      </c>
      <c r="C1349" s="55">
        <v>1.0</v>
      </c>
      <c r="D1349" s="97" t="s">
        <v>176</v>
      </c>
      <c r="E1349" s="201"/>
      <c r="F1349" s="202"/>
      <c r="G1349" s="194" t="s">
        <v>587</v>
      </c>
      <c r="H1349" s="195" t="s">
        <v>588</v>
      </c>
      <c r="I1349" s="196">
        <v>12000.0</v>
      </c>
      <c r="J1349" s="179">
        <f>IF(A1349="RAPPI",(VLOOKUP(TRIM(D1349), CATALOGO!F:G, 2, FALSE) * C1349)+I1349,IFERROR(IF(COUNTIF('RESTAURANTESDESCUENTOS 2026'!A:A,TRIM(A1349))&gt;0,((VLOOKUP(TRIM(D1349), CATALOGO!A:B, 2, FALSE) * C1349)*(1-VALUE(SUBSTITUTE(VLOOKUP(TRIM(A1349),'RESTAURANTESDESCUENTOS 2026'!A:B,2,FALSE),"%",""))/100)+I1349),(VLOOKUP(TRIM(D1349), CATALOGO!A:B, 2, FALSE) * C1349+I1349)),""))</f>
        <v>62000</v>
      </c>
      <c r="K1349" s="196">
        <v>12000.0</v>
      </c>
      <c r="L1349" s="87"/>
      <c r="M1349" s="197" t="s">
        <v>587</v>
      </c>
      <c r="N1349" s="168"/>
    </row>
    <row r="1350" ht="22.5" hidden="1" customHeight="1">
      <c r="A1350" s="137" t="s">
        <v>1029</v>
      </c>
      <c r="B1350" s="90">
        <v>46081.0</v>
      </c>
      <c r="C1350" s="55">
        <v>1.0</v>
      </c>
      <c r="D1350" s="97" t="s">
        <v>192</v>
      </c>
      <c r="E1350" s="201" t="s">
        <v>645</v>
      </c>
      <c r="F1350" s="202"/>
      <c r="G1350" s="194" t="s">
        <v>587</v>
      </c>
      <c r="H1350" s="195" t="s">
        <v>588</v>
      </c>
      <c r="I1350" s="196">
        <v>14000.0</v>
      </c>
      <c r="J1350" s="179">
        <f>IF(A1350="RAPPI",(VLOOKUP(TRIM(D1350), CATALOGO!F:G, 2, FALSE) * C1350)+I1350,IFERROR(IF(COUNTIF('RESTAURANTESDESCUENTOS 2026'!A:A,TRIM(A1350))&gt;0,((VLOOKUP(TRIM(D1350), CATALOGO!A:B, 2, FALSE) * C1350)*(1-VALUE(SUBSTITUTE(VLOOKUP(TRIM(A1350),'RESTAURANTESDESCUENTOS 2026'!A:B,2,FALSE),"%",""))/100)+I1350),(VLOOKUP(TRIM(D1350), CATALOGO!A:B, 2, FALSE) * C1350+I1350)),""))</f>
        <v>69000</v>
      </c>
      <c r="K1350" s="196">
        <v>14000.0</v>
      </c>
      <c r="L1350" s="87"/>
      <c r="M1350" s="197" t="s">
        <v>587</v>
      </c>
      <c r="N1350" s="168"/>
    </row>
    <row r="1351" ht="22.5" hidden="1" customHeight="1">
      <c r="A1351" s="137" t="s">
        <v>733</v>
      </c>
      <c r="B1351" s="90">
        <v>46081.0</v>
      </c>
      <c r="C1351" s="55">
        <v>1.0</v>
      </c>
      <c r="D1351" s="97" t="s">
        <v>678</v>
      </c>
      <c r="E1351" s="201"/>
      <c r="F1351" s="202"/>
      <c r="G1351" s="194" t="s">
        <v>587</v>
      </c>
      <c r="H1351" s="195" t="s">
        <v>588</v>
      </c>
      <c r="I1351" s="196">
        <v>10000.0</v>
      </c>
      <c r="J1351" s="179">
        <f>IF(A1351="RAPPI",(VLOOKUP(TRIM(D1351), CATALOGO!F:G, 2, FALSE) * C1351)+I1351,IFERROR(IF(COUNTIF('RESTAURANTESDESCUENTOS 2026'!A:A,TRIM(A1351))&gt;0,((VLOOKUP(TRIM(D1351), CATALOGO!A:B, 2, FALSE) * C1351)*(1-VALUE(SUBSTITUTE(VLOOKUP(TRIM(A1351),'RESTAURANTESDESCUENTOS 2026'!A:B,2,FALSE),"%",""))/100)+I1351),(VLOOKUP(TRIM(D1351), CATALOGO!A:B, 2, FALSE) * C1351+I1351)),""))</f>
        <v>133000</v>
      </c>
      <c r="K1351" s="196">
        <v>12000.0</v>
      </c>
      <c r="L1351" s="87"/>
      <c r="M1351" s="197" t="s">
        <v>587</v>
      </c>
      <c r="N1351" s="168"/>
    </row>
    <row r="1352" ht="22.5" hidden="1" customHeight="1">
      <c r="A1352" s="137" t="s">
        <v>1030</v>
      </c>
      <c r="B1352" s="90">
        <v>46081.0</v>
      </c>
      <c r="C1352" s="55">
        <v>2.0</v>
      </c>
      <c r="D1352" s="97" t="s">
        <v>177</v>
      </c>
      <c r="E1352" s="201"/>
      <c r="F1352" s="202"/>
      <c r="G1352" s="194" t="s">
        <v>35</v>
      </c>
      <c r="H1352" s="198"/>
      <c r="I1352" s="196"/>
      <c r="J1352" s="179">
        <f>IF(A1352="RAPPI",(VLOOKUP(TRIM(D1352), CATALOGO!F:G, 2, FALSE) * C1352)+I1352,IFERROR(IF(COUNTIF('RESTAURANTESDESCUENTOS 2026'!A:A,TRIM(A1352))&gt;0,((VLOOKUP(TRIM(D1352), CATALOGO!A:B, 2, FALSE) * C1352)*(1-VALUE(SUBSTITUTE(VLOOKUP(TRIM(A1352),'RESTAURANTESDESCUENTOS 2026'!A:B,2,FALSE),"%",""))/100)+I1352),(VLOOKUP(TRIM(D1352), CATALOGO!A:B, 2, FALSE) * C1352+I1352)),""))</f>
        <v>230000</v>
      </c>
      <c r="K1352" s="196"/>
      <c r="L1352" s="87"/>
      <c r="M1352" s="197" t="s">
        <v>587</v>
      </c>
      <c r="N1352" s="168"/>
    </row>
    <row r="1353" ht="22.5" hidden="1" customHeight="1">
      <c r="A1353" s="137" t="s">
        <v>605</v>
      </c>
      <c r="B1353" s="90">
        <v>46081.0</v>
      </c>
      <c r="C1353" s="55">
        <v>1.0</v>
      </c>
      <c r="D1353" s="97" t="s">
        <v>176</v>
      </c>
      <c r="E1353" s="201" t="s">
        <v>606</v>
      </c>
      <c r="F1353" s="202"/>
      <c r="G1353" s="194" t="s">
        <v>35</v>
      </c>
      <c r="H1353" s="198"/>
      <c r="I1353" s="196"/>
      <c r="J1353" s="179">
        <f>IF(A1353="RAPPI",(VLOOKUP(TRIM(D1353), CATALOGO!F:G, 2, FALSE) * C1353)+I1353,IFERROR(IF(COUNTIF('RESTAURANTESDESCUENTOS 2026'!A:A,TRIM(A1353))&gt;0,((VLOOKUP(TRIM(D1353), CATALOGO!A:B, 2, FALSE) * C1353)*(1-VALUE(SUBSTITUTE(VLOOKUP(TRIM(A1353),'RESTAURANTESDESCUENTOS 2026'!A:B,2,FALSE),"%",""))/100)+I1353),(VLOOKUP(TRIM(D1353), CATALOGO!A:B, 2, FALSE) * C1353+I1353)),""))</f>
        <v>50000</v>
      </c>
      <c r="K1353" s="196"/>
      <c r="L1353" s="87"/>
      <c r="M1353" s="197" t="s">
        <v>587</v>
      </c>
      <c r="N1353" s="168"/>
    </row>
    <row r="1354" ht="22.5" hidden="1" customHeight="1">
      <c r="A1354" s="137" t="s">
        <v>605</v>
      </c>
      <c r="B1354" s="90">
        <v>46081.0</v>
      </c>
      <c r="C1354" s="55">
        <v>1.0</v>
      </c>
      <c r="D1354" s="97" t="s">
        <v>653</v>
      </c>
      <c r="E1354" s="201" t="s">
        <v>607</v>
      </c>
      <c r="F1354" s="202"/>
      <c r="G1354" s="194" t="s">
        <v>35</v>
      </c>
      <c r="H1354" s="198"/>
      <c r="I1354" s="196"/>
      <c r="J1354" s="179">
        <f>IF(A1354="RAPPI",(VLOOKUP(TRIM(D1354), CATALOGO!F:G, 2, FALSE) * C1354)+I1354,IFERROR(IF(COUNTIF('RESTAURANTESDESCUENTOS 2026'!A:A,TRIM(A1354))&gt;0,((VLOOKUP(TRIM(D1354), CATALOGO!A:B, 2, FALSE) * C1354)*(1-VALUE(SUBSTITUTE(VLOOKUP(TRIM(A1354),'RESTAURANTESDESCUENTOS 2026'!A:B,2,FALSE),"%",""))/100)+I1354),(VLOOKUP(TRIM(D1354), CATALOGO!A:B, 2, FALSE) * C1354+I1354)),""))</f>
        <v>123000</v>
      </c>
      <c r="K1354" s="196"/>
      <c r="L1354" s="87"/>
      <c r="M1354" s="197" t="s">
        <v>587</v>
      </c>
      <c r="N1354" s="168"/>
    </row>
    <row r="1355" ht="22.5" hidden="1" customHeight="1">
      <c r="A1355" s="137" t="s">
        <v>605</v>
      </c>
      <c r="B1355" s="90">
        <v>46081.0</v>
      </c>
      <c r="C1355" s="55">
        <v>1.0</v>
      </c>
      <c r="D1355" s="97" t="s">
        <v>697</v>
      </c>
      <c r="E1355" s="201" t="s">
        <v>607</v>
      </c>
      <c r="F1355" s="202"/>
      <c r="G1355" s="194" t="s">
        <v>35</v>
      </c>
      <c r="H1355" s="198"/>
      <c r="I1355" s="196"/>
      <c r="J1355" s="179">
        <f>IF(A1355="RAPPI",(VLOOKUP(TRIM(D1355), CATALOGO!F:G, 2, FALSE) * C1355)+I1355,IFERROR(IF(COUNTIF('RESTAURANTESDESCUENTOS 2026'!A:A,TRIM(A1355))&gt;0,((VLOOKUP(TRIM(D1355), CATALOGO!A:B, 2, FALSE) * C1355)*(1-VALUE(SUBSTITUTE(VLOOKUP(TRIM(A1355),'RESTAURANTESDESCUENTOS 2026'!A:B,2,FALSE),"%",""))/100)+I1355),(VLOOKUP(TRIM(D1355), CATALOGO!A:B, 2, FALSE) * C1355+I1355)),""))</f>
        <v>163000</v>
      </c>
      <c r="K1355" s="196"/>
      <c r="L1355" s="87"/>
      <c r="M1355" s="197" t="s">
        <v>587</v>
      </c>
      <c r="N1355" s="168"/>
    </row>
    <row r="1356" ht="22.5" hidden="1" customHeight="1">
      <c r="A1356" s="137" t="s">
        <v>605</v>
      </c>
      <c r="B1356" s="90">
        <v>46081.0</v>
      </c>
      <c r="C1356" s="55">
        <v>2.0</v>
      </c>
      <c r="D1356" s="97" t="s">
        <v>192</v>
      </c>
      <c r="E1356" s="201" t="s">
        <v>607</v>
      </c>
      <c r="F1356" s="202"/>
      <c r="G1356" s="194" t="s">
        <v>35</v>
      </c>
      <c r="H1356" s="198"/>
      <c r="I1356" s="196"/>
      <c r="J1356" s="179">
        <f>IF(A1356="RAPPI",(VLOOKUP(TRIM(D1356), CATALOGO!F:G, 2, FALSE) * C1356)+I1356,IFERROR(IF(COUNTIF('RESTAURANTESDESCUENTOS 2026'!A:A,TRIM(A1356))&gt;0,((VLOOKUP(TRIM(D1356), CATALOGO!A:B, 2, FALSE) * C1356)*(1-VALUE(SUBSTITUTE(VLOOKUP(TRIM(A1356),'RESTAURANTESDESCUENTOS 2026'!A:B,2,FALSE),"%",""))/100)+I1356),(VLOOKUP(TRIM(D1356), CATALOGO!A:B, 2, FALSE) * C1356+I1356)),""))</f>
        <v>110000</v>
      </c>
      <c r="K1356" s="196"/>
      <c r="L1356" s="87"/>
      <c r="M1356" s="197" t="s">
        <v>587</v>
      </c>
      <c r="N1356" s="168"/>
    </row>
    <row r="1357" ht="22.5" hidden="1" customHeight="1">
      <c r="A1357" s="137" t="s">
        <v>605</v>
      </c>
      <c r="B1357" s="90">
        <v>46081.0</v>
      </c>
      <c r="C1357" s="55">
        <v>1.0</v>
      </c>
      <c r="D1357" s="97" t="s">
        <v>176</v>
      </c>
      <c r="E1357" s="201" t="s">
        <v>606</v>
      </c>
      <c r="F1357" s="202"/>
      <c r="G1357" s="194" t="s">
        <v>35</v>
      </c>
      <c r="H1357" s="198"/>
      <c r="I1357" s="196"/>
      <c r="J1357" s="179">
        <f>IF(A1357="RAPPI",(VLOOKUP(TRIM(D1357), CATALOGO!F:G, 2, FALSE) * C1357)+I1357,IFERROR(IF(COUNTIF('RESTAURANTESDESCUENTOS 2026'!A:A,TRIM(A1357))&gt;0,((VLOOKUP(TRIM(D1357), CATALOGO!A:B, 2, FALSE) * C1357)*(1-VALUE(SUBSTITUTE(VLOOKUP(TRIM(A1357),'RESTAURANTESDESCUENTOS 2026'!A:B,2,FALSE),"%",""))/100)+I1357),(VLOOKUP(TRIM(D1357), CATALOGO!A:B, 2, FALSE) * C1357+I1357)),""))</f>
        <v>50000</v>
      </c>
      <c r="K1357" s="196"/>
      <c r="L1357" s="87"/>
      <c r="M1357" s="197" t="s">
        <v>587</v>
      </c>
      <c r="N1357" s="168"/>
    </row>
    <row r="1358" ht="22.5" hidden="1" customHeight="1">
      <c r="A1358" s="137" t="s">
        <v>968</v>
      </c>
      <c r="B1358" s="90">
        <v>46081.0</v>
      </c>
      <c r="C1358" s="55">
        <v>1.0</v>
      </c>
      <c r="D1358" s="97" t="s">
        <v>178</v>
      </c>
      <c r="E1358" s="201" t="s">
        <v>552</v>
      </c>
      <c r="F1358" s="202"/>
      <c r="G1358" s="194" t="s">
        <v>587</v>
      </c>
      <c r="H1358" s="195" t="s">
        <v>632</v>
      </c>
      <c r="I1358" s="196">
        <v>10000.0</v>
      </c>
      <c r="J1358" s="179">
        <f>IF(A1358="RAPPI",(VLOOKUP(TRIM(D1358), CATALOGO!F:G, 2, FALSE) * C1358)+I1358,IFERROR(IF(COUNTIF('RESTAURANTESDESCUENTOS 2026'!A:A,TRIM(A1358))&gt;0,((VLOOKUP(TRIM(D1358), CATALOGO!A:B, 2, FALSE) * C1358)*(1-VALUE(SUBSTITUTE(VLOOKUP(TRIM(A1358),'RESTAURANTESDESCUENTOS 2026'!A:B,2,FALSE),"%",""))/100)+I1358),(VLOOKUP(TRIM(D1358), CATALOGO!A:B, 2, FALSE) * C1358+I1358)),""))</f>
        <v>122500</v>
      </c>
      <c r="K1358" s="196">
        <v>10000.0</v>
      </c>
      <c r="L1358" s="87" t="s">
        <v>587</v>
      </c>
      <c r="M1358" s="197" t="s">
        <v>587</v>
      </c>
      <c r="N1358" s="168"/>
    </row>
    <row r="1359" ht="22.5" hidden="1" customHeight="1">
      <c r="A1359" s="137" t="s">
        <v>1031</v>
      </c>
      <c r="B1359" s="90">
        <v>46081.0</v>
      </c>
      <c r="C1359" s="55">
        <v>1.0</v>
      </c>
      <c r="D1359" s="97" t="s">
        <v>177</v>
      </c>
      <c r="E1359" s="201"/>
      <c r="F1359" s="202"/>
      <c r="G1359" s="194" t="s">
        <v>587</v>
      </c>
      <c r="H1359" s="195" t="s">
        <v>588</v>
      </c>
      <c r="I1359" s="196">
        <v>12000.0</v>
      </c>
      <c r="J1359" s="179">
        <f>IF(A1359="RAPPI",(VLOOKUP(TRIM(D1359), CATALOGO!F:G, 2, FALSE) * C1359)+I1359,IFERROR(IF(COUNTIF('RESTAURANTESDESCUENTOS 2026'!A:A,TRIM(A1359))&gt;0,((VLOOKUP(TRIM(D1359), CATALOGO!A:B, 2, FALSE) * C1359)*(1-VALUE(SUBSTITUTE(VLOOKUP(TRIM(A1359),'RESTAURANTESDESCUENTOS 2026'!A:B,2,FALSE),"%",""))/100)+I1359),(VLOOKUP(TRIM(D1359), CATALOGO!A:B, 2, FALSE) * C1359+I1359)),""))</f>
        <v>127000</v>
      </c>
      <c r="K1359" s="196">
        <v>13000.0</v>
      </c>
      <c r="L1359" s="87"/>
      <c r="M1359" s="197" t="s">
        <v>587</v>
      </c>
      <c r="N1359" s="168"/>
    </row>
    <row r="1360" ht="22.5" hidden="1" customHeight="1">
      <c r="A1360" s="137" t="s">
        <v>1031</v>
      </c>
      <c r="B1360" s="90">
        <v>46081.0</v>
      </c>
      <c r="C1360" s="55">
        <v>1.0</v>
      </c>
      <c r="D1360" s="97" t="s">
        <v>708</v>
      </c>
      <c r="E1360" s="201"/>
      <c r="F1360" s="202"/>
      <c r="G1360" s="194" t="s">
        <v>587</v>
      </c>
      <c r="H1360" s="195" t="s">
        <v>588</v>
      </c>
      <c r="I1360" s="196">
        <v>0.0</v>
      </c>
      <c r="J1360" s="179">
        <f>IF(A1360="RAPPI",(VLOOKUP(TRIM(D1360), CATALOGO!F:G, 2, FALSE) * C1360)+I1360,IFERROR(IF(COUNTIF('RESTAURANTESDESCUENTOS 2026'!A:A,TRIM(A1360))&gt;0,((VLOOKUP(TRIM(D1360), CATALOGO!A:B, 2, FALSE) * C1360)*(1-VALUE(SUBSTITUTE(VLOOKUP(TRIM(A1360),'RESTAURANTESDESCUENTOS 2026'!A:B,2,FALSE),"%",""))/100)+I1360),(VLOOKUP(TRIM(D1360), CATALOGO!A:B, 2, FALSE) * C1360+I1360)),""))</f>
        <v>53000</v>
      </c>
      <c r="K1360" s="196">
        <v>0.0</v>
      </c>
      <c r="L1360" s="87"/>
      <c r="M1360" s="197" t="s">
        <v>587</v>
      </c>
      <c r="N1360" s="168"/>
    </row>
    <row r="1361" ht="22.5" hidden="1" customHeight="1">
      <c r="A1361" s="137" t="s">
        <v>603</v>
      </c>
      <c r="B1361" s="90">
        <v>46081.0</v>
      </c>
      <c r="C1361" s="55">
        <v>2.0</v>
      </c>
      <c r="D1361" s="97" t="s">
        <v>602</v>
      </c>
      <c r="E1361" s="201">
        <v>5886.0</v>
      </c>
      <c r="F1361" s="202"/>
      <c r="G1361" s="194" t="s">
        <v>587</v>
      </c>
      <c r="H1361" s="195" t="s">
        <v>603</v>
      </c>
      <c r="I1361" s="196"/>
      <c r="J1361" s="179">
        <f>IF(A1361="RAPPI",(VLOOKUP(TRIM(D1361), CATALOGO!F:G, 2, FALSE) * C1361)+I1361,IFERROR(IF(COUNTIF('RESTAURANTESDESCUENTOS 2026'!A:A,TRIM(A1361))&gt;0,((VLOOKUP(TRIM(D1361), CATALOGO!A:B, 2, FALSE) * C1361)*(1-VALUE(SUBSTITUTE(VLOOKUP(TRIM(A1361),'RESTAURANTESDESCUENTOS 2026'!A:B,2,FALSE),"%",""))/100)+I1361),(VLOOKUP(TRIM(D1361), CATALOGO!A:B, 2, FALSE) * C1361+I1361)),""))</f>
        <v>44000</v>
      </c>
      <c r="K1361" s="196"/>
      <c r="L1361" s="87"/>
      <c r="M1361" s="197" t="s">
        <v>587</v>
      </c>
      <c r="N1361" s="168"/>
    </row>
    <row r="1362" ht="22.5" hidden="1" customHeight="1">
      <c r="A1362" s="137" t="s">
        <v>603</v>
      </c>
      <c r="B1362" s="90">
        <v>46081.0</v>
      </c>
      <c r="C1362" s="55">
        <v>1.0</v>
      </c>
      <c r="D1362" s="97" t="s">
        <v>640</v>
      </c>
      <c r="E1362" s="201">
        <v>9141.0</v>
      </c>
      <c r="F1362" s="202"/>
      <c r="G1362" s="194" t="s">
        <v>587</v>
      </c>
      <c r="H1362" s="195" t="s">
        <v>603</v>
      </c>
      <c r="I1362" s="196"/>
      <c r="J1362" s="179">
        <f>IF(A1362="RAPPI",(VLOOKUP(TRIM(D1362), CATALOGO!F:G, 2, FALSE) * C1362)+I1362,IFERROR(IF(COUNTIF('RESTAURANTESDESCUENTOS 2026'!A:A,TRIM(A1362))&gt;0,((VLOOKUP(TRIM(D1362), CATALOGO!A:B, 2, FALSE) * C1362)*(1-VALUE(SUBSTITUTE(VLOOKUP(TRIM(A1362),'RESTAURANTESDESCUENTOS 2026'!A:B,2,FALSE),"%",""))/100)+I1362),(VLOOKUP(TRIM(D1362), CATALOGO!A:B, 2, FALSE) * C1362+I1362)),""))</f>
        <v>53000</v>
      </c>
      <c r="K1362" s="196"/>
      <c r="L1362" s="87"/>
      <c r="M1362" s="197" t="s">
        <v>587</v>
      </c>
      <c r="N1362" s="168"/>
    </row>
    <row r="1363" ht="22.5" hidden="1" customHeight="1">
      <c r="A1363" s="137" t="s">
        <v>603</v>
      </c>
      <c r="B1363" s="90">
        <v>46081.0</v>
      </c>
      <c r="C1363" s="55">
        <v>1.0</v>
      </c>
      <c r="D1363" s="97" t="s">
        <v>604</v>
      </c>
      <c r="E1363" s="201">
        <v>9141.0</v>
      </c>
      <c r="F1363" s="202"/>
      <c r="G1363" s="194" t="s">
        <v>587</v>
      </c>
      <c r="H1363" s="195" t="s">
        <v>603</v>
      </c>
      <c r="I1363" s="196"/>
      <c r="J1363" s="179">
        <f>IF(A1363="RAPPI",(VLOOKUP(TRIM(D1363), CATALOGO!F:G, 2, FALSE) * C1363)+I1363,IFERROR(IF(COUNTIF('RESTAURANTESDESCUENTOS 2026'!A:A,TRIM(A1363))&gt;0,((VLOOKUP(TRIM(D1363), CATALOGO!A:B, 2, FALSE) * C1363)*(1-VALUE(SUBSTITUTE(VLOOKUP(TRIM(A1363),'RESTAURANTESDESCUENTOS 2026'!A:B,2,FALSE),"%",""))/100)+I1363),(VLOOKUP(TRIM(D1363), CATALOGO!A:B, 2, FALSE) * C1363+I1363)),""))</f>
        <v>22000</v>
      </c>
      <c r="K1363" s="196"/>
      <c r="L1363" s="87"/>
      <c r="M1363" s="197" t="s">
        <v>587</v>
      </c>
      <c r="N1363" s="168"/>
    </row>
    <row r="1364" ht="22.5" hidden="1" customHeight="1">
      <c r="A1364" s="137" t="s">
        <v>603</v>
      </c>
      <c r="B1364" s="90">
        <v>46081.0</v>
      </c>
      <c r="C1364" s="55">
        <v>1.0</v>
      </c>
      <c r="D1364" s="97" t="s">
        <v>176</v>
      </c>
      <c r="E1364" s="201">
        <v>3728.0</v>
      </c>
      <c r="F1364" s="202"/>
      <c r="G1364" s="194" t="s">
        <v>587</v>
      </c>
      <c r="H1364" s="195" t="s">
        <v>603</v>
      </c>
      <c r="I1364" s="196"/>
      <c r="J1364" s="179">
        <f>IF(A1364="RAPPI",(VLOOKUP(TRIM(D1364), CATALOGO!F:G, 2, FALSE) * C1364)+I1364,IFERROR(IF(COUNTIF('RESTAURANTESDESCUENTOS 2026'!A:A,TRIM(A1364))&gt;0,((VLOOKUP(TRIM(D1364), CATALOGO!A:B, 2, FALSE) * C1364)*(1-VALUE(SUBSTITUTE(VLOOKUP(TRIM(A1364),'RESTAURANTESDESCUENTOS 2026'!A:B,2,FALSE),"%",""))/100)+I1364),(VLOOKUP(TRIM(D1364), CATALOGO!A:B, 2, FALSE) * C1364+I1364)),""))</f>
        <v>50000</v>
      </c>
      <c r="K1364" s="196"/>
      <c r="L1364" s="87"/>
      <c r="M1364" s="197" t="s">
        <v>587</v>
      </c>
      <c r="N1364" s="168"/>
    </row>
    <row r="1365" ht="22.5" hidden="1" customHeight="1">
      <c r="A1365" s="137" t="s">
        <v>603</v>
      </c>
      <c r="B1365" s="90">
        <v>46081.0</v>
      </c>
      <c r="C1365" s="55">
        <v>1.0</v>
      </c>
      <c r="D1365" s="97" t="s">
        <v>176</v>
      </c>
      <c r="E1365" s="201">
        <v>577.0</v>
      </c>
      <c r="F1365" s="202"/>
      <c r="G1365" s="194" t="s">
        <v>587</v>
      </c>
      <c r="H1365" s="195" t="s">
        <v>603</v>
      </c>
      <c r="I1365" s="196"/>
      <c r="J1365" s="179">
        <f>IF(A1365="RAPPI",(VLOOKUP(TRIM(D1365), CATALOGO!F:G, 2, FALSE) * C1365)+I1365,IFERROR(IF(COUNTIF('RESTAURANTESDESCUENTOS 2026'!A:A,TRIM(A1365))&gt;0,((VLOOKUP(TRIM(D1365), CATALOGO!A:B, 2, FALSE) * C1365)*(1-VALUE(SUBSTITUTE(VLOOKUP(TRIM(A1365),'RESTAURANTESDESCUENTOS 2026'!A:B,2,FALSE),"%",""))/100)+I1365),(VLOOKUP(TRIM(D1365), CATALOGO!A:B, 2, FALSE) * C1365+I1365)),""))</f>
        <v>50000</v>
      </c>
      <c r="K1365" s="196"/>
      <c r="L1365" s="87"/>
      <c r="M1365" s="197" t="s">
        <v>587</v>
      </c>
      <c r="N1365" s="168"/>
    </row>
    <row r="1366" ht="22.5" hidden="1" customHeight="1">
      <c r="A1366" s="137" t="s">
        <v>603</v>
      </c>
      <c r="B1366" s="90">
        <v>46081.0</v>
      </c>
      <c r="C1366" s="55">
        <v>1.0</v>
      </c>
      <c r="D1366" s="97" t="s">
        <v>176</v>
      </c>
      <c r="E1366" s="201">
        <v>32.0</v>
      </c>
      <c r="F1366" s="202"/>
      <c r="G1366" s="194" t="s">
        <v>587</v>
      </c>
      <c r="H1366" s="195" t="s">
        <v>603</v>
      </c>
      <c r="I1366" s="196"/>
      <c r="J1366" s="179">
        <f>IF(A1366="RAPPI",(VLOOKUP(TRIM(D1366), CATALOGO!F:G, 2, FALSE) * C1366)+I1366,IFERROR(IF(COUNTIF('RESTAURANTESDESCUENTOS 2026'!A:A,TRIM(A1366))&gt;0,((VLOOKUP(TRIM(D1366), CATALOGO!A:B, 2, FALSE) * C1366)*(1-VALUE(SUBSTITUTE(VLOOKUP(TRIM(A1366),'RESTAURANTESDESCUENTOS 2026'!A:B,2,FALSE),"%",""))/100)+I1366),(VLOOKUP(TRIM(D1366), CATALOGO!A:B, 2, FALSE) * C1366+I1366)),""))</f>
        <v>50000</v>
      </c>
      <c r="K1366" s="196"/>
      <c r="L1366" s="87"/>
      <c r="M1366" s="197" t="s">
        <v>587</v>
      </c>
      <c r="N1366" s="168"/>
    </row>
    <row r="1367" ht="22.5" hidden="1" customHeight="1">
      <c r="A1367" s="137" t="s">
        <v>603</v>
      </c>
      <c r="B1367" s="90">
        <v>46081.0</v>
      </c>
      <c r="C1367" s="55">
        <v>1.0</v>
      </c>
      <c r="D1367" s="97" t="s">
        <v>174</v>
      </c>
      <c r="E1367" s="201">
        <v>8257.0</v>
      </c>
      <c r="F1367" s="202"/>
      <c r="G1367" s="194" t="s">
        <v>587</v>
      </c>
      <c r="H1367" s="195" t="s">
        <v>603</v>
      </c>
      <c r="I1367" s="196"/>
      <c r="J1367" s="179">
        <f>IF(A1367="RAPPI",(VLOOKUP(TRIM(D1367), CATALOGO!F:G, 2, FALSE) * C1367)+I1367,IFERROR(IF(COUNTIF('RESTAURANTESDESCUENTOS 2026'!A:A,TRIM(A1367))&gt;0,((VLOOKUP(TRIM(D1367), CATALOGO!A:B, 2, FALSE) * C1367)*(1-VALUE(SUBSTITUTE(VLOOKUP(TRIM(A1367),'RESTAURANTESDESCUENTOS 2026'!A:B,2,FALSE),"%",""))/100)+I1367),(VLOOKUP(TRIM(D1367), CATALOGO!A:B, 2, FALSE) * C1367+I1367)),""))</f>
        <v>18000</v>
      </c>
      <c r="K1367" s="196"/>
      <c r="L1367" s="87"/>
      <c r="M1367" s="197" t="s">
        <v>587</v>
      </c>
      <c r="N1367" s="168"/>
    </row>
    <row r="1368" ht="22.5" hidden="1" customHeight="1">
      <c r="A1368" s="137" t="s">
        <v>603</v>
      </c>
      <c r="B1368" s="90">
        <v>46081.0</v>
      </c>
      <c r="C1368" s="55">
        <v>1.0</v>
      </c>
      <c r="D1368" s="97" t="s">
        <v>174</v>
      </c>
      <c r="E1368" s="201">
        <v>300.0</v>
      </c>
      <c r="F1368" s="202"/>
      <c r="G1368" s="194" t="s">
        <v>587</v>
      </c>
      <c r="H1368" s="195" t="s">
        <v>603</v>
      </c>
      <c r="I1368" s="196"/>
      <c r="J1368" s="179">
        <f>IF(A1368="RAPPI",(VLOOKUP(TRIM(D1368), CATALOGO!F:G, 2, FALSE) * C1368)+I1368,IFERROR(IF(COUNTIF('RESTAURANTESDESCUENTOS 2026'!A:A,TRIM(A1368))&gt;0,((VLOOKUP(TRIM(D1368), CATALOGO!A:B, 2, FALSE) * C1368)*(1-VALUE(SUBSTITUTE(VLOOKUP(TRIM(A1368),'RESTAURANTESDESCUENTOS 2026'!A:B,2,FALSE),"%",""))/100)+I1368),(VLOOKUP(TRIM(D1368), CATALOGO!A:B, 2, FALSE) * C1368+I1368)),""))</f>
        <v>18000</v>
      </c>
      <c r="K1368" s="196"/>
      <c r="L1368" s="87"/>
      <c r="M1368" s="197" t="s">
        <v>587</v>
      </c>
      <c r="N1368" s="168"/>
    </row>
    <row r="1369" ht="22.5" hidden="1" customHeight="1">
      <c r="A1369" s="137" t="s">
        <v>603</v>
      </c>
      <c r="B1369" s="90">
        <v>46081.0</v>
      </c>
      <c r="C1369" s="55">
        <v>1.0</v>
      </c>
      <c r="D1369" s="97" t="s">
        <v>177</v>
      </c>
      <c r="E1369" s="201">
        <v>6663.0</v>
      </c>
      <c r="F1369" s="202"/>
      <c r="G1369" s="194" t="s">
        <v>587</v>
      </c>
      <c r="H1369" s="195" t="s">
        <v>603</v>
      </c>
      <c r="I1369" s="196"/>
      <c r="J1369" s="179">
        <f>IF(A1369="RAPPI",(VLOOKUP(TRIM(D1369), CATALOGO!F:G, 2, FALSE) * C1369)+I1369,IFERROR(IF(COUNTIF('RESTAURANTESDESCUENTOS 2026'!A:A,TRIM(A1369))&gt;0,((VLOOKUP(TRIM(D1369), CATALOGO!A:B, 2, FALSE) * C1369)*(1-VALUE(SUBSTITUTE(VLOOKUP(TRIM(A1369),'RESTAURANTESDESCUENTOS 2026'!A:B,2,FALSE),"%",""))/100)+I1369),(VLOOKUP(TRIM(D1369), CATALOGO!A:B, 2, FALSE) * C1369+I1369)),""))</f>
        <v>115000</v>
      </c>
      <c r="K1369" s="196"/>
      <c r="L1369" s="87"/>
      <c r="M1369" s="197" t="s">
        <v>587</v>
      </c>
      <c r="N1369" s="168"/>
    </row>
    <row r="1370" ht="22.5" hidden="1" customHeight="1">
      <c r="A1370" s="137" t="s">
        <v>623</v>
      </c>
      <c r="B1370" s="90">
        <v>46083.0</v>
      </c>
      <c r="C1370" s="55">
        <v>1.0</v>
      </c>
      <c r="D1370" s="97" t="s">
        <v>189</v>
      </c>
      <c r="E1370" s="201"/>
      <c r="F1370" s="202"/>
      <c r="G1370" s="194" t="s">
        <v>587</v>
      </c>
      <c r="H1370" s="195" t="s">
        <v>753</v>
      </c>
      <c r="I1370" s="196">
        <v>10000.0</v>
      </c>
      <c r="J1370" s="179">
        <f>IF(A1370="RAPPI",(VLOOKUP(TRIM(D1370), CATALOGO!F:G, 2, FALSE) * C1370)+I1370,IFERROR(IF(COUNTIF('RESTAURANTESDESCUENTOS 2026'!A:A,TRIM(A1370))&gt;0,((VLOOKUP(TRIM(D1370), CATALOGO!A:B, 2, FALSE) * C1370)*(1-VALUE(SUBSTITUTE(VLOOKUP(TRIM(A1370),'RESTAURANTESDESCUENTOS 2026'!A:B,2,FALSE),"%",""))/100)+I1370),(VLOOKUP(TRIM(D1370), CATALOGO!A:B, 2, FALSE) * C1370+I1370)),""))</f>
        <v>155000</v>
      </c>
      <c r="K1370" s="196">
        <v>10000.0</v>
      </c>
      <c r="L1370" s="87"/>
      <c r="M1370" s="197" t="s">
        <v>587</v>
      </c>
      <c r="N1370" s="168"/>
    </row>
    <row r="1371" ht="22.5" hidden="1" customHeight="1">
      <c r="A1371" s="137" t="s">
        <v>166</v>
      </c>
      <c r="B1371" s="90">
        <v>46083.0</v>
      </c>
      <c r="C1371" s="55">
        <v>1.0</v>
      </c>
      <c r="D1371" s="97" t="s">
        <v>179</v>
      </c>
      <c r="E1371" s="201"/>
      <c r="F1371" s="202"/>
      <c r="G1371" s="194" t="s">
        <v>35</v>
      </c>
      <c r="H1371" s="198"/>
      <c r="I1371" s="196"/>
      <c r="J1371" s="179">
        <f>IF(A1371="RAPPI",(VLOOKUP(TRIM(D1371), CATALOGO!F:G, 2, FALSE) * C1371)+I1371,IFERROR(IF(COUNTIF('RESTAURANTESDESCUENTOS 2026'!A:A,TRIM(A1371))&gt;0,((VLOOKUP(TRIM(D1371), CATALOGO!A:B, 2, FALSE) * C1371)*(1-VALUE(SUBSTITUTE(VLOOKUP(TRIM(A1371),'RESTAURANTESDESCUENTOS 2026'!A:B,2,FALSE),"%",""))/100)+I1371),(VLOOKUP(TRIM(D1371), CATALOGO!A:B, 2, FALSE) * C1371+I1371)),""))</f>
        <v>38500</v>
      </c>
      <c r="K1371" s="196"/>
      <c r="L1371" s="87"/>
      <c r="M1371" s="197" t="s">
        <v>587</v>
      </c>
      <c r="N1371" s="168"/>
    </row>
    <row r="1372" ht="22.5" hidden="1" customHeight="1">
      <c r="A1372" s="137" t="s">
        <v>968</v>
      </c>
      <c r="B1372" s="90">
        <v>46083.0</v>
      </c>
      <c r="C1372" s="55">
        <v>2.0</v>
      </c>
      <c r="D1372" s="97" t="s">
        <v>178</v>
      </c>
      <c r="E1372" s="201" t="s">
        <v>552</v>
      </c>
      <c r="F1372" s="202"/>
      <c r="G1372" s="194" t="s">
        <v>587</v>
      </c>
      <c r="H1372" s="195" t="s">
        <v>632</v>
      </c>
      <c r="I1372" s="196">
        <v>10000.0</v>
      </c>
      <c r="J1372" s="179">
        <f>IF(A1372="RAPPI",(VLOOKUP(TRIM(D1372), CATALOGO!F:G, 2, FALSE) * C1372)+I1372,IFERROR(IF(COUNTIF('RESTAURANTESDESCUENTOS 2026'!A:A,TRIM(A1372))&gt;0,((VLOOKUP(TRIM(D1372), CATALOGO!A:B, 2, FALSE) * C1372)*(1-VALUE(SUBSTITUTE(VLOOKUP(TRIM(A1372),'RESTAURANTESDESCUENTOS 2026'!A:B,2,FALSE),"%",""))/100)+I1372),(VLOOKUP(TRIM(D1372), CATALOGO!A:B, 2, FALSE) * C1372+I1372)),""))</f>
        <v>235000</v>
      </c>
      <c r="K1372" s="196">
        <v>10000.0</v>
      </c>
      <c r="L1372" s="87" t="s">
        <v>587</v>
      </c>
      <c r="M1372" s="197" t="s">
        <v>587</v>
      </c>
      <c r="N1372" s="168"/>
    </row>
    <row r="1373" ht="22.5" hidden="1" customHeight="1">
      <c r="A1373" s="137" t="s">
        <v>86</v>
      </c>
      <c r="B1373" s="90">
        <v>46083.0</v>
      </c>
      <c r="C1373" s="55">
        <v>1.0</v>
      </c>
      <c r="D1373" s="97" t="s">
        <v>177</v>
      </c>
      <c r="E1373" s="201" t="s">
        <v>610</v>
      </c>
      <c r="F1373" s="202"/>
      <c r="G1373" s="194" t="s">
        <v>587</v>
      </c>
      <c r="H1373" s="195" t="s">
        <v>632</v>
      </c>
      <c r="I1373" s="196">
        <v>0.0</v>
      </c>
      <c r="J1373" s="179">
        <f>IF(A1373="RAPPI",(VLOOKUP(TRIM(D1373), CATALOGO!F:G, 2, FALSE) * C1373)+I1373,IFERROR(IF(COUNTIF('RESTAURANTESDESCUENTOS 2026'!A:A,TRIM(A1373))&gt;0,((VLOOKUP(TRIM(D1373), CATALOGO!A:B, 2, FALSE) * C1373)*(1-VALUE(SUBSTITUTE(VLOOKUP(TRIM(A1373),'RESTAURANTESDESCUENTOS 2026'!A:B,2,FALSE),"%",""))/100)+I1373),(VLOOKUP(TRIM(D1373), CATALOGO!A:B, 2, FALSE) * C1373+I1373)),""))</f>
        <v>86250</v>
      </c>
      <c r="K1373" s="196">
        <v>5000.0</v>
      </c>
      <c r="L1373" s="87" t="s">
        <v>587</v>
      </c>
      <c r="M1373" s="197" t="s">
        <v>587</v>
      </c>
      <c r="N1373" s="168"/>
    </row>
    <row r="1374" ht="22.5" hidden="1" customHeight="1">
      <c r="A1374" s="137" t="s">
        <v>1032</v>
      </c>
      <c r="B1374" s="90">
        <v>46083.0</v>
      </c>
      <c r="C1374" s="55">
        <v>1.0</v>
      </c>
      <c r="D1374" s="97" t="s">
        <v>177</v>
      </c>
      <c r="E1374" s="201" t="s">
        <v>610</v>
      </c>
      <c r="F1374" s="202"/>
      <c r="G1374" s="194" t="s">
        <v>587</v>
      </c>
      <c r="H1374" s="195" t="s">
        <v>632</v>
      </c>
      <c r="I1374" s="196">
        <v>0.0</v>
      </c>
      <c r="J1374" s="179">
        <f>IF(A1374="RAPPI",(VLOOKUP(TRIM(D1374), CATALOGO!F:G, 2, FALSE) * C1374)+I1374,IFERROR(IF(COUNTIF('RESTAURANTESDESCUENTOS 2026'!A:A,TRIM(A1374))&gt;0,((VLOOKUP(TRIM(D1374), CATALOGO!A:B, 2, FALSE) * C1374)*(1-VALUE(SUBSTITUTE(VLOOKUP(TRIM(A1374),'RESTAURANTESDESCUENTOS 2026'!A:B,2,FALSE),"%",""))/100)+I1374),(VLOOKUP(TRIM(D1374), CATALOGO!A:B, 2, FALSE) * C1374+I1374)),""))</f>
        <v>115000</v>
      </c>
      <c r="K1374" s="196">
        <v>12000.0</v>
      </c>
      <c r="L1374" s="87" t="s">
        <v>587</v>
      </c>
      <c r="M1374" s="197" t="s">
        <v>587</v>
      </c>
      <c r="N1374" s="168"/>
    </row>
    <row r="1375" ht="22.5" hidden="1" customHeight="1">
      <c r="A1375" s="137" t="s">
        <v>106</v>
      </c>
      <c r="B1375" s="90">
        <v>46083.0</v>
      </c>
      <c r="C1375" s="55">
        <v>1.0</v>
      </c>
      <c r="D1375" s="97" t="s">
        <v>178</v>
      </c>
      <c r="E1375" s="201" t="s">
        <v>610</v>
      </c>
      <c r="F1375" s="202"/>
      <c r="G1375" s="194" t="s">
        <v>587</v>
      </c>
      <c r="H1375" s="195" t="s">
        <v>632</v>
      </c>
      <c r="I1375" s="196">
        <v>8000.0</v>
      </c>
      <c r="J1375" s="179">
        <f>IF(A1375="RAPPI",(VLOOKUP(TRIM(D1375), CATALOGO!F:G, 2, FALSE) * C1375)+I1375,IFERROR(IF(COUNTIF('RESTAURANTESDESCUENTOS 2026'!A:A,TRIM(A1375))&gt;0,((VLOOKUP(TRIM(D1375), CATALOGO!A:B, 2, FALSE) * C1375)*(1-VALUE(SUBSTITUTE(VLOOKUP(TRIM(A1375),'RESTAURANTESDESCUENTOS 2026'!A:B,2,FALSE),"%",""))/100)+I1375),(VLOOKUP(TRIM(D1375), CATALOGO!A:B, 2, FALSE) * C1375+I1375)),""))</f>
        <v>105125</v>
      </c>
      <c r="K1375" s="196">
        <v>10000.0</v>
      </c>
      <c r="L1375" s="87" t="s">
        <v>587</v>
      </c>
      <c r="M1375" s="197" t="s">
        <v>587</v>
      </c>
      <c r="N1375" s="168"/>
    </row>
    <row r="1376" ht="22.5" hidden="1" customHeight="1">
      <c r="A1376" s="137" t="s">
        <v>943</v>
      </c>
      <c r="B1376" s="90">
        <v>46083.0</v>
      </c>
      <c r="C1376" s="55">
        <v>1.0</v>
      </c>
      <c r="D1376" s="97" t="s">
        <v>177</v>
      </c>
      <c r="E1376" s="201" t="s">
        <v>610</v>
      </c>
      <c r="F1376" s="202"/>
      <c r="G1376" s="194" t="s">
        <v>587</v>
      </c>
      <c r="H1376" s="195" t="s">
        <v>632</v>
      </c>
      <c r="I1376" s="196">
        <v>0.0</v>
      </c>
      <c r="J1376" s="179">
        <f>IF(A1376="RAPPI",(VLOOKUP(TRIM(D1376), CATALOGO!F:G, 2, FALSE) * C1376)+I1376,IFERROR(IF(COUNTIF('RESTAURANTESDESCUENTOS 2026'!A:A,TRIM(A1376))&gt;0,((VLOOKUP(TRIM(D1376), CATALOGO!A:B, 2, FALSE) * C1376)*(1-VALUE(SUBSTITUTE(VLOOKUP(TRIM(A1376),'RESTAURANTESDESCUENTOS 2026'!A:B,2,FALSE),"%",""))/100)+I1376),(VLOOKUP(TRIM(D1376), CATALOGO!A:B, 2, FALSE) * C1376+I1376)),""))</f>
        <v>86250</v>
      </c>
      <c r="K1376" s="196">
        <v>15000.0</v>
      </c>
      <c r="L1376" s="87" t="s">
        <v>587</v>
      </c>
      <c r="M1376" s="197" t="s">
        <v>587</v>
      </c>
      <c r="N1376" s="168"/>
    </row>
    <row r="1377" ht="22.5" hidden="1" customHeight="1">
      <c r="A1377" s="137" t="s">
        <v>46</v>
      </c>
      <c r="B1377" s="90">
        <v>46083.0</v>
      </c>
      <c r="C1377" s="55">
        <v>1.0</v>
      </c>
      <c r="D1377" s="97" t="s">
        <v>177</v>
      </c>
      <c r="E1377" s="201" t="s">
        <v>610</v>
      </c>
      <c r="F1377" s="202"/>
      <c r="G1377" s="194" t="s">
        <v>587</v>
      </c>
      <c r="H1377" s="195" t="s">
        <v>632</v>
      </c>
      <c r="I1377" s="196">
        <v>0.0</v>
      </c>
      <c r="J1377" s="179">
        <f>IF(A1377="RAPPI",(VLOOKUP(TRIM(D1377), CATALOGO!F:G, 2, FALSE) * C1377)+I1377,IFERROR(IF(COUNTIF('RESTAURANTESDESCUENTOS 2026'!A:A,TRIM(A1377))&gt;0,((VLOOKUP(TRIM(D1377), CATALOGO!A:B, 2, FALSE) * C1377)*(1-VALUE(SUBSTITUTE(VLOOKUP(TRIM(A1377),'RESTAURANTESDESCUENTOS 2026'!A:B,2,FALSE),"%",""))/100)+I1377),(VLOOKUP(TRIM(D1377), CATALOGO!A:B, 2, FALSE) * C1377+I1377)),""))</f>
        <v>86250</v>
      </c>
      <c r="K1377" s="196">
        <v>0.0</v>
      </c>
      <c r="L1377" s="87" t="s">
        <v>587</v>
      </c>
      <c r="M1377" s="197" t="s">
        <v>587</v>
      </c>
      <c r="N1377" s="168"/>
    </row>
    <row r="1378" ht="22.5" hidden="1" customHeight="1">
      <c r="A1378" s="137" t="s">
        <v>1033</v>
      </c>
      <c r="B1378" s="90">
        <v>46083.0</v>
      </c>
      <c r="C1378" s="55">
        <v>1.0</v>
      </c>
      <c r="D1378" s="97" t="s">
        <v>178</v>
      </c>
      <c r="E1378" s="201"/>
      <c r="F1378" s="202"/>
      <c r="G1378" s="194" t="s">
        <v>587</v>
      </c>
      <c r="H1378" s="195" t="s">
        <v>632</v>
      </c>
      <c r="I1378" s="196">
        <v>14000.0</v>
      </c>
      <c r="J1378" s="179">
        <f>IF(A1378="RAPPI",(VLOOKUP(TRIM(D1378), CATALOGO!F:G, 2, FALSE) * C1378)+I1378,IFERROR(IF(COUNTIF('RESTAURANTESDESCUENTOS 2026'!A:A,TRIM(A1378))&gt;0,((VLOOKUP(TRIM(D1378), CATALOGO!A:B, 2, FALSE) * C1378)*(1-VALUE(SUBSTITUTE(VLOOKUP(TRIM(A1378),'RESTAURANTESDESCUENTOS 2026'!A:B,2,FALSE),"%",""))/100)+I1378),(VLOOKUP(TRIM(D1378), CATALOGO!A:B, 2, FALSE) * C1378+I1378)),""))</f>
        <v>164000</v>
      </c>
      <c r="K1378" s="196">
        <v>14000.0</v>
      </c>
      <c r="L1378" s="87" t="s">
        <v>587</v>
      </c>
      <c r="M1378" s="197" t="s">
        <v>587</v>
      </c>
      <c r="N1378" s="168"/>
    </row>
    <row r="1379" ht="22.5" hidden="1" customHeight="1">
      <c r="A1379" s="137" t="s">
        <v>99</v>
      </c>
      <c r="B1379" s="90">
        <v>46083.0</v>
      </c>
      <c r="C1379" s="55">
        <v>1.0</v>
      </c>
      <c r="D1379" s="97" t="s">
        <v>178</v>
      </c>
      <c r="E1379" s="201" t="s">
        <v>610</v>
      </c>
      <c r="F1379" s="202"/>
      <c r="G1379" s="194" t="s">
        <v>587</v>
      </c>
      <c r="H1379" s="195" t="s">
        <v>632</v>
      </c>
      <c r="I1379" s="196">
        <v>5000.0</v>
      </c>
      <c r="J1379" s="179">
        <f>IF(A1379="RAPPI",(VLOOKUP(TRIM(D1379), CATALOGO!F:G, 2, FALSE) * C1379)+I1379,IFERROR(IF(COUNTIF('RESTAURANTESDESCUENTOS 2026'!A:A,TRIM(A1379))&gt;0,((VLOOKUP(TRIM(D1379), CATALOGO!A:B, 2, FALSE) * C1379)*(1-VALUE(SUBSTITUTE(VLOOKUP(TRIM(A1379),'RESTAURANTESDESCUENTOS 2026'!A:B,2,FALSE),"%",""))/100)+I1379),(VLOOKUP(TRIM(D1379), CATALOGO!A:B, 2, FALSE) * C1379+I1379)),""))</f>
        <v>110000</v>
      </c>
      <c r="K1379" s="196">
        <v>10000.0</v>
      </c>
      <c r="L1379" s="87" t="s">
        <v>587</v>
      </c>
      <c r="M1379" s="197" t="s">
        <v>587</v>
      </c>
      <c r="N1379" s="168"/>
    </row>
    <row r="1380" ht="22.5" hidden="1" customHeight="1">
      <c r="A1380" s="137" t="s">
        <v>1034</v>
      </c>
      <c r="B1380" s="90">
        <v>46083.0</v>
      </c>
      <c r="C1380" s="55">
        <v>1.0</v>
      </c>
      <c r="D1380" s="97" t="s">
        <v>178</v>
      </c>
      <c r="E1380" s="201"/>
      <c r="F1380" s="202"/>
      <c r="G1380" s="194" t="s">
        <v>587</v>
      </c>
      <c r="H1380" s="195" t="s">
        <v>632</v>
      </c>
      <c r="I1380" s="196">
        <v>13000.0</v>
      </c>
      <c r="J1380" s="179">
        <f>IF(A1380="RAPPI",(VLOOKUP(TRIM(D1380), CATALOGO!F:G, 2, FALSE) * C1380)+I1380,IFERROR(IF(COUNTIF('RESTAURANTESDESCUENTOS 2026'!A:A,TRIM(A1380))&gt;0,((VLOOKUP(TRIM(D1380), CATALOGO!A:B, 2, FALSE) * C1380)*(1-VALUE(SUBSTITUTE(VLOOKUP(TRIM(A1380),'RESTAURANTESDESCUENTOS 2026'!A:B,2,FALSE),"%",""))/100)+I1380),(VLOOKUP(TRIM(D1380), CATALOGO!A:B, 2, FALSE) * C1380+I1380)),""))</f>
        <v>163000</v>
      </c>
      <c r="K1380" s="196">
        <v>15000.0</v>
      </c>
      <c r="L1380" s="87" t="s">
        <v>587</v>
      </c>
      <c r="M1380" s="197" t="s">
        <v>587</v>
      </c>
      <c r="N1380" s="168"/>
    </row>
    <row r="1381" ht="22.5" hidden="1" customHeight="1">
      <c r="A1381" s="137" t="s">
        <v>605</v>
      </c>
      <c r="B1381" s="90">
        <v>46083.0</v>
      </c>
      <c r="C1381" s="55">
        <v>1.0</v>
      </c>
      <c r="D1381" s="97" t="s">
        <v>174</v>
      </c>
      <c r="E1381" s="201" t="s">
        <v>607</v>
      </c>
      <c r="F1381" s="236" t="s">
        <v>1035</v>
      </c>
      <c r="G1381" s="194" t="s">
        <v>35</v>
      </c>
      <c r="H1381" s="198"/>
      <c r="I1381" s="196"/>
      <c r="J1381" s="179">
        <f>IF(A1381="RAPPI",(VLOOKUP(TRIM(D1381), CATALOGO!F:G, 2, FALSE) * C1381)+I1381,IFERROR(IF(COUNTIF('RESTAURANTESDESCUENTOS 2026'!A:A,TRIM(A1381))&gt;0,((VLOOKUP(TRIM(D1381), CATALOGO!A:B, 2, FALSE) * C1381)*(1-VALUE(SUBSTITUTE(VLOOKUP(TRIM(A1381),'RESTAURANTESDESCUENTOS 2026'!A:B,2,FALSE),"%",""))/100)+I1381),(VLOOKUP(TRIM(D1381), CATALOGO!A:B, 2, FALSE) * C1381+I1381)),""))</f>
        <v>18000</v>
      </c>
      <c r="K1381" s="196"/>
      <c r="L1381" s="87"/>
      <c r="M1381" s="197" t="s">
        <v>587</v>
      </c>
      <c r="N1381" s="168"/>
    </row>
    <row r="1382" ht="22.5" hidden="1" customHeight="1">
      <c r="A1382" s="137" t="s">
        <v>33</v>
      </c>
      <c r="B1382" s="90">
        <v>46083.0</v>
      </c>
      <c r="C1382" s="55">
        <v>3.0</v>
      </c>
      <c r="D1382" s="97" t="s">
        <v>177</v>
      </c>
      <c r="E1382" s="201" t="s">
        <v>610</v>
      </c>
      <c r="F1382" s="202"/>
      <c r="G1382" s="194" t="s">
        <v>587</v>
      </c>
      <c r="H1382" s="195" t="s">
        <v>632</v>
      </c>
      <c r="I1382" s="196">
        <v>0.0</v>
      </c>
      <c r="J1382" s="179">
        <f>IF(A1382="RAPPI",(VLOOKUP(TRIM(D1382), CATALOGO!F:G, 2, FALSE) * C1382)+I1382,IFERROR(IF(COUNTIF('RESTAURANTESDESCUENTOS 2026'!A:A,TRIM(A1382))&gt;0,((VLOOKUP(TRIM(D1382), CATALOGO!A:B, 2, FALSE) * C1382)*(1-VALUE(SUBSTITUTE(VLOOKUP(TRIM(A1382),'RESTAURANTESDESCUENTOS 2026'!A:B,2,FALSE),"%",""))/100)+I1382),(VLOOKUP(TRIM(D1382), CATALOGO!A:B, 2, FALSE) * C1382+I1382)),""))</f>
        <v>258750</v>
      </c>
      <c r="K1382" s="196">
        <v>18000.0</v>
      </c>
      <c r="L1382" s="87" t="s">
        <v>587</v>
      </c>
      <c r="M1382" s="197" t="s">
        <v>587</v>
      </c>
      <c r="N1382" s="168"/>
    </row>
    <row r="1383" ht="22.5" hidden="1" customHeight="1">
      <c r="A1383" s="137" t="s">
        <v>17</v>
      </c>
      <c r="B1383" s="90">
        <v>46083.0</v>
      </c>
      <c r="C1383" s="55">
        <v>1.0</v>
      </c>
      <c r="D1383" s="97" t="s">
        <v>178</v>
      </c>
      <c r="E1383" s="201" t="s">
        <v>610</v>
      </c>
      <c r="F1383" s="202"/>
      <c r="G1383" s="194" t="s">
        <v>587</v>
      </c>
      <c r="H1383" s="195" t="s">
        <v>632</v>
      </c>
      <c r="I1383" s="196">
        <v>10000.0</v>
      </c>
      <c r="J1383" s="179">
        <f>IF(A1383="RAPPI",(VLOOKUP(TRIM(D1383), CATALOGO!F:G, 2, FALSE) * C1383)+I1383,IFERROR(IF(COUNTIF('RESTAURANTESDESCUENTOS 2026'!A:A,TRIM(A1383))&gt;0,((VLOOKUP(TRIM(D1383), CATALOGO!A:B, 2, FALSE) * C1383)*(1-VALUE(SUBSTITUTE(VLOOKUP(TRIM(A1383),'RESTAURANTESDESCUENTOS 2026'!A:B,2,FALSE),"%",""))/100)+I1383),(VLOOKUP(TRIM(D1383), CATALOGO!A:B, 2, FALSE) * C1383+I1383)),""))</f>
        <v>122500</v>
      </c>
      <c r="K1383" s="196">
        <v>10000.0</v>
      </c>
      <c r="L1383" s="87" t="s">
        <v>587</v>
      </c>
      <c r="M1383" s="197" t="s">
        <v>587</v>
      </c>
      <c r="N1383" s="168"/>
    </row>
    <row r="1384" ht="22.5" hidden="1" customHeight="1">
      <c r="A1384" s="137" t="s">
        <v>605</v>
      </c>
      <c r="B1384" s="90">
        <v>46083.0</v>
      </c>
      <c r="C1384" s="55">
        <v>1.0</v>
      </c>
      <c r="D1384" s="97" t="s">
        <v>178</v>
      </c>
      <c r="E1384" s="201" t="s">
        <v>607</v>
      </c>
      <c r="F1384" s="236" t="s">
        <v>1035</v>
      </c>
      <c r="G1384" s="194" t="s">
        <v>35</v>
      </c>
      <c r="H1384" s="198"/>
      <c r="I1384" s="196"/>
      <c r="J1384" s="179">
        <f>IF(A1384="RAPPI",(VLOOKUP(TRIM(D1384), CATALOGO!F:G, 2, FALSE) * C1384)+I1384,IFERROR(IF(COUNTIF('RESTAURANTESDESCUENTOS 2026'!A:A,TRIM(A1384))&gt;0,((VLOOKUP(TRIM(D1384), CATALOGO!A:B, 2, FALSE) * C1384)*(1-VALUE(SUBSTITUTE(VLOOKUP(TRIM(A1384),'RESTAURANTESDESCUENTOS 2026'!A:B,2,FALSE),"%",""))/100)+I1384),(VLOOKUP(TRIM(D1384), CATALOGO!A:B, 2, FALSE) * C1384+I1384)),""))</f>
        <v>150000</v>
      </c>
      <c r="K1384" s="196"/>
      <c r="L1384" s="87"/>
      <c r="M1384" s="197" t="s">
        <v>587</v>
      </c>
      <c r="N1384" s="168"/>
    </row>
    <row r="1385" ht="22.5" hidden="1" customHeight="1">
      <c r="A1385" s="137" t="s">
        <v>605</v>
      </c>
      <c r="B1385" s="90">
        <v>46083.0</v>
      </c>
      <c r="C1385" s="55">
        <v>1.0</v>
      </c>
      <c r="D1385" s="97" t="s">
        <v>177</v>
      </c>
      <c r="E1385" s="201"/>
      <c r="F1385" s="236" t="s">
        <v>1036</v>
      </c>
      <c r="G1385" s="194" t="s">
        <v>35</v>
      </c>
      <c r="H1385" s="198"/>
      <c r="I1385" s="196"/>
      <c r="J1385" s="179">
        <f>IF(A1385="RAPPI",(VLOOKUP(TRIM(D1385), CATALOGO!F:G, 2, FALSE) * C1385)+I1385,IFERROR(IF(COUNTIF('RESTAURANTESDESCUENTOS 2026'!A:A,TRIM(A1385))&gt;0,((VLOOKUP(TRIM(D1385), CATALOGO!A:B, 2, FALSE) * C1385)*(1-VALUE(SUBSTITUTE(VLOOKUP(TRIM(A1385),'RESTAURANTESDESCUENTOS 2026'!A:B,2,FALSE),"%",""))/100)+I1385),(VLOOKUP(TRIM(D1385), CATALOGO!A:B, 2, FALSE) * C1385+I1385)),""))</f>
        <v>115000</v>
      </c>
      <c r="K1385" s="196"/>
      <c r="L1385" s="87"/>
      <c r="M1385" s="197" t="s">
        <v>587</v>
      </c>
      <c r="N1385" s="168"/>
    </row>
    <row r="1386" ht="22.5" hidden="1" customHeight="1">
      <c r="A1386" s="137" t="s">
        <v>1037</v>
      </c>
      <c r="B1386" s="90">
        <v>46083.0</v>
      </c>
      <c r="C1386" s="55">
        <v>1.0</v>
      </c>
      <c r="D1386" s="97" t="s">
        <v>178</v>
      </c>
      <c r="E1386" s="70" t="s">
        <v>1038</v>
      </c>
      <c r="F1386" s="212"/>
      <c r="G1386" s="194" t="s">
        <v>587</v>
      </c>
      <c r="H1386" s="195" t="s">
        <v>632</v>
      </c>
      <c r="I1386" s="196">
        <v>14000.0</v>
      </c>
      <c r="J1386" s="179">
        <f>IF(A1386="RAPPI",(VLOOKUP(TRIM(D1386), CATALOGO!F:G, 2, FALSE) * C1386)+I1386,IFERROR(IF(COUNTIF('RESTAURANTESDESCUENTOS 2026'!A:A,TRIM(A1386))&gt;0,((VLOOKUP(TRIM(D1386), CATALOGO!A:B, 2, FALSE) * C1386)*(1-VALUE(SUBSTITUTE(VLOOKUP(TRIM(A1386),'RESTAURANTESDESCUENTOS 2026'!A:B,2,FALSE),"%",""))/100)+I1386),(VLOOKUP(TRIM(D1386), CATALOGO!A:B, 2, FALSE) * C1386+I1386)),""))</f>
        <v>164000</v>
      </c>
      <c r="K1386" s="196">
        <v>14000.0</v>
      </c>
      <c r="L1386" s="87"/>
      <c r="M1386" s="197" t="s">
        <v>587</v>
      </c>
      <c r="N1386" s="168"/>
    </row>
    <row r="1387" ht="22.5" hidden="1" customHeight="1">
      <c r="A1387" s="137" t="s">
        <v>603</v>
      </c>
      <c r="B1387" s="90">
        <v>46083.0</v>
      </c>
      <c r="C1387" s="55">
        <v>1.0</v>
      </c>
      <c r="D1387" s="97" t="s">
        <v>176</v>
      </c>
      <c r="E1387" s="201">
        <v>4727.0</v>
      </c>
      <c r="F1387" s="202"/>
      <c r="G1387" s="194" t="s">
        <v>587</v>
      </c>
      <c r="H1387" s="195" t="s">
        <v>603</v>
      </c>
      <c r="I1387" s="196"/>
      <c r="J1387" s="179">
        <f>IF(A1387="RAPPI",(VLOOKUP(TRIM(D1387), CATALOGO!F:G, 2, FALSE) * C1387)+I1387,IFERROR(IF(COUNTIF('RESTAURANTESDESCUENTOS 2026'!A:A,TRIM(A1387))&gt;0,((VLOOKUP(TRIM(D1387), CATALOGO!A:B, 2, FALSE) * C1387)*(1-VALUE(SUBSTITUTE(VLOOKUP(TRIM(A1387),'RESTAURANTESDESCUENTOS 2026'!A:B,2,FALSE),"%",""))/100)+I1387),(VLOOKUP(TRIM(D1387), CATALOGO!A:B, 2, FALSE) * C1387+I1387)),""))</f>
        <v>50000</v>
      </c>
      <c r="K1387" s="196"/>
      <c r="L1387" s="87"/>
      <c r="M1387" s="197" t="s">
        <v>587</v>
      </c>
      <c r="N1387" s="168"/>
    </row>
    <row r="1388" ht="22.5" hidden="1" customHeight="1">
      <c r="A1388" s="137" t="s">
        <v>958</v>
      </c>
      <c r="B1388" s="90">
        <v>46083.0</v>
      </c>
      <c r="C1388" s="55">
        <v>1.0</v>
      </c>
      <c r="D1388" s="97" t="s">
        <v>177</v>
      </c>
      <c r="E1388" s="201" t="s">
        <v>610</v>
      </c>
      <c r="F1388" s="202"/>
      <c r="G1388" s="194" t="s">
        <v>587</v>
      </c>
      <c r="H1388" s="195" t="s">
        <v>632</v>
      </c>
      <c r="I1388" s="196">
        <v>10000.0</v>
      </c>
      <c r="J1388" s="179">
        <f>IF(A1388="RAPPI",(VLOOKUP(TRIM(D1388), CATALOGO!F:G, 2, FALSE) * C1388)+I1388,IFERROR(IF(COUNTIF('RESTAURANTESDESCUENTOS 2026'!A:A,TRIM(A1388))&gt;0,((VLOOKUP(TRIM(D1388), CATALOGO!A:B, 2, FALSE) * C1388)*(1-VALUE(SUBSTITUTE(VLOOKUP(TRIM(A1388),'RESTAURANTESDESCUENTOS 2026'!A:B,2,FALSE),"%",""))/100)+I1388),(VLOOKUP(TRIM(D1388), CATALOGO!A:B, 2, FALSE) * C1388+I1388)),""))</f>
        <v>96250</v>
      </c>
      <c r="K1388" s="196">
        <v>23000.0</v>
      </c>
      <c r="L1388" s="87" t="s">
        <v>587</v>
      </c>
      <c r="M1388" s="197" t="s">
        <v>587</v>
      </c>
      <c r="N1388" s="168"/>
    </row>
    <row r="1389" ht="22.5" hidden="1" customHeight="1">
      <c r="A1389" s="137" t="s">
        <v>958</v>
      </c>
      <c r="B1389" s="90">
        <v>46083.0</v>
      </c>
      <c r="C1389" s="55">
        <v>1.0</v>
      </c>
      <c r="D1389" s="97" t="s">
        <v>178</v>
      </c>
      <c r="E1389" s="201" t="s">
        <v>552</v>
      </c>
      <c r="F1389" s="202"/>
      <c r="G1389" s="194" t="s">
        <v>587</v>
      </c>
      <c r="H1389" s="195" t="s">
        <v>632</v>
      </c>
      <c r="I1389" s="196">
        <v>0.0</v>
      </c>
      <c r="J1389" s="179">
        <f>IF(A1389="RAPPI",(VLOOKUP(TRIM(D1389), CATALOGO!F:G, 2, FALSE) * C1389)+I1389,IFERROR(IF(COUNTIF('RESTAURANTESDESCUENTOS 2026'!A:A,TRIM(A1389))&gt;0,((VLOOKUP(TRIM(D1389), CATALOGO!A:B, 2, FALSE) * C1389)*(1-VALUE(SUBSTITUTE(VLOOKUP(TRIM(A1389),'RESTAURANTESDESCUENTOS 2026'!A:B,2,FALSE),"%",""))/100)+I1389),(VLOOKUP(TRIM(D1389), CATALOGO!A:B, 2, FALSE) * C1389+I1389)),""))</f>
        <v>112500</v>
      </c>
      <c r="K1389" s="196">
        <v>0.0</v>
      </c>
      <c r="L1389" s="87" t="s">
        <v>587</v>
      </c>
      <c r="M1389" s="197" t="s">
        <v>587</v>
      </c>
      <c r="N1389" s="168"/>
    </row>
    <row r="1390" ht="22.5" hidden="1" customHeight="1">
      <c r="A1390" s="137" t="s">
        <v>605</v>
      </c>
      <c r="B1390" s="90">
        <v>46083.0</v>
      </c>
      <c r="C1390" s="55">
        <v>2.0</v>
      </c>
      <c r="D1390" s="97" t="s">
        <v>174</v>
      </c>
      <c r="E1390" s="201" t="s">
        <v>606</v>
      </c>
      <c r="F1390" s="236" t="s">
        <v>1036</v>
      </c>
      <c r="G1390" s="194" t="s">
        <v>587</v>
      </c>
      <c r="H1390" s="198"/>
      <c r="I1390" s="196">
        <v>13000.0</v>
      </c>
      <c r="J1390" s="179">
        <f>IF(A1390="RAPPI",(VLOOKUP(TRIM(D1390), CATALOGO!F:G, 2, FALSE) * C1390)+I1390,IFERROR(IF(COUNTIF('RESTAURANTESDESCUENTOS 2026'!A:A,TRIM(A1390))&gt;0,((VLOOKUP(TRIM(D1390), CATALOGO!A:B, 2, FALSE) * C1390)*(1-VALUE(SUBSTITUTE(VLOOKUP(TRIM(A1390),'RESTAURANTESDESCUENTOS 2026'!A:B,2,FALSE),"%",""))/100)+I1390),(VLOOKUP(TRIM(D1390), CATALOGO!A:B, 2, FALSE) * C1390+I1390)),""))</f>
        <v>49000</v>
      </c>
      <c r="K1390" s="196"/>
      <c r="L1390" s="87"/>
      <c r="M1390" s="197" t="s">
        <v>587</v>
      </c>
      <c r="N1390" s="168"/>
    </row>
    <row r="1391" ht="22.5" hidden="1" customHeight="1">
      <c r="A1391" s="137" t="s">
        <v>622</v>
      </c>
      <c r="B1391" s="90">
        <v>46083.0</v>
      </c>
      <c r="C1391" s="55">
        <v>2.0</v>
      </c>
      <c r="D1391" s="97" t="s">
        <v>178</v>
      </c>
      <c r="E1391" s="201" t="s">
        <v>28</v>
      </c>
      <c r="F1391" s="202"/>
      <c r="G1391" s="194" t="s">
        <v>35</v>
      </c>
      <c r="H1391" s="198"/>
      <c r="I1391" s="196"/>
      <c r="J1391" s="199">
        <v>0.0</v>
      </c>
      <c r="K1391" s="196"/>
      <c r="L1391" s="87"/>
      <c r="M1391" s="197" t="s">
        <v>587</v>
      </c>
      <c r="N1391" s="168"/>
    </row>
    <row r="1392" ht="22.5" hidden="1" customHeight="1">
      <c r="A1392" s="137" t="s">
        <v>1039</v>
      </c>
      <c r="B1392" s="90">
        <v>46083.0</v>
      </c>
      <c r="C1392" s="55">
        <v>16.0</v>
      </c>
      <c r="D1392" s="97" t="s">
        <v>174</v>
      </c>
      <c r="E1392" s="201"/>
      <c r="F1392" s="202"/>
      <c r="G1392" s="194" t="s">
        <v>587</v>
      </c>
      <c r="H1392" s="195" t="s">
        <v>632</v>
      </c>
      <c r="I1392" s="196">
        <v>10000.0</v>
      </c>
      <c r="J1392" s="179">
        <f>IF(A1392="RAPPI",(VLOOKUP(TRIM(D1392), CATALOGO!F:G, 2, FALSE) * C1392)+I1392,IFERROR(IF(COUNTIF('RESTAURANTESDESCUENTOS 2026'!A:A,TRIM(A1392))&gt;0,((VLOOKUP(TRIM(D1392), CATALOGO!A:B, 2, FALSE) * C1392)*(1-VALUE(SUBSTITUTE(VLOOKUP(TRIM(A1392),'RESTAURANTESDESCUENTOS 2026'!A:B,2,FALSE),"%",""))/100)+I1392),(VLOOKUP(TRIM(D1392), CATALOGO!A:B, 2, FALSE) * C1392+I1392)),""))</f>
        <v>298000</v>
      </c>
      <c r="K1392" s="196">
        <v>10000.0</v>
      </c>
      <c r="L1392" s="87" t="s">
        <v>587</v>
      </c>
      <c r="M1392" s="197" t="s">
        <v>587</v>
      </c>
      <c r="N1392" s="168"/>
    </row>
    <row r="1393" ht="22.5" hidden="1" customHeight="1">
      <c r="A1393" s="137" t="s">
        <v>1040</v>
      </c>
      <c r="B1393" s="90">
        <v>46083.0</v>
      </c>
      <c r="C1393" s="55">
        <v>1.0</v>
      </c>
      <c r="D1393" s="97" t="s">
        <v>177</v>
      </c>
      <c r="E1393" s="201"/>
      <c r="F1393" s="202"/>
      <c r="G1393" s="194" t="s">
        <v>587</v>
      </c>
      <c r="H1393" s="195" t="s">
        <v>588</v>
      </c>
      <c r="I1393" s="196">
        <v>16000.0</v>
      </c>
      <c r="J1393" s="179">
        <f>IF(A1393="RAPPI",(VLOOKUP(TRIM(D1393), CATALOGO!F:G, 2, FALSE) * C1393)+I1393,IFERROR(IF(COUNTIF('RESTAURANTESDESCUENTOS 2026'!A:A,TRIM(A1393))&gt;0,((VLOOKUP(TRIM(D1393), CATALOGO!A:B, 2, FALSE) * C1393)*(1-VALUE(SUBSTITUTE(VLOOKUP(TRIM(A1393),'RESTAURANTESDESCUENTOS 2026'!A:B,2,FALSE),"%",""))/100)+I1393),(VLOOKUP(TRIM(D1393), CATALOGO!A:B, 2, FALSE) * C1393+I1393)),""))</f>
        <v>131000</v>
      </c>
      <c r="K1393" s="196">
        <v>24000.0</v>
      </c>
      <c r="L1393" s="87"/>
      <c r="M1393" s="197" t="s">
        <v>587</v>
      </c>
      <c r="N1393" s="168"/>
    </row>
    <row r="1394" ht="22.5" hidden="1" customHeight="1">
      <c r="A1394" s="137" t="s">
        <v>798</v>
      </c>
      <c r="B1394" s="90">
        <v>46084.0</v>
      </c>
      <c r="C1394" s="55">
        <v>3.0</v>
      </c>
      <c r="D1394" s="97" t="s">
        <v>178</v>
      </c>
      <c r="E1394" s="201" t="s">
        <v>610</v>
      </c>
      <c r="F1394" s="202"/>
      <c r="G1394" s="194" t="s">
        <v>587</v>
      </c>
      <c r="H1394" s="195" t="s">
        <v>907</v>
      </c>
      <c r="I1394" s="196">
        <v>25000.0</v>
      </c>
      <c r="J1394" s="179">
        <f>IF(A1394="RAPPI",(VLOOKUP(TRIM(D1394), CATALOGO!F:G, 2, FALSE) * C1394)+I1394,IFERROR(IF(COUNTIF('RESTAURANTESDESCUENTOS 2026'!A:A,TRIM(A1394))&gt;0,((VLOOKUP(TRIM(D1394), CATALOGO!A:B, 2, FALSE) * C1394)*(1-VALUE(SUBSTITUTE(VLOOKUP(TRIM(A1394),'RESTAURANTESDESCUENTOS 2026'!A:B,2,FALSE),"%",""))/100)+I1394),(VLOOKUP(TRIM(D1394), CATALOGO!A:B, 2, FALSE) * C1394+I1394)),""))</f>
        <v>475000</v>
      </c>
      <c r="K1394" s="196">
        <v>25000.0</v>
      </c>
      <c r="L1394" s="87" t="s">
        <v>587</v>
      </c>
      <c r="M1394" s="197" t="s">
        <v>587</v>
      </c>
      <c r="N1394" s="168"/>
    </row>
    <row r="1395" ht="22.5" hidden="1" customHeight="1">
      <c r="A1395" s="137" t="s">
        <v>163</v>
      </c>
      <c r="B1395" s="90">
        <v>46084.0</v>
      </c>
      <c r="C1395" s="55">
        <v>1.0</v>
      </c>
      <c r="D1395" s="97" t="s">
        <v>182</v>
      </c>
      <c r="E1395" s="201"/>
      <c r="F1395" s="202"/>
      <c r="G1395" s="194" t="s">
        <v>587</v>
      </c>
      <c r="H1395" s="195" t="s">
        <v>632</v>
      </c>
      <c r="I1395" s="196">
        <v>12000.0</v>
      </c>
      <c r="J1395" s="179">
        <f>IF(A1395="RAPPI",(VLOOKUP(TRIM(D1395), CATALOGO!F:G, 2, FALSE) * C1395)+I1395,IFERROR(IF(COUNTIF('RESTAURANTESDESCUENTOS 2026'!A:A,TRIM(A1395))&gt;0,((VLOOKUP(TRIM(D1395), CATALOGO!A:B, 2, FALSE) * C1395)*(1-VALUE(SUBSTITUTE(VLOOKUP(TRIM(A1395),'RESTAURANTESDESCUENTOS 2026'!A:B,2,FALSE),"%",""))/100)+I1395),(VLOOKUP(TRIM(D1395), CATALOGO!A:B, 2, FALSE) * C1395+I1395)),""))</f>
        <v>37900</v>
      </c>
      <c r="K1395" s="196">
        <v>12000.0</v>
      </c>
      <c r="L1395" s="87"/>
      <c r="M1395" s="197" t="s">
        <v>587</v>
      </c>
      <c r="N1395" s="168"/>
    </row>
    <row r="1396" ht="22.5" hidden="1" customHeight="1">
      <c r="A1396" s="137" t="s">
        <v>163</v>
      </c>
      <c r="B1396" s="90">
        <v>46084.0</v>
      </c>
      <c r="C1396" s="55">
        <v>2.0</v>
      </c>
      <c r="D1396" s="97" t="s">
        <v>639</v>
      </c>
      <c r="E1396" s="201"/>
      <c r="F1396" s="202"/>
      <c r="G1396" s="194" t="s">
        <v>587</v>
      </c>
      <c r="H1396" s="195" t="s">
        <v>632</v>
      </c>
      <c r="I1396" s="196">
        <v>0.0</v>
      </c>
      <c r="J1396" s="179">
        <f>IF(A1396="RAPPI",(VLOOKUP(TRIM(D1396), CATALOGO!F:G, 2, FALSE) * C1396)+I1396,IFERROR(IF(COUNTIF('RESTAURANTESDESCUENTOS 2026'!A:A,TRIM(A1396))&gt;0,((VLOOKUP(TRIM(D1396), CATALOGO!A:B, 2, FALSE) * C1396)*(1-VALUE(SUBSTITUTE(VLOOKUP(TRIM(A1396),'RESTAURANTESDESCUENTOS 2026'!A:B,2,FALSE),"%",""))/100)+I1396),(VLOOKUP(TRIM(D1396), CATALOGO!A:B, 2, FALSE) * C1396+I1396)),""))</f>
        <v>0</v>
      </c>
      <c r="K1396" s="196">
        <v>0.0</v>
      </c>
      <c r="L1396" s="87"/>
      <c r="M1396" s="197" t="s">
        <v>587</v>
      </c>
      <c r="N1396" s="168"/>
    </row>
    <row r="1397" ht="22.5" hidden="1" customHeight="1">
      <c r="A1397" s="137" t="s">
        <v>103</v>
      </c>
      <c r="B1397" s="90">
        <v>46084.0</v>
      </c>
      <c r="C1397" s="55">
        <v>1.0</v>
      </c>
      <c r="D1397" s="97" t="s">
        <v>178</v>
      </c>
      <c r="E1397" s="201" t="s">
        <v>552</v>
      </c>
      <c r="F1397" s="202"/>
      <c r="G1397" s="194" t="s">
        <v>35</v>
      </c>
      <c r="H1397" s="198"/>
      <c r="I1397" s="196"/>
      <c r="J1397" s="179">
        <f>IF(A1397="RAPPI",(VLOOKUP(TRIM(D1397), CATALOGO!F:G, 2, FALSE) * C1397)+I1397,IFERROR(IF(COUNTIF('RESTAURANTESDESCUENTOS 2026'!A:A,TRIM(A1397))&gt;0,((VLOOKUP(TRIM(D1397), CATALOGO!A:B, 2, FALSE) * C1397)*(1-VALUE(SUBSTITUTE(VLOOKUP(TRIM(A1397),'RESTAURANTESDESCUENTOS 2026'!A:B,2,FALSE),"%",""))/100)+I1397),(VLOOKUP(TRIM(D1397), CATALOGO!A:B, 2, FALSE) * C1397+I1397)),""))</f>
        <v>105000</v>
      </c>
      <c r="K1397" s="196"/>
      <c r="L1397" s="87" t="s">
        <v>587</v>
      </c>
      <c r="M1397" s="197" t="s">
        <v>587</v>
      </c>
      <c r="N1397" s="168"/>
    </row>
    <row r="1398" ht="22.5" hidden="1" customHeight="1">
      <c r="A1398" s="137" t="s">
        <v>49</v>
      </c>
      <c r="B1398" s="90">
        <v>46084.0</v>
      </c>
      <c r="C1398" s="55">
        <v>1.0</v>
      </c>
      <c r="D1398" s="97" t="s">
        <v>177</v>
      </c>
      <c r="E1398" s="201" t="s">
        <v>610</v>
      </c>
      <c r="F1398" s="202"/>
      <c r="G1398" s="194" t="s">
        <v>587</v>
      </c>
      <c r="H1398" s="195" t="s">
        <v>632</v>
      </c>
      <c r="I1398" s="196">
        <v>0.0</v>
      </c>
      <c r="J1398" s="179">
        <f>IF(A1398="RAPPI",(VLOOKUP(TRIM(D1398), CATALOGO!F:G, 2, FALSE) * C1398)+I1398,IFERROR(IF(COUNTIF('RESTAURANTESDESCUENTOS 2026'!A:A,TRIM(A1398))&gt;0,((VLOOKUP(TRIM(D1398), CATALOGO!A:B, 2, FALSE) * C1398)*(1-VALUE(SUBSTITUTE(VLOOKUP(TRIM(A1398),'RESTAURANTESDESCUENTOS 2026'!A:B,2,FALSE),"%",""))/100)+I1398),(VLOOKUP(TRIM(D1398), CATALOGO!A:B, 2, FALSE) * C1398+I1398)),""))</f>
        <v>86250</v>
      </c>
      <c r="K1398" s="196">
        <v>0.0</v>
      </c>
      <c r="L1398" s="87" t="s">
        <v>587</v>
      </c>
      <c r="M1398" s="197" t="s">
        <v>587</v>
      </c>
      <c r="N1398" s="168"/>
    </row>
    <row r="1399" ht="22.5" hidden="1" customHeight="1">
      <c r="A1399" s="137" t="s">
        <v>96</v>
      </c>
      <c r="B1399" s="90">
        <v>46084.0</v>
      </c>
      <c r="C1399" s="55">
        <v>1.0</v>
      </c>
      <c r="D1399" s="97" t="s">
        <v>178</v>
      </c>
      <c r="E1399" s="201" t="s">
        <v>610</v>
      </c>
      <c r="F1399" s="202"/>
      <c r="G1399" s="194" t="s">
        <v>587</v>
      </c>
      <c r="H1399" s="195" t="s">
        <v>632</v>
      </c>
      <c r="I1399" s="196">
        <v>5000.0</v>
      </c>
      <c r="J1399" s="179">
        <f>IF(A1399="RAPPI",(VLOOKUP(TRIM(D1399), CATALOGO!F:G, 2, FALSE) * C1399)+I1399,IFERROR(IF(COUNTIF('RESTAURANTESDESCUENTOS 2026'!A:A,TRIM(A1399))&gt;0,((VLOOKUP(TRIM(D1399), CATALOGO!A:B, 2, FALSE) * C1399)*(1-VALUE(SUBSTITUTE(VLOOKUP(TRIM(A1399),'RESTAURANTESDESCUENTOS 2026'!A:B,2,FALSE),"%",""))/100)+I1399),(VLOOKUP(TRIM(D1399), CATALOGO!A:B, 2, FALSE) * C1399+I1399)),""))</f>
        <v>110000</v>
      </c>
      <c r="K1399" s="196">
        <v>10000.0</v>
      </c>
      <c r="L1399" s="87" t="s">
        <v>587</v>
      </c>
      <c r="M1399" s="197" t="s">
        <v>587</v>
      </c>
      <c r="N1399" s="168"/>
    </row>
    <row r="1400" ht="22.5" hidden="1" customHeight="1">
      <c r="A1400" s="137" t="s">
        <v>1041</v>
      </c>
      <c r="B1400" s="90">
        <v>46084.0</v>
      </c>
      <c r="C1400" s="55">
        <v>1.0</v>
      </c>
      <c r="D1400" s="97" t="s">
        <v>178</v>
      </c>
      <c r="E1400" s="201" t="s">
        <v>645</v>
      </c>
      <c r="F1400" s="202"/>
      <c r="G1400" s="194" t="s">
        <v>587</v>
      </c>
      <c r="H1400" s="195" t="s">
        <v>632</v>
      </c>
      <c r="I1400" s="196">
        <v>13000.0</v>
      </c>
      <c r="J1400" s="179">
        <f>IF(A1400="RAPPI",(VLOOKUP(TRIM(D1400), CATALOGO!F:G, 2, FALSE) * C1400)+I1400,IFERROR(IF(COUNTIF('RESTAURANTESDESCUENTOS 2026'!A:A,TRIM(A1400))&gt;0,((VLOOKUP(TRIM(D1400), CATALOGO!A:B, 2, FALSE) * C1400)*(1-VALUE(SUBSTITUTE(VLOOKUP(TRIM(A1400),'RESTAURANTESDESCUENTOS 2026'!A:B,2,FALSE),"%",""))/100)+I1400),(VLOOKUP(TRIM(D1400), CATALOGO!A:B, 2, FALSE) * C1400+I1400)),""))</f>
        <v>163000</v>
      </c>
      <c r="K1400" s="196">
        <v>13000.0</v>
      </c>
      <c r="L1400" s="87"/>
      <c r="M1400" s="197" t="s">
        <v>587</v>
      </c>
      <c r="N1400" s="168"/>
    </row>
    <row r="1401" ht="22.5" hidden="1" customHeight="1">
      <c r="A1401" s="137" t="s">
        <v>605</v>
      </c>
      <c r="B1401" s="90">
        <v>46084.0</v>
      </c>
      <c r="C1401" s="55">
        <v>1.0</v>
      </c>
      <c r="D1401" s="97" t="s">
        <v>176</v>
      </c>
      <c r="E1401" s="201" t="s">
        <v>606</v>
      </c>
      <c r="F1401" s="236" t="s">
        <v>1036</v>
      </c>
      <c r="G1401" s="194" t="s">
        <v>35</v>
      </c>
      <c r="H1401" s="198"/>
      <c r="I1401" s="196"/>
      <c r="J1401" s="179">
        <f>IF(A1401="RAPPI",(VLOOKUP(TRIM(D1401), CATALOGO!F:G, 2, FALSE) * C1401)+I1401,IFERROR(IF(COUNTIF('RESTAURANTESDESCUENTOS 2026'!A:A,TRIM(A1401))&gt;0,((VLOOKUP(TRIM(D1401), CATALOGO!A:B, 2, FALSE) * C1401)*(1-VALUE(SUBSTITUTE(VLOOKUP(TRIM(A1401),'RESTAURANTESDESCUENTOS 2026'!A:B,2,FALSE),"%",""))/100)+I1401),(VLOOKUP(TRIM(D1401), CATALOGO!A:B, 2, FALSE) * C1401+I1401)),""))</f>
        <v>50000</v>
      </c>
      <c r="K1401" s="196"/>
      <c r="L1401" s="87"/>
      <c r="M1401" s="197" t="s">
        <v>587</v>
      </c>
      <c r="N1401" s="168"/>
    </row>
    <row r="1402" ht="22.5" hidden="1" customHeight="1">
      <c r="A1402" s="137" t="s">
        <v>1042</v>
      </c>
      <c r="B1402" s="90">
        <v>46084.0</v>
      </c>
      <c r="C1402" s="55">
        <v>1.0</v>
      </c>
      <c r="D1402" s="97" t="s">
        <v>178</v>
      </c>
      <c r="E1402" s="201" t="s">
        <v>864</v>
      </c>
      <c r="F1402" s="202"/>
      <c r="G1402" s="194" t="s">
        <v>587</v>
      </c>
      <c r="H1402" s="195" t="s">
        <v>632</v>
      </c>
      <c r="I1402" s="196">
        <v>14000.0</v>
      </c>
      <c r="J1402" s="179">
        <f>IF(A1402="RAPPI",(VLOOKUP(TRIM(D1402), CATALOGO!F:G, 2, FALSE) * C1402)+I1402,IFERROR(IF(COUNTIF('RESTAURANTESDESCUENTOS 2026'!A:A,TRIM(A1402))&gt;0,((VLOOKUP(TRIM(D1402), CATALOGO!A:B, 2, FALSE) * C1402)*(1-VALUE(SUBSTITUTE(VLOOKUP(TRIM(A1402),'RESTAURANTESDESCUENTOS 2026'!A:B,2,FALSE),"%",""))/100)+I1402),(VLOOKUP(TRIM(D1402), CATALOGO!A:B, 2, FALSE) * C1402+I1402)),""))</f>
        <v>164000</v>
      </c>
      <c r="K1402" s="196">
        <v>14000.0</v>
      </c>
      <c r="L1402" s="87"/>
      <c r="M1402" s="197" t="s">
        <v>587</v>
      </c>
      <c r="N1402" s="168"/>
    </row>
    <row r="1403" ht="22.5" hidden="1" customHeight="1">
      <c r="A1403" s="137" t="s">
        <v>1043</v>
      </c>
      <c r="B1403" s="90">
        <v>46084.0</v>
      </c>
      <c r="C1403" s="55">
        <v>2.0</v>
      </c>
      <c r="D1403" s="97" t="s">
        <v>176</v>
      </c>
      <c r="E1403" s="201"/>
      <c r="F1403" s="202"/>
      <c r="G1403" s="194" t="s">
        <v>35</v>
      </c>
      <c r="H1403" s="198"/>
      <c r="I1403" s="196"/>
      <c r="J1403" s="179">
        <f>IF(A1403="RAPPI",(VLOOKUP(TRIM(D1403), CATALOGO!F:G, 2, FALSE) * C1403)+I1403,IFERROR(IF(COUNTIF('RESTAURANTESDESCUENTOS 2026'!A:A,TRIM(A1403))&gt;0,((VLOOKUP(TRIM(D1403), CATALOGO!A:B, 2, FALSE) * C1403)*(1-VALUE(SUBSTITUTE(VLOOKUP(TRIM(A1403),'RESTAURANTESDESCUENTOS 2026'!A:B,2,FALSE),"%",""))/100)+I1403),(VLOOKUP(TRIM(D1403), CATALOGO!A:B, 2, FALSE) * C1403+I1403)),""))</f>
        <v>100000</v>
      </c>
      <c r="K1403" s="196"/>
      <c r="L1403" s="87"/>
      <c r="M1403" s="197" t="s">
        <v>587</v>
      </c>
      <c r="N1403" s="168"/>
    </row>
    <row r="1404" ht="22.5" hidden="1" customHeight="1">
      <c r="A1404" s="137" t="s">
        <v>603</v>
      </c>
      <c r="B1404" s="90">
        <v>46084.0</v>
      </c>
      <c r="C1404" s="55">
        <v>1.0</v>
      </c>
      <c r="D1404" s="97" t="s">
        <v>617</v>
      </c>
      <c r="E1404" s="201">
        <v>4990.0</v>
      </c>
      <c r="F1404" s="202"/>
      <c r="G1404" s="194" t="s">
        <v>587</v>
      </c>
      <c r="H1404" s="195" t="s">
        <v>603</v>
      </c>
      <c r="I1404" s="196"/>
      <c r="J1404" s="179">
        <f>IF(A1404="RAPPI",(VLOOKUP(TRIM(D1404), CATALOGO!F:G, 2, FALSE) * C1404)+I1404,IFERROR(IF(COUNTIF('RESTAURANTESDESCUENTOS 2026'!A:A,TRIM(A1404))&gt;0,((VLOOKUP(TRIM(D1404), CATALOGO!A:B, 2, FALSE) * C1404)*(1-VALUE(SUBSTITUTE(VLOOKUP(TRIM(A1404),'RESTAURANTESDESCUENTOS 2026'!A:B,2,FALSE),"%",""))/100)+I1404),(VLOOKUP(TRIM(D1404), CATALOGO!A:B, 2, FALSE) * C1404+I1404)),""))</f>
        <v>123000</v>
      </c>
      <c r="K1404" s="196"/>
      <c r="L1404" s="87"/>
      <c r="M1404" s="197" t="s">
        <v>587</v>
      </c>
      <c r="N1404" s="168"/>
    </row>
    <row r="1405" ht="22.5" hidden="1" customHeight="1">
      <c r="A1405" s="137" t="s">
        <v>597</v>
      </c>
      <c r="B1405" s="90">
        <v>46084.0</v>
      </c>
      <c r="C1405" s="55">
        <v>4.0</v>
      </c>
      <c r="D1405" s="97" t="s">
        <v>176</v>
      </c>
      <c r="E1405" s="201"/>
      <c r="F1405" s="202"/>
      <c r="G1405" s="194" t="s">
        <v>587</v>
      </c>
      <c r="H1405" s="195" t="s">
        <v>632</v>
      </c>
      <c r="I1405" s="196">
        <v>0.0</v>
      </c>
      <c r="J1405" s="199">
        <v>0.0</v>
      </c>
      <c r="K1405" s="196">
        <v>110000.0</v>
      </c>
      <c r="L1405" s="87"/>
      <c r="M1405" s="197" t="s">
        <v>587</v>
      </c>
      <c r="N1405" s="168"/>
    </row>
    <row r="1406" ht="22.5" hidden="1" customHeight="1">
      <c r="A1406" s="137" t="s">
        <v>597</v>
      </c>
      <c r="B1406" s="90">
        <v>46084.0</v>
      </c>
      <c r="C1406" s="55">
        <v>3.0</v>
      </c>
      <c r="D1406" s="97" t="s">
        <v>177</v>
      </c>
      <c r="E1406" s="201"/>
      <c r="F1406" s="202"/>
      <c r="G1406" s="194" t="s">
        <v>587</v>
      </c>
      <c r="H1406" s="195" t="s">
        <v>632</v>
      </c>
      <c r="I1406" s="196">
        <v>0.0</v>
      </c>
      <c r="J1406" s="199">
        <v>0.0</v>
      </c>
      <c r="K1406" s="196">
        <v>0.0</v>
      </c>
      <c r="L1406" s="87"/>
      <c r="M1406" s="197" t="s">
        <v>587</v>
      </c>
      <c r="N1406" s="168"/>
    </row>
    <row r="1407" ht="22.5" hidden="1" customHeight="1">
      <c r="A1407" s="137" t="s">
        <v>597</v>
      </c>
      <c r="B1407" s="90">
        <v>46084.0</v>
      </c>
      <c r="C1407" s="55">
        <v>1.0</v>
      </c>
      <c r="D1407" s="193"/>
      <c r="E1407" s="201" t="s">
        <v>561</v>
      </c>
      <c r="F1407" s="202"/>
      <c r="G1407" s="194" t="s">
        <v>587</v>
      </c>
      <c r="H1407" s="195" t="s">
        <v>632</v>
      </c>
      <c r="I1407" s="196">
        <v>0.0</v>
      </c>
      <c r="J1407" s="199">
        <v>0.0</v>
      </c>
      <c r="K1407" s="196">
        <v>0.0</v>
      </c>
      <c r="L1407" s="87"/>
      <c r="M1407" s="197" t="s">
        <v>587</v>
      </c>
      <c r="N1407" s="168"/>
    </row>
    <row r="1408" ht="22.5" hidden="1" customHeight="1">
      <c r="A1408" s="137" t="s">
        <v>597</v>
      </c>
      <c r="B1408" s="90">
        <v>46084.0</v>
      </c>
      <c r="C1408" s="55">
        <v>1.0</v>
      </c>
      <c r="D1408" s="193"/>
      <c r="E1408" s="201" t="s">
        <v>562</v>
      </c>
      <c r="F1408" s="202"/>
      <c r="G1408" s="194" t="s">
        <v>587</v>
      </c>
      <c r="H1408" s="195" t="s">
        <v>632</v>
      </c>
      <c r="I1408" s="196">
        <v>0.0</v>
      </c>
      <c r="J1408" s="199">
        <v>0.0</v>
      </c>
      <c r="K1408" s="196">
        <v>0.0</v>
      </c>
      <c r="L1408" s="87"/>
      <c r="M1408" s="197" t="s">
        <v>587</v>
      </c>
      <c r="N1408" s="168"/>
    </row>
    <row r="1409" ht="22.5" hidden="1" customHeight="1">
      <c r="A1409" s="137" t="s">
        <v>603</v>
      </c>
      <c r="B1409" s="90">
        <v>46084.0</v>
      </c>
      <c r="C1409" s="55">
        <v>2.0</v>
      </c>
      <c r="D1409" s="97" t="s">
        <v>174</v>
      </c>
      <c r="E1409" s="201">
        <v>9593.0</v>
      </c>
      <c r="F1409" s="202"/>
      <c r="G1409" s="194" t="s">
        <v>587</v>
      </c>
      <c r="H1409" s="195" t="s">
        <v>603</v>
      </c>
      <c r="I1409" s="196"/>
      <c r="J1409" s="179">
        <f>IF(A1409="RAPPI",(VLOOKUP(TRIM(D1409), CATALOGO!F:G, 2, FALSE) * C1409)+I1409,IFERROR(IF(COUNTIF('RESTAURANTESDESCUENTOS 2026'!A:A,TRIM(A1409))&gt;0,((VLOOKUP(TRIM(D1409), CATALOGO!A:B, 2, FALSE) * C1409)*(1-VALUE(SUBSTITUTE(VLOOKUP(TRIM(A1409),'RESTAURANTESDESCUENTOS 2026'!A:B,2,FALSE),"%",""))/100)+I1409),(VLOOKUP(TRIM(D1409), CATALOGO!A:B, 2, FALSE) * C1409+I1409)),""))</f>
        <v>36000</v>
      </c>
      <c r="K1409" s="196"/>
      <c r="L1409" s="87"/>
      <c r="M1409" s="197" t="s">
        <v>587</v>
      </c>
      <c r="N1409" s="168"/>
    </row>
    <row r="1410" ht="22.5" hidden="1" customHeight="1">
      <c r="A1410" s="137" t="s">
        <v>603</v>
      </c>
      <c r="B1410" s="90">
        <v>46084.0</v>
      </c>
      <c r="C1410" s="55">
        <v>1.0</v>
      </c>
      <c r="D1410" s="97" t="s">
        <v>601</v>
      </c>
      <c r="E1410" s="201">
        <v>5310.0</v>
      </c>
      <c r="F1410" s="202"/>
      <c r="G1410" s="194" t="s">
        <v>587</v>
      </c>
      <c r="H1410" s="195" t="s">
        <v>603</v>
      </c>
      <c r="I1410" s="196"/>
      <c r="J1410" s="179">
        <f>IF(A1410="RAPPI",(VLOOKUP(TRIM(D1410), CATALOGO!F:G, 2, FALSE) * C1410)+I1410,IFERROR(IF(COUNTIF('RESTAURANTESDESCUENTOS 2026'!A:A,TRIM(A1410))&gt;0,((VLOOKUP(TRIM(D1410), CATALOGO!A:B, 2, FALSE) * C1410)*(1-VALUE(SUBSTITUTE(VLOOKUP(TRIM(A1410),'RESTAURANTESDESCUENTOS 2026'!A:B,2,FALSE),"%",""))/100)+I1410),(VLOOKUP(TRIM(D1410), CATALOGO!A:B, 2, FALSE) * C1410+I1410)),""))</f>
        <v>53000</v>
      </c>
      <c r="K1410" s="196"/>
      <c r="L1410" s="87"/>
      <c r="M1410" s="197" t="s">
        <v>587</v>
      </c>
      <c r="N1410" s="168"/>
    </row>
    <row r="1411" ht="22.5" hidden="1" customHeight="1">
      <c r="A1411" s="137" t="s">
        <v>1044</v>
      </c>
      <c r="B1411" s="90">
        <v>46084.0</v>
      </c>
      <c r="C1411" s="55">
        <v>1.0</v>
      </c>
      <c r="D1411" s="97" t="s">
        <v>177</v>
      </c>
      <c r="E1411" s="201" t="s">
        <v>864</v>
      </c>
      <c r="F1411" s="202"/>
      <c r="G1411" s="194" t="s">
        <v>35</v>
      </c>
      <c r="H1411" s="198"/>
      <c r="I1411" s="196"/>
      <c r="J1411" s="179">
        <f>IF(A1411="RAPPI",(VLOOKUP(TRIM(D1411), CATALOGO!F:G, 2, FALSE) * C1411)+I1411,IFERROR(IF(COUNTIF('RESTAURANTESDESCUENTOS 2026'!A:A,TRIM(A1411))&gt;0,((VLOOKUP(TRIM(D1411), CATALOGO!A:B, 2, FALSE) * C1411)*(1-VALUE(SUBSTITUTE(VLOOKUP(TRIM(A1411),'RESTAURANTESDESCUENTOS 2026'!A:B,2,FALSE),"%",""))/100)+I1411),(VLOOKUP(TRIM(D1411), CATALOGO!A:B, 2, FALSE) * C1411+I1411)),""))</f>
        <v>115000</v>
      </c>
      <c r="K1411" s="196"/>
      <c r="L1411" s="87"/>
      <c r="M1411" s="197" t="s">
        <v>587</v>
      </c>
      <c r="N1411" s="168"/>
    </row>
    <row r="1412" ht="22.5" hidden="1" customHeight="1">
      <c r="A1412" s="137" t="s">
        <v>142</v>
      </c>
      <c r="B1412" s="90">
        <v>46084.0</v>
      </c>
      <c r="C1412" s="55">
        <v>1.0</v>
      </c>
      <c r="D1412" s="97" t="s">
        <v>177</v>
      </c>
      <c r="E1412" s="201"/>
      <c r="F1412" s="202"/>
      <c r="G1412" s="194" t="s">
        <v>587</v>
      </c>
      <c r="H1412" s="198"/>
      <c r="I1412" s="196">
        <v>10000.0</v>
      </c>
      <c r="J1412" s="179">
        <f>IF(A1412="RAPPI",(VLOOKUP(TRIM(D1412), CATALOGO!F:G, 2, FALSE) * C1412)+I1412,IFERROR(IF(COUNTIF('RESTAURANTESDESCUENTOS 2026'!A:A,TRIM(A1412))&gt;0,((VLOOKUP(TRIM(D1412), CATALOGO!A:B, 2, FALSE) * C1412)*(1-VALUE(SUBSTITUTE(VLOOKUP(TRIM(A1412),'RESTAURANTESDESCUENTOS 2026'!A:B,2,FALSE),"%",""))/100)+I1412),(VLOOKUP(TRIM(D1412), CATALOGO!A:B, 2, FALSE) * C1412+I1412)),""))</f>
        <v>96250</v>
      </c>
      <c r="K1412" s="196">
        <v>15000.0</v>
      </c>
      <c r="L1412" s="87"/>
      <c r="M1412" s="197" t="s">
        <v>587</v>
      </c>
      <c r="N1412" s="168"/>
    </row>
    <row r="1413" ht="22.5" hidden="1" customHeight="1">
      <c r="A1413" s="137" t="s">
        <v>605</v>
      </c>
      <c r="B1413" s="90">
        <v>46084.0</v>
      </c>
      <c r="C1413" s="55">
        <v>1.0</v>
      </c>
      <c r="D1413" s="97" t="s">
        <v>174</v>
      </c>
      <c r="E1413" s="201" t="s">
        <v>1045</v>
      </c>
      <c r="F1413" s="236" t="s">
        <v>1036</v>
      </c>
      <c r="G1413" s="194" t="s">
        <v>35</v>
      </c>
      <c r="H1413" s="198"/>
      <c r="I1413" s="196"/>
      <c r="J1413" s="179">
        <f>IF(A1413="RAPPI",(VLOOKUP(TRIM(D1413), CATALOGO!F:G, 2, FALSE) * C1413)+I1413,IFERROR(IF(COUNTIF('RESTAURANTESDESCUENTOS 2026'!A:A,TRIM(A1413))&gt;0,((VLOOKUP(TRIM(D1413), CATALOGO!A:B, 2, FALSE) * C1413)*(1-VALUE(SUBSTITUTE(VLOOKUP(TRIM(A1413),'RESTAURANTESDESCUENTOS 2026'!A:B,2,FALSE),"%",""))/100)+I1413),(VLOOKUP(TRIM(D1413), CATALOGO!A:B, 2, FALSE) * C1413+I1413)),""))</f>
        <v>18000</v>
      </c>
      <c r="K1413" s="196"/>
      <c r="L1413" s="87"/>
      <c r="M1413" s="197" t="s">
        <v>587</v>
      </c>
      <c r="N1413" s="168"/>
    </row>
    <row r="1414" ht="22.5" hidden="1" customHeight="1">
      <c r="A1414" s="137" t="s">
        <v>116</v>
      </c>
      <c r="B1414" s="90">
        <v>46085.0</v>
      </c>
      <c r="C1414" s="55">
        <v>24.0</v>
      </c>
      <c r="D1414" s="97" t="s">
        <v>183</v>
      </c>
      <c r="E1414" s="201"/>
      <c r="F1414" s="202"/>
      <c r="G1414" s="194" t="s">
        <v>587</v>
      </c>
      <c r="H1414" s="195" t="s">
        <v>753</v>
      </c>
      <c r="I1414" s="196">
        <v>0.0</v>
      </c>
      <c r="J1414" s="179">
        <f>IF(A1414="RAPPI",(VLOOKUP(TRIM(D1414), CATALOGO!F:G, 2, FALSE) * C1414)+I1414,IFERROR(IF(COUNTIF('RESTAURANTESDESCUENTOS 2026'!A:A,TRIM(A1414))&gt;0,((VLOOKUP(TRIM(D1414), CATALOGO!A:B, 2, FALSE) * C1414)*(1-VALUE(SUBSTITUTE(VLOOKUP(TRIM(A1414),'RESTAURANTESDESCUENTOS 2026'!A:B,2,FALSE),"%",""))/100)+I1414),(VLOOKUP(TRIM(D1414), CATALOGO!A:B, 2, FALSE) * C1414+I1414)),""))</f>
        <v>369600</v>
      </c>
      <c r="K1414" s="196">
        <v>18000.0</v>
      </c>
      <c r="L1414" s="87" t="s">
        <v>587</v>
      </c>
      <c r="M1414" s="197" t="s">
        <v>587</v>
      </c>
      <c r="N1414" s="168"/>
    </row>
    <row r="1415" ht="22.5" hidden="1" customHeight="1">
      <c r="A1415" s="137" t="s">
        <v>116</v>
      </c>
      <c r="B1415" s="90">
        <v>46085.0</v>
      </c>
      <c r="C1415" s="55">
        <v>3.0</v>
      </c>
      <c r="D1415" s="97" t="s">
        <v>185</v>
      </c>
      <c r="E1415" s="201"/>
      <c r="F1415" s="202"/>
      <c r="G1415" s="194" t="s">
        <v>587</v>
      </c>
      <c r="H1415" s="195" t="s">
        <v>753</v>
      </c>
      <c r="I1415" s="196">
        <v>0.0</v>
      </c>
      <c r="J1415" s="179">
        <f>IF(A1415="RAPPI",(VLOOKUP(TRIM(D1415), CATALOGO!F:G, 2, FALSE) * C1415)+I1415,IFERROR(IF(COUNTIF('RESTAURANTESDESCUENTOS 2026'!A:A,TRIM(A1415))&gt;0,((VLOOKUP(TRIM(D1415), CATALOGO!A:B, 2, FALSE) * C1415)*(1-VALUE(SUBSTITUTE(VLOOKUP(TRIM(A1415),'RESTAURANTESDESCUENTOS 2026'!A:B,2,FALSE),"%",""))/100)+I1415),(VLOOKUP(TRIM(D1415), CATALOGO!A:B, 2, FALSE) * C1415+I1415)),""))</f>
        <v>52800</v>
      </c>
      <c r="K1415" s="196">
        <v>0.0</v>
      </c>
      <c r="L1415" s="87" t="s">
        <v>587</v>
      </c>
      <c r="M1415" s="197" t="s">
        <v>587</v>
      </c>
      <c r="N1415" s="168"/>
    </row>
    <row r="1416" ht="22.5" hidden="1" customHeight="1">
      <c r="A1416" s="137" t="s">
        <v>109</v>
      </c>
      <c r="B1416" s="90">
        <v>46085.0</v>
      </c>
      <c r="C1416" s="55">
        <v>12.0</v>
      </c>
      <c r="D1416" s="97" t="s">
        <v>184</v>
      </c>
      <c r="E1416" s="201"/>
      <c r="F1416" s="202"/>
      <c r="G1416" s="194" t="s">
        <v>587</v>
      </c>
      <c r="H1416" s="195" t="s">
        <v>753</v>
      </c>
      <c r="I1416" s="196">
        <v>0.0</v>
      </c>
      <c r="J1416" s="179">
        <f>IF(A1416="RAPPI",(VLOOKUP(TRIM(D1416), CATALOGO!F:G, 2, FALSE) * C1416)+I1416,IFERROR(IF(COUNTIF('RESTAURANTESDESCUENTOS 2026'!A:A,TRIM(A1416))&gt;0,((VLOOKUP(TRIM(D1416), CATALOGO!A:B, 2, FALSE) * C1416)*(1-VALUE(SUBSTITUTE(VLOOKUP(TRIM(A1416),'RESTAURANTESDESCUENTOS 2026'!A:B,2,FALSE),"%",""))/100)+I1416),(VLOOKUP(TRIM(D1416), CATALOGO!A:B, 2, FALSE) * C1416+I1416)),""))</f>
        <v>288000</v>
      </c>
      <c r="K1416" s="196">
        <v>24000.0</v>
      </c>
      <c r="L1416" s="87" t="s">
        <v>587</v>
      </c>
      <c r="M1416" s="197" t="s">
        <v>587</v>
      </c>
      <c r="N1416" s="168"/>
    </row>
    <row r="1417" ht="22.5" hidden="1" customHeight="1">
      <c r="A1417" s="137" t="s">
        <v>929</v>
      </c>
      <c r="B1417" s="90">
        <v>46085.0</v>
      </c>
      <c r="C1417" s="55">
        <v>1.0</v>
      </c>
      <c r="D1417" s="97" t="s">
        <v>177</v>
      </c>
      <c r="E1417" s="201" t="s">
        <v>864</v>
      </c>
      <c r="F1417" s="202"/>
      <c r="G1417" s="194" t="s">
        <v>587</v>
      </c>
      <c r="H1417" s="195" t="s">
        <v>588</v>
      </c>
      <c r="I1417" s="196">
        <v>12000.0</v>
      </c>
      <c r="J1417" s="179">
        <f>IF(A1417="RAPPI",(VLOOKUP(TRIM(D1417), CATALOGO!F:G, 2, FALSE) * C1417)+I1417,IFERROR(IF(COUNTIF('RESTAURANTESDESCUENTOS 2026'!A:A,TRIM(A1417))&gt;0,((VLOOKUP(TRIM(D1417), CATALOGO!A:B, 2, FALSE) * C1417)*(1-VALUE(SUBSTITUTE(VLOOKUP(TRIM(A1417),'RESTAURANTESDESCUENTOS 2026'!A:B,2,FALSE),"%",""))/100)+I1417),(VLOOKUP(TRIM(D1417), CATALOGO!A:B, 2, FALSE) * C1417+I1417)),""))</f>
        <v>127000</v>
      </c>
      <c r="K1417" s="196">
        <v>12000.0</v>
      </c>
      <c r="L1417" s="87"/>
      <c r="M1417" s="197" t="s">
        <v>587</v>
      </c>
      <c r="N1417" s="168"/>
    </row>
    <row r="1418" ht="22.5" hidden="1" customHeight="1">
      <c r="A1418" s="137" t="s">
        <v>40</v>
      </c>
      <c r="B1418" s="90">
        <v>46085.0</v>
      </c>
      <c r="C1418" s="55">
        <v>2.0</v>
      </c>
      <c r="D1418" s="97" t="s">
        <v>177</v>
      </c>
      <c r="E1418" s="201" t="s">
        <v>610</v>
      </c>
      <c r="F1418" s="202"/>
      <c r="G1418" s="194" t="s">
        <v>587</v>
      </c>
      <c r="H1418" s="195" t="s">
        <v>588</v>
      </c>
      <c r="I1418" s="196">
        <v>0.0</v>
      </c>
      <c r="J1418" s="179">
        <f>IF(A1418="RAPPI",(VLOOKUP(TRIM(D1418), CATALOGO!F:G, 2, FALSE) * C1418)+I1418,IFERROR(IF(COUNTIF('RESTAURANTESDESCUENTOS 2026'!A:A,TRIM(A1418))&gt;0,((VLOOKUP(TRIM(D1418), CATALOGO!A:B, 2, FALSE) * C1418)*(1-VALUE(SUBSTITUTE(VLOOKUP(TRIM(A1418),'RESTAURANTESDESCUENTOS 2026'!A:B,2,FALSE),"%",""))/100)+I1418),(VLOOKUP(TRIM(D1418), CATALOGO!A:B, 2, FALSE) * C1418+I1418)),""))</f>
        <v>172500</v>
      </c>
      <c r="K1418" s="196">
        <v>10000.0</v>
      </c>
      <c r="L1418" s="87" t="s">
        <v>587</v>
      </c>
      <c r="M1418" s="197" t="s">
        <v>587</v>
      </c>
      <c r="N1418" s="168"/>
    </row>
    <row r="1419" ht="22.5" hidden="1" customHeight="1">
      <c r="A1419" s="137" t="s">
        <v>10</v>
      </c>
      <c r="B1419" s="90">
        <v>46085.0</v>
      </c>
      <c r="C1419" s="55">
        <v>1.0</v>
      </c>
      <c r="D1419" s="97" t="s">
        <v>178</v>
      </c>
      <c r="E1419" s="201" t="s">
        <v>610</v>
      </c>
      <c r="F1419" s="202"/>
      <c r="G1419" s="194" t="s">
        <v>587</v>
      </c>
      <c r="H1419" s="195" t="s">
        <v>588</v>
      </c>
      <c r="I1419" s="196">
        <v>10000.0</v>
      </c>
      <c r="J1419" s="179">
        <f>IF(A1419="RAPPI",(VLOOKUP(TRIM(D1419), CATALOGO!F:G, 2, FALSE) * C1419)+I1419,IFERROR(IF(COUNTIF('RESTAURANTESDESCUENTOS 2026'!A:A,TRIM(A1419))&gt;0,((VLOOKUP(TRIM(D1419), CATALOGO!A:B, 2, FALSE) * C1419)*(1-VALUE(SUBSTITUTE(VLOOKUP(TRIM(A1419),'RESTAURANTESDESCUENTOS 2026'!A:B,2,FALSE),"%",""))/100)+I1419),(VLOOKUP(TRIM(D1419), CATALOGO!A:B, 2, FALSE) * C1419+I1419)),""))</f>
        <v>122500</v>
      </c>
      <c r="K1419" s="196">
        <v>10000.0</v>
      </c>
      <c r="L1419" s="87" t="s">
        <v>587</v>
      </c>
      <c r="M1419" s="197" t="s">
        <v>587</v>
      </c>
      <c r="N1419" s="168"/>
    </row>
    <row r="1420" ht="22.5" hidden="1" customHeight="1">
      <c r="A1420" s="137" t="s">
        <v>968</v>
      </c>
      <c r="B1420" s="90">
        <v>46085.0</v>
      </c>
      <c r="C1420" s="55">
        <v>8.0</v>
      </c>
      <c r="D1420" s="97" t="s">
        <v>182</v>
      </c>
      <c r="E1420" s="201" t="s">
        <v>1046</v>
      </c>
      <c r="F1420" s="202"/>
      <c r="G1420" s="194" t="s">
        <v>587</v>
      </c>
      <c r="H1420" s="195" t="s">
        <v>588</v>
      </c>
      <c r="I1420" s="196">
        <v>10000.0</v>
      </c>
      <c r="J1420" s="179">
        <f>IF(A1420="RAPPI",(VLOOKUP(TRIM(D1420), CATALOGO!F:G, 2, FALSE) * C1420)+I1420,IFERROR(IF(COUNTIF('RESTAURANTESDESCUENTOS 2026'!A:A,TRIM(A1420))&gt;0,((VLOOKUP(TRIM(D1420), CATALOGO!A:B, 2, FALSE) * C1420)*(1-VALUE(SUBSTITUTE(VLOOKUP(TRIM(A1420),'RESTAURANTESDESCUENTOS 2026'!A:B,2,FALSE),"%",""))/100)+I1420),(VLOOKUP(TRIM(D1420), CATALOGO!A:B, 2, FALSE) * C1420+I1420)),""))</f>
        <v>232000</v>
      </c>
      <c r="K1420" s="196">
        <v>12000.0</v>
      </c>
      <c r="L1420" s="87" t="s">
        <v>587</v>
      </c>
      <c r="M1420" s="197" t="s">
        <v>587</v>
      </c>
      <c r="N1420" s="168"/>
    </row>
    <row r="1421" ht="22.5" hidden="1" customHeight="1">
      <c r="A1421" s="137" t="s">
        <v>927</v>
      </c>
      <c r="B1421" s="90">
        <v>46085.0</v>
      </c>
      <c r="C1421" s="55">
        <v>1.0</v>
      </c>
      <c r="D1421" s="97" t="s">
        <v>182</v>
      </c>
      <c r="E1421" s="201" t="s">
        <v>645</v>
      </c>
      <c r="F1421" s="202"/>
      <c r="G1421" s="194" t="s">
        <v>587</v>
      </c>
      <c r="H1421" s="195" t="s">
        <v>753</v>
      </c>
      <c r="I1421" s="196">
        <v>12000.0</v>
      </c>
      <c r="J1421" s="179">
        <f>IF(A1421="RAPPI",(VLOOKUP(TRIM(D1421), CATALOGO!F:G, 2, FALSE) * C1421)+I1421,IFERROR(IF(COUNTIF('RESTAURANTESDESCUENTOS 2026'!A:A,TRIM(A1421))&gt;0,((VLOOKUP(TRIM(D1421), CATALOGO!A:B, 2, FALSE) * C1421)*(1-VALUE(SUBSTITUTE(VLOOKUP(TRIM(A1421),'RESTAURANTESDESCUENTOS 2026'!A:B,2,FALSE),"%",""))/100)+I1421),(VLOOKUP(TRIM(D1421), CATALOGO!A:B, 2, FALSE) * C1421+I1421)),""))</f>
        <v>49000</v>
      </c>
      <c r="K1421" s="196">
        <v>12000.0</v>
      </c>
      <c r="L1421" s="87"/>
      <c r="M1421" s="197" t="s">
        <v>587</v>
      </c>
      <c r="N1421" s="168"/>
    </row>
    <row r="1422" ht="22.5" hidden="1" customHeight="1">
      <c r="A1422" s="137" t="s">
        <v>927</v>
      </c>
      <c r="B1422" s="90">
        <v>46085.0</v>
      </c>
      <c r="C1422" s="55">
        <v>4.0</v>
      </c>
      <c r="D1422" s="97" t="s">
        <v>620</v>
      </c>
      <c r="E1422" s="201"/>
      <c r="F1422" s="202"/>
      <c r="G1422" s="194" t="s">
        <v>587</v>
      </c>
      <c r="H1422" s="195" t="s">
        <v>753</v>
      </c>
      <c r="I1422" s="196">
        <v>0.0</v>
      </c>
      <c r="J1422" s="179">
        <f>IF(A1422="RAPPI",(VLOOKUP(TRIM(D1422), CATALOGO!F:G, 2, FALSE) * C1422)+I1422,IFERROR(IF(COUNTIF('RESTAURANTESDESCUENTOS 2026'!A:A,TRIM(A1422))&gt;0,((VLOOKUP(TRIM(D1422), CATALOGO!A:B, 2, FALSE) * C1422)*(1-VALUE(SUBSTITUTE(VLOOKUP(TRIM(A1422),'RESTAURANTESDESCUENTOS 2026'!A:B,2,FALSE),"%",""))/100)+I1422),(VLOOKUP(TRIM(D1422), CATALOGO!A:B, 2, FALSE) * C1422+I1422)),""))</f>
        <v>0</v>
      </c>
      <c r="K1422" s="196">
        <v>0.0</v>
      </c>
      <c r="L1422" s="87"/>
      <c r="M1422" s="197" t="s">
        <v>587</v>
      </c>
      <c r="N1422" s="168"/>
    </row>
    <row r="1423" ht="22.5" hidden="1" customHeight="1">
      <c r="A1423" s="137" t="s">
        <v>1047</v>
      </c>
      <c r="B1423" s="90">
        <v>46085.0</v>
      </c>
      <c r="C1423" s="55">
        <v>1.0</v>
      </c>
      <c r="D1423" s="97" t="s">
        <v>678</v>
      </c>
      <c r="E1423" s="201"/>
      <c r="F1423" s="202"/>
      <c r="G1423" s="194" t="s">
        <v>587</v>
      </c>
      <c r="H1423" s="195" t="s">
        <v>753</v>
      </c>
      <c r="I1423" s="196">
        <v>10000.0</v>
      </c>
      <c r="J1423" s="179">
        <f>IF(A1423="RAPPI",(VLOOKUP(TRIM(D1423), CATALOGO!F:G, 2, FALSE) * C1423)+I1423,IFERROR(IF(COUNTIF('RESTAURANTESDESCUENTOS 2026'!A:A,TRIM(A1423))&gt;0,((VLOOKUP(TRIM(D1423), CATALOGO!A:B, 2, FALSE) * C1423)*(1-VALUE(SUBSTITUTE(VLOOKUP(TRIM(A1423),'RESTAURANTESDESCUENTOS 2026'!A:B,2,FALSE),"%",""))/100)+I1423),(VLOOKUP(TRIM(D1423), CATALOGO!A:B, 2, FALSE) * C1423+I1423)),""))</f>
        <v>133000</v>
      </c>
      <c r="K1423" s="196">
        <v>10000.0</v>
      </c>
      <c r="L1423" s="87"/>
      <c r="M1423" s="197" t="s">
        <v>587</v>
      </c>
      <c r="N1423" s="168"/>
    </row>
    <row r="1424" ht="22.5" hidden="1" customHeight="1">
      <c r="A1424" s="137" t="s">
        <v>603</v>
      </c>
      <c r="B1424" s="90">
        <v>46085.0</v>
      </c>
      <c r="C1424" s="55">
        <v>1.0</v>
      </c>
      <c r="D1424" s="97" t="s">
        <v>824</v>
      </c>
      <c r="E1424" s="201">
        <v>5667.0</v>
      </c>
      <c r="F1424" s="202"/>
      <c r="G1424" s="194" t="s">
        <v>587</v>
      </c>
      <c r="H1424" s="195" t="s">
        <v>603</v>
      </c>
      <c r="I1424" s="196"/>
      <c r="J1424" s="179">
        <f>IF(A1424="RAPPI",(VLOOKUP(TRIM(D1424), CATALOGO!F:G, 2, FALSE) * C1424)+I1424,IFERROR(IF(COUNTIF('RESTAURANTESDESCUENTOS 2026'!A:A,TRIM(A1424))&gt;0,((VLOOKUP(TRIM(D1424), CATALOGO!A:B, 2, FALSE) * C1424)*(1-VALUE(SUBSTITUTE(VLOOKUP(TRIM(A1424),'RESTAURANTESDESCUENTOS 2026'!A:B,2,FALSE),"%",""))/100)+I1424),(VLOOKUP(TRIM(D1424), CATALOGO!A:B, 2, FALSE) * C1424+I1424)),""))</f>
        <v>123000</v>
      </c>
      <c r="K1424" s="196"/>
      <c r="L1424" s="87"/>
      <c r="M1424" s="197" t="s">
        <v>587</v>
      </c>
      <c r="N1424" s="168"/>
    </row>
    <row r="1425" ht="22.5" hidden="1" customHeight="1">
      <c r="A1425" s="137" t="s">
        <v>131</v>
      </c>
      <c r="B1425" s="90">
        <v>46085.0</v>
      </c>
      <c r="C1425" s="55">
        <v>1.0</v>
      </c>
      <c r="D1425" s="97" t="s">
        <v>178</v>
      </c>
      <c r="E1425" s="201" t="s">
        <v>610</v>
      </c>
      <c r="F1425" s="202"/>
      <c r="G1425" s="194" t="s">
        <v>587</v>
      </c>
      <c r="H1425" s="195" t="s">
        <v>588</v>
      </c>
      <c r="I1425" s="196">
        <v>5000.0</v>
      </c>
      <c r="J1425" s="179">
        <f>IF(A1425="RAPPI",(VLOOKUP(TRIM(D1425), CATALOGO!F:G, 2, FALSE) * C1425)+I1425,IFERROR(IF(COUNTIF('RESTAURANTESDESCUENTOS 2026'!A:A,TRIM(A1425))&gt;0,((VLOOKUP(TRIM(D1425), CATALOGO!A:B, 2, FALSE) * C1425)*(1-VALUE(SUBSTITUTE(VLOOKUP(TRIM(A1425),'RESTAURANTESDESCUENTOS 2026'!A:B,2,FALSE),"%",""))/100)+I1425),(VLOOKUP(TRIM(D1425), CATALOGO!A:B, 2, FALSE) * C1425+I1425)),""))</f>
        <v>110000</v>
      </c>
      <c r="K1425" s="196">
        <v>10000.0</v>
      </c>
      <c r="L1425" s="87" t="s">
        <v>587</v>
      </c>
      <c r="M1425" s="197" t="s">
        <v>587</v>
      </c>
      <c r="N1425" s="168"/>
    </row>
    <row r="1426" ht="22.5" hidden="1" customHeight="1">
      <c r="A1426" s="137" t="s">
        <v>1048</v>
      </c>
      <c r="B1426" s="90">
        <v>46085.0</v>
      </c>
      <c r="C1426" s="55">
        <v>1.0</v>
      </c>
      <c r="D1426" s="97" t="s">
        <v>182</v>
      </c>
      <c r="E1426" s="201"/>
      <c r="F1426" s="202"/>
      <c r="G1426" s="194" t="s">
        <v>587</v>
      </c>
      <c r="H1426" s="195" t="s">
        <v>588</v>
      </c>
      <c r="I1426" s="196">
        <v>10000.0</v>
      </c>
      <c r="J1426" s="179">
        <f>IF(A1426="RAPPI",(VLOOKUP(TRIM(D1426), CATALOGO!F:G, 2, FALSE) * C1426)+I1426,IFERROR(IF(COUNTIF('RESTAURANTESDESCUENTOS 2026'!A:A,TRIM(A1426))&gt;0,((VLOOKUP(TRIM(D1426), CATALOGO!A:B, 2, FALSE) * C1426)*(1-VALUE(SUBSTITUTE(VLOOKUP(TRIM(A1426),'RESTAURANTESDESCUENTOS 2026'!A:B,2,FALSE),"%",""))/100)+I1426),(VLOOKUP(TRIM(D1426), CATALOGO!A:B, 2, FALSE) * C1426+I1426)),""))</f>
        <v>47000</v>
      </c>
      <c r="K1426" s="196">
        <v>10000.0</v>
      </c>
      <c r="L1426" s="87"/>
      <c r="M1426" s="197" t="s">
        <v>587</v>
      </c>
      <c r="N1426" s="168"/>
    </row>
    <row r="1427" ht="22.5" hidden="1" customHeight="1">
      <c r="A1427" s="137" t="s">
        <v>1048</v>
      </c>
      <c r="B1427" s="90">
        <v>46085.0</v>
      </c>
      <c r="C1427" s="55">
        <v>1.0</v>
      </c>
      <c r="D1427" s="97" t="s">
        <v>669</v>
      </c>
      <c r="E1427" s="201"/>
      <c r="F1427" s="202"/>
      <c r="G1427" s="194" t="s">
        <v>587</v>
      </c>
      <c r="H1427" s="195" t="s">
        <v>588</v>
      </c>
      <c r="I1427" s="196">
        <v>0.0</v>
      </c>
      <c r="J1427" s="179">
        <f>IF(A1427="RAPPI",(VLOOKUP(TRIM(D1427), CATALOGO!F:G, 2, FALSE) * C1427)+I1427,IFERROR(IF(COUNTIF('RESTAURANTESDESCUENTOS 2026'!A:A,TRIM(A1427))&gt;0,((VLOOKUP(TRIM(D1427), CATALOGO!A:B, 2, FALSE) * C1427)*(1-VALUE(SUBSTITUTE(VLOOKUP(TRIM(A1427),'RESTAURANTESDESCUENTOS 2026'!A:B,2,FALSE),"%",""))/100)+I1427),(VLOOKUP(TRIM(D1427), CATALOGO!A:B, 2, FALSE) * C1427+I1427)),""))</f>
        <v>0</v>
      </c>
      <c r="K1427" s="196"/>
      <c r="L1427" s="87"/>
      <c r="M1427" s="197" t="s">
        <v>587</v>
      </c>
      <c r="N1427" s="168"/>
    </row>
    <row r="1428" ht="22.5" hidden="1" customHeight="1">
      <c r="A1428" s="137" t="s">
        <v>1048</v>
      </c>
      <c r="B1428" s="90">
        <v>46085.0</v>
      </c>
      <c r="C1428" s="55">
        <v>1.0</v>
      </c>
      <c r="D1428" s="97" t="s">
        <v>620</v>
      </c>
      <c r="E1428" s="201"/>
      <c r="F1428" s="202"/>
      <c r="G1428" s="194" t="s">
        <v>587</v>
      </c>
      <c r="H1428" s="195" t="s">
        <v>588</v>
      </c>
      <c r="I1428" s="196">
        <v>0.0</v>
      </c>
      <c r="J1428" s="179">
        <f>IF(A1428="RAPPI",(VLOOKUP(TRIM(D1428), CATALOGO!F:G, 2, FALSE) * C1428)+I1428,IFERROR(IF(COUNTIF('RESTAURANTESDESCUENTOS 2026'!A:A,TRIM(A1428))&gt;0,((VLOOKUP(TRIM(D1428), CATALOGO!A:B, 2, FALSE) * C1428)*(1-VALUE(SUBSTITUTE(VLOOKUP(TRIM(A1428),'RESTAURANTESDESCUENTOS 2026'!A:B,2,FALSE),"%",""))/100)+I1428),(VLOOKUP(TRIM(D1428), CATALOGO!A:B, 2, FALSE) * C1428+I1428)),""))</f>
        <v>0</v>
      </c>
      <c r="K1428" s="196"/>
      <c r="L1428" s="87"/>
      <c r="M1428" s="197" t="s">
        <v>587</v>
      </c>
      <c r="N1428" s="168"/>
    </row>
    <row r="1429" ht="22.5" hidden="1" customHeight="1">
      <c r="A1429" s="137" t="s">
        <v>1048</v>
      </c>
      <c r="B1429" s="90">
        <v>46085.0</v>
      </c>
      <c r="C1429" s="55">
        <v>1.0</v>
      </c>
      <c r="D1429" s="97" t="s">
        <v>236</v>
      </c>
      <c r="E1429" s="201"/>
      <c r="F1429" s="202"/>
      <c r="G1429" s="194" t="s">
        <v>587</v>
      </c>
      <c r="H1429" s="195" t="s">
        <v>588</v>
      </c>
      <c r="I1429" s="196">
        <v>0.0</v>
      </c>
      <c r="J1429" s="179">
        <f>IF(A1429="RAPPI",(VLOOKUP(TRIM(D1429), CATALOGO!F:G, 2, FALSE) * C1429)+I1429,IFERROR(IF(COUNTIF('RESTAURANTESDESCUENTOS 2026'!A:A,TRIM(A1429))&gt;0,((VLOOKUP(TRIM(D1429), CATALOGO!A:B, 2, FALSE) * C1429)*(1-VALUE(SUBSTITUTE(VLOOKUP(TRIM(A1429),'RESTAURANTESDESCUENTOS 2026'!A:B,2,FALSE),"%",""))/100)+I1429),(VLOOKUP(TRIM(D1429), CATALOGO!A:B, 2, FALSE) * C1429+I1429)),""))</f>
        <v>0</v>
      </c>
      <c r="K1429" s="196"/>
      <c r="L1429" s="87"/>
      <c r="M1429" s="197" t="s">
        <v>587</v>
      </c>
      <c r="N1429" s="168"/>
    </row>
    <row r="1430" ht="22.5" hidden="1" customHeight="1">
      <c r="A1430" s="137" t="s">
        <v>1048</v>
      </c>
      <c r="B1430" s="90">
        <v>46085.0</v>
      </c>
      <c r="C1430" s="55">
        <v>1.0</v>
      </c>
      <c r="D1430" s="97" t="s">
        <v>639</v>
      </c>
      <c r="E1430" s="201"/>
      <c r="F1430" s="202"/>
      <c r="G1430" s="194" t="s">
        <v>587</v>
      </c>
      <c r="H1430" s="195" t="s">
        <v>588</v>
      </c>
      <c r="I1430" s="196">
        <v>0.0</v>
      </c>
      <c r="J1430" s="179">
        <f>IF(A1430="RAPPI",(VLOOKUP(TRIM(D1430), CATALOGO!F:G, 2, FALSE) * C1430)+I1430,IFERROR(IF(COUNTIF('RESTAURANTESDESCUENTOS 2026'!A:A,TRIM(A1430))&gt;0,((VLOOKUP(TRIM(D1430), CATALOGO!A:B, 2, FALSE) * C1430)*(1-VALUE(SUBSTITUTE(VLOOKUP(TRIM(A1430),'RESTAURANTESDESCUENTOS 2026'!A:B,2,FALSE),"%",""))/100)+I1430),(VLOOKUP(TRIM(D1430), CATALOGO!A:B, 2, FALSE) * C1430+I1430)),""))</f>
        <v>0</v>
      </c>
      <c r="K1430" s="196"/>
      <c r="L1430" s="87"/>
      <c r="M1430" s="197" t="s">
        <v>587</v>
      </c>
      <c r="N1430" s="168"/>
    </row>
    <row r="1431" ht="22.5" hidden="1" customHeight="1">
      <c r="A1431" s="137" t="s">
        <v>603</v>
      </c>
      <c r="B1431" s="90">
        <v>46085.0</v>
      </c>
      <c r="C1431" s="55">
        <v>1.0</v>
      </c>
      <c r="D1431" s="97" t="s">
        <v>628</v>
      </c>
      <c r="E1431" s="201">
        <v>7075.0</v>
      </c>
      <c r="F1431" s="202"/>
      <c r="G1431" s="194" t="s">
        <v>587</v>
      </c>
      <c r="H1431" s="195" t="s">
        <v>603</v>
      </c>
      <c r="I1431" s="196"/>
      <c r="J1431" s="179">
        <f>IF(A1431="RAPPI",(VLOOKUP(TRIM(D1431), CATALOGO!F:G, 2, FALSE) * C1431)+I1431,IFERROR(IF(COUNTIF('RESTAURANTESDESCUENTOS 2026'!A:A,TRIM(A1431))&gt;0,((VLOOKUP(TRIM(D1431), CATALOGO!A:B, 2, FALSE) * C1431)*(1-VALUE(SUBSTITUTE(VLOOKUP(TRIM(A1431),'RESTAURANTESDESCUENTOS 2026'!A:B,2,FALSE),"%",""))/100)+I1431),(VLOOKUP(TRIM(D1431), CATALOGO!A:B, 2, FALSE) * C1431+I1431)),""))</f>
        <v>22000</v>
      </c>
      <c r="K1431" s="196"/>
      <c r="L1431" s="87"/>
      <c r="M1431" s="197" t="s">
        <v>587</v>
      </c>
      <c r="N1431" s="168"/>
    </row>
    <row r="1432" ht="22.5" hidden="1" customHeight="1">
      <c r="A1432" s="137" t="s">
        <v>603</v>
      </c>
      <c r="B1432" s="90">
        <v>46085.0</v>
      </c>
      <c r="C1432" s="55">
        <v>1.0</v>
      </c>
      <c r="D1432" s="97" t="s">
        <v>601</v>
      </c>
      <c r="E1432" s="201">
        <v>567.0</v>
      </c>
      <c r="F1432" s="202"/>
      <c r="G1432" s="194" t="s">
        <v>587</v>
      </c>
      <c r="H1432" s="195" t="s">
        <v>603</v>
      </c>
      <c r="I1432" s="196"/>
      <c r="J1432" s="179">
        <f>IF(A1432="RAPPI",(VLOOKUP(TRIM(D1432), CATALOGO!F:G, 2, FALSE) * C1432)+I1432,IFERROR(IF(COUNTIF('RESTAURANTESDESCUENTOS 2026'!A:A,TRIM(A1432))&gt;0,((VLOOKUP(TRIM(D1432), CATALOGO!A:B, 2, FALSE) * C1432)*(1-VALUE(SUBSTITUTE(VLOOKUP(TRIM(A1432),'RESTAURANTESDESCUENTOS 2026'!A:B,2,FALSE),"%",""))/100)+I1432),(VLOOKUP(TRIM(D1432), CATALOGO!A:B, 2, FALSE) * C1432+I1432)),""))</f>
        <v>53000</v>
      </c>
      <c r="K1432" s="196"/>
      <c r="L1432" s="87"/>
      <c r="M1432" s="197" t="s">
        <v>587</v>
      </c>
      <c r="N1432" s="168"/>
    </row>
    <row r="1433" ht="22.5" hidden="1" customHeight="1">
      <c r="A1433" s="137" t="s">
        <v>605</v>
      </c>
      <c r="B1433" s="90">
        <v>46085.0</v>
      </c>
      <c r="C1433" s="55">
        <v>1.0</v>
      </c>
      <c r="D1433" s="97" t="s">
        <v>186</v>
      </c>
      <c r="E1433" s="201" t="s">
        <v>607</v>
      </c>
      <c r="F1433" s="236" t="s">
        <v>1035</v>
      </c>
      <c r="G1433" s="194" t="s">
        <v>35</v>
      </c>
      <c r="H1433" s="198"/>
      <c r="I1433" s="196"/>
      <c r="J1433" s="179">
        <f>IF(A1433="RAPPI",(VLOOKUP(TRIM(D1433), CATALOGO!F:G, 2, FALSE) * C1433)+I1433,IFERROR(IF(COUNTIF('RESTAURANTESDESCUENTOS 2026'!A:A,TRIM(A1433))&gt;0,((VLOOKUP(TRIM(D1433), CATALOGO!A:B, 2, FALSE) * C1433)*(1-VALUE(SUBSTITUTE(VLOOKUP(TRIM(A1433),'RESTAURANTESDESCUENTOS 2026'!A:B,2,FALSE),"%",""))/100)+I1433),(VLOOKUP(TRIM(D1433), CATALOGO!A:B, 2, FALSE) * C1433+I1433)),""))</f>
        <v>55000</v>
      </c>
      <c r="K1433" s="196"/>
      <c r="L1433" s="87"/>
      <c r="M1433" s="197" t="s">
        <v>587</v>
      </c>
      <c r="N1433" s="168"/>
    </row>
    <row r="1434" ht="22.5" hidden="1" customHeight="1">
      <c r="A1434" s="137" t="s">
        <v>605</v>
      </c>
      <c r="B1434" s="90">
        <v>46085.0</v>
      </c>
      <c r="C1434" s="55">
        <v>2.0</v>
      </c>
      <c r="D1434" s="97" t="s">
        <v>174</v>
      </c>
      <c r="E1434" s="201" t="s">
        <v>606</v>
      </c>
      <c r="F1434" s="236" t="s">
        <v>1036</v>
      </c>
      <c r="G1434" s="194" t="s">
        <v>35</v>
      </c>
      <c r="H1434" s="198"/>
      <c r="I1434" s="196"/>
      <c r="J1434" s="179">
        <f>IF(A1434="RAPPI",(VLOOKUP(TRIM(D1434), CATALOGO!F:G, 2, FALSE) * C1434)+I1434,IFERROR(IF(COUNTIF('RESTAURANTESDESCUENTOS 2026'!A:A,TRIM(A1434))&gt;0,((VLOOKUP(TRIM(D1434), CATALOGO!A:B, 2, FALSE) * C1434)*(1-VALUE(SUBSTITUTE(VLOOKUP(TRIM(A1434),'RESTAURANTESDESCUENTOS 2026'!A:B,2,FALSE),"%",""))/100)+I1434),(VLOOKUP(TRIM(D1434), CATALOGO!A:B, 2, FALSE) * C1434+I1434)),""))</f>
        <v>36000</v>
      </c>
      <c r="K1434" s="196"/>
      <c r="L1434" s="87"/>
      <c r="M1434" s="197" t="s">
        <v>587</v>
      </c>
      <c r="N1434" s="168"/>
    </row>
    <row r="1435" ht="22.5" hidden="1" customHeight="1">
      <c r="A1435" s="137" t="s">
        <v>17</v>
      </c>
      <c r="B1435" s="90">
        <v>46086.0</v>
      </c>
      <c r="C1435" s="55">
        <v>14.0</v>
      </c>
      <c r="D1435" s="97" t="s">
        <v>182</v>
      </c>
      <c r="E1435" s="201" t="s">
        <v>1049</v>
      </c>
      <c r="F1435" s="202"/>
      <c r="G1435" s="194" t="s">
        <v>587</v>
      </c>
      <c r="H1435" s="195" t="s">
        <v>632</v>
      </c>
      <c r="I1435" s="196">
        <v>10000.0</v>
      </c>
      <c r="J1435" s="199">
        <v>234000.0</v>
      </c>
      <c r="K1435" s="196">
        <v>10000.0</v>
      </c>
      <c r="L1435" s="87" t="s">
        <v>587</v>
      </c>
      <c r="M1435" s="197" t="s">
        <v>587</v>
      </c>
      <c r="N1435" s="168"/>
    </row>
    <row r="1436" ht="22.5" hidden="1" customHeight="1">
      <c r="A1436" s="137" t="s">
        <v>17</v>
      </c>
      <c r="B1436" s="90">
        <v>46086.0</v>
      </c>
      <c r="C1436" s="55">
        <v>56.0</v>
      </c>
      <c r="D1436" s="97" t="s">
        <v>236</v>
      </c>
      <c r="E1436" s="201"/>
      <c r="F1436" s="202"/>
      <c r="G1436" s="194" t="s">
        <v>587</v>
      </c>
      <c r="H1436" s="195" t="s">
        <v>632</v>
      </c>
      <c r="I1436" s="196">
        <v>0.0</v>
      </c>
      <c r="J1436" s="179">
        <f>IF(A1436="RAPPI",(VLOOKUP(TRIM(D1436), CATALOGO!F:G, 2, FALSE) * C1436)+I1436,IFERROR(IF(COUNTIF('RESTAURANTESDESCUENTOS 2026'!A:A,TRIM(A1436))&gt;0,((VLOOKUP(TRIM(D1436), CATALOGO!A:B, 2, FALSE) * C1436)*(1-VALUE(SUBSTITUTE(VLOOKUP(TRIM(A1436),'RESTAURANTESDESCUENTOS 2026'!A:B,2,FALSE),"%",""))/100)+I1436),(VLOOKUP(TRIM(D1436), CATALOGO!A:B, 2, FALSE) * C1436+I1436)),""))</f>
        <v>0</v>
      </c>
      <c r="K1436" s="196">
        <v>0.0</v>
      </c>
      <c r="L1436" s="87" t="s">
        <v>587</v>
      </c>
      <c r="M1436" s="197" t="s">
        <v>587</v>
      </c>
      <c r="N1436" s="168"/>
    </row>
    <row r="1437" ht="22.5" hidden="1" customHeight="1">
      <c r="A1437" s="137" t="s">
        <v>17</v>
      </c>
      <c r="B1437" s="90">
        <v>46086.0</v>
      </c>
      <c r="C1437" s="55">
        <v>10.0</v>
      </c>
      <c r="D1437" s="97" t="s">
        <v>195</v>
      </c>
      <c r="E1437" s="201"/>
      <c r="F1437" s="202"/>
      <c r="G1437" s="194" t="s">
        <v>587</v>
      </c>
      <c r="H1437" s="195" t="s">
        <v>632</v>
      </c>
      <c r="I1437" s="196">
        <v>0.0</v>
      </c>
      <c r="J1437" s="199">
        <v>160000.0</v>
      </c>
      <c r="K1437" s="196">
        <v>0.0</v>
      </c>
      <c r="L1437" s="87" t="s">
        <v>587</v>
      </c>
      <c r="M1437" s="197" t="s">
        <v>587</v>
      </c>
      <c r="N1437" s="168"/>
    </row>
    <row r="1438" ht="22.5" hidden="1" customHeight="1">
      <c r="A1438" s="137" t="s">
        <v>1050</v>
      </c>
      <c r="B1438" s="90">
        <v>46086.0</v>
      </c>
      <c r="C1438" s="55">
        <v>1.0</v>
      </c>
      <c r="D1438" s="97" t="s">
        <v>177</v>
      </c>
      <c r="E1438" s="201" t="s">
        <v>1051</v>
      </c>
      <c r="F1438" s="202"/>
      <c r="G1438" s="194" t="s">
        <v>587</v>
      </c>
      <c r="H1438" s="195" t="s">
        <v>632</v>
      </c>
      <c r="I1438" s="196">
        <v>13000.0</v>
      </c>
      <c r="J1438" s="179">
        <f>IF(A1438="RAPPI",(VLOOKUP(TRIM(D1438), CATALOGO!F:G, 2, FALSE) * C1438)+I1438,IFERROR(IF(COUNTIF('RESTAURANTESDESCUENTOS 2026'!A:A,TRIM(A1438))&gt;0,((VLOOKUP(TRIM(D1438), CATALOGO!A:B, 2, FALSE) * C1438)*(1-VALUE(SUBSTITUTE(VLOOKUP(TRIM(A1438),'RESTAURANTESDESCUENTOS 2026'!A:B,2,FALSE),"%",""))/100)+I1438),(VLOOKUP(TRIM(D1438), CATALOGO!A:B, 2, FALSE) * C1438+I1438)),""))</f>
        <v>128000</v>
      </c>
      <c r="K1438" s="196">
        <v>13000.0</v>
      </c>
      <c r="L1438" s="87"/>
      <c r="M1438" s="197" t="s">
        <v>587</v>
      </c>
      <c r="N1438" s="168"/>
    </row>
    <row r="1439" ht="22.5" hidden="1" customHeight="1">
      <c r="A1439" s="137" t="s">
        <v>1052</v>
      </c>
      <c r="B1439" s="90">
        <v>46086.0</v>
      </c>
      <c r="C1439" s="55">
        <v>1.0</v>
      </c>
      <c r="D1439" s="97" t="s">
        <v>177</v>
      </c>
      <c r="E1439" s="201"/>
      <c r="F1439" s="202"/>
      <c r="G1439" s="194" t="s">
        <v>587</v>
      </c>
      <c r="H1439" s="195" t="s">
        <v>632</v>
      </c>
      <c r="I1439" s="196">
        <v>10000.0</v>
      </c>
      <c r="J1439" s="179">
        <f>IF(A1439="RAPPI",(VLOOKUP(TRIM(D1439), CATALOGO!F:G, 2, FALSE) * C1439)+I1439,IFERROR(IF(COUNTIF('RESTAURANTESDESCUENTOS 2026'!A:A,TRIM(A1439))&gt;0,((VLOOKUP(TRIM(D1439), CATALOGO!A:B, 2, FALSE) * C1439)*(1-VALUE(SUBSTITUTE(VLOOKUP(TRIM(A1439),'RESTAURANTESDESCUENTOS 2026'!A:B,2,FALSE),"%",""))/100)+I1439),(VLOOKUP(TRIM(D1439), CATALOGO!A:B, 2, FALSE) * C1439+I1439)),""))</f>
        <v>125000</v>
      </c>
      <c r="K1439" s="196">
        <v>10000.0</v>
      </c>
      <c r="L1439" s="87"/>
      <c r="M1439" s="197" t="s">
        <v>587</v>
      </c>
      <c r="N1439" s="168"/>
    </row>
    <row r="1440" ht="22.5" hidden="1" customHeight="1">
      <c r="A1440" s="137" t="s">
        <v>63</v>
      </c>
      <c r="B1440" s="90">
        <v>46086.0</v>
      </c>
      <c r="C1440" s="55">
        <v>1.0</v>
      </c>
      <c r="D1440" s="97" t="s">
        <v>178</v>
      </c>
      <c r="E1440" s="201"/>
      <c r="F1440" s="202"/>
      <c r="G1440" s="194" t="s">
        <v>587</v>
      </c>
      <c r="H1440" s="195" t="s">
        <v>632</v>
      </c>
      <c r="I1440" s="196">
        <v>0.0</v>
      </c>
      <c r="J1440" s="179">
        <f>IF(A1440="RAPPI",(VLOOKUP(TRIM(D1440), CATALOGO!F:G, 2, FALSE) * C1440)+I1440,IFERROR(IF(COUNTIF('RESTAURANTESDESCUENTOS 2026'!A:A,TRIM(A1440))&gt;0,((VLOOKUP(TRIM(D1440), CATALOGO!A:B, 2, FALSE) * C1440)*(1-VALUE(SUBSTITUTE(VLOOKUP(TRIM(A1440),'RESTAURANTESDESCUENTOS 2026'!A:B,2,FALSE),"%",""))/100)+I1440),(VLOOKUP(TRIM(D1440), CATALOGO!A:B, 2, FALSE) * C1440+I1440)),""))</f>
        <v>112500</v>
      </c>
      <c r="K1440" s="196">
        <v>0.0</v>
      </c>
      <c r="L1440" s="87" t="s">
        <v>587</v>
      </c>
      <c r="M1440" s="197" t="s">
        <v>587</v>
      </c>
      <c r="N1440" s="168"/>
    </row>
    <row r="1441" ht="22.5" hidden="1" customHeight="1">
      <c r="A1441" s="137" t="s">
        <v>63</v>
      </c>
      <c r="B1441" s="90">
        <v>46086.0</v>
      </c>
      <c r="C1441" s="55">
        <v>100.0</v>
      </c>
      <c r="D1441" s="97" t="s">
        <v>639</v>
      </c>
      <c r="E1441" s="201"/>
      <c r="F1441" s="202"/>
      <c r="G1441" s="194" t="s">
        <v>587</v>
      </c>
      <c r="H1441" s="195" t="s">
        <v>632</v>
      </c>
      <c r="I1441" s="196">
        <v>0.0</v>
      </c>
      <c r="J1441" s="179">
        <f>IF(A1441="RAPPI",(VLOOKUP(TRIM(D1441), CATALOGO!F:G, 2, FALSE) * C1441)+I1441,IFERROR(IF(COUNTIF('RESTAURANTESDESCUENTOS 2026'!A:A,TRIM(A1441))&gt;0,((VLOOKUP(TRIM(D1441), CATALOGO!A:B, 2, FALSE) * C1441)*(1-VALUE(SUBSTITUTE(VLOOKUP(TRIM(A1441),'RESTAURANTESDESCUENTOS 2026'!A:B,2,FALSE),"%",""))/100)+I1441),(VLOOKUP(TRIM(D1441), CATALOGO!A:B, 2, FALSE) * C1441+I1441)),""))</f>
        <v>0</v>
      </c>
      <c r="K1441" s="196">
        <v>0.0</v>
      </c>
      <c r="L1441" s="87" t="s">
        <v>587</v>
      </c>
      <c r="M1441" s="197" t="s">
        <v>587</v>
      </c>
      <c r="N1441" s="168"/>
    </row>
    <row r="1442" ht="22.5" hidden="1" customHeight="1">
      <c r="A1442" s="137" t="s">
        <v>63</v>
      </c>
      <c r="B1442" s="90">
        <v>46086.0</v>
      </c>
      <c r="C1442" s="55">
        <v>100.0</v>
      </c>
      <c r="D1442" s="97" t="s">
        <v>620</v>
      </c>
      <c r="E1442" s="201"/>
      <c r="F1442" s="202"/>
      <c r="G1442" s="194" t="s">
        <v>587</v>
      </c>
      <c r="H1442" s="195" t="s">
        <v>632</v>
      </c>
      <c r="I1442" s="196">
        <v>0.0</v>
      </c>
      <c r="J1442" s="179">
        <f>IF(A1442="RAPPI",(VLOOKUP(TRIM(D1442), CATALOGO!F:G, 2, FALSE) * C1442)+I1442,IFERROR(IF(COUNTIF('RESTAURANTESDESCUENTOS 2026'!A:A,TRIM(A1442))&gt;0,((VLOOKUP(TRIM(D1442), CATALOGO!A:B, 2, FALSE) * C1442)*(1-VALUE(SUBSTITUTE(VLOOKUP(TRIM(A1442),'RESTAURANTESDESCUENTOS 2026'!A:B,2,FALSE),"%",""))/100)+I1442),(VLOOKUP(TRIM(D1442), CATALOGO!A:B, 2, FALSE) * C1442+I1442)),""))</f>
        <v>0</v>
      </c>
      <c r="K1442" s="196">
        <v>0.0</v>
      </c>
      <c r="L1442" s="87" t="s">
        <v>587</v>
      </c>
      <c r="M1442" s="197" t="s">
        <v>587</v>
      </c>
      <c r="N1442" s="168"/>
    </row>
    <row r="1443" ht="22.5" hidden="1" customHeight="1">
      <c r="A1443" s="137" t="s">
        <v>30</v>
      </c>
      <c r="B1443" s="90">
        <v>46086.0</v>
      </c>
      <c r="C1443" s="55">
        <v>2.0</v>
      </c>
      <c r="D1443" s="97" t="s">
        <v>178</v>
      </c>
      <c r="E1443" s="201" t="s">
        <v>610</v>
      </c>
      <c r="F1443" s="202"/>
      <c r="G1443" s="194" t="s">
        <v>587</v>
      </c>
      <c r="H1443" s="195" t="s">
        <v>907</v>
      </c>
      <c r="I1443" s="196">
        <v>25000.0</v>
      </c>
      <c r="J1443" s="179">
        <f>IF(A1443="RAPPI",(VLOOKUP(TRIM(D1443), CATALOGO!F:G, 2, FALSE) * C1443)+I1443,IFERROR(IF(COUNTIF('RESTAURANTESDESCUENTOS 2026'!A:A,TRIM(A1443))&gt;0,((VLOOKUP(TRIM(D1443), CATALOGO!A:B, 2, FALSE) * C1443)*(1-VALUE(SUBSTITUTE(VLOOKUP(TRIM(A1443),'RESTAURANTESDESCUENTOS 2026'!A:B,2,FALSE),"%",""))/100)+I1443),(VLOOKUP(TRIM(D1443), CATALOGO!A:B, 2, FALSE) * C1443+I1443)),""))</f>
        <v>250000</v>
      </c>
      <c r="K1443" s="196"/>
      <c r="L1443" s="87" t="s">
        <v>587</v>
      </c>
      <c r="M1443" s="197" t="s">
        <v>587</v>
      </c>
      <c r="N1443" s="168"/>
    </row>
    <row r="1444" ht="22.5" hidden="1" customHeight="1">
      <c r="A1444" s="137" t="s">
        <v>1053</v>
      </c>
      <c r="B1444" s="90">
        <v>46086.0</v>
      </c>
      <c r="C1444" s="55">
        <v>1.0</v>
      </c>
      <c r="D1444" s="97" t="s">
        <v>177</v>
      </c>
      <c r="E1444" s="201" t="s">
        <v>610</v>
      </c>
      <c r="F1444" s="202"/>
      <c r="G1444" s="194" t="s">
        <v>587</v>
      </c>
      <c r="H1444" s="195" t="s">
        <v>632</v>
      </c>
      <c r="I1444" s="196">
        <v>0.0</v>
      </c>
      <c r="J1444" s="179">
        <f>IF(A1444="RAPPI",(VLOOKUP(TRIM(D1444), CATALOGO!F:G, 2, FALSE) * C1444)+I1444,IFERROR(IF(COUNTIF('RESTAURANTESDESCUENTOS 2026'!A:A,TRIM(A1444))&gt;0,((VLOOKUP(TRIM(D1444), CATALOGO!A:B, 2, FALSE) * C1444)*(1-VALUE(SUBSTITUTE(VLOOKUP(TRIM(A1444),'RESTAURANTESDESCUENTOS 2026'!A:B,2,FALSE),"%",""))/100)+I1444),(VLOOKUP(TRIM(D1444), CATALOGO!A:B, 2, FALSE) * C1444+I1444)),""))</f>
        <v>86250</v>
      </c>
      <c r="K1444" s="196">
        <v>0.0</v>
      </c>
      <c r="L1444" s="87" t="s">
        <v>587</v>
      </c>
      <c r="M1444" s="197" t="s">
        <v>587</v>
      </c>
      <c r="N1444" s="168"/>
    </row>
    <row r="1445" ht="22.5" hidden="1" customHeight="1">
      <c r="A1445" s="137" t="s">
        <v>151</v>
      </c>
      <c r="B1445" s="90">
        <v>46086.0</v>
      </c>
      <c r="C1445" s="55">
        <v>3.0</v>
      </c>
      <c r="D1445" s="97" t="s">
        <v>176</v>
      </c>
      <c r="E1445" s="201" t="s">
        <v>645</v>
      </c>
      <c r="F1445" s="202"/>
      <c r="G1445" s="194" t="s">
        <v>587</v>
      </c>
      <c r="H1445" s="195" t="s">
        <v>632</v>
      </c>
      <c r="I1445" s="196">
        <v>10000.0</v>
      </c>
      <c r="J1445" s="179">
        <f>IF(A1445="RAPPI",(VLOOKUP(TRIM(D1445), CATALOGO!F:G, 2, FALSE) * C1445)+I1445,IFERROR(IF(COUNTIF('RESTAURANTESDESCUENTOS 2026'!A:A,TRIM(A1445))&gt;0,((VLOOKUP(TRIM(D1445), CATALOGO!A:B, 2, FALSE) * C1445)*(1-VALUE(SUBSTITUTE(VLOOKUP(TRIM(A1445),'RESTAURANTESDESCUENTOS 2026'!A:B,2,FALSE),"%",""))/100)+I1445),(VLOOKUP(TRIM(D1445), CATALOGO!A:B, 2, FALSE) * C1445+I1445)),""))</f>
        <v>122500</v>
      </c>
      <c r="K1445" s="196">
        <v>10000.0</v>
      </c>
      <c r="L1445" s="87"/>
      <c r="M1445" s="197" t="s">
        <v>587</v>
      </c>
      <c r="N1445" s="168"/>
    </row>
    <row r="1446" ht="22.5" hidden="1" customHeight="1">
      <c r="A1446" s="137" t="s">
        <v>103</v>
      </c>
      <c r="B1446" s="90">
        <v>46086.0</v>
      </c>
      <c r="C1446" s="55">
        <v>1.0</v>
      </c>
      <c r="D1446" s="97" t="s">
        <v>178</v>
      </c>
      <c r="E1446" s="201" t="s">
        <v>552</v>
      </c>
      <c r="F1446" s="202"/>
      <c r="G1446" s="194" t="s">
        <v>35</v>
      </c>
      <c r="H1446" s="198"/>
      <c r="I1446" s="196">
        <v>0.0</v>
      </c>
      <c r="J1446" s="179">
        <f>IF(A1446="RAPPI",(VLOOKUP(TRIM(D1446), CATALOGO!F:G, 2, FALSE) * C1446)+I1446,IFERROR(IF(COUNTIF('RESTAURANTESDESCUENTOS 2026'!A:A,TRIM(A1446))&gt;0,((VLOOKUP(TRIM(D1446), CATALOGO!A:B, 2, FALSE) * C1446)*(1-VALUE(SUBSTITUTE(VLOOKUP(TRIM(A1446),'RESTAURANTESDESCUENTOS 2026'!A:B,2,FALSE),"%",""))/100)+I1446),(VLOOKUP(TRIM(D1446), CATALOGO!A:B, 2, FALSE) * C1446+I1446)),""))</f>
        <v>105000</v>
      </c>
      <c r="K1446" s="196"/>
      <c r="L1446" s="87" t="s">
        <v>587</v>
      </c>
      <c r="M1446" s="197" t="s">
        <v>587</v>
      </c>
      <c r="N1446" s="168"/>
    </row>
    <row r="1447" ht="22.5" hidden="1" customHeight="1">
      <c r="A1447" s="137" t="s">
        <v>134</v>
      </c>
      <c r="B1447" s="90">
        <v>46086.0</v>
      </c>
      <c r="C1447" s="55">
        <v>2.0</v>
      </c>
      <c r="D1447" s="97" t="s">
        <v>181</v>
      </c>
      <c r="E1447" s="201" t="s">
        <v>610</v>
      </c>
      <c r="F1447" s="202"/>
      <c r="G1447" s="194" t="s">
        <v>587</v>
      </c>
      <c r="H1447" s="195" t="s">
        <v>632</v>
      </c>
      <c r="I1447" s="196">
        <v>5000.0</v>
      </c>
      <c r="J1447" s="179">
        <f>IF(A1447="RAPPI",(VLOOKUP(TRIM(D1447), CATALOGO!F:G, 2, FALSE) * C1447)+I1447,IFERROR(IF(COUNTIF('RESTAURANTESDESCUENTOS 2026'!A:A,TRIM(A1447))&gt;0,((VLOOKUP(TRIM(D1447), CATALOGO!A:B, 2, FALSE) * C1447)*(1-VALUE(SUBSTITUTE(VLOOKUP(TRIM(A1447),'RESTAURANTESDESCUENTOS 2026'!A:B,2,FALSE),"%",""))/100)+I1447),(VLOOKUP(TRIM(D1447), CATALOGO!A:B, 2, FALSE) * C1447+I1447)),""))</f>
        <v>248600</v>
      </c>
      <c r="K1447" s="196">
        <v>10000.0</v>
      </c>
      <c r="L1447" s="87" t="s">
        <v>587</v>
      </c>
      <c r="M1447" s="197" t="s">
        <v>587</v>
      </c>
      <c r="N1447" s="168"/>
    </row>
    <row r="1448" ht="22.5" hidden="1" customHeight="1">
      <c r="A1448" s="137" t="s">
        <v>43</v>
      </c>
      <c r="B1448" s="90">
        <v>46086.0</v>
      </c>
      <c r="C1448" s="55">
        <v>2.0</v>
      </c>
      <c r="D1448" s="97" t="s">
        <v>177</v>
      </c>
      <c r="E1448" s="201" t="s">
        <v>610</v>
      </c>
      <c r="F1448" s="202"/>
      <c r="G1448" s="194" t="s">
        <v>587</v>
      </c>
      <c r="H1448" s="195" t="s">
        <v>632</v>
      </c>
      <c r="I1448" s="196">
        <v>0.0</v>
      </c>
      <c r="J1448" s="179">
        <f>IF(A1448="RAPPI",(VLOOKUP(TRIM(D1448), CATALOGO!F:G, 2, FALSE) * C1448)+I1448,IFERROR(IF(COUNTIF('RESTAURANTESDESCUENTOS 2026'!A:A,TRIM(A1448))&gt;0,((VLOOKUP(TRIM(D1448), CATALOGO!A:B, 2, FALSE) * C1448)*(1-VALUE(SUBSTITUTE(VLOOKUP(TRIM(A1448),'RESTAURANTESDESCUENTOS 2026'!A:B,2,FALSE),"%",""))/100)+I1448),(VLOOKUP(TRIM(D1448), CATALOGO!A:B, 2, FALSE) * C1448+I1448)),""))</f>
        <v>172500</v>
      </c>
      <c r="K1448" s="196">
        <v>10000.0</v>
      </c>
      <c r="L1448" s="87" t="s">
        <v>587</v>
      </c>
      <c r="M1448" s="197" t="s">
        <v>587</v>
      </c>
      <c r="N1448" s="168"/>
    </row>
    <row r="1449" ht="22.5" hidden="1" customHeight="1">
      <c r="A1449" s="137" t="s">
        <v>597</v>
      </c>
      <c r="B1449" s="90">
        <v>46086.0</v>
      </c>
      <c r="C1449" s="55">
        <v>9.0</v>
      </c>
      <c r="D1449" s="97" t="s">
        <v>178</v>
      </c>
      <c r="E1449" s="201" t="s">
        <v>552</v>
      </c>
      <c r="F1449" s="202"/>
      <c r="G1449" s="194" t="s">
        <v>35</v>
      </c>
      <c r="H1449" s="198"/>
      <c r="I1449" s="196">
        <v>0.0</v>
      </c>
      <c r="J1449" s="199">
        <v>0.0</v>
      </c>
      <c r="K1449" s="196">
        <v>0.0</v>
      </c>
      <c r="L1449" s="87"/>
      <c r="M1449" s="197" t="s">
        <v>587</v>
      </c>
      <c r="N1449" s="168"/>
    </row>
    <row r="1450" ht="22.5" hidden="1" customHeight="1">
      <c r="A1450" s="137" t="s">
        <v>597</v>
      </c>
      <c r="B1450" s="90">
        <v>46086.0</v>
      </c>
      <c r="C1450" s="55">
        <v>50.0</v>
      </c>
      <c r="D1450" s="193"/>
      <c r="E1450" s="201" t="s">
        <v>563</v>
      </c>
      <c r="F1450" s="202"/>
      <c r="G1450" s="194" t="s">
        <v>35</v>
      </c>
      <c r="H1450" s="198"/>
      <c r="I1450" s="196">
        <v>0.0</v>
      </c>
      <c r="J1450" s="199">
        <v>0.0</v>
      </c>
      <c r="K1450" s="196">
        <v>0.0</v>
      </c>
      <c r="L1450" s="87"/>
      <c r="M1450" s="197" t="s">
        <v>587</v>
      </c>
      <c r="N1450" s="168"/>
    </row>
    <row r="1451" ht="22.5" hidden="1" customHeight="1">
      <c r="A1451" s="137" t="s">
        <v>597</v>
      </c>
      <c r="B1451" s="90">
        <v>46086.0</v>
      </c>
      <c r="C1451" s="55">
        <v>50.0</v>
      </c>
      <c r="D1451" s="193"/>
      <c r="E1451" s="201" t="s">
        <v>1054</v>
      </c>
      <c r="F1451" s="202"/>
      <c r="G1451" s="194" t="s">
        <v>35</v>
      </c>
      <c r="H1451" s="198"/>
      <c r="I1451" s="196">
        <v>0.0</v>
      </c>
      <c r="J1451" s="199">
        <v>0.0</v>
      </c>
      <c r="K1451" s="196">
        <v>0.0</v>
      </c>
      <c r="L1451" s="87"/>
      <c r="M1451" s="197" t="s">
        <v>587</v>
      </c>
      <c r="N1451" s="168"/>
    </row>
    <row r="1452" ht="22.5" hidden="1" customHeight="1">
      <c r="A1452" s="137" t="s">
        <v>1055</v>
      </c>
      <c r="B1452" s="90">
        <v>46086.0</v>
      </c>
      <c r="C1452" s="55">
        <v>1.0</v>
      </c>
      <c r="D1452" s="97" t="s">
        <v>177</v>
      </c>
      <c r="E1452" s="201"/>
      <c r="F1452" s="202"/>
      <c r="G1452" s="194" t="s">
        <v>587</v>
      </c>
      <c r="H1452" s="195" t="s">
        <v>632</v>
      </c>
      <c r="I1452" s="196">
        <v>15000.0</v>
      </c>
      <c r="J1452" s="179">
        <f>IF(A1452="RAPPI",(VLOOKUP(TRIM(D1452), CATALOGO!F:G, 2, FALSE) * C1452)+I1452,IFERROR(IF(COUNTIF('RESTAURANTESDESCUENTOS 2026'!A:A,TRIM(A1452))&gt;0,((VLOOKUP(TRIM(D1452), CATALOGO!A:B, 2, FALSE) * C1452)*(1-VALUE(SUBSTITUTE(VLOOKUP(TRIM(A1452),'RESTAURANTESDESCUENTOS 2026'!A:B,2,FALSE),"%",""))/100)+I1452),(VLOOKUP(TRIM(D1452), CATALOGO!A:B, 2, FALSE) * C1452+I1452)),""))</f>
        <v>130000</v>
      </c>
      <c r="K1452" s="196">
        <v>25000.0</v>
      </c>
      <c r="L1452" s="87"/>
      <c r="M1452" s="197" t="s">
        <v>587</v>
      </c>
      <c r="N1452" s="168"/>
    </row>
    <row r="1453" ht="22.5" hidden="1" customHeight="1">
      <c r="A1453" s="137" t="s">
        <v>603</v>
      </c>
      <c r="B1453" s="90">
        <v>46086.0</v>
      </c>
      <c r="C1453" s="55">
        <v>1.0</v>
      </c>
      <c r="D1453" s="97" t="s">
        <v>177</v>
      </c>
      <c r="E1453" s="201">
        <v>6336.0</v>
      </c>
      <c r="F1453" s="202"/>
      <c r="G1453" s="194" t="s">
        <v>587</v>
      </c>
      <c r="H1453" s="195" t="s">
        <v>603</v>
      </c>
      <c r="I1453" s="196"/>
      <c r="J1453" s="179">
        <f>IF(A1453="RAPPI",(VLOOKUP(TRIM(D1453), CATALOGO!F:G, 2, FALSE) * C1453)+I1453,IFERROR(IF(COUNTIF('RESTAURANTESDESCUENTOS 2026'!A:A,TRIM(A1453))&gt;0,((VLOOKUP(TRIM(D1453), CATALOGO!A:B, 2, FALSE) * C1453)*(1-VALUE(SUBSTITUTE(VLOOKUP(TRIM(A1453),'RESTAURANTESDESCUENTOS 2026'!A:B,2,FALSE),"%",""))/100)+I1453),(VLOOKUP(TRIM(D1453), CATALOGO!A:B, 2, FALSE) * C1453+I1453)),""))</f>
        <v>115000</v>
      </c>
      <c r="K1453" s="196"/>
      <c r="L1453" s="87"/>
      <c r="M1453" s="197" t="s">
        <v>587</v>
      </c>
      <c r="N1453" s="168"/>
    </row>
    <row r="1454" ht="22.5" hidden="1" customHeight="1">
      <c r="A1454" s="137" t="s">
        <v>609</v>
      </c>
      <c r="B1454" s="90">
        <v>46086.0</v>
      </c>
      <c r="C1454" s="55">
        <v>2.0</v>
      </c>
      <c r="D1454" s="97" t="s">
        <v>178</v>
      </c>
      <c r="E1454" s="201" t="s">
        <v>610</v>
      </c>
      <c r="F1454" s="202"/>
      <c r="G1454" s="194" t="s">
        <v>587</v>
      </c>
      <c r="H1454" s="195" t="s">
        <v>632</v>
      </c>
      <c r="I1454" s="196">
        <v>10000.0</v>
      </c>
      <c r="J1454" s="179">
        <f>IF(A1454="RAPPI",(VLOOKUP(TRIM(D1454), CATALOGO!F:G, 2, FALSE) * C1454)+I1454,IFERROR(IF(COUNTIF('RESTAURANTESDESCUENTOS 2026'!A:A,TRIM(A1454))&gt;0,((VLOOKUP(TRIM(D1454), CATALOGO!A:B, 2, FALSE) * C1454)*(1-VALUE(SUBSTITUTE(VLOOKUP(TRIM(A1454),'RESTAURANTESDESCUENTOS 2026'!A:B,2,FALSE),"%",""))/100)+I1454),(VLOOKUP(TRIM(D1454), CATALOGO!A:B, 2, FALSE) * C1454+I1454)),""))</f>
        <v>310000</v>
      </c>
      <c r="K1454" s="196">
        <v>14000.0</v>
      </c>
      <c r="L1454" s="87" t="s">
        <v>587</v>
      </c>
      <c r="M1454" s="197" t="s">
        <v>587</v>
      </c>
      <c r="N1454" s="168"/>
    </row>
    <row r="1455" ht="22.5" hidden="1" customHeight="1">
      <c r="A1455" s="137" t="s">
        <v>1056</v>
      </c>
      <c r="B1455" s="90">
        <v>46086.0</v>
      </c>
      <c r="C1455" s="55">
        <v>1.0</v>
      </c>
      <c r="D1455" s="97" t="s">
        <v>653</v>
      </c>
      <c r="E1455" s="201"/>
      <c r="F1455" s="202"/>
      <c r="G1455" s="194" t="s">
        <v>587</v>
      </c>
      <c r="H1455" s="195" t="s">
        <v>632</v>
      </c>
      <c r="I1455" s="196">
        <v>12000.0</v>
      </c>
      <c r="J1455" s="179">
        <f>IF(A1455="RAPPI",(VLOOKUP(TRIM(D1455), CATALOGO!F:G, 2, FALSE) * C1455)+I1455,IFERROR(IF(COUNTIF('RESTAURANTESDESCUENTOS 2026'!A:A,TRIM(A1455))&gt;0,((VLOOKUP(TRIM(D1455), CATALOGO!A:B, 2, FALSE) * C1455)*(1-VALUE(SUBSTITUTE(VLOOKUP(TRIM(A1455),'RESTAURANTESDESCUENTOS 2026'!A:B,2,FALSE),"%",""))/100)+I1455),(VLOOKUP(TRIM(D1455), CATALOGO!A:B, 2, FALSE) * C1455+I1455)),""))</f>
        <v>135000</v>
      </c>
      <c r="K1455" s="196">
        <v>12000.0</v>
      </c>
      <c r="L1455" s="87"/>
      <c r="M1455" s="197" t="s">
        <v>587</v>
      </c>
      <c r="N1455" s="168"/>
    </row>
    <row r="1456" ht="22.5" hidden="1" customHeight="1">
      <c r="A1456" s="137" t="s">
        <v>1057</v>
      </c>
      <c r="B1456" s="90">
        <v>46086.0</v>
      </c>
      <c r="C1456" s="55">
        <v>1.0</v>
      </c>
      <c r="D1456" s="97" t="s">
        <v>177</v>
      </c>
      <c r="E1456" s="201" t="s">
        <v>610</v>
      </c>
      <c r="F1456" s="202"/>
      <c r="G1456" s="194" t="s">
        <v>587</v>
      </c>
      <c r="H1456" s="195" t="s">
        <v>632</v>
      </c>
      <c r="I1456" s="196">
        <v>0.0</v>
      </c>
      <c r="J1456" s="179">
        <f>IF(A1456="RAPPI",(VLOOKUP(TRIM(D1456), CATALOGO!F:G, 2, FALSE) * C1456)+I1456,IFERROR(IF(COUNTIF('RESTAURANTESDESCUENTOS 2026'!A:A,TRIM(A1456))&gt;0,((VLOOKUP(TRIM(D1456), CATALOGO!A:B, 2, FALSE) * C1456)*(1-VALUE(SUBSTITUTE(VLOOKUP(TRIM(A1456),'RESTAURANTESDESCUENTOS 2026'!A:B,2,FALSE),"%",""))/100)+I1456),(VLOOKUP(TRIM(D1456), CATALOGO!A:B, 2, FALSE) * C1456+I1456)),""))</f>
        <v>115000</v>
      </c>
      <c r="K1456" s="196">
        <v>23000.0</v>
      </c>
      <c r="L1456" s="87" t="s">
        <v>587</v>
      </c>
      <c r="M1456" s="197" t="s">
        <v>587</v>
      </c>
      <c r="N1456" s="168"/>
    </row>
    <row r="1457" ht="22.5" hidden="1" customHeight="1">
      <c r="A1457" s="137" t="s">
        <v>605</v>
      </c>
      <c r="B1457" s="90">
        <v>46086.0</v>
      </c>
      <c r="C1457" s="55">
        <v>1.0</v>
      </c>
      <c r="D1457" s="97" t="s">
        <v>174</v>
      </c>
      <c r="E1457" s="201" t="s">
        <v>607</v>
      </c>
      <c r="F1457" s="236" t="s">
        <v>1035</v>
      </c>
      <c r="G1457" s="194" t="s">
        <v>35</v>
      </c>
      <c r="H1457" s="198"/>
      <c r="I1457" s="196"/>
      <c r="J1457" s="179">
        <f>IF(A1457="RAPPI",(VLOOKUP(TRIM(D1457), CATALOGO!F:G, 2, FALSE) * C1457)+I1457,IFERROR(IF(COUNTIF('RESTAURANTESDESCUENTOS 2026'!A:A,TRIM(A1457))&gt;0,((VLOOKUP(TRIM(D1457), CATALOGO!A:B, 2, FALSE) * C1457)*(1-VALUE(SUBSTITUTE(VLOOKUP(TRIM(A1457),'RESTAURANTESDESCUENTOS 2026'!A:B,2,FALSE),"%",""))/100)+I1457),(VLOOKUP(TRIM(D1457), CATALOGO!A:B, 2, FALSE) * C1457+I1457)),""))</f>
        <v>18000</v>
      </c>
      <c r="K1457" s="196"/>
      <c r="L1457" s="87"/>
      <c r="M1457" s="197" t="s">
        <v>587</v>
      </c>
      <c r="N1457" s="168"/>
    </row>
    <row r="1458" ht="22.5" hidden="1" customHeight="1">
      <c r="A1458" s="137" t="s">
        <v>86</v>
      </c>
      <c r="B1458" s="90">
        <v>46086.0</v>
      </c>
      <c r="C1458" s="55">
        <v>1.0</v>
      </c>
      <c r="D1458" s="97" t="s">
        <v>177</v>
      </c>
      <c r="E1458" s="201" t="s">
        <v>610</v>
      </c>
      <c r="F1458" s="202"/>
      <c r="G1458" s="194" t="s">
        <v>587</v>
      </c>
      <c r="H1458" s="195" t="s">
        <v>632</v>
      </c>
      <c r="I1458" s="196">
        <v>0.0</v>
      </c>
      <c r="J1458" s="179">
        <f>IF(A1458="RAPPI",(VLOOKUP(TRIM(D1458), CATALOGO!F:G, 2, FALSE) * C1458)+I1458,IFERROR(IF(COUNTIF('RESTAURANTESDESCUENTOS 2026'!A:A,TRIM(A1458))&gt;0,((VLOOKUP(TRIM(D1458), CATALOGO!A:B, 2, FALSE) * C1458)*(1-VALUE(SUBSTITUTE(VLOOKUP(TRIM(A1458),'RESTAURANTESDESCUENTOS 2026'!A:B,2,FALSE),"%",""))/100)+I1458),(VLOOKUP(TRIM(D1458), CATALOGO!A:B, 2, FALSE) * C1458+I1458)),""))</f>
        <v>86250</v>
      </c>
      <c r="K1458" s="196">
        <v>15000.0</v>
      </c>
      <c r="L1458" s="87" t="s">
        <v>587</v>
      </c>
      <c r="M1458" s="197" t="s">
        <v>587</v>
      </c>
      <c r="N1458" s="168"/>
    </row>
    <row r="1459" ht="22.5" hidden="1" customHeight="1">
      <c r="A1459" s="137" t="s">
        <v>1058</v>
      </c>
      <c r="B1459" s="90">
        <v>46086.0</v>
      </c>
      <c r="C1459" s="55">
        <v>1.0</v>
      </c>
      <c r="D1459" s="97" t="s">
        <v>601</v>
      </c>
      <c r="E1459" s="201"/>
      <c r="F1459" s="202"/>
      <c r="G1459" s="194" t="s">
        <v>587</v>
      </c>
      <c r="H1459" s="195" t="s">
        <v>632</v>
      </c>
      <c r="I1459" s="196">
        <v>10000.0</v>
      </c>
      <c r="J1459" s="179">
        <f>IF(A1459="RAPPI",(VLOOKUP(TRIM(D1459), CATALOGO!F:G, 2, FALSE) * C1459)+I1459,IFERROR(IF(COUNTIF('RESTAURANTESDESCUENTOS 2026'!A:A,TRIM(A1459))&gt;0,((VLOOKUP(TRIM(D1459), CATALOGO!A:B, 2, FALSE) * C1459)*(1-VALUE(SUBSTITUTE(VLOOKUP(TRIM(A1459),'RESTAURANTESDESCUENTOS 2026'!A:B,2,FALSE),"%",""))/100)+I1459),(VLOOKUP(TRIM(D1459), CATALOGO!A:B, 2, FALSE) * C1459+I1459)),""))</f>
        <v>63000</v>
      </c>
      <c r="K1459" s="196">
        <v>10000.0</v>
      </c>
      <c r="L1459" s="87"/>
      <c r="M1459" s="197" t="s">
        <v>587</v>
      </c>
      <c r="N1459" s="168"/>
    </row>
    <row r="1460" ht="22.5" hidden="1" customHeight="1">
      <c r="A1460" s="137" t="s">
        <v>1059</v>
      </c>
      <c r="B1460" s="90">
        <v>46086.0</v>
      </c>
      <c r="C1460" s="55">
        <v>1.0</v>
      </c>
      <c r="D1460" s="97" t="s">
        <v>182</v>
      </c>
      <c r="E1460" s="201" t="s">
        <v>1060</v>
      </c>
      <c r="F1460" s="202"/>
      <c r="G1460" s="194" t="s">
        <v>35</v>
      </c>
      <c r="H1460" s="198"/>
      <c r="I1460" s="196"/>
      <c r="J1460" s="199">
        <v>25900.0</v>
      </c>
      <c r="K1460" s="196"/>
      <c r="L1460" s="87"/>
      <c r="M1460" s="197" t="s">
        <v>587</v>
      </c>
      <c r="N1460" s="168"/>
    </row>
    <row r="1461" ht="22.5" hidden="1" customHeight="1">
      <c r="A1461" s="137" t="s">
        <v>1059</v>
      </c>
      <c r="B1461" s="90">
        <v>46086.0</v>
      </c>
      <c r="C1461" s="55">
        <v>1.0</v>
      </c>
      <c r="D1461" s="97" t="s">
        <v>620</v>
      </c>
      <c r="E1461" s="201"/>
      <c r="F1461" s="202"/>
      <c r="G1461" s="194" t="s">
        <v>35</v>
      </c>
      <c r="H1461" s="198"/>
      <c r="I1461" s="196"/>
      <c r="J1461" s="179">
        <f>IF(A1461="RAPPI",(VLOOKUP(TRIM(D1461), CATALOGO!F:G, 2, FALSE) * C1461)+I1461,IFERROR(IF(COUNTIF('RESTAURANTESDESCUENTOS 2026'!A:A,TRIM(A1461))&gt;0,((VLOOKUP(TRIM(D1461), CATALOGO!A:B, 2, FALSE) * C1461)*(1-VALUE(SUBSTITUTE(VLOOKUP(TRIM(A1461),'RESTAURANTESDESCUENTOS 2026'!A:B,2,FALSE),"%",""))/100)+I1461),(VLOOKUP(TRIM(D1461), CATALOGO!A:B, 2, FALSE) * C1461+I1461)),""))</f>
        <v>0</v>
      </c>
      <c r="K1461" s="196"/>
      <c r="L1461" s="87"/>
      <c r="M1461" s="197" t="s">
        <v>587</v>
      </c>
      <c r="N1461" s="168"/>
    </row>
    <row r="1462" ht="22.5" hidden="1" customHeight="1">
      <c r="A1462" s="137" t="s">
        <v>1059</v>
      </c>
      <c r="B1462" s="90">
        <v>46086.0</v>
      </c>
      <c r="C1462" s="55">
        <v>1.0</v>
      </c>
      <c r="D1462" s="97" t="s">
        <v>639</v>
      </c>
      <c r="E1462" s="201"/>
      <c r="F1462" s="202"/>
      <c r="G1462" s="194" t="s">
        <v>35</v>
      </c>
      <c r="H1462" s="198"/>
      <c r="I1462" s="196"/>
      <c r="J1462" s="179">
        <f>IF(A1462="RAPPI",(VLOOKUP(TRIM(D1462), CATALOGO!F:G, 2, FALSE) * C1462)+I1462,IFERROR(IF(COUNTIF('RESTAURANTESDESCUENTOS 2026'!A:A,TRIM(A1462))&gt;0,((VLOOKUP(TRIM(D1462), CATALOGO!A:B, 2, FALSE) * C1462)*(1-VALUE(SUBSTITUTE(VLOOKUP(TRIM(A1462),'RESTAURANTESDESCUENTOS 2026'!A:B,2,FALSE),"%",""))/100)+I1462),(VLOOKUP(TRIM(D1462), CATALOGO!A:B, 2, FALSE) * C1462+I1462)),""))</f>
        <v>0</v>
      </c>
      <c r="K1462" s="196"/>
      <c r="L1462" s="87"/>
      <c r="M1462" s="197" t="s">
        <v>587</v>
      </c>
      <c r="N1462" s="168"/>
    </row>
    <row r="1463" ht="22.5" hidden="1" customHeight="1">
      <c r="A1463" s="137" t="s">
        <v>1059</v>
      </c>
      <c r="B1463" s="90">
        <v>46086.0</v>
      </c>
      <c r="C1463" s="55">
        <v>1.0</v>
      </c>
      <c r="D1463" s="97" t="s">
        <v>236</v>
      </c>
      <c r="E1463" s="201"/>
      <c r="F1463" s="202"/>
      <c r="G1463" s="194" t="s">
        <v>35</v>
      </c>
      <c r="H1463" s="198"/>
      <c r="I1463" s="196"/>
      <c r="J1463" s="179">
        <f>IF(A1463="RAPPI",(VLOOKUP(TRIM(D1463), CATALOGO!F:G, 2, FALSE) * C1463)+I1463,IFERROR(IF(COUNTIF('RESTAURANTESDESCUENTOS 2026'!A:A,TRIM(A1463))&gt;0,((VLOOKUP(TRIM(D1463), CATALOGO!A:B, 2, FALSE) * C1463)*(1-VALUE(SUBSTITUTE(VLOOKUP(TRIM(A1463),'RESTAURANTESDESCUENTOS 2026'!A:B,2,FALSE),"%",""))/100)+I1463),(VLOOKUP(TRIM(D1463), CATALOGO!A:B, 2, FALSE) * C1463+I1463)),""))</f>
        <v>0</v>
      </c>
      <c r="K1463" s="196"/>
      <c r="L1463" s="87"/>
      <c r="M1463" s="197" t="s">
        <v>587</v>
      </c>
      <c r="N1463" s="168"/>
    </row>
    <row r="1464" ht="22.5" hidden="1" customHeight="1">
      <c r="A1464" s="137" t="s">
        <v>1059</v>
      </c>
      <c r="B1464" s="90">
        <v>46086.0</v>
      </c>
      <c r="C1464" s="55">
        <v>1.0</v>
      </c>
      <c r="D1464" s="97" t="s">
        <v>669</v>
      </c>
      <c r="E1464" s="201"/>
      <c r="F1464" s="202"/>
      <c r="G1464" s="194" t="s">
        <v>35</v>
      </c>
      <c r="H1464" s="198"/>
      <c r="I1464" s="196"/>
      <c r="J1464" s="179">
        <f>IF(A1464="RAPPI",(VLOOKUP(TRIM(D1464), CATALOGO!F:G, 2, FALSE) * C1464)+I1464,IFERROR(IF(COUNTIF('RESTAURANTESDESCUENTOS 2026'!A:A,TRIM(A1464))&gt;0,((VLOOKUP(TRIM(D1464), CATALOGO!A:B, 2, FALSE) * C1464)*(1-VALUE(SUBSTITUTE(VLOOKUP(TRIM(A1464),'RESTAURANTESDESCUENTOS 2026'!A:B,2,FALSE),"%",""))/100)+I1464),(VLOOKUP(TRIM(D1464), CATALOGO!A:B, 2, FALSE) * C1464+I1464)),""))</f>
        <v>0</v>
      </c>
      <c r="K1464" s="196"/>
      <c r="L1464" s="87"/>
      <c r="M1464" s="197" t="s">
        <v>587</v>
      </c>
      <c r="N1464" s="168"/>
    </row>
    <row r="1465" ht="22.5" hidden="1" customHeight="1">
      <c r="A1465" s="137" t="s">
        <v>605</v>
      </c>
      <c r="B1465" s="90">
        <v>46086.0</v>
      </c>
      <c r="C1465" s="55">
        <v>1.0</v>
      </c>
      <c r="D1465" s="97" t="s">
        <v>177</v>
      </c>
      <c r="E1465" s="201" t="s">
        <v>607</v>
      </c>
      <c r="F1465" s="236" t="s">
        <v>1035</v>
      </c>
      <c r="G1465" s="194" t="s">
        <v>35</v>
      </c>
      <c r="H1465" s="198"/>
      <c r="I1465" s="196"/>
      <c r="J1465" s="179">
        <f>IF(A1465="RAPPI",(VLOOKUP(TRIM(D1465), CATALOGO!F:G, 2, FALSE) * C1465)+I1465,IFERROR(IF(COUNTIF('RESTAURANTESDESCUENTOS 2026'!A:A,TRIM(A1465))&gt;0,((VLOOKUP(TRIM(D1465), CATALOGO!A:B, 2, FALSE) * C1465)*(1-VALUE(SUBSTITUTE(VLOOKUP(TRIM(A1465),'RESTAURANTESDESCUENTOS 2026'!A:B,2,FALSE),"%",""))/100)+I1465),(VLOOKUP(TRIM(D1465), CATALOGO!A:B, 2, FALSE) * C1465+I1465)),""))</f>
        <v>115000</v>
      </c>
      <c r="K1465" s="196"/>
      <c r="L1465" s="87"/>
      <c r="M1465" s="197" t="s">
        <v>587</v>
      </c>
      <c r="N1465" s="168"/>
    </row>
    <row r="1466" ht="22.5" hidden="1" customHeight="1">
      <c r="A1466" s="137" t="s">
        <v>167</v>
      </c>
      <c r="B1466" s="90">
        <v>46086.0</v>
      </c>
      <c r="C1466" s="55">
        <v>1.0</v>
      </c>
      <c r="D1466" s="97" t="s">
        <v>176</v>
      </c>
      <c r="E1466" s="201"/>
      <c r="F1466" s="202"/>
      <c r="G1466" s="194" t="s">
        <v>35</v>
      </c>
      <c r="H1466" s="198"/>
      <c r="I1466" s="196"/>
      <c r="J1466" s="179">
        <f>IF(A1466="RAPPI",(VLOOKUP(TRIM(D1466), CATALOGO!F:G, 2, FALSE) * C1466)+I1466,IFERROR(IF(COUNTIF('RESTAURANTESDESCUENTOS 2026'!A:A,TRIM(A1466))&gt;0,((VLOOKUP(TRIM(D1466), CATALOGO!A:B, 2, FALSE) * C1466)*(1-VALUE(SUBSTITUTE(VLOOKUP(TRIM(A1466),'RESTAURANTESDESCUENTOS 2026'!A:B,2,FALSE),"%",""))/100)+I1466),(VLOOKUP(TRIM(D1466), CATALOGO!A:B, 2, FALSE) * C1466+I1466)),""))</f>
        <v>0</v>
      </c>
      <c r="K1466" s="196"/>
      <c r="L1466" s="87"/>
      <c r="M1466" s="197" t="s">
        <v>587</v>
      </c>
      <c r="N1466" s="168"/>
    </row>
    <row r="1467" ht="22.5" hidden="1" customHeight="1">
      <c r="A1467" s="137" t="s">
        <v>167</v>
      </c>
      <c r="B1467" s="90">
        <v>46086.0</v>
      </c>
      <c r="C1467" s="55">
        <v>1.0</v>
      </c>
      <c r="D1467" s="97" t="s">
        <v>186</v>
      </c>
      <c r="E1467" s="201"/>
      <c r="F1467" s="202"/>
      <c r="G1467" s="194" t="s">
        <v>35</v>
      </c>
      <c r="H1467" s="198"/>
      <c r="I1467" s="196"/>
      <c r="J1467" s="179">
        <f>IF(A1467="RAPPI",(VLOOKUP(TRIM(D1467), CATALOGO!F:G, 2, FALSE) * C1467)+I1467,IFERROR(IF(COUNTIF('RESTAURANTESDESCUENTOS 2026'!A:A,TRIM(A1467))&gt;0,((VLOOKUP(TRIM(D1467), CATALOGO!A:B, 2, FALSE) * C1467)*(1-VALUE(SUBSTITUTE(VLOOKUP(TRIM(A1467),'RESTAURANTESDESCUENTOS 2026'!A:B,2,FALSE),"%",""))/100)+I1467),(VLOOKUP(TRIM(D1467), CATALOGO!A:B, 2, FALSE) * C1467+I1467)),""))</f>
        <v>0</v>
      </c>
      <c r="K1467" s="196"/>
      <c r="L1467" s="87"/>
      <c r="M1467" s="197" t="s">
        <v>587</v>
      </c>
      <c r="N1467" s="168"/>
    </row>
    <row r="1468" ht="22.5" hidden="1" customHeight="1">
      <c r="A1468" s="137" t="s">
        <v>605</v>
      </c>
      <c r="B1468" s="90">
        <v>46086.0</v>
      </c>
      <c r="C1468" s="55">
        <v>1.0</v>
      </c>
      <c r="D1468" s="97" t="s">
        <v>601</v>
      </c>
      <c r="E1468" s="201" t="s">
        <v>606</v>
      </c>
      <c r="F1468" s="236" t="s">
        <v>1036</v>
      </c>
      <c r="G1468" s="194" t="s">
        <v>35</v>
      </c>
      <c r="H1468" s="198"/>
      <c r="I1468" s="196"/>
      <c r="J1468" s="179">
        <f>IF(A1468="RAPPI",(VLOOKUP(TRIM(D1468), CATALOGO!F:G, 2, FALSE) * C1468)+I1468,IFERROR(IF(COUNTIF('RESTAURANTESDESCUENTOS 2026'!A:A,TRIM(A1468))&gt;0,((VLOOKUP(TRIM(D1468), CATALOGO!A:B, 2, FALSE) * C1468)*(1-VALUE(SUBSTITUTE(VLOOKUP(TRIM(A1468),'RESTAURANTESDESCUENTOS 2026'!A:B,2,FALSE),"%",""))/100)+I1468),(VLOOKUP(TRIM(D1468), CATALOGO!A:B, 2, FALSE) * C1468+I1468)),""))</f>
        <v>53000</v>
      </c>
      <c r="K1468" s="196"/>
      <c r="L1468" s="87"/>
      <c r="M1468" s="197" t="s">
        <v>587</v>
      </c>
      <c r="N1468" s="168"/>
    </row>
    <row r="1469" ht="22.5" hidden="1" customHeight="1">
      <c r="A1469" s="137" t="s">
        <v>605</v>
      </c>
      <c r="B1469" s="90">
        <v>46086.0</v>
      </c>
      <c r="C1469" s="55">
        <v>2.0</v>
      </c>
      <c r="D1469" s="97" t="s">
        <v>174</v>
      </c>
      <c r="E1469" s="201" t="s">
        <v>607</v>
      </c>
      <c r="F1469" s="236" t="s">
        <v>1035</v>
      </c>
      <c r="G1469" s="194" t="s">
        <v>35</v>
      </c>
      <c r="H1469" s="198"/>
      <c r="I1469" s="196"/>
      <c r="J1469" s="179">
        <f>IF(A1469="RAPPI",(VLOOKUP(TRIM(D1469), CATALOGO!F:G, 2, FALSE) * C1469)+I1469,IFERROR(IF(COUNTIF('RESTAURANTESDESCUENTOS 2026'!A:A,TRIM(A1469))&gt;0,((VLOOKUP(TRIM(D1469), CATALOGO!A:B, 2, FALSE) * C1469)*(1-VALUE(SUBSTITUTE(VLOOKUP(TRIM(A1469),'RESTAURANTESDESCUENTOS 2026'!A:B,2,FALSE),"%",""))/100)+I1469),(VLOOKUP(TRIM(D1469), CATALOGO!A:B, 2, FALSE) * C1469+I1469)),""))</f>
        <v>36000</v>
      </c>
      <c r="K1469" s="196"/>
      <c r="L1469" s="87"/>
      <c r="M1469" s="197" t="s">
        <v>587</v>
      </c>
      <c r="N1469" s="168"/>
    </row>
    <row r="1470" ht="22.5" hidden="1" customHeight="1">
      <c r="A1470" s="137" t="s">
        <v>605</v>
      </c>
      <c r="B1470" s="90">
        <v>46086.0</v>
      </c>
      <c r="C1470" s="55">
        <v>1.0</v>
      </c>
      <c r="D1470" s="97" t="s">
        <v>757</v>
      </c>
      <c r="E1470" s="201" t="s">
        <v>607</v>
      </c>
      <c r="F1470" s="236" t="s">
        <v>1035</v>
      </c>
      <c r="G1470" s="194" t="s">
        <v>35</v>
      </c>
      <c r="H1470" s="198"/>
      <c r="I1470" s="196"/>
      <c r="J1470" s="179">
        <f>IF(A1470="RAPPI",(VLOOKUP(TRIM(D1470), CATALOGO!F:G, 2, FALSE) * C1470)+I1470,IFERROR(IF(COUNTIF('RESTAURANTESDESCUENTOS 2026'!A:A,TRIM(A1470))&gt;0,((VLOOKUP(TRIM(D1470), CATALOGO!A:B, 2, FALSE) * C1470)*(1-VALUE(SUBSTITUTE(VLOOKUP(TRIM(A1470),'RESTAURANTESDESCUENTOS 2026'!A:B,2,FALSE),"%",""))/100)+I1470),(VLOOKUP(TRIM(D1470), CATALOGO!A:B, 2, FALSE) * C1470+I1470)),""))</f>
        <v>22000</v>
      </c>
      <c r="K1470" s="196"/>
      <c r="L1470" s="87"/>
      <c r="M1470" s="197" t="s">
        <v>587</v>
      </c>
      <c r="N1470" s="168"/>
    </row>
    <row r="1471" ht="22.5" hidden="1" customHeight="1">
      <c r="A1471" s="137" t="s">
        <v>1061</v>
      </c>
      <c r="B1471" s="90">
        <v>46087.0</v>
      </c>
      <c r="C1471" s="55">
        <v>30.0</v>
      </c>
      <c r="D1471" s="97" t="s">
        <v>602</v>
      </c>
      <c r="E1471" s="201" t="s">
        <v>1062</v>
      </c>
      <c r="F1471" s="202"/>
      <c r="G1471" s="194" t="s">
        <v>587</v>
      </c>
      <c r="H1471" s="195" t="s">
        <v>632</v>
      </c>
      <c r="I1471" s="196">
        <v>14000.0</v>
      </c>
      <c r="J1471" s="199">
        <v>509000.0</v>
      </c>
      <c r="K1471" s="196">
        <v>14000.0</v>
      </c>
      <c r="L1471" s="87"/>
      <c r="M1471" s="197" t="s">
        <v>587</v>
      </c>
      <c r="N1471" s="168"/>
    </row>
    <row r="1472" ht="22.5" hidden="1" customHeight="1">
      <c r="A1472" s="137" t="s">
        <v>1063</v>
      </c>
      <c r="B1472" s="90">
        <v>46087.0</v>
      </c>
      <c r="C1472" s="55">
        <v>1.0</v>
      </c>
      <c r="D1472" s="97" t="s">
        <v>178</v>
      </c>
      <c r="E1472" s="201" t="s">
        <v>721</v>
      </c>
      <c r="F1472" s="202"/>
      <c r="G1472" s="194" t="s">
        <v>587</v>
      </c>
      <c r="H1472" s="195" t="s">
        <v>632</v>
      </c>
      <c r="I1472" s="196">
        <v>10000.0</v>
      </c>
      <c r="J1472" s="179">
        <f>IF(A1472="RAPPI",(VLOOKUP(TRIM(D1472), CATALOGO!F:G, 2, FALSE) * C1472)+I1472,IFERROR(IF(COUNTIF('RESTAURANTESDESCUENTOS 2026'!A:A,TRIM(A1472))&gt;0,((VLOOKUP(TRIM(D1472), CATALOGO!A:B, 2, FALSE) * C1472)*(1-VALUE(SUBSTITUTE(VLOOKUP(TRIM(A1472),'RESTAURANTESDESCUENTOS 2026'!A:B,2,FALSE),"%",""))/100)+I1472),(VLOOKUP(TRIM(D1472), CATALOGO!A:B, 2, FALSE) * C1472+I1472)),""))</f>
        <v>160000</v>
      </c>
      <c r="K1472" s="196">
        <v>10000.0</v>
      </c>
      <c r="L1472" s="87"/>
      <c r="M1472" s="197" t="s">
        <v>587</v>
      </c>
      <c r="N1472" s="168"/>
    </row>
    <row r="1473" ht="22.5" hidden="1" customHeight="1">
      <c r="A1473" s="137" t="s">
        <v>1064</v>
      </c>
      <c r="B1473" s="90">
        <v>46087.0</v>
      </c>
      <c r="C1473" s="55">
        <v>1.0</v>
      </c>
      <c r="D1473" s="97" t="s">
        <v>178</v>
      </c>
      <c r="E1473" s="201" t="s">
        <v>721</v>
      </c>
      <c r="F1473" s="202"/>
      <c r="G1473" s="194" t="s">
        <v>587</v>
      </c>
      <c r="H1473" s="195" t="s">
        <v>632</v>
      </c>
      <c r="I1473" s="196">
        <v>12000.0</v>
      </c>
      <c r="J1473" s="179">
        <f>IF(A1473="RAPPI",(VLOOKUP(TRIM(D1473), CATALOGO!F:G, 2, FALSE) * C1473)+I1473,IFERROR(IF(COUNTIF('RESTAURANTESDESCUENTOS 2026'!A:A,TRIM(A1473))&gt;0,((VLOOKUP(TRIM(D1473), CATALOGO!A:B, 2, FALSE) * C1473)*(1-VALUE(SUBSTITUTE(VLOOKUP(TRIM(A1473),'RESTAURANTESDESCUENTOS 2026'!A:B,2,FALSE),"%",""))/100)+I1473),(VLOOKUP(TRIM(D1473), CATALOGO!A:B, 2, FALSE) * C1473+I1473)),""))</f>
        <v>162000</v>
      </c>
      <c r="K1473" s="196">
        <v>12000.0</v>
      </c>
      <c r="L1473" s="87"/>
      <c r="M1473" s="197" t="s">
        <v>587</v>
      </c>
      <c r="N1473" s="168"/>
    </row>
    <row r="1474" ht="22.5" hidden="1" customHeight="1">
      <c r="A1474" s="137" t="s">
        <v>1002</v>
      </c>
      <c r="B1474" s="90">
        <v>46087.0</v>
      </c>
      <c r="C1474" s="55">
        <v>1.0</v>
      </c>
      <c r="D1474" s="97" t="s">
        <v>178</v>
      </c>
      <c r="E1474" s="201" t="s">
        <v>610</v>
      </c>
      <c r="F1474" s="202"/>
      <c r="G1474" s="194" t="s">
        <v>587</v>
      </c>
      <c r="H1474" s="195" t="s">
        <v>632</v>
      </c>
      <c r="I1474" s="196">
        <v>15000.0</v>
      </c>
      <c r="J1474" s="179">
        <f>IF(A1474="RAPPI",(VLOOKUP(TRIM(D1474), CATALOGO!F:G, 2, FALSE) * C1474)+I1474,IFERROR(IF(COUNTIF('RESTAURANTESDESCUENTOS 2026'!A:A,TRIM(A1474))&gt;0,((VLOOKUP(TRIM(D1474), CATALOGO!A:B, 2, FALSE) * C1474)*(1-VALUE(SUBSTITUTE(VLOOKUP(TRIM(A1474),'RESTAURANTESDESCUENTOS 2026'!A:B,2,FALSE),"%",""))/100)+I1474),(VLOOKUP(TRIM(D1474), CATALOGO!A:B, 2, FALSE) * C1474+I1474)),""))</f>
        <v>127500</v>
      </c>
      <c r="K1474" s="196">
        <v>15000.0</v>
      </c>
      <c r="L1474" s="87" t="s">
        <v>587</v>
      </c>
      <c r="M1474" s="197" t="s">
        <v>587</v>
      </c>
      <c r="N1474" s="168"/>
    </row>
    <row r="1475" ht="22.5" hidden="1" customHeight="1">
      <c r="A1475" s="137" t="s">
        <v>144</v>
      </c>
      <c r="B1475" s="90">
        <v>46087.0</v>
      </c>
      <c r="C1475" s="55">
        <v>1.0</v>
      </c>
      <c r="D1475" s="97" t="s">
        <v>178</v>
      </c>
      <c r="E1475" s="201" t="s">
        <v>648</v>
      </c>
      <c r="F1475" s="202"/>
      <c r="G1475" s="194" t="s">
        <v>35</v>
      </c>
      <c r="H1475" s="198"/>
      <c r="I1475" s="196"/>
      <c r="J1475" s="179">
        <f>IF(A1475="RAPPI",(VLOOKUP(TRIM(D1475), CATALOGO!F:G, 2, FALSE) * C1475)+I1475,IFERROR(IF(COUNTIF('RESTAURANTESDESCUENTOS 2026'!A:A,TRIM(A1475))&gt;0,((VLOOKUP(TRIM(D1475), CATALOGO!A:B, 2, FALSE) * C1475)*(1-VALUE(SUBSTITUTE(VLOOKUP(TRIM(A1475),'RESTAURANTESDESCUENTOS 2026'!A:B,2,FALSE),"%",""))/100)+I1475),(VLOOKUP(TRIM(D1475), CATALOGO!A:B, 2, FALSE) * C1475+I1475)),""))</f>
        <v>112500</v>
      </c>
      <c r="K1475" s="196"/>
      <c r="L1475" s="87"/>
      <c r="M1475" s="197" t="s">
        <v>587</v>
      </c>
      <c r="N1475" s="168"/>
    </row>
    <row r="1476" ht="22.5" hidden="1" customHeight="1">
      <c r="A1476" s="137" t="s">
        <v>106</v>
      </c>
      <c r="B1476" s="90">
        <v>46087.0</v>
      </c>
      <c r="C1476" s="55">
        <v>1.0</v>
      </c>
      <c r="D1476" s="97" t="s">
        <v>178</v>
      </c>
      <c r="E1476" s="201" t="s">
        <v>610</v>
      </c>
      <c r="F1476" s="202"/>
      <c r="G1476" s="194" t="s">
        <v>587</v>
      </c>
      <c r="H1476" s="195" t="s">
        <v>632</v>
      </c>
      <c r="I1476" s="196">
        <v>8000.0</v>
      </c>
      <c r="J1476" s="179">
        <f>IF(A1476="RAPPI",(VLOOKUP(TRIM(D1476), CATALOGO!F:G, 2, FALSE) * C1476)+I1476,IFERROR(IF(COUNTIF('RESTAURANTESDESCUENTOS 2026'!A:A,TRIM(A1476))&gt;0,((VLOOKUP(TRIM(D1476), CATALOGO!A:B, 2, FALSE) * C1476)*(1-VALUE(SUBSTITUTE(VLOOKUP(TRIM(A1476),'RESTAURANTESDESCUENTOS 2026'!A:B,2,FALSE),"%",""))/100)+I1476),(VLOOKUP(TRIM(D1476), CATALOGO!A:B, 2, FALSE) * C1476+I1476)),""))</f>
        <v>105125</v>
      </c>
      <c r="K1476" s="196">
        <v>10000.0</v>
      </c>
      <c r="L1476" s="87" t="s">
        <v>587</v>
      </c>
      <c r="M1476" s="197" t="s">
        <v>587</v>
      </c>
      <c r="N1476" s="168"/>
    </row>
    <row r="1477" ht="22.5" hidden="1" customHeight="1">
      <c r="A1477" s="137" t="s">
        <v>622</v>
      </c>
      <c r="B1477" s="90">
        <v>46087.0</v>
      </c>
      <c r="C1477" s="55">
        <v>3.0</v>
      </c>
      <c r="D1477" s="97" t="s">
        <v>178</v>
      </c>
      <c r="E1477" s="70" t="s">
        <v>28</v>
      </c>
      <c r="F1477" s="212"/>
      <c r="G1477" s="194" t="s">
        <v>35</v>
      </c>
      <c r="H1477" s="198"/>
      <c r="I1477" s="196"/>
      <c r="J1477" s="199">
        <v>0.0</v>
      </c>
      <c r="K1477" s="196"/>
      <c r="L1477" s="87"/>
      <c r="M1477" s="197" t="s">
        <v>587</v>
      </c>
      <c r="N1477" s="168"/>
    </row>
    <row r="1478" ht="22.5" hidden="1" customHeight="1">
      <c r="A1478" s="137" t="s">
        <v>968</v>
      </c>
      <c r="B1478" s="90">
        <v>46087.0</v>
      </c>
      <c r="C1478" s="55">
        <v>2.0</v>
      </c>
      <c r="D1478" s="97" t="s">
        <v>178</v>
      </c>
      <c r="E1478" s="70" t="s">
        <v>552</v>
      </c>
      <c r="F1478" s="212"/>
      <c r="G1478" s="194" t="s">
        <v>587</v>
      </c>
      <c r="H1478" s="195" t="s">
        <v>632</v>
      </c>
      <c r="I1478" s="196">
        <v>10000.0</v>
      </c>
      <c r="J1478" s="179">
        <f>IF(A1478="RAPPI",(VLOOKUP(TRIM(D1478), CATALOGO!F:G, 2, FALSE) * C1478)+I1478,IFERROR(IF(COUNTIF('RESTAURANTESDESCUENTOS 2026'!A:A,TRIM(A1478))&gt;0,((VLOOKUP(TRIM(D1478), CATALOGO!A:B, 2, FALSE) * C1478)*(1-VALUE(SUBSTITUTE(VLOOKUP(TRIM(A1478),'RESTAURANTESDESCUENTOS 2026'!A:B,2,FALSE),"%",""))/100)+I1478),(VLOOKUP(TRIM(D1478), CATALOGO!A:B, 2, FALSE) * C1478+I1478)),""))</f>
        <v>235000</v>
      </c>
      <c r="K1478" s="196">
        <v>10000.0</v>
      </c>
      <c r="L1478" s="87" t="s">
        <v>587</v>
      </c>
      <c r="M1478" s="197" t="s">
        <v>587</v>
      </c>
      <c r="N1478" s="168"/>
    </row>
    <row r="1479" ht="22.5" hidden="1" customHeight="1">
      <c r="A1479" s="137" t="s">
        <v>5</v>
      </c>
      <c r="B1479" s="90">
        <v>46087.0</v>
      </c>
      <c r="C1479" s="55"/>
      <c r="D1479" s="193"/>
      <c r="E1479" s="201" t="s">
        <v>1065</v>
      </c>
      <c r="F1479" s="202"/>
      <c r="G1479" s="194" t="s">
        <v>587</v>
      </c>
      <c r="H1479" s="195" t="s">
        <v>632</v>
      </c>
      <c r="I1479" s="196">
        <v>0.0</v>
      </c>
      <c r="J1479" s="199">
        <v>0.0</v>
      </c>
      <c r="K1479" s="196">
        <v>10000.0</v>
      </c>
      <c r="L1479" s="87"/>
      <c r="M1479" s="197" t="s">
        <v>587</v>
      </c>
      <c r="N1479" s="168"/>
    </row>
    <row r="1480" ht="22.5" hidden="1" customHeight="1">
      <c r="A1480" s="137" t="s">
        <v>1066</v>
      </c>
      <c r="B1480" s="90">
        <v>46087.0</v>
      </c>
      <c r="C1480" s="55">
        <v>1.0</v>
      </c>
      <c r="D1480" s="97" t="s">
        <v>177</v>
      </c>
      <c r="E1480" s="201"/>
      <c r="F1480" s="202"/>
      <c r="G1480" s="194" t="s">
        <v>35</v>
      </c>
      <c r="H1480" s="198"/>
      <c r="I1480" s="196"/>
      <c r="J1480" s="179">
        <f>IF(A1480="RAPPI",(VLOOKUP(TRIM(D1480), CATALOGO!F:G, 2, FALSE) * C1480)+I1480,IFERROR(IF(COUNTIF('RESTAURANTESDESCUENTOS 2026'!A:A,TRIM(A1480))&gt;0,((VLOOKUP(TRIM(D1480), CATALOGO!A:B, 2, FALSE) * C1480)*(1-VALUE(SUBSTITUTE(VLOOKUP(TRIM(A1480),'RESTAURANTESDESCUENTOS 2026'!A:B,2,FALSE),"%",""))/100)+I1480),(VLOOKUP(TRIM(D1480), CATALOGO!A:B, 2, FALSE) * C1480+I1480)),""))</f>
        <v>115000</v>
      </c>
      <c r="K1480" s="196"/>
      <c r="L1480" s="87"/>
      <c r="M1480" s="197" t="s">
        <v>587</v>
      </c>
      <c r="N1480" s="168"/>
    </row>
    <row r="1481" ht="22.5" hidden="1" customHeight="1">
      <c r="A1481" s="137" t="s">
        <v>10</v>
      </c>
      <c r="B1481" s="90">
        <v>46087.0</v>
      </c>
      <c r="C1481" s="55">
        <v>1.0</v>
      </c>
      <c r="D1481" s="97" t="s">
        <v>178</v>
      </c>
      <c r="E1481" s="201" t="s">
        <v>610</v>
      </c>
      <c r="F1481" s="202"/>
      <c r="G1481" s="194" t="s">
        <v>587</v>
      </c>
      <c r="H1481" s="195" t="s">
        <v>632</v>
      </c>
      <c r="I1481" s="196">
        <v>10000.0</v>
      </c>
      <c r="J1481" s="179">
        <f>IF(A1481="RAPPI",(VLOOKUP(TRIM(D1481), CATALOGO!F:G, 2, FALSE) * C1481)+I1481,IFERROR(IF(COUNTIF('RESTAURANTESDESCUENTOS 2026'!A:A,TRIM(A1481))&gt;0,((VLOOKUP(TRIM(D1481), CATALOGO!A:B, 2, FALSE) * C1481)*(1-VALUE(SUBSTITUTE(VLOOKUP(TRIM(A1481),'RESTAURANTESDESCUENTOS 2026'!A:B,2,FALSE),"%",""))/100)+I1481),(VLOOKUP(TRIM(D1481), CATALOGO!A:B, 2, FALSE) * C1481+I1481)),""))</f>
        <v>122500</v>
      </c>
      <c r="K1481" s="196">
        <v>10000.0</v>
      </c>
      <c r="L1481" s="87" t="s">
        <v>587</v>
      </c>
      <c r="M1481" s="197" t="s">
        <v>587</v>
      </c>
      <c r="N1481" s="168"/>
    </row>
    <row r="1482" ht="22.5" hidden="1" customHeight="1">
      <c r="A1482" s="137" t="s">
        <v>605</v>
      </c>
      <c r="B1482" s="90">
        <v>46087.0</v>
      </c>
      <c r="C1482" s="55">
        <v>1.0</v>
      </c>
      <c r="D1482" s="97" t="s">
        <v>176</v>
      </c>
      <c r="E1482" s="201" t="s">
        <v>606</v>
      </c>
      <c r="F1482" s="236" t="s">
        <v>1036</v>
      </c>
      <c r="G1482" s="194" t="s">
        <v>35</v>
      </c>
      <c r="H1482" s="198"/>
      <c r="I1482" s="196"/>
      <c r="J1482" s="179">
        <f>IF(A1482="RAPPI",(VLOOKUP(TRIM(D1482), CATALOGO!F:G, 2, FALSE) * C1482)+I1482,IFERROR(IF(COUNTIF('RESTAURANTESDESCUENTOS 2026'!A:A,TRIM(A1482))&gt;0,((VLOOKUP(TRIM(D1482), CATALOGO!A:B, 2, FALSE) * C1482)*(1-VALUE(SUBSTITUTE(VLOOKUP(TRIM(A1482),'RESTAURANTESDESCUENTOS 2026'!A:B,2,FALSE),"%",""))/100)+I1482),(VLOOKUP(TRIM(D1482), CATALOGO!A:B, 2, FALSE) * C1482+I1482)),""))</f>
        <v>50000</v>
      </c>
      <c r="K1482" s="196"/>
      <c r="L1482" s="87"/>
      <c r="M1482" s="197" t="s">
        <v>587</v>
      </c>
      <c r="N1482" s="168"/>
    </row>
    <row r="1483" ht="22.5" hidden="1" customHeight="1">
      <c r="A1483" s="137" t="s">
        <v>1067</v>
      </c>
      <c r="B1483" s="90">
        <v>46087.0</v>
      </c>
      <c r="C1483" s="55">
        <v>1.0</v>
      </c>
      <c r="D1483" s="97" t="s">
        <v>177</v>
      </c>
      <c r="E1483" s="201"/>
      <c r="F1483" s="202"/>
      <c r="G1483" s="194" t="s">
        <v>587</v>
      </c>
      <c r="H1483" s="195" t="s">
        <v>632</v>
      </c>
      <c r="I1483" s="196">
        <v>10000.0</v>
      </c>
      <c r="J1483" s="179">
        <f>IF(A1483="RAPPI",(VLOOKUP(TRIM(D1483), CATALOGO!F:G, 2, FALSE) * C1483)+I1483,IFERROR(IF(COUNTIF('RESTAURANTESDESCUENTOS 2026'!A:A,TRIM(A1483))&gt;0,((VLOOKUP(TRIM(D1483), CATALOGO!A:B, 2, FALSE) * C1483)*(1-VALUE(SUBSTITUTE(VLOOKUP(TRIM(A1483),'RESTAURANTESDESCUENTOS 2026'!A:B,2,FALSE),"%",""))/100)+I1483),(VLOOKUP(TRIM(D1483), CATALOGO!A:B, 2, FALSE) * C1483+I1483)),""))</f>
        <v>125000</v>
      </c>
      <c r="K1483" s="196">
        <v>10000.0</v>
      </c>
      <c r="L1483" s="87"/>
      <c r="M1483" s="197" t="s">
        <v>587</v>
      </c>
      <c r="N1483" s="168"/>
    </row>
    <row r="1484" ht="22.5" hidden="1" customHeight="1">
      <c r="A1484" s="137" t="s">
        <v>1067</v>
      </c>
      <c r="B1484" s="90">
        <v>46087.0</v>
      </c>
      <c r="C1484" s="55">
        <v>105.0</v>
      </c>
      <c r="D1484" s="97" t="s">
        <v>236</v>
      </c>
      <c r="E1484" s="201"/>
      <c r="F1484" s="202"/>
      <c r="G1484" s="194" t="s">
        <v>587</v>
      </c>
      <c r="H1484" s="195" t="s">
        <v>632</v>
      </c>
      <c r="I1484" s="196">
        <v>0.0</v>
      </c>
      <c r="J1484" s="199">
        <v>8000.0</v>
      </c>
      <c r="K1484" s="196">
        <v>0.0</v>
      </c>
      <c r="L1484" s="87"/>
      <c r="M1484" s="197" t="s">
        <v>587</v>
      </c>
      <c r="N1484" s="168"/>
    </row>
    <row r="1485" ht="22.5" hidden="1" customHeight="1">
      <c r="A1485" s="137" t="s">
        <v>1067</v>
      </c>
      <c r="B1485" s="90">
        <v>46087.0</v>
      </c>
      <c r="C1485" s="55">
        <v>105.0</v>
      </c>
      <c r="D1485" s="97" t="s">
        <v>669</v>
      </c>
      <c r="E1485" s="201"/>
      <c r="F1485" s="202"/>
      <c r="G1485" s="194" t="s">
        <v>587</v>
      </c>
      <c r="H1485" s="195" t="s">
        <v>632</v>
      </c>
      <c r="I1485" s="196">
        <v>0.0</v>
      </c>
      <c r="J1485" s="199">
        <v>8000.0</v>
      </c>
      <c r="K1485" s="196">
        <v>0.0</v>
      </c>
      <c r="L1485" s="87"/>
      <c r="M1485" s="197" t="s">
        <v>587</v>
      </c>
      <c r="N1485" s="168"/>
    </row>
    <row r="1486" ht="22.5" hidden="1" customHeight="1">
      <c r="A1486" s="137" t="s">
        <v>1067</v>
      </c>
      <c r="B1486" s="90">
        <v>46087.0</v>
      </c>
      <c r="C1486" s="55">
        <v>105.0</v>
      </c>
      <c r="D1486" s="97" t="s">
        <v>620</v>
      </c>
      <c r="E1486" s="201"/>
      <c r="F1486" s="202"/>
      <c r="G1486" s="194" t="s">
        <v>587</v>
      </c>
      <c r="H1486" s="195" t="s">
        <v>632</v>
      </c>
      <c r="I1486" s="196">
        <v>0.0</v>
      </c>
      <c r="J1486" s="199">
        <v>8000.0</v>
      </c>
      <c r="K1486" s="196">
        <v>0.0</v>
      </c>
      <c r="L1486" s="87"/>
      <c r="M1486" s="197" t="s">
        <v>587</v>
      </c>
      <c r="N1486" s="168"/>
    </row>
    <row r="1487" ht="22.5" hidden="1" customHeight="1">
      <c r="A1487" s="137" t="s">
        <v>603</v>
      </c>
      <c r="B1487" s="90">
        <v>46087.0</v>
      </c>
      <c r="C1487" s="55">
        <v>1.0</v>
      </c>
      <c r="D1487" s="97" t="s">
        <v>640</v>
      </c>
      <c r="E1487" s="201">
        <v>6358.0</v>
      </c>
      <c r="F1487" s="202"/>
      <c r="G1487" s="194" t="s">
        <v>587</v>
      </c>
      <c r="H1487" s="195" t="s">
        <v>603</v>
      </c>
      <c r="I1487" s="196"/>
      <c r="J1487" s="179">
        <f>IF(A1487="RAPPI",(VLOOKUP(TRIM(D1487), CATALOGO!F:G, 2, FALSE) * C1487)+I1487,IFERROR(IF(COUNTIF('RESTAURANTESDESCUENTOS 2026'!A:A,TRIM(A1487))&gt;0,((VLOOKUP(TRIM(D1487), CATALOGO!A:B, 2, FALSE) * C1487)*(1-VALUE(SUBSTITUTE(VLOOKUP(TRIM(A1487),'RESTAURANTESDESCUENTOS 2026'!A:B,2,FALSE),"%",""))/100)+I1487),(VLOOKUP(TRIM(D1487), CATALOGO!A:B, 2, FALSE) * C1487+I1487)),""))</f>
        <v>53000</v>
      </c>
      <c r="K1487" s="196"/>
      <c r="L1487" s="87"/>
      <c r="M1487" s="197" t="s">
        <v>587</v>
      </c>
      <c r="N1487" s="168"/>
    </row>
    <row r="1488" ht="22.5" hidden="1" customHeight="1">
      <c r="A1488" s="137" t="s">
        <v>603</v>
      </c>
      <c r="B1488" s="90">
        <v>46087.0</v>
      </c>
      <c r="C1488" s="55">
        <v>1.0</v>
      </c>
      <c r="D1488" s="97" t="s">
        <v>640</v>
      </c>
      <c r="E1488" s="201">
        <v>6262.0</v>
      </c>
      <c r="F1488" s="202"/>
      <c r="G1488" s="194" t="s">
        <v>587</v>
      </c>
      <c r="H1488" s="195" t="s">
        <v>603</v>
      </c>
      <c r="I1488" s="196"/>
      <c r="J1488" s="179">
        <f>IF(A1488="RAPPI",(VLOOKUP(TRIM(D1488), CATALOGO!F:G, 2, FALSE) * C1488)+I1488,IFERROR(IF(COUNTIF('RESTAURANTESDESCUENTOS 2026'!A:A,TRIM(A1488))&gt;0,((VLOOKUP(TRIM(D1488), CATALOGO!A:B, 2, FALSE) * C1488)*(1-VALUE(SUBSTITUTE(VLOOKUP(TRIM(A1488),'RESTAURANTESDESCUENTOS 2026'!A:B,2,FALSE),"%",""))/100)+I1488),(VLOOKUP(TRIM(D1488), CATALOGO!A:B, 2, FALSE) * C1488+I1488)),""))</f>
        <v>53000</v>
      </c>
      <c r="K1488" s="196"/>
      <c r="L1488" s="87"/>
      <c r="M1488" s="197" t="s">
        <v>587</v>
      </c>
      <c r="N1488" s="168"/>
    </row>
    <row r="1489" ht="22.5" hidden="1" customHeight="1">
      <c r="A1489" s="137" t="s">
        <v>603</v>
      </c>
      <c r="B1489" s="90">
        <v>46087.0</v>
      </c>
      <c r="C1489" s="55">
        <v>1.0</v>
      </c>
      <c r="D1489" s="97" t="s">
        <v>176</v>
      </c>
      <c r="E1489" s="201">
        <v>3243.0</v>
      </c>
      <c r="F1489" s="202"/>
      <c r="G1489" s="194" t="s">
        <v>587</v>
      </c>
      <c r="H1489" s="195" t="s">
        <v>603</v>
      </c>
      <c r="I1489" s="196"/>
      <c r="J1489" s="179">
        <f>IF(A1489="RAPPI",(VLOOKUP(TRIM(D1489), CATALOGO!F:G, 2, FALSE) * C1489)+I1489,IFERROR(IF(COUNTIF('RESTAURANTESDESCUENTOS 2026'!A:A,TRIM(A1489))&gt;0,((VLOOKUP(TRIM(D1489), CATALOGO!A:B, 2, FALSE) * C1489)*(1-VALUE(SUBSTITUTE(VLOOKUP(TRIM(A1489),'RESTAURANTESDESCUENTOS 2026'!A:B,2,FALSE),"%",""))/100)+I1489),(VLOOKUP(TRIM(D1489), CATALOGO!A:B, 2, FALSE) * C1489+I1489)),""))</f>
        <v>50000</v>
      </c>
      <c r="K1489" s="196"/>
      <c r="L1489" s="87"/>
      <c r="M1489" s="197" t="s">
        <v>587</v>
      </c>
      <c r="N1489" s="168"/>
    </row>
    <row r="1490" ht="22.5" hidden="1" customHeight="1">
      <c r="A1490" s="137" t="s">
        <v>603</v>
      </c>
      <c r="B1490" s="90">
        <v>46087.0</v>
      </c>
      <c r="C1490" s="55">
        <v>1.0</v>
      </c>
      <c r="D1490" s="97" t="s">
        <v>177</v>
      </c>
      <c r="E1490" s="201">
        <v>3243.0</v>
      </c>
      <c r="F1490" s="202"/>
      <c r="G1490" s="194" t="s">
        <v>587</v>
      </c>
      <c r="H1490" s="195" t="s">
        <v>603</v>
      </c>
      <c r="I1490" s="196"/>
      <c r="J1490" s="179">
        <f>IF(A1490="RAPPI",(VLOOKUP(TRIM(D1490), CATALOGO!F:G, 2, FALSE) * C1490)+I1490,IFERROR(IF(COUNTIF('RESTAURANTESDESCUENTOS 2026'!A:A,TRIM(A1490))&gt;0,((VLOOKUP(TRIM(D1490), CATALOGO!A:B, 2, FALSE) * C1490)*(1-VALUE(SUBSTITUTE(VLOOKUP(TRIM(A1490),'RESTAURANTESDESCUENTOS 2026'!A:B,2,FALSE),"%",""))/100)+I1490),(VLOOKUP(TRIM(D1490), CATALOGO!A:B, 2, FALSE) * C1490+I1490)),""))</f>
        <v>115000</v>
      </c>
      <c r="K1490" s="196"/>
      <c r="L1490" s="87"/>
      <c r="M1490" s="197" t="s">
        <v>587</v>
      </c>
      <c r="N1490" s="168"/>
    </row>
    <row r="1491" ht="22.5" hidden="1" customHeight="1">
      <c r="A1491" s="137" t="s">
        <v>603</v>
      </c>
      <c r="B1491" s="90">
        <v>46087.0</v>
      </c>
      <c r="C1491" s="55">
        <v>1.0</v>
      </c>
      <c r="D1491" s="97" t="s">
        <v>178</v>
      </c>
      <c r="E1491" s="201">
        <v>2147.0</v>
      </c>
      <c r="F1491" s="202"/>
      <c r="G1491" s="194" t="s">
        <v>587</v>
      </c>
      <c r="H1491" s="195" t="s">
        <v>603</v>
      </c>
      <c r="I1491" s="196"/>
      <c r="J1491" s="179">
        <f>IF(A1491="RAPPI",(VLOOKUP(TRIM(D1491), CATALOGO!F:G, 2, FALSE) * C1491)+I1491,IFERROR(IF(COUNTIF('RESTAURANTESDESCUENTOS 2026'!A:A,TRIM(A1491))&gt;0,((VLOOKUP(TRIM(D1491), CATALOGO!A:B, 2, FALSE) * C1491)*(1-VALUE(SUBSTITUTE(VLOOKUP(TRIM(A1491),'RESTAURANTESDESCUENTOS 2026'!A:B,2,FALSE),"%",""))/100)+I1491),(VLOOKUP(TRIM(D1491), CATALOGO!A:B, 2, FALSE) * C1491+I1491)),""))</f>
        <v>150000</v>
      </c>
      <c r="K1491" s="196"/>
      <c r="L1491" s="87"/>
      <c r="M1491" s="197" t="s">
        <v>587</v>
      </c>
      <c r="N1491" s="168"/>
    </row>
    <row r="1492" ht="22.5" hidden="1" customHeight="1">
      <c r="A1492" s="137" t="s">
        <v>167</v>
      </c>
      <c r="B1492" s="90">
        <v>46087.0</v>
      </c>
      <c r="C1492" s="55">
        <v>1.0</v>
      </c>
      <c r="D1492" s="97" t="s">
        <v>177</v>
      </c>
      <c r="E1492" s="201"/>
      <c r="F1492" s="202"/>
      <c r="G1492" s="194" t="s">
        <v>587</v>
      </c>
      <c r="H1492" s="195" t="s">
        <v>632</v>
      </c>
      <c r="I1492" s="196">
        <v>0.0</v>
      </c>
      <c r="J1492" s="179">
        <f>IF(A1492="RAPPI",(VLOOKUP(TRIM(D1492), CATALOGO!F:G, 2, FALSE) * C1492)+I1492,IFERROR(IF(COUNTIF('RESTAURANTESDESCUENTOS 2026'!A:A,TRIM(A1492))&gt;0,((VLOOKUP(TRIM(D1492), CATALOGO!A:B, 2, FALSE) * C1492)*(1-VALUE(SUBSTITUTE(VLOOKUP(TRIM(A1492),'RESTAURANTESDESCUENTOS 2026'!A:B,2,FALSE),"%",""))/100)+I1492),(VLOOKUP(TRIM(D1492), CATALOGO!A:B, 2, FALSE) * C1492+I1492)),""))</f>
        <v>0</v>
      </c>
      <c r="K1492" s="196">
        <v>10000.0</v>
      </c>
      <c r="L1492" s="87"/>
      <c r="M1492" s="197" t="s">
        <v>587</v>
      </c>
      <c r="N1492" s="168"/>
    </row>
    <row r="1493" ht="22.5" hidden="1" customHeight="1">
      <c r="A1493" s="137" t="s">
        <v>167</v>
      </c>
      <c r="B1493" s="90">
        <v>46087.0</v>
      </c>
      <c r="C1493" s="55">
        <v>105.0</v>
      </c>
      <c r="D1493" s="97" t="s">
        <v>620</v>
      </c>
      <c r="E1493" s="201"/>
      <c r="F1493" s="202"/>
      <c r="G1493" s="194" t="s">
        <v>587</v>
      </c>
      <c r="H1493" s="195" t="s">
        <v>632</v>
      </c>
      <c r="I1493" s="196">
        <v>0.0</v>
      </c>
      <c r="J1493" s="179">
        <f>IF(A1493="RAPPI",(VLOOKUP(TRIM(D1493), CATALOGO!F:G, 2, FALSE) * C1493)+I1493,IFERROR(IF(COUNTIF('RESTAURANTESDESCUENTOS 2026'!A:A,TRIM(A1493))&gt;0,((VLOOKUP(TRIM(D1493), CATALOGO!A:B, 2, FALSE) * C1493)*(1-VALUE(SUBSTITUTE(VLOOKUP(TRIM(A1493),'RESTAURANTESDESCUENTOS 2026'!A:B,2,FALSE),"%",""))/100)+I1493),(VLOOKUP(TRIM(D1493), CATALOGO!A:B, 2, FALSE) * C1493+I1493)),""))</f>
        <v>0</v>
      </c>
      <c r="K1493" s="196">
        <v>0.0</v>
      </c>
      <c r="L1493" s="87"/>
      <c r="M1493" s="197" t="s">
        <v>587</v>
      </c>
      <c r="N1493" s="168"/>
    </row>
    <row r="1494" ht="22.5" hidden="1" customHeight="1">
      <c r="A1494" s="137" t="s">
        <v>167</v>
      </c>
      <c r="B1494" s="90">
        <v>46087.0</v>
      </c>
      <c r="C1494" s="55">
        <v>105.0</v>
      </c>
      <c r="D1494" s="97" t="s">
        <v>236</v>
      </c>
      <c r="E1494" s="201"/>
      <c r="F1494" s="202"/>
      <c r="G1494" s="194" t="s">
        <v>587</v>
      </c>
      <c r="H1494" s="195" t="s">
        <v>632</v>
      </c>
      <c r="I1494" s="196">
        <v>0.0</v>
      </c>
      <c r="J1494" s="179">
        <f>IF(A1494="RAPPI",(VLOOKUP(TRIM(D1494), CATALOGO!F:G, 2, FALSE) * C1494)+I1494,IFERROR(IF(COUNTIF('RESTAURANTESDESCUENTOS 2026'!A:A,TRIM(A1494))&gt;0,((VLOOKUP(TRIM(D1494), CATALOGO!A:B, 2, FALSE) * C1494)*(1-VALUE(SUBSTITUTE(VLOOKUP(TRIM(A1494),'RESTAURANTESDESCUENTOS 2026'!A:B,2,FALSE),"%",""))/100)+I1494),(VLOOKUP(TRIM(D1494), CATALOGO!A:B, 2, FALSE) * C1494+I1494)),""))</f>
        <v>0</v>
      </c>
      <c r="K1494" s="196">
        <v>0.0</v>
      </c>
      <c r="L1494" s="87"/>
      <c r="M1494" s="197" t="s">
        <v>587</v>
      </c>
      <c r="N1494" s="168"/>
    </row>
    <row r="1495" ht="22.5" hidden="1" customHeight="1">
      <c r="A1495" s="137" t="s">
        <v>603</v>
      </c>
      <c r="B1495" s="90">
        <v>46087.0</v>
      </c>
      <c r="C1495" s="55">
        <v>1.0</v>
      </c>
      <c r="D1495" s="97" t="s">
        <v>618</v>
      </c>
      <c r="E1495" s="201">
        <v>9116.0</v>
      </c>
      <c r="F1495" s="202"/>
      <c r="G1495" s="194" t="s">
        <v>587</v>
      </c>
      <c r="H1495" s="195" t="s">
        <v>603</v>
      </c>
      <c r="I1495" s="196"/>
      <c r="J1495" s="179">
        <f>IF(A1495="RAPPI",(VLOOKUP(TRIM(D1495), CATALOGO!F:G, 2, FALSE) * C1495)+I1495,IFERROR(IF(COUNTIF('RESTAURANTESDESCUENTOS 2026'!A:A,TRIM(A1495))&gt;0,((VLOOKUP(TRIM(D1495), CATALOGO!A:B, 2, FALSE) * C1495)*(1-VALUE(SUBSTITUTE(VLOOKUP(TRIM(A1495),'RESTAURANTESDESCUENTOS 2026'!A:B,2,FALSE),"%",""))/100)+I1495),(VLOOKUP(TRIM(D1495), CATALOGO!A:B, 2, FALSE) * C1495+I1495)),""))</f>
        <v>53000</v>
      </c>
      <c r="K1495" s="196"/>
      <c r="L1495" s="87"/>
      <c r="M1495" s="197" t="s">
        <v>587</v>
      </c>
      <c r="N1495" s="168"/>
    </row>
    <row r="1496" ht="22.5" hidden="1" customHeight="1">
      <c r="A1496" s="137" t="s">
        <v>1068</v>
      </c>
      <c r="B1496" s="90">
        <v>46087.0</v>
      </c>
      <c r="C1496" s="55">
        <v>1.0</v>
      </c>
      <c r="D1496" s="97" t="s">
        <v>176</v>
      </c>
      <c r="E1496" s="201"/>
      <c r="F1496" s="202"/>
      <c r="G1496" s="194" t="s">
        <v>587</v>
      </c>
      <c r="H1496" s="195" t="s">
        <v>588</v>
      </c>
      <c r="I1496" s="196">
        <v>15000.0</v>
      </c>
      <c r="J1496" s="179">
        <f>IF(A1496="RAPPI",(VLOOKUP(TRIM(D1496), CATALOGO!F:G, 2, FALSE) * C1496)+I1496,IFERROR(IF(COUNTIF('RESTAURANTESDESCUENTOS 2026'!A:A,TRIM(A1496))&gt;0,((VLOOKUP(TRIM(D1496), CATALOGO!A:B, 2, FALSE) * C1496)*(1-VALUE(SUBSTITUTE(VLOOKUP(TRIM(A1496),'RESTAURANTESDESCUENTOS 2026'!A:B,2,FALSE),"%",""))/100)+I1496),(VLOOKUP(TRIM(D1496), CATALOGO!A:B, 2, FALSE) * C1496+I1496)),""))</f>
        <v>65000</v>
      </c>
      <c r="K1496" s="196">
        <v>15000.0</v>
      </c>
      <c r="L1496" s="87"/>
      <c r="M1496" s="197" t="s">
        <v>587</v>
      </c>
      <c r="N1496" s="168"/>
    </row>
    <row r="1497" ht="22.5" hidden="1" customHeight="1">
      <c r="A1497" s="137" t="s">
        <v>605</v>
      </c>
      <c r="B1497" s="90">
        <v>46087.0</v>
      </c>
      <c r="C1497" s="55">
        <v>1.0</v>
      </c>
      <c r="D1497" s="97" t="s">
        <v>174</v>
      </c>
      <c r="E1497" s="201" t="s">
        <v>832</v>
      </c>
      <c r="F1497" s="236" t="s">
        <v>1035</v>
      </c>
      <c r="G1497" s="194" t="s">
        <v>35</v>
      </c>
      <c r="H1497" s="198"/>
      <c r="I1497" s="196"/>
      <c r="J1497" s="179">
        <f>IF(A1497="RAPPI",(VLOOKUP(TRIM(D1497), CATALOGO!F:G, 2, FALSE) * C1497)+I1497,IFERROR(IF(COUNTIF('RESTAURANTESDESCUENTOS 2026'!A:A,TRIM(A1497))&gt;0,((VLOOKUP(TRIM(D1497), CATALOGO!A:B, 2, FALSE) * C1497)*(1-VALUE(SUBSTITUTE(VLOOKUP(TRIM(A1497),'RESTAURANTESDESCUENTOS 2026'!A:B,2,FALSE),"%",""))/100)+I1497),(VLOOKUP(TRIM(D1497), CATALOGO!A:B, 2, FALSE) * C1497+I1497)),""))</f>
        <v>18000</v>
      </c>
      <c r="K1497" s="196"/>
      <c r="L1497" s="87"/>
      <c r="M1497" s="197" t="s">
        <v>587</v>
      </c>
      <c r="N1497" s="168"/>
    </row>
    <row r="1498" ht="22.5" hidden="1" customHeight="1">
      <c r="A1498" s="137" t="s">
        <v>920</v>
      </c>
      <c r="B1498" s="90">
        <v>46087.0</v>
      </c>
      <c r="C1498" s="55">
        <v>2.0</v>
      </c>
      <c r="D1498" s="97" t="s">
        <v>177</v>
      </c>
      <c r="E1498" s="201"/>
      <c r="F1498" s="202"/>
      <c r="G1498" s="194" t="s">
        <v>35</v>
      </c>
      <c r="H1498" s="198"/>
      <c r="I1498" s="196"/>
      <c r="J1498" s="179">
        <f>IF(A1498="RAPPI",(VLOOKUP(TRIM(D1498), CATALOGO!F:G, 2, FALSE) * C1498)+I1498,IFERROR(IF(COUNTIF('RESTAURANTESDESCUENTOS 2026'!A:A,TRIM(A1498))&gt;0,((VLOOKUP(TRIM(D1498), CATALOGO!A:B, 2, FALSE) * C1498)*(1-VALUE(SUBSTITUTE(VLOOKUP(TRIM(A1498),'RESTAURANTESDESCUENTOS 2026'!A:B,2,FALSE),"%",""))/100)+I1498),(VLOOKUP(TRIM(D1498), CATALOGO!A:B, 2, FALSE) * C1498+I1498)),""))</f>
        <v>230000</v>
      </c>
      <c r="K1498" s="196"/>
      <c r="L1498" s="87"/>
      <c r="M1498" s="197" t="s">
        <v>587</v>
      </c>
      <c r="N1498" s="168"/>
    </row>
    <row r="1499" ht="22.5" hidden="1" customHeight="1">
      <c r="A1499" s="137" t="s">
        <v>17</v>
      </c>
      <c r="B1499" s="90">
        <v>46087.0</v>
      </c>
      <c r="C1499" s="55">
        <v>1.0</v>
      </c>
      <c r="D1499" s="97" t="s">
        <v>178</v>
      </c>
      <c r="E1499" s="201" t="s">
        <v>610</v>
      </c>
      <c r="F1499" s="202"/>
      <c r="G1499" s="194" t="s">
        <v>587</v>
      </c>
      <c r="H1499" s="195" t="s">
        <v>632</v>
      </c>
      <c r="I1499" s="196">
        <v>10000.0</v>
      </c>
      <c r="J1499" s="179">
        <f>IF(A1499="RAPPI",(VLOOKUP(TRIM(D1499), CATALOGO!F:G, 2, FALSE) * C1499)+I1499,IFERROR(IF(COUNTIF('RESTAURANTESDESCUENTOS 2026'!A:A,TRIM(A1499))&gt;0,((VLOOKUP(TRIM(D1499), CATALOGO!A:B, 2, FALSE) * C1499)*(1-VALUE(SUBSTITUTE(VLOOKUP(TRIM(A1499),'RESTAURANTESDESCUENTOS 2026'!A:B,2,FALSE),"%",""))/100)+I1499),(VLOOKUP(TRIM(D1499), CATALOGO!A:B, 2, FALSE) * C1499+I1499)),""))</f>
        <v>122500</v>
      </c>
      <c r="K1499" s="196">
        <v>10000.0</v>
      </c>
      <c r="L1499" s="87" t="s">
        <v>587</v>
      </c>
      <c r="M1499" s="197" t="s">
        <v>587</v>
      </c>
      <c r="N1499" s="168"/>
    </row>
    <row r="1500" ht="22.5" hidden="1" customHeight="1">
      <c r="A1500" s="137" t="s">
        <v>603</v>
      </c>
      <c r="B1500" s="90">
        <v>46087.0</v>
      </c>
      <c r="C1500" s="55">
        <v>1.0</v>
      </c>
      <c r="D1500" s="97" t="s">
        <v>678</v>
      </c>
      <c r="E1500" s="201">
        <v>6980.0</v>
      </c>
      <c r="F1500" s="202"/>
      <c r="G1500" s="194" t="s">
        <v>587</v>
      </c>
      <c r="H1500" s="195" t="s">
        <v>603</v>
      </c>
      <c r="I1500" s="196"/>
      <c r="J1500" s="179">
        <f>IF(A1500="RAPPI",(VLOOKUP(TRIM(D1500), CATALOGO!F:G, 2, FALSE) * C1500)+I1500,IFERROR(IF(COUNTIF('RESTAURANTESDESCUENTOS 2026'!A:A,TRIM(A1500))&gt;0,((VLOOKUP(TRIM(D1500), CATALOGO!A:B, 2, FALSE) * C1500)*(1-VALUE(SUBSTITUTE(VLOOKUP(TRIM(A1500),'RESTAURANTESDESCUENTOS 2026'!A:B,2,FALSE),"%",""))/100)+I1500),(VLOOKUP(TRIM(D1500), CATALOGO!A:B, 2, FALSE) * C1500+I1500)),""))</f>
        <v>123000</v>
      </c>
      <c r="K1500" s="196"/>
      <c r="L1500" s="87"/>
      <c r="M1500" s="197" t="s">
        <v>587</v>
      </c>
      <c r="N1500" s="168"/>
    </row>
    <row r="1501" ht="22.5" hidden="1" customHeight="1">
      <c r="A1501" s="137" t="s">
        <v>605</v>
      </c>
      <c r="B1501" s="90">
        <v>46087.0</v>
      </c>
      <c r="C1501" s="55">
        <v>1.0</v>
      </c>
      <c r="D1501" s="97" t="s">
        <v>176</v>
      </c>
      <c r="E1501" s="201" t="s">
        <v>606</v>
      </c>
      <c r="F1501" s="236" t="s">
        <v>1036</v>
      </c>
      <c r="G1501" s="194" t="s">
        <v>35</v>
      </c>
      <c r="H1501" s="198"/>
      <c r="I1501" s="196"/>
      <c r="J1501" s="179">
        <f>IF(A1501="RAPPI",(VLOOKUP(TRIM(D1501), CATALOGO!F:G, 2, FALSE) * C1501)+I1501,IFERROR(IF(COUNTIF('RESTAURANTESDESCUENTOS 2026'!A:A,TRIM(A1501))&gt;0,((VLOOKUP(TRIM(D1501), CATALOGO!A:B, 2, FALSE) * C1501)*(1-VALUE(SUBSTITUTE(VLOOKUP(TRIM(A1501),'RESTAURANTESDESCUENTOS 2026'!A:B,2,FALSE),"%",""))/100)+I1501),(VLOOKUP(TRIM(D1501), CATALOGO!A:B, 2, FALSE) * C1501+I1501)),""))</f>
        <v>50000</v>
      </c>
      <c r="K1501" s="196"/>
      <c r="L1501" s="87"/>
      <c r="M1501" s="197" t="s">
        <v>587</v>
      </c>
      <c r="N1501" s="168"/>
    </row>
    <row r="1502" ht="22.5" hidden="1" customHeight="1">
      <c r="A1502" s="137" t="s">
        <v>605</v>
      </c>
      <c r="B1502" s="90">
        <v>46087.0</v>
      </c>
      <c r="C1502" s="55">
        <v>2.0</v>
      </c>
      <c r="D1502" s="97" t="s">
        <v>174</v>
      </c>
      <c r="E1502" s="201"/>
      <c r="F1502" s="236" t="s">
        <v>1036</v>
      </c>
      <c r="G1502" s="194" t="s">
        <v>35</v>
      </c>
      <c r="H1502" s="198"/>
      <c r="I1502" s="196"/>
      <c r="J1502" s="179">
        <f>IF(A1502="RAPPI",(VLOOKUP(TRIM(D1502), CATALOGO!F:G, 2, FALSE) * C1502)+I1502,IFERROR(IF(COUNTIF('RESTAURANTESDESCUENTOS 2026'!A:A,TRIM(A1502))&gt;0,((VLOOKUP(TRIM(D1502), CATALOGO!A:B, 2, FALSE) * C1502)*(1-VALUE(SUBSTITUTE(VLOOKUP(TRIM(A1502),'RESTAURANTESDESCUENTOS 2026'!A:B,2,FALSE),"%",""))/100)+I1502),(VLOOKUP(TRIM(D1502), CATALOGO!A:B, 2, FALSE) * C1502+I1502)),""))</f>
        <v>36000</v>
      </c>
      <c r="K1502" s="196"/>
      <c r="L1502" s="87"/>
      <c r="M1502" s="197" t="s">
        <v>587</v>
      </c>
      <c r="N1502" s="168"/>
    </row>
    <row r="1503" ht="22.5" hidden="1" customHeight="1">
      <c r="A1503" s="137" t="s">
        <v>605</v>
      </c>
      <c r="B1503" s="90">
        <v>46087.0</v>
      </c>
      <c r="C1503" s="55">
        <v>1.0</v>
      </c>
      <c r="D1503" s="97" t="s">
        <v>174</v>
      </c>
      <c r="E1503" s="201"/>
      <c r="F1503" s="236" t="s">
        <v>1036</v>
      </c>
      <c r="G1503" s="194" t="s">
        <v>35</v>
      </c>
      <c r="H1503" s="198"/>
      <c r="I1503" s="196"/>
      <c r="J1503" s="179">
        <f>IF(A1503="RAPPI",(VLOOKUP(TRIM(D1503), CATALOGO!F:G, 2, FALSE) * C1503)+I1503,IFERROR(IF(COUNTIF('RESTAURANTESDESCUENTOS 2026'!A:A,TRIM(A1503))&gt;0,((VLOOKUP(TRIM(D1503), CATALOGO!A:B, 2, FALSE) * C1503)*(1-VALUE(SUBSTITUTE(VLOOKUP(TRIM(A1503),'RESTAURANTESDESCUENTOS 2026'!A:B,2,FALSE),"%",""))/100)+I1503),(VLOOKUP(TRIM(D1503), CATALOGO!A:B, 2, FALSE) * C1503+I1503)),""))</f>
        <v>18000</v>
      </c>
      <c r="K1503" s="196"/>
      <c r="L1503" s="87"/>
      <c r="M1503" s="197" t="s">
        <v>587</v>
      </c>
      <c r="N1503" s="168"/>
    </row>
    <row r="1504" ht="22.5" hidden="1" customHeight="1">
      <c r="A1504" s="137" t="s">
        <v>1069</v>
      </c>
      <c r="B1504" s="90">
        <v>46087.0</v>
      </c>
      <c r="C1504" s="55">
        <v>1.0</v>
      </c>
      <c r="D1504" s="97" t="s">
        <v>177</v>
      </c>
      <c r="E1504" s="201"/>
      <c r="F1504" s="236" t="s">
        <v>1036</v>
      </c>
      <c r="G1504" s="194" t="s">
        <v>35</v>
      </c>
      <c r="H1504" s="198"/>
      <c r="I1504" s="196"/>
      <c r="J1504" s="179">
        <f>IF(A1504="RAPPI",(VLOOKUP(TRIM(D1504), CATALOGO!F:G, 2, FALSE) * C1504)+I1504,IFERROR(IF(COUNTIF('RESTAURANTESDESCUENTOS 2026'!A:A,TRIM(A1504))&gt;0,((VLOOKUP(TRIM(D1504), CATALOGO!A:B, 2, FALSE) * C1504)*(1-VALUE(SUBSTITUTE(VLOOKUP(TRIM(A1504),'RESTAURANTESDESCUENTOS 2026'!A:B,2,FALSE),"%",""))/100)+I1504),(VLOOKUP(TRIM(D1504), CATALOGO!A:B, 2, FALSE) * C1504+I1504)),""))</f>
        <v>115000</v>
      </c>
      <c r="K1504" s="196"/>
      <c r="L1504" s="87"/>
      <c r="M1504" s="197" t="s">
        <v>587</v>
      </c>
      <c r="N1504" s="168"/>
    </row>
    <row r="1505" ht="22.5" hidden="1" customHeight="1">
      <c r="A1505" s="137" t="s">
        <v>163</v>
      </c>
      <c r="B1505" s="90">
        <v>46087.0</v>
      </c>
      <c r="C1505" s="55">
        <v>1.0</v>
      </c>
      <c r="D1505" s="97" t="s">
        <v>176</v>
      </c>
      <c r="E1505" s="201"/>
      <c r="F1505" s="202"/>
      <c r="G1505" s="194" t="s">
        <v>35</v>
      </c>
      <c r="H1505" s="198"/>
      <c r="I1505" s="196"/>
      <c r="J1505" s="179">
        <f>IF(A1505="RAPPI",(VLOOKUP(TRIM(D1505), CATALOGO!F:G, 2, FALSE) * C1505)+I1505,IFERROR(IF(COUNTIF('RESTAURANTESDESCUENTOS 2026'!A:A,TRIM(A1505))&gt;0,((VLOOKUP(TRIM(D1505), CATALOGO!A:B, 2, FALSE) * C1505)*(1-VALUE(SUBSTITUTE(VLOOKUP(TRIM(A1505),'RESTAURANTESDESCUENTOS 2026'!A:B,2,FALSE),"%",""))/100)+I1505),(VLOOKUP(TRIM(D1505), CATALOGO!A:B, 2, FALSE) * C1505+I1505)),""))</f>
        <v>35000</v>
      </c>
      <c r="K1505" s="196"/>
      <c r="L1505" s="87"/>
      <c r="M1505" s="197" t="s">
        <v>587</v>
      </c>
      <c r="N1505" s="168"/>
    </row>
    <row r="1506" ht="22.5" hidden="1" customHeight="1">
      <c r="A1506" s="137" t="s">
        <v>862</v>
      </c>
      <c r="B1506" s="90">
        <v>46087.0</v>
      </c>
      <c r="C1506" s="55">
        <v>1.0</v>
      </c>
      <c r="D1506" s="97" t="s">
        <v>176</v>
      </c>
      <c r="E1506" s="201"/>
      <c r="F1506" s="202"/>
      <c r="G1506" s="194" t="s">
        <v>35</v>
      </c>
      <c r="H1506" s="198"/>
      <c r="I1506" s="196"/>
      <c r="J1506" s="179">
        <f>IF(A1506="RAPPI",(VLOOKUP(TRIM(D1506), CATALOGO!F:G, 2, FALSE) * C1506)+I1506,IFERROR(IF(COUNTIF('RESTAURANTESDESCUENTOS 2026'!A:A,TRIM(A1506))&gt;0,((VLOOKUP(TRIM(D1506), CATALOGO!A:B, 2, FALSE) * C1506)*(1-VALUE(SUBSTITUTE(VLOOKUP(TRIM(A1506),'RESTAURANTESDESCUENTOS 2026'!A:B,2,FALSE),"%",""))/100)+I1506),(VLOOKUP(TRIM(D1506), CATALOGO!A:B, 2, FALSE) * C1506+I1506)),""))</f>
        <v>50000</v>
      </c>
      <c r="K1506" s="196"/>
      <c r="L1506" s="87"/>
      <c r="M1506" s="197" t="s">
        <v>587</v>
      </c>
      <c r="N1506" s="168"/>
    </row>
    <row r="1507" ht="22.5" hidden="1" customHeight="1">
      <c r="A1507" s="137" t="s">
        <v>862</v>
      </c>
      <c r="B1507" s="90">
        <v>46087.0</v>
      </c>
      <c r="C1507" s="55">
        <v>1.0</v>
      </c>
      <c r="D1507" s="97" t="s">
        <v>187</v>
      </c>
      <c r="E1507" s="201"/>
      <c r="F1507" s="202"/>
      <c r="G1507" s="194" t="s">
        <v>35</v>
      </c>
      <c r="H1507" s="198"/>
      <c r="I1507" s="196"/>
      <c r="J1507" s="179">
        <f>IF(A1507="RAPPI",(VLOOKUP(TRIM(D1507), CATALOGO!F:G, 2, FALSE) * C1507)+I1507,IFERROR(IF(COUNTIF('RESTAURANTESDESCUENTOS 2026'!A:A,TRIM(A1507))&gt;0,((VLOOKUP(TRIM(D1507), CATALOGO!A:B, 2, FALSE) * C1507)*(1-VALUE(SUBSTITUTE(VLOOKUP(TRIM(A1507),'RESTAURANTESDESCUENTOS 2026'!A:B,2,FALSE),"%",""))/100)+I1507),(VLOOKUP(TRIM(D1507), CATALOGO!A:B, 2, FALSE) * C1507+I1507)),""))</f>
        <v>55000</v>
      </c>
      <c r="K1507" s="196"/>
      <c r="L1507" s="87"/>
      <c r="M1507" s="197" t="s">
        <v>587</v>
      </c>
      <c r="N1507" s="168"/>
    </row>
    <row r="1508" ht="22.5" hidden="1" customHeight="1">
      <c r="A1508" s="137" t="s">
        <v>1070</v>
      </c>
      <c r="B1508" s="90">
        <v>46087.0</v>
      </c>
      <c r="C1508" s="55">
        <v>1.0</v>
      </c>
      <c r="D1508" s="97" t="s">
        <v>177</v>
      </c>
      <c r="E1508" s="201"/>
      <c r="F1508" s="202"/>
      <c r="G1508" s="194" t="s">
        <v>587</v>
      </c>
      <c r="H1508" s="195" t="s">
        <v>588</v>
      </c>
      <c r="I1508" s="196">
        <v>12000.0</v>
      </c>
      <c r="J1508" s="179">
        <f>IF(A1508="RAPPI",(VLOOKUP(TRIM(D1508), CATALOGO!F:G, 2, FALSE) * C1508)+I1508,IFERROR(IF(COUNTIF('RESTAURANTESDESCUENTOS 2026'!A:A,TRIM(A1508))&gt;0,((VLOOKUP(TRIM(D1508), CATALOGO!A:B, 2, FALSE) * C1508)*(1-VALUE(SUBSTITUTE(VLOOKUP(TRIM(A1508),'RESTAURANTESDESCUENTOS 2026'!A:B,2,FALSE),"%",""))/100)+I1508),(VLOOKUP(TRIM(D1508), CATALOGO!A:B, 2, FALSE) * C1508+I1508)),""))</f>
        <v>127000</v>
      </c>
      <c r="K1508" s="196">
        <v>15000.0</v>
      </c>
      <c r="L1508" s="87"/>
      <c r="M1508" s="197" t="s">
        <v>587</v>
      </c>
      <c r="N1508" s="168"/>
    </row>
    <row r="1509" ht="22.5" hidden="1" customHeight="1">
      <c r="A1509" s="137" t="s">
        <v>1071</v>
      </c>
      <c r="B1509" s="90">
        <v>46087.0</v>
      </c>
      <c r="C1509" s="55">
        <v>1.0</v>
      </c>
      <c r="D1509" s="97" t="s">
        <v>708</v>
      </c>
      <c r="E1509" s="201"/>
      <c r="F1509" s="202"/>
      <c r="G1509" s="194" t="s">
        <v>35</v>
      </c>
      <c r="H1509" s="198"/>
      <c r="I1509" s="196">
        <v>0.0</v>
      </c>
      <c r="J1509" s="179">
        <f>IF(A1509="RAPPI",(VLOOKUP(TRIM(D1509), CATALOGO!F:G, 2, FALSE) * C1509)+I1509,IFERROR(IF(COUNTIF('RESTAURANTESDESCUENTOS 2026'!A:A,TRIM(A1509))&gt;0,((VLOOKUP(TRIM(D1509), CATALOGO!A:B, 2, FALSE) * C1509)*(1-VALUE(SUBSTITUTE(VLOOKUP(TRIM(A1509),'RESTAURANTESDESCUENTOS 2026'!A:B,2,FALSE),"%",""))/100)+I1509),(VLOOKUP(TRIM(D1509), CATALOGO!A:B, 2, FALSE) * C1509+I1509)),""))</f>
        <v>53000</v>
      </c>
      <c r="K1509" s="196">
        <v>14000.0</v>
      </c>
      <c r="L1509" s="87"/>
      <c r="M1509" s="197" t="s">
        <v>587</v>
      </c>
      <c r="N1509" s="168"/>
    </row>
    <row r="1510" ht="22.5" hidden="1" customHeight="1">
      <c r="A1510" s="137" t="s">
        <v>1071</v>
      </c>
      <c r="B1510" s="90">
        <v>46087.0</v>
      </c>
      <c r="C1510" s="55">
        <v>1.0</v>
      </c>
      <c r="D1510" s="97" t="s">
        <v>182</v>
      </c>
      <c r="E1510" s="201"/>
      <c r="F1510" s="202"/>
      <c r="G1510" s="194" t="s">
        <v>35</v>
      </c>
      <c r="H1510" s="198"/>
      <c r="I1510" s="196"/>
      <c r="J1510" s="179">
        <f>IF(A1510="RAPPI",(VLOOKUP(TRIM(D1510), CATALOGO!F:G, 2, FALSE) * C1510)+I1510,IFERROR(IF(COUNTIF('RESTAURANTESDESCUENTOS 2026'!A:A,TRIM(A1510))&gt;0,((VLOOKUP(TRIM(D1510), CATALOGO!A:B, 2, FALSE) * C1510)*(1-VALUE(SUBSTITUTE(VLOOKUP(TRIM(A1510),'RESTAURANTESDESCUENTOS 2026'!A:B,2,FALSE),"%",""))/100)+I1510),(VLOOKUP(TRIM(D1510), CATALOGO!A:B, 2, FALSE) * C1510+I1510)),""))</f>
        <v>37000</v>
      </c>
      <c r="K1510" s="196"/>
      <c r="L1510" s="87"/>
      <c r="M1510" s="197" t="s">
        <v>587</v>
      </c>
      <c r="N1510" s="168"/>
    </row>
    <row r="1511" ht="22.5" hidden="1" customHeight="1">
      <c r="A1511" s="137" t="s">
        <v>1071</v>
      </c>
      <c r="B1511" s="90">
        <v>46087.0</v>
      </c>
      <c r="C1511" s="55">
        <v>1.0</v>
      </c>
      <c r="D1511" s="97" t="s">
        <v>620</v>
      </c>
      <c r="E1511" s="201"/>
      <c r="F1511" s="202"/>
      <c r="G1511" s="194" t="s">
        <v>35</v>
      </c>
      <c r="H1511" s="198"/>
      <c r="I1511" s="196"/>
      <c r="J1511" s="179">
        <f>IF(A1511="RAPPI",(VLOOKUP(TRIM(D1511), CATALOGO!F:G, 2, FALSE) * C1511)+I1511,IFERROR(IF(COUNTIF('RESTAURANTESDESCUENTOS 2026'!A:A,TRIM(A1511))&gt;0,((VLOOKUP(TRIM(D1511), CATALOGO!A:B, 2, FALSE) * C1511)*(1-VALUE(SUBSTITUTE(VLOOKUP(TRIM(A1511),'RESTAURANTESDESCUENTOS 2026'!A:B,2,FALSE),"%",""))/100)+I1511),(VLOOKUP(TRIM(D1511), CATALOGO!A:B, 2, FALSE) * C1511+I1511)),""))</f>
        <v>0</v>
      </c>
      <c r="K1511" s="196"/>
      <c r="L1511" s="87"/>
      <c r="M1511" s="197" t="s">
        <v>587</v>
      </c>
      <c r="N1511" s="168"/>
    </row>
    <row r="1512" ht="22.5" hidden="1" customHeight="1">
      <c r="A1512" s="137" t="s">
        <v>1071</v>
      </c>
      <c r="B1512" s="90">
        <v>46087.0</v>
      </c>
      <c r="C1512" s="55">
        <v>1.0</v>
      </c>
      <c r="D1512" s="97" t="s">
        <v>669</v>
      </c>
      <c r="E1512" s="201"/>
      <c r="F1512" s="202"/>
      <c r="G1512" s="194" t="s">
        <v>35</v>
      </c>
      <c r="H1512" s="198"/>
      <c r="I1512" s="196"/>
      <c r="J1512" s="179">
        <f>IF(A1512="RAPPI",(VLOOKUP(TRIM(D1512), CATALOGO!F:G, 2, FALSE) * C1512)+I1512,IFERROR(IF(COUNTIF('RESTAURANTESDESCUENTOS 2026'!A:A,TRIM(A1512))&gt;0,((VLOOKUP(TRIM(D1512), CATALOGO!A:B, 2, FALSE) * C1512)*(1-VALUE(SUBSTITUTE(VLOOKUP(TRIM(A1512),'RESTAURANTESDESCUENTOS 2026'!A:B,2,FALSE),"%",""))/100)+I1512),(VLOOKUP(TRIM(D1512), CATALOGO!A:B, 2, FALSE) * C1512+I1512)),""))</f>
        <v>0</v>
      </c>
      <c r="K1512" s="196"/>
      <c r="L1512" s="87"/>
      <c r="M1512" s="197" t="s">
        <v>587</v>
      </c>
      <c r="N1512" s="168"/>
    </row>
    <row r="1513" ht="22.5" hidden="1" customHeight="1">
      <c r="A1513" s="137" t="s">
        <v>1071</v>
      </c>
      <c r="B1513" s="90">
        <v>46087.0</v>
      </c>
      <c r="C1513" s="55">
        <v>1.0</v>
      </c>
      <c r="D1513" s="97" t="s">
        <v>236</v>
      </c>
      <c r="E1513" s="201"/>
      <c r="F1513" s="202"/>
      <c r="G1513" s="194" t="s">
        <v>35</v>
      </c>
      <c r="H1513" s="198"/>
      <c r="I1513" s="196"/>
      <c r="J1513" s="179">
        <f>IF(A1513="RAPPI",(VLOOKUP(TRIM(D1513), CATALOGO!F:G, 2, FALSE) * C1513)+I1513,IFERROR(IF(COUNTIF('RESTAURANTESDESCUENTOS 2026'!A:A,TRIM(A1513))&gt;0,((VLOOKUP(TRIM(D1513), CATALOGO!A:B, 2, FALSE) * C1513)*(1-VALUE(SUBSTITUTE(VLOOKUP(TRIM(A1513),'RESTAURANTESDESCUENTOS 2026'!A:B,2,FALSE),"%",""))/100)+I1513),(VLOOKUP(TRIM(D1513), CATALOGO!A:B, 2, FALSE) * C1513+I1513)),""))</f>
        <v>0</v>
      </c>
      <c r="K1513" s="196"/>
      <c r="L1513" s="87"/>
      <c r="M1513" s="197" t="s">
        <v>587</v>
      </c>
      <c r="N1513" s="168"/>
    </row>
    <row r="1514" ht="22.5" hidden="1" customHeight="1">
      <c r="A1514" s="137" t="s">
        <v>1071</v>
      </c>
      <c r="B1514" s="90">
        <v>46087.0</v>
      </c>
      <c r="C1514" s="55">
        <v>1.0</v>
      </c>
      <c r="D1514" s="97" t="s">
        <v>639</v>
      </c>
      <c r="E1514" s="201"/>
      <c r="F1514" s="202"/>
      <c r="G1514" s="194" t="s">
        <v>35</v>
      </c>
      <c r="H1514" s="198"/>
      <c r="I1514" s="196"/>
      <c r="J1514" s="179">
        <f>IF(A1514="RAPPI",(VLOOKUP(TRIM(D1514), CATALOGO!F:G, 2, FALSE) * C1514)+I1514,IFERROR(IF(COUNTIF('RESTAURANTESDESCUENTOS 2026'!A:A,TRIM(A1514))&gt;0,((VLOOKUP(TRIM(D1514), CATALOGO!A:B, 2, FALSE) * C1514)*(1-VALUE(SUBSTITUTE(VLOOKUP(TRIM(A1514),'RESTAURANTESDESCUENTOS 2026'!A:B,2,FALSE),"%",""))/100)+I1514),(VLOOKUP(TRIM(D1514), CATALOGO!A:B, 2, FALSE) * C1514+I1514)),""))</f>
        <v>0</v>
      </c>
      <c r="K1514" s="196"/>
      <c r="L1514" s="87"/>
      <c r="M1514" s="197" t="s">
        <v>587</v>
      </c>
      <c r="N1514" s="168"/>
    </row>
    <row r="1515" ht="22.5" hidden="1" customHeight="1">
      <c r="A1515" s="137" t="s">
        <v>1072</v>
      </c>
      <c r="B1515" s="90">
        <v>46088.0</v>
      </c>
      <c r="C1515" s="55">
        <v>1.0</v>
      </c>
      <c r="D1515" s="97" t="s">
        <v>178</v>
      </c>
      <c r="E1515" s="201"/>
      <c r="F1515" s="202"/>
      <c r="G1515" s="194" t="s">
        <v>35</v>
      </c>
      <c r="H1515" s="198"/>
      <c r="I1515" s="196"/>
      <c r="J1515" s="179">
        <f>IF(A1515="RAPPI",(VLOOKUP(TRIM(D1515), CATALOGO!F:G, 2, FALSE) * C1515)+I1515,IFERROR(IF(COUNTIF('RESTAURANTESDESCUENTOS 2026'!A:A,TRIM(A1515))&gt;0,((VLOOKUP(TRIM(D1515), CATALOGO!A:B, 2, FALSE) * C1515)*(1-VALUE(SUBSTITUTE(VLOOKUP(TRIM(A1515),'RESTAURANTESDESCUENTOS 2026'!A:B,2,FALSE),"%",""))/100)+I1515),(VLOOKUP(TRIM(D1515), CATALOGO!A:B, 2, FALSE) * C1515+I1515)),""))</f>
        <v>150000</v>
      </c>
      <c r="K1515" s="196"/>
      <c r="L1515" s="87"/>
      <c r="M1515" s="197" t="s">
        <v>587</v>
      </c>
      <c r="N1515" s="168"/>
    </row>
    <row r="1516" ht="22.5" hidden="1" customHeight="1">
      <c r="A1516" s="137" t="s">
        <v>1073</v>
      </c>
      <c r="B1516" s="90">
        <v>46088.0</v>
      </c>
      <c r="C1516" s="55">
        <v>1.0</v>
      </c>
      <c r="D1516" s="97" t="s">
        <v>739</v>
      </c>
      <c r="E1516" s="201"/>
      <c r="F1516" s="202"/>
      <c r="G1516" s="194" t="s">
        <v>587</v>
      </c>
      <c r="H1516" s="195" t="s">
        <v>632</v>
      </c>
      <c r="I1516" s="196">
        <v>14000.0</v>
      </c>
      <c r="J1516" s="179">
        <f>IF(A1516="RAPPI",(VLOOKUP(TRIM(D1516), CATALOGO!F:G, 2, FALSE) * C1516)+I1516,IFERROR(IF(COUNTIF('RESTAURANTESDESCUENTOS 2026'!A:A,TRIM(A1516))&gt;0,((VLOOKUP(TRIM(D1516), CATALOGO!A:B, 2, FALSE) * C1516)*(1-VALUE(SUBSTITUTE(VLOOKUP(TRIM(A1516),'RESTAURANTESDESCUENTOS 2026'!A:B,2,FALSE),"%",""))/100)+I1516),(VLOOKUP(TRIM(D1516), CATALOGO!A:B, 2, FALSE) * C1516+I1516)),""))</f>
        <v>177000</v>
      </c>
      <c r="K1516" s="196"/>
      <c r="L1516" s="87"/>
      <c r="M1516" s="197" t="s">
        <v>587</v>
      </c>
      <c r="N1516" s="168"/>
    </row>
    <row r="1517" ht="22.5" hidden="1" customHeight="1">
      <c r="A1517" s="137" t="s">
        <v>968</v>
      </c>
      <c r="B1517" s="90">
        <v>46088.0</v>
      </c>
      <c r="C1517" s="55">
        <v>16.0</v>
      </c>
      <c r="D1517" s="97" t="s">
        <v>182</v>
      </c>
      <c r="E1517" s="70" t="s">
        <v>1046</v>
      </c>
      <c r="F1517" s="212"/>
      <c r="G1517" s="194" t="s">
        <v>587</v>
      </c>
      <c r="H1517" s="198"/>
      <c r="I1517" s="196">
        <v>0.0</v>
      </c>
      <c r="J1517" s="179">
        <f>IF(A1517="RAPPI",(VLOOKUP(TRIM(D1517), CATALOGO!F:G, 2, FALSE) * C1517)+I1517,IFERROR(IF(COUNTIF('RESTAURANTESDESCUENTOS 2026'!A:A,TRIM(A1517))&gt;0,((VLOOKUP(TRIM(D1517), CATALOGO!A:B, 2, FALSE) * C1517)*(1-VALUE(SUBSTITUTE(VLOOKUP(TRIM(A1517),'RESTAURANTESDESCUENTOS 2026'!A:B,2,FALSE),"%",""))/100)+I1517),(VLOOKUP(TRIM(D1517), CATALOGO!A:B, 2, FALSE) * C1517+I1517)),""))</f>
        <v>444000</v>
      </c>
      <c r="K1517" s="196">
        <v>10000.0</v>
      </c>
      <c r="L1517" s="87" t="s">
        <v>587</v>
      </c>
      <c r="M1517" s="197" t="s">
        <v>587</v>
      </c>
      <c r="N1517" s="168"/>
    </row>
    <row r="1518" ht="22.5" hidden="1" customHeight="1">
      <c r="A1518" s="137" t="s">
        <v>1074</v>
      </c>
      <c r="B1518" s="90">
        <v>46088.0</v>
      </c>
      <c r="C1518" s="55">
        <v>1.0</v>
      </c>
      <c r="D1518" s="97" t="s">
        <v>189</v>
      </c>
      <c r="E1518" s="201"/>
      <c r="F1518" s="202"/>
      <c r="G1518" s="194" t="s">
        <v>35</v>
      </c>
      <c r="H1518" s="198"/>
      <c r="I1518" s="196"/>
      <c r="J1518" s="179">
        <f>IF(A1518="RAPPI",(VLOOKUP(TRIM(D1518), CATALOGO!F:G, 2, FALSE) * C1518)+I1518,IFERROR(IF(COUNTIF('RESTAURANTESDESCUENTOS 2026'!A:A,TRIM(A1518))&gt;0,((VLOOKUP(TRIM(D1518), CATALOGO!A:B, 2, FALSE) * C1518)*(1-VALUE(SUBSTITUTE(VLOOKUP(TRIM(A1518),'RESTAURANTESDESCUENTOS 2026'!A:B,2,FALSE),"%",""))/100)+I1518),(VLOOKUP(TRIM(D1518), CATALOGO!A:B, 2, FALSE) * C1518+I1518)),""))</f>
        <v>145000</v>
      </c>
      <c r="K1518" s="196"/>
      <c r="L1518" s="87"/>
      <c r="M1518" s="197" t="s">
        <v>587</v>
      </c>
      <c r="N1518" s="168"/>
    </row>
    <row r="1519" ht="22.5" hidden="1" customHeight="1">
      <c r="A1519" s="137" t="s">
        <v>10</v>
      </c>
      <c r="B1519" s="90">
        <v>46088.0</v>
      </c>
      <c r="C1519" s="55">
        <v>2.0</v>
      </c>
      <c r="D1519" s="97" t="s">
        <v>178</v>
      </c>
      <c r="E1519" s="201"/>
      <c r="F1519" s="202"/>
      <c r="G1519" s="194" t="s">
        <v>587</v>
      </c>
      <c r="H1519" s="195" t="s">
        <v>632</v>
      </c>
      <c r="I1519" s="196"/>
      <c r="J1519" s="179">
        <f>IF(A1519="RAPPI",(VLOOKUP(TRIM(D1519), CATALOGO!F:G, 2, FALSE) * C1519)+I1519,IFERROR(IF(COUNTIF('RESTAURANTESDESCUENTOS 2026'!A:A,TRIM(A1519))&gt;0,((VLOOKUP(TRIM(D1519), CATALOGO!A:B, 2, FALSE) * C1519)*(1-VALUE(SUBSTITUTE(VLOOKUP(TRIM(A1519),'RESTAURANTESDESCUENTOS 2026'!A:B,2,FALSE),"%",""))/100)+I1519),(VLOOKUP(TRIM(D1519), CATALOGO!A:B, 2, FALSE) * C1519+I1519)),""))</f>
        <v>225000</v>
      </c>
      <c r="K1519" s="196">
        <v>10000.0</v>
      </c>
      <c r="L1519" s="87"/>
      <c r="M1519" s="197" t="s">
        <v>587</v>
      </c>
      <c r="N1519" s="168"/>
    </row>
    <row r="1520" ht="22.5" hidden="1" customHeight="1">
      <c r="A1520" s="137" t="s">
        <v>55</v>
      </c>
      <c r="B1520" s="90">
        <v>46088.0</v>
      </c>
      <c r="C1520" s="55">
        <v>4.0</v>
      </c>
      <c r="D1520" s="97" t="s">
        <v>178</v>
      </c>
      <c r="E1520" s="201"/>
      <c r="F1520" s="202"/>
      <c r="G1520" s="194" t="s">
        <v>587</v>
      </c>
      <c r="H1520" s="195" t="s">
        <v>632</v>
      </c>
      <c r="I1520" s="196"/>
      <c r="J1520" s="179">
        <f>IF(A1520="RAPPI",(VLOOKUP(TRIM(D1520), CATALOGO!F:G, 2, FALSE) * C1520)+I1520,IFERROR(IF(COUNTIF('RESTAURANTESDESCUENTOS 2026'!A:A,TRIM(A1520))&gt;0,((VLOOKUP(TRIM(D1520), CATALOGO!A:B, 2, FALSE) * C1520)*(1-VALUE(SUBSTITUTE(VLOOKUP(TRIM(A1520),'RESTAURANTESDESCUENTOS 2026'!A:B,2,FALSE),"%",""))/100)+I1520),(VLOOKUP(TRIM(D1520), CATALOGO!A:B, 2, FALSE) * C1520+I1520)),""))</f>
        <v>450000</v>
      </c>
      <c r="K1520" s="196"/>
      <c r="L1520" s="87"/>
      <c r="M1520" s="197" t="s">
        <v>587</v>
      </c>
      <c r="N1520" s="168"/>
    </row>
    <row r="1521" ht="22.5" hidden="1" customHeight="1">
      <c r="A1521" s="137" t="s">
        <v>106</v>
      </c>
      <c r="B1521" s="90">
        <v>46088.0</v>
      </c>
      <c r="C1521" s="55">
        <v>1.0</v>
      </c>
      <c r="D1521" s="97" t="s">
        <v>178</v>
      </c>
      <c r="E1521" s="201"/>
      <c r="F1521" s="202"/>
      <c r="G1521" s="194" t="s">
        <v>587</v>
      </c>
      <c r="H1521" s="195" t="s">
        <v>632</v>
      </c>
      <c r="I1521" s="196"/>
      <c r="J1521" s="179">
        <f>IF(A1521="RAPPI",(VLOOKUP(TRIM(D1521), CATALOGO!F:G, 2, FALSE) * C1521)+I1521,IFERROR(IF(COUNTIF('RESTAURANTESDESCUENTOS 2026'!A:A,TRIM(A1521))&gt;0,((VLOOKUP(TRIM(D1521), CATALOGO!A:B, 2, FALSE) * C1521)*(1-VALUE(SUBSTITUTE(VLOOKUP(TRIM(A1521),'RESTAURANTESDESCUENTOS 2026'!A:B,2,FALSE),"%",""))/100)+I1521),(VLOOKUP(TRIM(D1521), CATALOGO!A:B, 2, FALSE) * C1521+I1521)),""))</f>
        <v>97125</v>
      </c>
      <c r="K1521" s="196">
        <v>10000.0</v>
      </c>
      <c r="L1521" s="87"/>
      <c r="M1521" s="197" t="s">
        <v>587</v>
      </c>
      <c r="N1521" s="168"/>
    </row>
    <row r="1522" ht="22.5" hidden="1" customHeight="1">
      <c r="A1522" s="137" t="s">
        <v>1075</v>
      </c>
      <c r="B1522" s="90">
        <v>46088.0</v>
      </c>
      <c r="C1522" s="55">
        <v>1.0</v>
      </c>
      <c r="D1522" s="97" t="s">
        <v>697</v>
      </c>
      <c r="E1522" s="201"/>
      <c r="F1522" s="202"/>
      <c r="G1522" s="194" t="s">
        <v>35</v>
      </c>
      <c r="H1522" s="198"/>
      <c r="I1522" s="196"/>
      <c r="J1522" s="179">
        <f>IF(A1522="RAPPI",(VLOOKUP(TRIM(D1522), CATALOGO!F:G, 2, FALSE) * C1522)+I1522,IFERROR(IF(COUNTIF('RESTAURANTESDESCUENTOS 2026'!A:A,TRIM(A1522))&gt;0,((VLOOKUP(TRIM(D1522), CATALOGO!A:B, 2, FALSE) * C1522)*(1-VALUE(SUBSTITUTE(VLOOKUP(TRIM(A1522),'RESTAURANTESDESCUENTOS 2026'!A:B,2,FALSE),"%",""))/100)+I1522),(VLOOKUP(TRIM(D1522), CATALOGO!A:B, 2, FALSE) * C1522+I1522)),""))</f>
        <v>163000</v>
      </c>
      <c r="K1522" s="196"/>
      <c r="L1522" s="87"/>
      <c r="M1522" s="197" t="s">
        <v>587</v>
      </c>
      <c r="N1522" s="168"/>
    </row>
    <row r="1523" ht="22.5" hidden="1" customHeight="1">
      <c r="A1523" s="137" t="s">
        <v>1069</v>
      </c>
      <c r="B1523" s="90">
        <v>46088.0</v>
      </c>
      <c r="C1523" s="70">
        <v>1.0</v>
      </c>
      <c r="D1523" s="215" t="s">
        <v>653</v>
      </c>
      <c r="E1523" s="201"/>
      <c r="F1523" s="202"/>
      <c r="G1523" s="194" t="s">
        <v>35</v>
      </c>
      <c r="H1523" s="198"/>
      <c r="I1523" s="196"/>
      <c r="J1523" s="179">
        <f>IF(A1523="RAPPI",(VLOOKUP(TRIM(D1523), CATALOGO!F:G, 2, FALSE) * C1523)+I1523,IFERROR(IF(COUNTIF('RESTAURANTESDESCUENTOS 2026'!A:A,TRIM(A1523))&gt;0,((VLOOKUP(TRIM(D1523), CATALOGO!A:B, 2, FALSE) * C1523)*(1-VALUE(SUBSTITUTE(VLOOKUP(TRIM(A1523),'RESTAURANTESDESCUENTOS 2026'!A:B,2,FALSE),"%",""))/100)+I1523),(VLOOKUP(TRIM(D1523), CATALOGO!A:B, 2, FALSE) * C1523+I1523)),""))</f>
        <v>123000</v>
      </c>
      <c r="K1523" s="196"/>
      <c r="L1523" s="87"/>
      <c r="M1523" s="197" t="s">
        <v>587</v>
      </c>
      <c r="N1523" s="168"/>
    </row>
    <row r="1524" ht="22.5" hidden="1" customHeight="1">
      <c r="A1524" s="137" t="s">
        <v>1069</v>
      </c>
      <c r="B1524" s="90">
        <v>46088.0</v>
      </c>
      <c r="C1524" s="70">
        <v>1.0</v>
      </c>
      <c r="D1524" s="215" t="s">
        <v>739</v>
      </c>
      <c r="E1524" s="201"/>
      <c r="F1524" s="202"/>
      <c r="G1524" s="194" t="s">
        <v>35</v>
      </c>
      <c r="H1524" s="198"/>
      <c r="I1524" s="196"/>
      <c r="J1524" s="179">
        <f>IF(A1524="RAPPI",(VLOOKUP(TRIM(D1524), CATALOGO!F:G, 2, FALSE) * C1524)+I1524,IFERROR(IF(COUNTIF('RESTAURANTESDESCUENTOS 2026'!A:A,TRIM(A1524))&gt;0,((VLOOKUP(TRIM(D1524), CATALOGO!A:B, 2, FALSE) * C1524)*(1-VALUE(SUBSTITUTE(VLOOKUP(TRIM(A1524),'RESTAURANTESDESCUENTOS 2026'!A:B,2,FALSE),"%",""))/100)+I1524),(VLOOKUP(TRIM(D1524), CATALOGO!A:B, 2, FALSE) * C1524+I1524)),""))</f>
        <v>163000</v>
      </c>
      <c r="K1524" s="196"/>
      <c r="L1524" s="87"/>
      <c r="M1524" s="197" t="s">
        <v>587</v>
      </c>
      <c r="N1524" s="168"/>
    </row>
    <row r="1525" ht="22.5" hidden="1" customHeight="1">
      <c r="A1525" s="137" t="s">
        <v>1069</v>
      </c>
      <c r="B1525" s="90">
        <v>46088.0</v>
      </c>
      <c r="C1525" s="70">
        <v>1.0</v>
      </c>
      <c r="D1525" s="215" t="s">
        <v>640</v>
      </c>
      <c r="E1525" s="201" t="s">
        <v>1036</v>
      </c>
      <c r="F1525" s="236" t="s">
        <v>1036</v>
      </c>
      <c r="G1525" s="194" t="s">
        <v>35</v>
      </c>
      <c r="H1525" s="198"/>
      <c r="I1525" s="196"/>
      <c r="J1525" s="179">
        <f>IF(A1525="RAPPI",(VLOOKUP(TRIM(D1525), CATALOGO!F:G, 2, FALSE) * C1525)+I1525,IFERROR(IF(COUNTIF('RESTAURANTESDESCUENTOS 2026'!A:A,TRIM(A1525))&gt;0,((VLOOKUP(TRIM(D1525), CATALOGO!A:B, 2, FALSE) * C1525)*(1-VALUE(SUBSTITUTE(VLOOKUP(TRIM(A1525),'RESTAURANTESDESCUENTOS 2026'!A:B,2,FALSE),"%",""))/100)+I1525),(VLOOKUP(TRIM(D1525), CATALOGO!A:B, 2, FALSE) * C1525+I1525)),""))</f>
        <v>53000</v>
      </c>
      <c r="K1525" s="196"/>
      <c r="L1525" s="87"/>
      <c r="M1525" s="197" t="s">
        <v>587</v>
      </c>
      <c r="N1525" s="168"/>
    </row>
    <row r="1526" ht="22.5" hidden="1" customHeight="1">
      <c r="A1526" s="137" t="s">
        <v>1069</v>
      </c>
      <c r="B1526" s="90">
        <v>46088.0</v>
      </c>
      <c r="C1526" s="70">
        <v>1.0</v>
      </c>
      <c r="D1526" s="215" t="s">
        <v>676</v>
      </c>
      <c r="E1526" s="201"/>
      <c r="F1526" s="202"/>
      <c r="G1526" s="194" t="s">
        <v>35</v>
      </c>
      <c r="H1526" s="198"/>
      <c r="I1526" s="196"/>
      <c r="J1526" s="179">
        <f>IF(A1526="RAPPI",(VLOOKUP(TRIM(D1526), CATALOGO!F:G, 2, FALSE) * C1526)+I1526,IFERROR(IF(COUNTIF('RESTAURANTESDESCUENTOS 2026'!A:A,TRIM(A1526))&gt;0,((VLOOKUP(TRIM(D1526), CATALOGO!A:B, 2, FALSE) * C1526)*(1-VALUE(SUBSTITUTE(VLOOKUP(TRIM(A1526),'RESTAURANTESDESCUENTOS 2026'!A:B,2,FALSE),"%",""))/100)+I1526),(VLOOKUP(TRIM(D1526), CATALOGO!A:B, 2, FALSE) * C1526+I1526)),""))</f>
        <v>8000</v>
      </c>
      <c r="K1526" s="196"/>
      <c r="L1526" s="87"/>
      <c r="M1526" s="197" t="s">
        <v>587</v>
      </c>
      <c r="N1526" s="168"/>
    </row>
    <row r="1527" ht="22.5" hidden="1" customHeight="1">
      <c r="A1527" s="137" t="s">
        <v>1069</v>
      </c>
      <c r="B1527" s="90">
        <v>46088.0</v>
      </c>
      <c r="C1527" s="70">
        <v>1.0</v>
      </c>
      <c r="D1527" s="215" t="s">
        <v>176</v>
      </c>
      <c r="E1527" s="201" t="s">
        <v>1036</v>
      </c>
      <c r="F1527" s="236" t="s">
        <v>1036</v>
      </c>
      <c r="G1527" s="194" t="s">
        <v>35</v>
      </c>
      <c r="H1527" s="198"/>
      <c r="I1527" s="196"/>
      <c r="J1527" s="179">
        <f>IF(A1527="RAPPI",(VLOOKUP(TRIM(D1527), CATALOGO!F:G, 2, FALSE) * C1527)+I1527,IFERROR(IF(COUNTIF('RESTAURANTESDESCUENTOS 2026'!A:A,TRIM(A1527))&gt;0,((VLOOKUP(TRIM(D1527), CATALOGO!A:B, 2, FALSE) * C1527)*(1-VALUE(SUBSTITUTE(VLOOKUP(TRIM(A1527),'RESTAURANTESDESCUENTOS 2026'!A:B,2,FALSE),"%",""))/100)+I1527),(VLOOKUP(TRIM(D1527), CATALOGO!A:B, 2, FALSE) * C1527+I1527)),""))</f>
        <v>50000</v>
      </c>
      <c r="K1527" s="196"/>
      <c r="L1527" s="87"/>
      <c r="M1527" s="197" t="s">
        <v>587</v>
      </c>
      <c r="N1527" s="168"/>
    </row>
    <row r="1528" ht="22.5" hidden="1" customHeight="1">
      <c r="A1528" s="137" t="s">
        <v>1069</v>
      </c>
      <c r="B1528" s="90">
        <v>46088.0</v>
      </c>
      <c r="C1528" s="70">
        <v>1.0</v>
      </c>
      <c r="D1528" s="215" t="s">
        <v>178</v>
      </c>
      <c r="E1528" s="201" t="s">
        <v>1036</v>
      </c>
      <c r="F1528" s="236" t="s">
        <v>1036</v>
      </c>
      <c r="G1528" s="194" t="s">
        <v>35</v>
      </c>
      <c r="H1528" s="198"/>
      <c r="I1528" s="196"/>
      <c r="J1528" s="179">
        <f>IF(A1528="RAPPI",(VLOOKUP(TRIM(D1528), CATALOGO!F:G, 2, FALSE) * C1528)+I1528,IFERROR(IF(COUNTIF('RESTAURANTESDESCUENTOS 2026'!A:A,TRIM(A1528))&gt;0,((VLOOKUP(TRIM(D1528), CATALOGO!A:B, 2, FALSE) * C1528)*(1-VALUE(SUBSTITUTE(VLOOKUP(TRIM(A1528),'RESTAURANTESDESCUENTOS 2026'!A:B,2,FALSE),"%",""))/100)+I1528),(VLOOKUP(TRIM(D1528), CATALOGO!A:B, 2, FALSE) * C1528+I1528)),""))</f>
        <v>150000</v>
      </c>
      <c r="K1528" s="196"/>
      <c r="L1528" s="87"/>
      <c r="M1528" s="197" t="s">
        <v>587</v>
      </c>
      <c r="N1528" s="168"/>
    </row>
    <row r="1529" ht="22.5" hidden="1" customHeight="1">
      <c r="A1529" s="137" t="s">
        <v>1069</v>
      </c>
      <c r="B1529" s="90">
        <v>46088.0</v>
      </c>
      <c r="C1529" s="70">
        <v>1.0</v>
      </c>
      <c r="D1529" s="215" t="s">
        <v>177</v>
      </c>
      <c r="E1529" s="201"/>
      <c r="F1529" s="202"/>
      <c r="G1529" s="194" t="s">
        <v>35</v>
      </c>
      <c r="H1529" s="198"/>
      <c r="I1529" s="196"/>
      <c r="J1529" s="179">
        <f>IF(A1529="RAPPI",(VLOOKUP(TRIM(D1529), CATALOGO!F:G, 2, FALSE) * C1529)+I1529,IFERROR(IF(COUNTIF('RESTAURANTESDESCUENTOS 2026'!A:A,TRIM(A1529))&gt;0,((VLOOKUP(TRIM(D1529), CATALOGO!A:B, 2, FALSE) * C1529)*(1-VALUE(SUBSTITUTE(VLOOKUP(TRIM(A1529),'RESTAURANTESDESCUENTOS 2026'!A:B,2,FALSE),"%",""))/100)+I1529),(VLOOKUP(TRIM(D1529), CATALOGO!A:B, 2, FALSE) * C1529+I1529)),""))</f>
        <v>115000</v>
      </c>
      <c r="K1529" s="196"/>
      <c r="L1529" s="87"/>
      <c r="M1529" s="197" t="s">
        <v>587</v>
      </c>
      <c r="N1529" s="168"/>
    </row>
    <row r="1530" ht="22.5" hidden="1" customHeight="1">
      <c r="A1530" s="137" t="s">
        <v>1076</v>
      </c>
      <c r="B1530" s="90">
        <v>46088.0</v>
      </c>
      <c r="C1530" s="55">
        <v>1.0</v>
      </c>
      <c r="D1530" s="97" t="s">
        <v>176</v>
      </c>
      <c r="E1530" s="201"/>
      <c r="F1530" s="202"/>
      <c r="G1530" s="194" t="s">
        <v>587</v>
      </c>
      <c r="H1530" s="195" t="s">
        <v>632</v>
      </c>
      <c r="I1530" s="196"/>
      <c r="J1530" s="179">
        <f>IF(A1530="RAPPI",(VLOOKUP(TRIM(D1530), CATALOGO!F:G, 2, FALSE) * C1530)+I1530,IFERROR(IF(COUNTIF('RESTAURANTESDESCUENTOS 2026'!A:A,TRIM(A1530))&gt;0,((VLOOKUP(TRIM(D1530), CATALOGO!A:B, 2, FALSE) * C1530)*(1-VALUE(SUBSTITUTE(VLOOKUP(TRIM(A1530),'RESTAURANTESDESCUENTOS 2026'!A:B,2,FALSE),"%",""))/100)+I1530),(VLOOKUP(TRIM(D1530), CATALOGO!A:B, 2, FALSE) * C1530+I1530)),""))</f>
        <v>50000</v>
      </c>
      <c r="K1530" s="196"/>
      <c r="L1530" s="87"/>
      <c r="M1530" s="197" t="s">
        <v>587</v>
      </c>
      <c r="N1530" s="168"/>
    </row>
    <row r="1531" ht="22.5" hidden="1" customHeight="1">
      <c r="A1531" s="137" t="s">
        <v>1076</v>
      </c>
      <c r="B1531" s="90">
        <v>46088.0</v>
      </c>
      <c r="C1531" s="55">
        <v>1.0</v>
      </c>
      <c r="D1531" s="97" t="s">
        <v>601</v>
      </c>
      <c r="E1531" s="201"/>
      <c r="F1531" s="202"/>
      <c r="G1531" s="194" t="s">
        <v>587</v>
      </c>
      <c r="H1531" s="195" t="s">
        <v>632</v>
      </c>
      <c r="I1531" s="196"/>
      <c r="J1531" s="179">
        <f>IF(A1531="RAPPI",(VLOOKUP(TRIM(D1531), CATALOGO!F:G, 2, FALSE) * C1531)+I1531,IFERROR(IF(COUNTIF('RESTAURANTESDESCUENTOS 2026'!A:A,TRIM(A1531))&gt;0,((VLOOKUP(TRIM(D1531), CATALOGO!A:B, 2, FALSE) * C1531)*(1-VALUE(SUBSTITUTE(VLOOKUP(TRIM(A1531),'RESTAURANTESDESCUENTOS 2026'!A:B,2,FALSE),"%",""))/100)+I1531),(VLOOKUP(TRIM(D1531), CATALOGO!A:B, 2, FALSE) * C1531+I1531)),""))</f>
        <v>53000</v>
      </c>
      <c r="K1531" s="196"/>
      <c r="L1531" s="87"/>
      <c r="M1531" s="197" t="s">
        <v>587</v>
      </c>
      <c r="N1531" s="168"/>
    </row>
    <row r="1532" ht="22.5" hidden="1" customHeight="1">
      <c r="A1532" s="137" t="s">
        <v>1069</v>
      </c>
      <c r="B1532" s="90">
        <v>46088.0</v>
      </c>
      <c r="C1532" s="70">
        <v>1.0</v>
      </c>
      <c r="D1532" s="215" t="s">
        <v>697</v>
      </c>
      <c r="E1532" s="201"/>
      <c r="F1532" s="202"/>
      <c r="G1532" s="194" t="s">
        <v>35</v>
      </c>
      <c r="H1532" s="198"/>
      <c r="I1532" s="196"/>
      <c r="J1532" s="179">
        <f>IF(A1532="RAPPI",(VLOOKUP(TRIM(D1532), CATALOGO!F:G, 2, FALSE) * C1532)+I1532,IFERROR(IF(COUNTIF('RESTAURANTESDESCUENTOS 2026'!A:A,TRIM(A1532))&gt;0,((VLOOKUP(TRIM(D1532), CATALOGO!A:B, 2, FALSE) * C1532)*(1-VALUE(SUBSTITUTE(VLOOKUP(TRIM(A1532),'RESTAURANTESDESCUENTOS 2026'!A:B,2,FALSE),"%",""))/100)+I1532),(VLOOKUP(TRIM(D1532), CATALOGO!A:B, 2, FALSE) * C1532+I1532)),""))</f>
        <v>163000</v>
      </c>
      <c r="K1532" s="196"/>
      <c r="L1532" s="87"/>
      <c r="M1532" s="197" t="s">
        <v>587</v>
      </c>
      <c r="N1532" s="168"/>
    </row>
    <row r="1533" ht="22.5" hidden="1" customHeight="1">
      <c r="A1533" s="137" t="s">
        <v>1077</v>
      </c>
      <c r="B1533" s="90">
        <v>46088.0</v>
      </c>
      <c r="C1533" s="55">
        <v>1.0</v>
      </c>
      <c r="D1533" s="97" t="s">
        <v>176</v>
      </c>
      <c r="E1533" s="201"/>
      <c r="F1533" s="202"/>
      <c r="G1533" s="194" t="s">
        <v>587</v>
      </c>
      <c r="H1533" s="195" t="s">
        <v>632</v>
      </c>
      <c r="I1533" s="196"/>
      <c r="J1533" s="179">
        <f>IF(A1533="RAPPI",(VLOOKUP(TRIM(D1533), CATALOGO!F:G, 2, FALSE) * C1533)+I1533,IFERROR(IF(COUNTIF('RESTAURANTESDESCUENTOS 2026'!A:A,TRIM(A1533))&gt;0,((VLOOKUP(TRIM(D1533), CATALOGO!A:B, 2, FALSE) * C1533)*(1-VALUE(SUBSTITUTE(VLOOKUP(TRIM(A1533),'RESTAURANTESDESCUENTOS 2026'!A:B,2,FALSE),"%",""))/100)+I1533),(VLOOKUP(TRIM(D1533), CATALOGO!A:B, 2, FALSE) * C1533+I1533)),""))</f>
        <v>50000</v>
      </c>
      <c r="K1533" s="196">
        <v>14000.0</v>
      </c>
      <c r="L1533" s="87"/>
      <c r="M1533" s="197" t="s">
        <v>587</v>
      </c>
      <c r="N1533" s="168"/>
    </row>
    <row r="1534" ht="22.5" hidden="1" customHeight="1">
      <c r="A1534" s="137" t="s">
        <v>1069</v>
      </c>
      <c r="B1534" s="90">
        <v>46088.0</v>
      </c>
      <c r="C1534" s="55">
        <v>2.0</v>
      </c>
      <c r="D1534" s="97" t="s">
        <v>174</v>
      </c>
      <c r="E1534" s="201" t="s">
        <v>1036</v>
      </c>
      <c r="F1534" s="236" t="s">
        <v>1036</v>
      </c>
      <c r="G1534" s="194" t="s">
        <v>35</v>
      </c>
      <c r="H1534" s="198"/>
      <c r="I1534" s="196"/>
      <c r="J1534" s="179">
        <f>IF(A1534="RAPPI",(VLOOKUP(TRIM(D1534), CATALOGO!F:G, 2, FALSE) * C1534)+I1534,IFERROR(IF(COUNTIF('RESTAURANTESDESCUENTOS 2026'!A:A,TRIM(A1534))&gt;0,((VLOOKUP(TRIM(D1534), CATALOGO!A:B, 2, FALSE) * C1534)*(1-VALUE(SUBSTITUTE(VLOOKUP(TRIM(A1534),'RESTAURANTESDESCUENTOS 2026'!A:B,2,FALSE),"%",""))/100)+I1534),(VLOOKUP(TRIM(D1534), CATALOGO!A:B, 2, FALSE) * C1534+I1534)),""))</f>
        <v>36000</v>
      </c>
      <c r="K1534" s="196"/>
      <c r="L1534" s="87"/>
      <c r="M1534" s="197" t="s">
        <v>587</v>
      </c>
      <c r="N1534" s="168"/>
    </row>
    <row r="1535" ht="22.5" hidden="1" customHeight="1">
      <c r="A1535" s="137" t="s">
        <v>603</v>
      </c>
      <c r="B1535" s="90">
        <v>46088.0</v>
      </c>
      <c r="C1535" s="55">
        <v>1.0</v>
      </c>
      <c r="D1535" s="97" t="s">
        <v>178</v>
      </c>
      <c r="E1535" s="201"/>
      <c r="F1535" s="202"/>
      <c r="G1535" s="194" t="s">
        <v>587</v>
      </c>
      <c r="H1535" s="195" t="s">
        <v>603</v>
      </c>
      <c r="I1535" s="196"/>
      <c r="J1535" s="179">
        <f>IF(A1535="RAPPI",(VLOOKUP(TRIM(D1535), CATALOGO!F:G, 2, FALSE) * C1535)+I1535,IFERROR(IF(COUNTIF('RESTAURANTESDESCUENTOS 2026'!A:A,TRIM(A1535))&gt;0,((VLOOKUP(TRIM(D1535), CATALOGO!A:B, 2, FALSE) * C1535)*(1-VALUE(SUBSTITUTE(VLOOKUP(TRIM(A1535),'RESTAURANTESDESCUENTOS 2026'!A:B,2,FALSE),"%",""))/100)+I1535),(VLOOKUP(TRIM(D1535), CATALOGO!A:B, 2, FALSE) * C1535+I1535)),""))</f>
        <v>150000</v>
      </c>
      <c r="K1535" s="196"/>
      <c r="L1535" s="89"/>
      <c r="M1535" s="197" t="s">
        <v>587</v>
      </c>
      <c r="N1535" s="168"/>
    </row>
    <row r="1536" ht="22.5" hidden="1" customHeight="1">
      <c r="A1536" s="137" t="s">
        <v>603</v>
      </c>
      <c r="B1536" s="90">
        <v>46088.0</v>
      </c>
      <c r="C1536" s="55">
        <v>1.0</v>
      </c>
      <c r="D1536" s="97" t="s">
        <v>186</v>
      </c>
      <c r="E1536" s="201"/>
      <c r="F1536" s="202"/>
      <c r="G1536" s="194" t="s">
        <v>587</v>
      </c>
      <c r="H1536" s="195" t="s">
        <v>603</v>
      </c>
      <c r="I1536" s="196"/>
      <c r="J1536" s="179">
        <f>IF(A1536="RAPPI",(VLOOKUP(TRIM(D1536), CATALOGO!F:G, 2, FALSE) * C1536)+I1536,IFERROR(IF(COUNTIF('RESTAURANTESDESCUENTOS 2026'!A:A,TRIM(A1536))&gt;0,((VLOOKUP(TRIM(D1536), CATALOGO!A:B, 2, FALSE) * C1536)*(1-VALUE(SUBSTITUTE(VLOOKUP(TRIM(A1536),'RESTAURANTESDESCUENTOS 2026'!A:B,2,FALSE),"%",""))/100)+I1536),(VLOOKUP(TRIM(D1536), CATALOGO!A:B, 2, FALSE) * C1536+I1536)),""))</f>
        <v>55000</v>
      </c>
      <c r="K1536" s="196"/>
      <c r="L1536" s="89"/>
      <c r="M1536" s="197" t="s">
        <v>587</v>
      </c>
      <c r="N1536" s="168"/>
    </row>
    <row r="1537" ht="22.5" hidden="1" customHeight="1">
      <c r="A1537" s="137" t="s">
        <v>603</v>
      </c>
      <c r="B1537" s="90">
        <v>46088.0</v>
      </c>
      <c r="C1537" s="55">
        <v>1.0</v>
      </c>
      <c r="D1537" s="97" t="s">
        <v>601</v>
      </c>
      <c r="E1537" s="201"/>
      <c r="F1537" s="202"/>
      <c r="G1537" s="194" t="s">
        <v>587</v>
      </c>
      <c r="H1537" s="195" t="s">
        <v>603</v>
      </c>
      <c r="I1537" s="196"/>
      <c r="J1537" s="179">
        <f>IF(A1537="RAPPI",(VLOOKUP(TRIM(D1537), CATALOGO!F:G, 2, FALSE) * C1537)+I1537,IFERROR(IF(COUNTIF('RESTAURANTESDESCUENTOS 2026'!A:A,TRIM(A1537))&gt;0,((VLOOKUP(TRIM(D1537), CATALOGO!A:B, 2, FALSE) * C1537)*(1-VALUE(SUBSTITUTE(VLOOKUP(TRIM(A1537),'RESTAURANTESDESCUENTOS 2026'!A:B,2,FALSE),"%",""))/100)+I1537),(VLOOKUP(TRIM(D1537), CATALOGO!A:B, 2, FALSE) * C1537+I1537)),""))</f>
        <v>53000</v>
      </c>
      <c r="K1537" s="196"/>
      <c r="L1537" s="89"/>
      <c r="M1537" s="197" t="s">
        <v>587</v>
      </c>
      <c r="N1537" s="168"/>
    </row>
    <row r="1538" ht="22.5" hidden="1" customHeight="1">
      <c r="A1538" s="137" t="s">
        <v>603</v>
      </c>
      <c r="B1538" s="90">
        <v>46088.0</v>
      </c>
      <c r="C1538" s="55">
        <v>1.0</v>
      </c>
      <c r="D1538" s="97" t="s">
        <v>601</v>
      </c>
      <c r="E1538" s="201"/>
      <c r="F1538" s="202"/>
      <c r="G1538" s="194" t="s">
        <v>587</v>
      </c>
      <c r="H1538" s="195" t="s">
        <v>603</v>
      </c>
      <c r="I1538" s="196"/>
      <c r="J1538" s="179">
        <f>IF(A1538="RAPPI",(VLOOKUP(TRIM(D1538), CATALOGO!F:G, 2, FALSE) * C1538)+I1538,IFERROR(IF(COUNTIF('RESTAURANTESDESCUENTOS 2026'!A:A,TRIM(A1538))&gt;0,((VLOOKUP(TRIM(D1538), CATALOGO!A:B, 2, FALSE) * C1538)*(1-VALUE(SUBSTITUTE(VLOOKUP(TRIM(A1538),'RESTAURANTESDESCUENTOS 2026'!A:B,2,FALSE),"%",""))/100)+I1538),(VLOOKUP(TRIM(D1538), CATALOGO!A:B, 2, FALSE) * C1538+I1538)),""))</f>
        <v>53000</v>
      </c>
      <c r="K1538" s="196"/>
      <c r="L1538" s="89"/>
      <c r="M1538" s="197" t="s">
        <v>587</v>
      </c>
      <c r="N1538" s="168"/>
    </row>
    <row r="1539" ht="22.5" hidden="1" customHeight="1">
      <c r="A1539" s="137" t="s">
        <v>603</v>
      </c>
      <c r="B1539" s="90">
        <v>46088.0</v>
      </c>
      <c r="C1539" s="55">
        <v>1.0</v>
      </c>
      <c r="D1539" s="97" t="s">
        <v>678</v>
      </c>
      <c r="E1539" s="201"/>
      <c r="F1539" s="202"/>
      <c r="G1539" s="194" t="s">
        <v>587</v>
      </c>
      <c r="H1539" s="195" t="s">
        <v>603</v>
      </c>
      <c r="I1539" s="196"/>
      <c r="J1539" s="179">
        <f>IF(A1539="RAPPI",(VLOOKUP(TRIM(D1539), CATALOGO!F:G, 2, FALSE) * C1539)+I1539,IFERROR(IF(COUNTIF('RESTAURANTESDESCUENTOS 2026'!A:A,TRIM(A1539))&gt;0,((VLOOKUP(TRIM(D1539), CATALOGO!A:B, 2, FALSE) * C1539)*(1-VALUE(SUBSTITUTE(VLOOKUP(TRIM(A1539),'RESTAURANTESDESCUENTOS 2026'!A:B,2,FALSE),"%",""))/100)+I1539),(VLOOKUP(TRIM(D1539), CATALOGO!A:B, 2, FALSE) * C1539+I1539)),""))</f>
        <v>123000</v>
      </c>
      <c r="K1539" s="196"/>
      <c r="L1539" s="89"/>
      <c r="M1539" s="197" t="s">
        <v>587</v>
      </c>
      <c r="N1539" s="168"/>
    </row>
    <row r="1540" ht="22.5" hidden="1" customHeight="1">
      <c r="A1540" s="137" t="s">
        <v>603</v>
      </c>
      <c r="B1540" s="90">
        <v>46088.0</v>
      </c>
      <c r="C1540" s="55">
        <v>1.0</v>
      </c>
      <c r="D1540" s="97" t="s">
        <v>601</v>
      </c>
      <c r="E1540" s="201"/>
      <c r="F1540" s="202"/>
      <c r="G1540" s="194" t="s">
        <v>587</v>
      </c>
      <c r="H1540" s="195" t="s">
        <v>603</v>
      </c>
      <c r="I1540" s="196"/>
      <c r="J1540" s="179">
        <f>IF(A1540="RAPPI",(VLOOKUP(TRIM(D1540), CATALOGO!F:G, 2, FALSE) * C1540)+I1540,IFERROR(IF(COUNTIF('RESTAURANTESDESCUENTOS 2026'!A:A,TRIM(A1540))&gt;0,((VLOOKUP(TRIM(D1540), CATALOGO!A:B, 2, FALSE) * C1540)*(1-VALUE(SUBSTITUTE(VLOOKUP(TRIM(A1540),'RESTAURANTESDESCUENTOS 2026'!A:B,2,FALSE),"%",""))/100)+I1540),(VLOOKUP(TRIM(D1540), CATALOGO!A:B, 2, FALSE) * C1540+I1540)),""))</f>
        <v>53000</v>
      </c>
      <c r="K1540" s="196"/>
      <c r="L1540" s="89"/>
      <c r="M1540" s="197" t="s">
        <v>587</v>
      </c>
      <c r="N1540" s="168"/>
    </row>
    <row r="1541" ht="22.5" hidden="1" customHeight="1">
      <c r="A1541" s="137" t="s">
        <v>603</v>
      </c>
      <c r="B1541" s="90">
        <v>46088.0</v>
      </c>
      <c r="C1541" s="55">
        <v>1.0</v>
      </c>
      <c r="D1541" s="97" t="s">
        <v>187</v>
      </c>
      <c r="E1541" s="201"/>
      <c r="F1541" s="202"/>
      <c r="G1541" s="194" t="s">
        <v>587</v>
      </c>
      <c r="H1541" s="195" t="s">
        <v>603</v>
      </c>
      <c r="I1541" s="196"/>
      <c r="J1541" s="179">
        <f>IF(A1541="RAPPI",(VLOOKUP(TRIM(D1541), CATALOGO!F:G, 2, FALSE) * C1541)+I1541,IFERROR(IF(COUNTIF('RESTAURANTESDESCUENTOS 2026'!A:A,TRIM(A1541))&gt;0,((VLOOKUP(TRIM(D1541), CATALOGO!A:B, 2, FALSE) * C1541)*(1-VALUE(SUBSTITUTE(VLOOKUP(TRIM(A1541),'RESTAURANTESDESCUENTOS 2026'!A:B,2,FALSE),"%",""))/100)+I1541),(VLOOKUP(TRIM(D1541), CATALOGO!A:B, 2, FALSE) * C1541+I1541)),""))</f>
        <v>55000</v>
      </c>
      <c r="K1541" s="196"/>
      <c r="L1541" s="89"/>
      <c r="M1541" s="197" t="s">
        <v>587</v>
      </c>
      <c r="N1541" s="168"/>
    </row>
    <row r="1542" ht="22.5" hidden="1" customHeight="1">
      <c r="A1542" s="137" t="s">
        <v>603</v>
      </c>
      <c r="B1542" s="90">
        <v>46088.0</v>
      </c>
      <c r="C1542" s="55">
        <v>1.0</v>
      </c>
      <c r="D1542" s="97" t="s">
        <v>697</v>
      </c>
      <c r="E1542" s="201"/>
      <c r="F1542" s="202"/>
      <c r="G1542" s="194" t="s">
        <v>587</v>
      </c>
      <c r="H1542" s="195" t="s">
        <v>603</v>
      </c>
      <c r="I1542" s="196"/>
      <c r="J1542" s="179">
        <f>IF(A1542="RAPPI",(VLOOKUP(TRIM(D1542), CATALOGO!F:G, 2, FALSE) * C1542)+I1542,IFERROR(IF(COUNTIF('RESTAURANTESDESCUENTOS 2026'!A:A,TRIM(A1542))&gt;0,((VLOOKUP(TRIM(D1542), CATALOGO!A:B, 2, FALSE) * C1542)*(1-VALUE(SUBSTITUTE(VLOOKUP(TRIM(A1542),'RESTAURANTESDESCUENTOS 2026'!A:B,2,FALSE),"%",""))/100)+I1542),(VLOOKUP(TRIM(D1542), CATALOGO!A:B, 2, FALSE) * C1542+I1542)),""))</f>
        <v>163000</v>
      </c>
      <c r="K1542" s="196"/>
      <c r="L1542" s="89"/>
      <c r="M1542" s="197" t="s">
        <v>587</v>
      </c>
      <c r="N1542" s="168"/>
    </row>
    <row r="1543" ht="22.5" hidden="1" customHeight="1">
      <c r="A1543" s="137" t="s">
        <v>603</v>
      </c>
      <c r="B1543" s="90">
        <v>46088.0</v>
      </c>
      <c r="C1543" s="55">
        <v>1.0</v>
      </c>
      <c r="D1543" s="97" t="s">
        <v>177</v>
      </c>
      <c r="E1543" s="201"/>
      <c r="F1543" s="202"/>
      <c r="G1543" s="194" t="s">
        <v>587</v>
      </c>
      <c r="H1543" s="195" t="s">
        <v>603</v>
      </c>
      <c r="I1543" s="196"/>
      <c r="J1543" s="179">
        <f>IF(A1543="RAPPI",(VLOOKUP(TRIM(D1543), CATALOGO!F:G, 2, FALSE) * C1543)+I1543,IFERROR(IF(COUNTIF('RESTAURANTESDESCUENTOS 2026'!A:A,TRIM(A1543))&gt;0,((VLOOKUP(TRIM(D1543), CATALOGO!A:B, 2, FALSE) * C1543)*(1-VALUE(SUBSTITUTE(VLOOKUP(TRIM(A1543),'RESTAURANTESDESCUENTOS 2026'!A:B,2,FALSE),"%",""))/100)+I1543),(VLOOKUP(TRIM(D1543), CATALOGO!A:B, 2, FALSE) * C1543+I1543)),""))</f>
        <v>115000</v>
      </c>
      <c r="K1543" s="196"/>
      <c r="L1543" s="89"/>
      <c r="M1543" s="197" t="s">
        <v>587</v>
      </c>
      <c r="N1543" s="168"/>
    </row>
    <row r="1544" ht="22.5" hidden="1" customHeight="1">
      <c r="A1544" s="137" t="s">
        <v>603</v>
      </c>
      <c r="B1544" s="90">
        <v>46088.0</v>
      </c>
      <c r="C1544" s="55">
        <v>1.0</v>
      </c>
      <c r="D1544" s="97" t="s">
        <v>176</v>
      </c>
      <c r="E1544" s="201"/>
      <c r="F1544" s="202"/>
      <c r="G1544" s="194" t="s">
        <v>587</v>
      </c>
      <c r="H1544" s="195" t="s">
        <v>603</v>
      </c>
      <c r="I1544" s="196"/>
      <c r="J1544" s="179">
        <f>IF(A1544="RAPPI",(VLOOKUP(TRIM(D1544), CATALOGO!F:G, 2, FALSE) * C1544)+I1544,IFERROR(IF(COUNTIF('RESTAURANTESDESCUENTOS 2026'!A:A,TRIM(A1544))&gt;0,((VLOOKUP(TRIM(D1544), CATALOGO!A:B, 2, FALSE) * C1544)*(1-VALUE(SUBSTITUTE(VLOOKUP(TRIM(A1544),'RESTAURANTESDESCUENTOS 2026'!A:B,2,FALSE),"%",""))/100)+I1544),(VLOOKUP(TRIM(D1544), CATALOGO!A:B, 2, FALSE) * C1544+I1544)),""))</f>
        <v>50000</v>
      </c>
      <c r="K1544" s="196"/>
      <c r="L1544" s="89"/>
      <c r="M1544" s="197" t="s">
        <v>587</v>
      </c>
      <c r="N1544" s="168"/>
    </row>
    <row r="1545" ht="22.5" hidden="1" customHeight="1">
      <c r="A1545" s="137" t="s">
        <v>603</v>
      </c>
      <c r="B1545" s="90">
        <v>46088.0</v>
      </c>
      <c r="C1545" s="55">
        <v>1.0</v>
      </c>
      <c r="D1545" s="97" t="s">
        <v>640</v>
      </c>
      <c r="E1545" s="201"/>
      <c r="F1545" s="202"/>
      <c r="G1545" s="194" t="s">
        <v>587</v>
      </c>
      <c r="H1545" s="195" t="s">
        <v>603</v>
      </c>
      <c r="I1545" s="196"/>
      <c r="J1545" s="179">
        <f>IF(A1545="RAPPI",(VLOOKUP(TRIM(D1545), CATALOGO!F:G, 2, FALSE) * C1545)+I1545,IFERROR(IF(COUNTIF('RESTAURANTESDESCUENTOS 2026'!A:A,TRIM(A1545))&gt;0,((VLOOKUP(TRIM(D1545), CATALOGO!A:B, 2, FALSE) * C1545)*(1-VALUE(SUBSTITUTE(VLOOKUP(TRIM(A1545),'RESTAURANTESDESCUENTOS 2026'!A:B,2,FALSE),"%",""))/100)+I1545),(VLOOKUP(TRIM(D1545), CATALOGO!A:B, 2, FALSE) * C1545+I1545)),""))</f>
        <v>53000</v>
      </c>
      <c r="K1545" s="196"/>
      <c r="L1545" s="89"/>
      <c r="M1545" s="197" t="s">
        <v>587</v>
      </c>
      <c r="N1545" s="168"/>
    </row>
    <row r="1546" ht="22.5" hidden="1" customHeight="1">
      <c r="A1546" s="137" t="s">
        <v>603</v>
      </c>
      <c r="B1546" s="90">
        <v>46088.0</v>
      </c>
      <c r="C1546" s="55">
        <v>2.0</v>
      </c>
      <c r="D1546" s="97" t="s">
        <v>182</v>
      </c>
      <c r="E1546" s="201"/>
      <c r="F1546" s="202"/>
      <c r="G1546" s="194" t="s">
        <v>587</v>
      </c>
      <c r="H1546" s="195" t="s">
        <v>603</v>
      </c>
      <c r="I1546" s="196"/>
      <c r="J1546" s="179">
        <f>IF(A1546="RAPPI",(VLOOKUP(TRIM(D1546), CATALOGO!F:G, 2, FALSE) * C1546)+I1546,IFERROR(IF(COUNTIF('RESTAURANTESDESCUENTOS 2026'!A:A,TRIM(A1546))&gt;0,((VLOOKUP(TRIM(D1546), CATALOGO!A:B, 2, FALSE) * C1546)*(1-VALUE(SUBSTITUTE(VLOOKUP(TRIM(A1546),'RESTAURANTESDESCUENTOS 2026'!A:B,2,FALSE),"%",""))/100)+I1546),(VLOOKUP(TRIM(D1546), CATALOGO!A:B, 2, FALSE) * C1546+I1546)),""))</f>
        <v>74000</v>
      </c>
      <c r="K1546" s="196"/>
      <c r="L1546" s="89"/>
      <c r="M1546" s="197" t="s">
        <v>587</v>
      </c>
      <c r="N1546" s="168"/>
    </row>
    <row r="1547" ht="22.5" hidden="1" customHeight="1">
      <c r="A1547" s="137" t="s">
        <v>603</v>
      </c>
      <c r="B1547" s="90">
        <v>46088.0</v>
      </c>
      <c r="C1547" s="55">
        <v>1.0</v>
      </c>
      <c r="D1547" s="97" t="s">
        <v>186</v>
      </c>
      <c r="E1547" s="201"/>
      <c r="F1547" s="202"/>
      <c r="G1547" s="194" t="s">
        <v>587</v>
      </c>
      <c r="H1547" s="195" t="s">
        <v>603</v>
      </c>
      <c r="I1547" s="196"/>
      <c r="J1547" s="179">
        <f>IF(A1547="RAPPI",(VLOOKUP(TRIM(D1547), CATALOGO!F:G, 2, FALSE) * C1547)+I1547,IFERROR(IF(COUNTIF('RESTAURANTESDESCUENTOS 2026'!A:A,TRIM(A1547))&gt;0,((VLOOKUP(TRIM(D1547), CATALOGO!A:B, 2, FALSE) * C1547)*(1-VALUE(SUBSTITUTE(VLOOKUP(TRIM(A1547),'RESTAURANTESDESCUENTOS 2026'!A:B,2,FALSE),"%",""))/100)+I1547),(VLOOKUP(TRIM(D1547), CATALOGO!A:B, 2, FALSE) * C1547+I1547)),""))</f>
        <v>55000</v>
      </c>
      <c r="K1547" s="196"/>
      <c r="L1547" s="89"/>
      <c r="M1547" s="197" t="s">
        <v>587</v>
      </c>
      <c r="N1547" s="168"/>
    </row>
    <row r="1548" ht="22.5" hidden="1" customHeight="1">
      <c r="A1548" s="137" t="s">
        <v>603</v>
      </c>
      <c r="B1548" s="90">
        <v>46088.0</v>
      </c>
      <c r="C1548" s="55">
        <v>1.0</v>
      </c>
      <c r="D1548" s="97" t="s">
        <v>628</v>
      </c>
      <c r="E1548" s="201"/>
      <c r="F1548" s="202"/>
      <c r="G1548" s="194" t="s">
        <v>587</v>
      </c>
      <c r="H1548" s="195" t="s">
        <v>603</v>
      </c>
      <c r="I1548" s="196"/>
      <c r="J1548" s="179">
        <f>IF(A1548="RAPPI",(VLOOKUP(TRIM(D1548), CATALOGO!F:G, 2, FALSE) * C1548)+I1548,IFERROR(IF(COUNTIF('RESTAURANTESDESCUENTOS 2026'!A:A,TRIM(A1548))&gt;0,((VLOOKUP(TRIM(D1548), CATALOGO!A:B, 2, FALSE) * C1548)*(1-VALUE(SUBSTITUTE(VLOOKUP(TRIM(A1548),'RESTAURANTESDESCUENTOS 2026'!A:B,2,FALSE),"%",""))/100)+I1548),(VLOOKUP(TRIM(D1548), CATALOGO!A:B, 2, FALSE) * C1548+I1548)),""))</f>
        <v>22000</v>
      </c>
      <c r="K1548" s="196"/>
      <c r="L1548" s="89"/>
      <c r="M1548" s="197" t="s">
        <v>587</v>
      </c>
      <c r="N1548" s="168"/>
    </row>
    <row r="1549" ht="22.5" hidden="1" customHeight="1">
      <c r="A1549" s="137" t="s">
        <v>603</v>
      </c>
      <c r="B1549" s="90">
        <v>46088.0</v>
      </c>
      <c r="C1549" s="55">
        <v>1.0</v>
      </c>
      <c r="D1549" s="97" t="s">
        <v>177</v>
      </c>
      <c r="E1549" s="201"/>
      <c r="F1549" s="202"/>
      <c r="G1549" s="194" t="s">
        <v>587</v>
      </c>
      <c r="H1549" s="195" t="s">
        <v>603</v>
      </c>
      <c r="I1549" s="196"/>
      <c r="J1549" s="179">
        <f>IF(A1549="RAPPI",(VLOOKUP(TRIM(D1549), CATALOGO!F:G, 2, FALSE) * C1549)+I1549,IFERROR(IF(COUNTIF('RESTAURANTESDESCUENTOS 2026'!A:A,TRIM(A1549))&gt;0,((VLOOKUP(TRIM(D1549), CATALOGO!A:B, 2, FALSE) * C1549)*(1-VALUE(SUBSTITUTE(VLOOKUP(TRIM(A1549),'RESTAURANTESDESCUENTOS 2026'!A:B,2,FALSE),"%",""))/100)+I1549),(VLOOKUP(TRIM(D1549), CATALOGO!A:B, 2, FALSE) * C1549+I1549)),""))</f>
        <v>115000</v>
      </c>
      <c r="K1549" s="196"/>
      <c r="L1549" s="89"/>
      <c r="M1549" s="197" t="s">
        <v>587</v>
      </c>
      <c r="N1549" s="168"/>
    </row>
    <row r="1550" ht="22.5" hidden="1" customHeight="1">
      <c r="A1550" s="137" t="s">
        <v>603</v>
      </c>
      <c r="B1550" s="90">
        <v>46088.0</v>
      </c>
      <c r="C1550" s="55">
        <v>1.0</v>
      </c>
      <c r="D1550" s="97" t="s">
        <v>182</v>
      </c>
      <c r="E1550" s="201"/>
      <c r="F1550" s="202"/>
      <c r="G1550" s="194" t="s">
        <v>587</v>
      </c>
      <c r="H1550" s="195" t="s">
        <v>603</v>
      </c>
      <c r="I1550" s="196"/>
      <c r="J1550" s="179">
        <f>IF(A1550="RAPPI",(VLOOKUP(TRIM(D1550), CATALOGO!F:G, 2, FALSE) * C1550)+I1550,IFERROR(IF(COUNTIF('RESTAURANTESDESCUENTOS 2026'!A:A,TRIM(A1550))&gt;0,((VLOOKUP(TRIM(D1550), CATALOGO!A:B, 2, FALSE) * C1550)*(1-VALUE(SUBSTITUTE(VLOOKUP(TRIM(A1550),'RESTAURANTESDESCUENTOS 2026'!A:B,2,FALSE),"%",""))/100)+I1550),(VLOOKUP(TRIM(D1550), CATALOGO!A:B, 2, FALSE) * C1550+I1550)),""))</f>
        <v>37000</v>
      </c>
      <c r="K1550" s="196"/>
      <c r="L1550" s="89"/>
      <c r="M1550" s="197" t="s">
        <v>587</v>
      </c>
      <c r="N1550" s="168"/>
    </row>
    <row r="1551" ht="22.5" hidden="1" customHeight="1">
      <c r="A1551" s="137" t="s">
        <v>603</v>
      </c>
      <c r="B1551" s="90">
        <v>46088.0</v>
      </c>
      <c r="C1551" s="55">
        <v>1.0</v>
      </c>
      <c r="D1551" s="97" t="s">
        <v>186</v>
      </c>
      <c r="E1551" s="201"/>
      <c r="F1551" s="202"/>
      <c r="G1551" s="194" t="s">
        <v>587</v>
      </c>
      <c r="H1551" s="195" t="s">
        <v>603</v>
      </c>
      <c r="I1551" s="196"/>
      <c r="J1551" s="179">
        <f>IF(A1551="RAPPI",(VLOOKUP(TRIM(D1551), CATALOGO!F:G, 2, FALSE) * C1551)+I1551,IFERROR(IF(COUNTIF('RESTAURANTESDESCUENTOS 2026'!A:A,TRIM(A1551))&gt;0,((VLOOKUP(TRIM(D1551), CATALOGO!A:B, 2, FALSE) * C1551)*(1-VALUE(SUBSTITUTE(VLOOKUP(TRIM(A1551),'RESTAURANTESDESCUENTOS 2026'!A:B,2,FALSE),"%",""))/100)+I1551),(VLOOKUP(TRIM(D1551), CATALOGO!A:B, 2, FALSE) * C1551+I1551)),""))</f>
        <v>55000</v>
      </c>
      <c r="K1551" s="196"/>
      <c r="L1551" s="89"/>
      <c r="M1551" s="197" t="s">
        <v>587</v>
      </c>
      <c r="N1551" s="168"/>
    </row>
    <row r="1552" ht="22.5" hidden="1" customHeight="1">
      <c r="A1552" s="137" t="s">
        <v>603</v>
      </c>
      <c r="B1552" s="90">
        <v>46088.0</v>
      </c>
      <c r="C1552" s="55">
        <v>1.0</v>
      </c>
      <c r="D1552" s="97" t="s">
        <v>757</v>
      </c>
      <c r="E1552" s="201"/>
      <c r="F1552" s="202"/>
      <c r="G1552" s="194" t="s">
        <v>587</v>
      </c>
      <c r="H1552" s="195" t="s">
        <v>603</v>
      </c>
      <c r="I1552" s="196"/>
      <c r="J1552" s="179">
        <f>IF(A1552="RAPPI",(VLOOKUP(TRIM(D1552), CATALOGO!F:G, 2, FALSE) * C1552)+I1552,IFERROR(IF(COUNTIF('RESTAURANTESDESCUENTOS 2026'!A:A,TRIM(A1552))&gt;0,((VLOOKUP(TRIM(D1552), CATALOGO!A:B, 2, FALSE) * C1552)*(1-VALUE(SUBSTITUTE(VLOOKUP(TRIM(A1552),'RESTAURANTESDESCUENTOS 2026'!A:B,2,FALSE),"%",""))/100)+I1552),(VLOOKUP(TRIM(D1552), CATALOGO!A:B, 2, FALSE) * C1552+I1552)),""))</f>
        <v>22000</v>
      </c>
      <c r="K1552" s="196"/>
      <c r="L1552" s="89"/>
      <c r="M1552" s="197" t="s">
        <v>587</v>
      </c>
      <c r="N1552" s="168"/>
    </row>
    <row r="1553" ht="22.5" hidden="1" customHeight="1">
      <c r="A1553" s="137" t="s">
        <v>603</v>
      </c>
      <c r="B1553" s="90">
        <v>46088.0</v>
      </c>
      <c r="C1553" s="55">
        <v>1.0</v>
      </c>
      <c r="D1553" s="97" t="s">
        <v>602</v>
      </c>
      <c r="E1553" s="201"/>
      <c r="F1553" s="202"/>
      <c r="G1553" s="194" t="s">
        <v>587</v>
      </c>
      <c r="H1553" s="195" t="s">
        <v>603</v>
      </c>
      <c r="I1553" s="196"/>
      <c r="J1553" s="179">
        <f>IF(A1553="RAPPI",(VLOOKUP(TRIM(D1553), CATALOGO!F:G, 2, FALSE) * C1553)+I1553,IFERROR(IF(COUNTIF('RESTAURANTESDESCUENTOS 2026'!A:A,TRIM(A1553))&gt;0,((VLOOKUP(TRIM(D1553), CATALOGO!A:B, 2, FALSE) * C1553)*(1-VALUE(SUBSTITUTE(VLOOKUP(TRIM(A1553),'RESTAURANTESDESCUENTOS 2026'!A:B,2,FALSE),"%",""))/100)+I1553),(VLOOKUP(TRIM(D1553), CATALOGO!A:B, 2, FALSE) * C1553+I1553)),""))</f>
        <v>22000</v>
      </c>
      <c r="K1553" s="196"/>
      <c r="L1553" s="89"/>
      <c r="M1553" s="197" t="s">
        <v>587</v>
      </c>
      <c r="N1553" s="168"/>
    </row>
    <row r="1554" ht="22.5" hidden="1" customHeight="1">
      <c r="A1554" s="137" t="s">
        <v>73</v>
      </c>
      <c r="B1554" s="90">
        <v>46090.0</v>
      </c>
      <c r="C1554" s="55">
        <v>1.0</v>
      </c>
      <c r="D1554" s="97" t="s">
        <v>178</v>
      </c>
      <c r="E1554" s="201" t="s">
        <v>552</v>
      </c>
      <c r="F1554" s="202"/>
      <c r="G1554" s="194" t="s">
        <v>587</v>
      </c>
      <c r="H1554" s="195" t="s">
        <v>632</v>
      </c>
      <c r="I1554" s="196">
        <v>0.0</v>
      </c>
      <c r="J1554" s="179">
        <f>IF(A1554="RAPPI",(VLOOKUP(TRIM(D1554), CATALOGO!F:G, 2, FALSE) * C1554)+I1554,IFERROR(IF(COUNTIF('RESTAURANTESDESCUENTOS 2026'!A:A,TRIM(A1554))&gt;0,((VLOOKUP(TRIM(D1554), CATALOGO!A:B, 2, FALSE) * C1554)*(1-VALUE(SUBSTITUTE(VLOOKUP(TRIM(A1554),'RESTAURANTESDESCUENTOS 2026'!A:B,2,FALSE),"%",""))/100)+I1554),(VLOOKUP(TRIM(D1554), CATALOGO!A:B, 2, FALSE) * C1554+I1554)),""))</f>
        <v>112500</v>
      </c>
      <c r="K1554" s="196">
        <v>10000.0</v>
      </c>
      <c r="L1554" s="87" t="s">
        <v>587</v>
      </c>
      <c r="M1554" s="197" t="s">
        <v>587</v>
      </c>
      <c r="N1554" s="168"/>
    </row>
    <row r="1555" ht="22.5" hidden="1" customHeight="1">
      <c r="A1555" s="137" t="s">
        <v>99</v>
      </c>
      <c r="B1555" s="90">
        <v>46090.0</v>
      </c>
      <c r="C1555" s="55">
        <v>3.0</v>
      </c>
      <c r="D1555" s="97" t="s">
        <v>178</v>
      </c>
      <c r="E1555" s="201"/>
      <c r="F1555" s="202"/>
      <c r="G1555" s="194" t="s">
        <v>587</v>
      </c>
      <c r="H1555" s="195" t="s">
        <v>632</v>
      </c>
      <c r="I1555" s="196">
        <v>5000.0</v>
      </c>
      <c r="J1555" s="179">
        <f>IF(A1555="RAPPI",(VLOOKUP(TRIM(D1555), CATALOGO!F:G, 2, FALSE) * C1555)+I1555,IFERROR(IF(COUNTIF('RESTAURANTESDESCUENTOS 2026'!A:A,TRIM(A1555))&gt;0,((VLOOKUP(TRIM(D1555), CATALOGO!A:B, 2, FALSE) * C1555)*(1-VALUE(SUBSTITUTE(VLOOKUP(TRIM(A1555),'RESTAURANTESDESCUENTOS 2026'!A:B,2,FALSE),"%",""))/100)+I1555),(VLOOKUP(TRIM(D1555), CATALOGO!A:B, 2, FALSE) * C1555+I1555)),""))</f>
        <v>320000</v>
      </c>
      <c r="K1555" s="196">
        <v>10000.0</v>
      </c>
      <c r="L1555" s="89">
        <v>555.0</v>
      </c>
      <c r="M1555" s="197" t="s">
        <v>587</v>
      </c>
      <c r="N1555" s="168"/>
    </row>
    <row r="1556" ht="22.5" hidden="1" customHeight="1">
      <c r="A1556" s="137" t="s">
        <v>33</v>
      </c>
      <c r="B1556" s="90">
        <v>46090.0</v>
      </c>
      <c r="C1556" s="55">
        <v>1.0</v>
      </c>
      <c r="D1556" s="97" t="s">
        <v>177</v>
      </c>
      <c r="E1556" s="201"/>
      <c r="F1556" s="202"/>
      <c r="G1556" s="194" t="s">
        <v>587</v>
      </c>
      <c r="H1556" s="195" t="s">
        <v>632</v>
      </c>
      <c r="I1556" s="196">
        <v>0.0</v>
      </c>
      <c r="J1556" s="179">
        <f>IF(A1556="RAPPI",(VLOOKUP(TRIM(D1556), CATALOGO!F:G, 2, FALSE) * C1556)+I1556,IFERROR(IF(COUNTIF('RESTAURANTESDESCUENTOS 2026'!A:A,TRIM(A1556))&gt;0,((VLOOKUP(TRIM(D1556), CATALOGO!A:B, 2, FALSE) * C1556)*(1-VALUE(SUBSTITUTE(VLOOKUP(TRIM(A1556),'RESTAURANTESDESCUENTOS 2026'!A:B,2,FALSE),"%",""))/100)+I1556),(VLOOKUP(TRIM(D1556), CATALOGO!A:B, 2, FALSE) * C1556+I1556)),""))</f>
        <v>86250</v>
      </c>
      <c r="K1556" s="196">
        <v>13000.0</v>
      </c>
      <c r="L1556" s="89">
        <v>556.0</v>
      </c>
      <c r="M1556" s="197" t="s">
        <v>587</v>
      </c>
      <c r="N1556" s="168"/>
    </row>
    <row r="1557" ht="22.5" hidden="1" customHeight="1">
      <c r="A1557" s="137" t="s">
        <v>55</v>
      </c>
      <c r="B1557" s="90">
        <v>46090.0</v>
      </c>
      <c r="C1557" s="55">
        <v>1.0</v>
      </c>
      <c r="D1557" s="97" t="s">
        <v>178</v>
      </c>
      <c r="E1557" s="201"/>
      <c r="F1557" s="202"/>
      <c r="G1557" s="194" t="s">
        <v>587</v>
      </c>
      <c r="H1557" s="195" t="s">
        <v>632</v>
      </c>
      <c r="I1557" s="196">
        <v>10000.0</v>
      </c>
      <c r="J1557" s="179">
        <f>IF(A1557="RAPPI",(VLOOKUP(TRIM(D1557), CATALOGO!F:G, 2, FALSE) * C1557)+I1557,IFERROR(IF(COUNTIF('RESTAURANTESDESCUENTOS 2026'!A:A,TRIM(A1557))&gt;0,((VLOOKUP(TRIM(D1557), CATALOGO!A:B, 2, FALSE) * C1557)*(1-VALUE(SUBSTITUTE(VLOOKUP(TRIM(A1557),'RESTAURANTESDESCUENTOS 2026'!A:B,2,FALSE),"%",""))/100)+I1557),(VLOOKUP(TRIM(D1557), CATALOGO!A:B, 2, FALSE) * C1557+I1557)),""))</f>
        <v>122500</v>
      </c>
      <c r="K1557" s="196">
        <v>10000.0</v>
      </c>
      <c r="L1557" s="89">
        <v>557.0</v>
      </c>
      <c r="M1557" s="197" t="s">
        <v>587</v>
      </c>
      <c r="N1557" s="168"/>
    </row>
    <row r="1558" ht="22.5" hidden="1" customHeight="1">
      <c r="A1558" s="137" t="s">
        <v>86</v>
      </c>
      <c r="B1558" s="90">
        <v>46090.0</v>
      </c>
      <c r="C1558" s="55">
        <v>1.0</v>
      </c>
      <c r="D1558" s="97" t="s">
        <v>177</v>
      </c>
      <c r="E1558" s="201" t="s">
        <v>610</v>
      </c>
      <c r="F1558" s="202"/>
      <c r="G1558" s="194" t="s">
        <v>587</v>
      </c>
      <c r="H1558" s="195" t="s">
        <v>632</v>
      </c>
      <c r="I1558" s="196">
        <v>0.0</v>
      </c>
      <c r="J1558" s="179">
        <f>IF(A1558="RAPPI",(VLOOKUP(TRIM(D1558), CATALOGO!F:G, 2, FALSE) * C1558)+I1558,IFERROR(IF(COUNTIF('RESTAURANTESDESCUENTOS 2026'!A:A,TRIM(A1558))&gt;0,((VLOOKUP(TRIM(D1558), CATALOGO!A:B, 2, FALSE) * C1558)*(1-VALUE(SUBSTITUTE(VLOOKUP(TRIM(A1558),'RESTAURANTESDESCUENTOS 2026'!A:B,2,FALSE),"%",""))/100)+I1558),(VLOOKUP(TRIM(D1558), CATALOGO!A:B, 2, FALSE) * C1558+I1558)),""))</f>
        <v>86250</v>
      </c>
      <c r="K1558" s="196">
        <v>15000.0</v>
      </c>
      <c r="L1558" s="87">
        <v>559.0</v>
      </c>
      <c r="M1558" s="197" t="s">
        <v>587</v>
      </c>
      <c r="N1558" s="168"/>
    </row>
    <row r="1559" ht="22.5" hidden="1" customHeight="1">
      <c r="A1559" s="137" t="s">
        <v>10</v>
      </c>
      <c r="B1559" s="90">
        <v>46090.0</v>
      </c>
      <c r="C1559" s="55">
        <v>1.0</v>
      </c>
      <c r="D1559" s="97" t="s">
        <v>178</v>
      </c>
      <c r="E1559" s="201"/>
      <c r="F1559" s="202"/>
      <c r="G1559" s="194" t="s">
        <v>587</v>
      </c>
      <c r="H1559" s="195" t="s">
        <v>632</v>
      </c>
      <c r="I1559" s="196">
        <v>0.0</v>
      </c>
      <c r="J1559" s="179">
        <f>IF(A1559="RAPPI",(VLOOKUP(TRIM(D1559), CATALOGO!F:G, 2, FALSE) * C1559)+I1559,IFERROR(IF(COUNTIF('RESTAURANTESDESCUENTOS 2026'!A:A,TRIM(A1559))&gt;0,((VLOOKUP(TRIM(D1559), CATALOGO!A:B, 2, FALSE) * C1559)*(1-VALUE(SUBSTITUTE(VLOOKUP(TRIM(A1559),'RESTAURANTESDESCUENTOS 2026'!A:B,2,FALSE),"%",""))/100)+I1559),(VLOOKUP(TRIM(D1559), CATALOGO!A:B, 2, FALSE) * C1559+I1559)),""))</f>
        <v>112500</v>
      </c>
      <c r="K1559" s="196">
        <v>10000.0</v>
      </c>
      <c r="L1559" s="87">
        <v>560.0</v>
      </c>
      <c r="M1559" s="197" t="s">
        <v>587</v>
      </c>
      <c r="N1559" s="168"/>
    </row>
    <row r="1560" ht="22.5" hidden="1" customHeight="1">
      <c r="A1560" s="137" t="s">
        <v>128</v>
      </c>
      <c r="B1560" s="90">
        <v>46090.0</v>
      </c>
      <c r="C1560" s="55">
        <v>2.0</v>
      </c>
      <c r="D1560" s="97" t="s">
        <v>178</v>
      </c>
      <c r="E1560" s="201"/>
      <c r="F1560" s="202"/>
      <c r="G1560" s="194" t="s">
        <v>587</v>
      </c>
      <c r="H1560" s="195" t="s">
        <v>632</v>
      </c>
      <c r="I1560" s="196">
        <v>10000.0</v>
      </c>
      <c r="J1560" s="179">
        <f>IF(A1560="RAPPI",(VLOOKUP(TRIM(D1560), CATALOGO!F:G, 2, FALSE) * C1560)+I1560,IFERROR(IF(COUNTIF('RESTAURANTESDESCUENTOS 2026'!A:A,TRIM(A1560))&gt;0,((VLOOKUP(TRIM(D1560), CATALOGO!A:B, 2, FALSE) * C1560)*(1-VALUE(SUBSTITUTE(VLOOKUP(TRIM(A1560),'RESTAURANTESDESCUENTOS 2026'!A:B,2,FALSE),"%",""))/100)+I1560),(VLOOKUP(TRIM(D1560), CATALOGO!A:B, 2, FALSE) * C1560+I1560)),""))</f>
        <v>220000</v>
      </c>
      <c r="K1560" s="196">
        <v>15000.0</v>
      </c>
      <c r="L1560" s="87">
        <v>561.0</v>
      </c>
      <c r="M1560" s="197" t="s">
        <v>587</v>
      </c>
      <c r="N1560" s="168"/>
    </row>
    <row r="1561" ht="22.5" hidden="1" customHeight="1">
      <c r="A1561" s="137" t="s">
        <v>1078</v>
      </c>
      <c r="B1561" s="90">
        <v>46090.0</v>
      </c>
      <c r="C1561" s="55">
        <v>1.0</v>
      </c>
      <c r="D1561" s="97" t="s">
        <v>178</v>
      </c>
      <c r="E1561" s="201"/>
      <c r="F1561" s="202"/>
      <c r="G1561" s="194" t="s">
        <v>587</v>
      </c>
      <c r="H1561" s="195" t="s">
        <v>632</v>
      </c>
      <c r="I1561" s="196">
        <v>5000.0</v>
      </c>
      <c r="J1561" s="179">
        <f>IF(A1561="RAPPI",(VLOOKUP(TRIM(D1561), CATALOGO!F:G, 2, FALSE) * C1561)+I1561,IFERROR(IF(COUNTIF('RESTAURANTESDESCUENTOS 2026'!A:A,TRIM(A1561))&gt;0,((VLOOKUP(TRIM(D1561), CATALOGO!A:B, 2, FALSE) * C1561)*(1-VALUE(SUBSTITUTE(VLOOKUP(TRIM(A1561),'RESTAURANTESDESCUENTOS 2026'!A:B,2,FALSE),"%",""))/100)+I1561),(VLOOKUP(TRIM(D1561), CATALOGO!A:B, 2, FALSE) * C1561+I1561)),""))</f>
        <v>110000</v>
      </c>
      <c r="K1561" s="196">
        <v>10000.0</v>
      </c>
      <c r="L1561" s="87">
        <v>563.0</v>
      </c>
      <c r="M1561" s="197" t="s">
        <v>587</v>
      </c>
      <c r="N1561" s="168"/>
    </row>
    <row r="1562" ht="22.5" hidden="1" customHeight="1">
      <c r="A1562" s="137" t="s">
        <v>1078</v>
      </c>
      <c r="B1562" s="90">
        <v>46090.0</v>
      </c>
      <c r="C1562" s="55">
        <v>150.0</v>
      </c>
      <c r="D1562" s="97" t="s">
        <v>236</v>
      </c>
      <c r="E1562" s="201"/>
      <c r="F1562" s="202"/>
      <c r="G1562" s="194" t="s">
        <v>587</v>
      </c>
      <c r="H1562" s="195" t="s">
        <v>632</v>
      </c>
      <c r="I1562" s="196">
        <v>0.0</v>
      </c>
      <c r="J1562" s="199">
        <v>16500.0</v>
      </c>
      <c r="K1562" s="196">
        <v>0.0</v>
      </c>
      <c r="L1562" s="87">
        <v>563.0</v>
      </c>
      <c r="M1562" s="197" t="s">
        <v>587</v>
      </c>
      <c r="N1562" s="168"/>
    </row>
    <row r="1563" ht="22.5" hidden="1" customHeight="1">
      <c r="A1563" s="137" t="s">
        <v>131</v>
      </c>
      <c r="B1563" s="90">
        <v>46090.0</v>
      </c>
      <c r="C1563" s="55">
        <v>1.0</v>
      </c>
      <c r="D1563" s="97" t="s">
        <v>178</v>
      </c>
      <c r="E1563" s="201"/>
      <c r="F1563" s="202"/>
      <c r="G1563" s="194" t="s">
        <v>587</v>
      </c>
      <c r="H1563" s="195" t="s">
        <v>632</v>
      </c>
      <c r="I1563" s="196">
        <v>5000.0</v>
      </c>
      <c r="J1563" s="179">
        <f>IF(A1563="RAPPI",(VLOOKUP(TRIM(D1563), CATALOGO!F:G, 2, FALSE) * C1563)+I1563,IFERROR(IF(COUNTIF('RESTAURANTESDESCUENTOS 2026'!A:A,TRIM(A1563))&gt;0,((VLOOKUP(TRIM(D1563), CATALOGO!A:B, 2, FALSE) * C1563)*(1-VALUE(SUBSTITUTE(VLOOKUP(TRIM(A1563),'RESTAURANTESDESCUENTOS 2026'!A:B,2,FALSE),"%",""))/100)+I1563),(VLOOKUP(TRIM(D1563), CATALOGO!A:B, 2, FALSE) * C1563+I1563)),""))</f>
        <v>110000</v>
      </c>
      <c r="K1563" s="196">
        <v>10000.0</v>
      </c>
      <c r="L1563" s="87">
        <v>564.0</v>
      </c>
      <c r="M1563" s="197" t="s">
        <v>587</v>
      </c>
      <c r="N1563" s="168"/>
    </row>
    <row r="1564" ht="22.5" hidden="1" customHeight="1">
      <c r="A1564" s="137" t="s">
        <v>603</v>
      </c>
      <c r="B1564" s="90">
        <v>46090.0</v>
      </c>
      <c r="C1564" s="55">
        <v>1.0</v>
      </c>
      <c r="D1564" s="97" t="s">
        <v>182</v>
      </c>
      <c r="E1564" s="201"/>
      <c r="F1564" s="202"/>
      <c r="G1564" s="194" t="s">
        <v>587</v>
      </c>
      <c r="H1564" s="195" t="s">
        <v>603</v>
      </c>
      <c r="I1564" s="196"/>
      <c r="J1564" s="179">
        <f>IF(A1564="RAPPI",(VLOOKUP(TRIM(D1564), CATALOGO!F:G, 2, FALSE) * C1564)+I1564,IFERROR(IF(COUNTIF('RESTAURANTESDESCUENTOS 2026'!A:A,TRIM(A1564))&gt;0,((VLOOKUP(TRIM(D1564), CATALOGO!A:B, 2, FALSE) * C1564)*(1-VALUE(SUBSTITUTE(VLOOKUP(TRIM(A1564),'RESTAURANTESDESCUENTOS 2026'!A:B,2,FALSE),"%",""))/100)+I1564),(VLOOKUP(TRIM(D1564), CATALOGO!A:B, 2, FALSE) * C1564+I1564)),""))</f>
        <v>37000</v>
      </c>
      <c r="K1564" s="196"/>
      <c r="L1564" s="87">
        <v>570.0</v>
      </c>
      <c r="M1564" s="197" t="s">
        <v>587</v>
      </c>
      <c r="N1564" s="168"/>
    </row>
    <row r="1565" ht="22.5" hidden="1" customHeight="1">
      <c r="A1565" s="137" t="s">
        <v>603</v>
      </c>
      <c r="B1565" s="90">
        <v>46090.0</v>
      </c>
      <c r="C1565" s="55">
        <v>1.0</v>
      </c>
      <c r="D1565" s="97" t="s">
        <v>176</v>
      </c>
      <c r="E1565" s="201"/>
      <c r="F1565" s="202"/>
      <c r="G1565" s="194" t="s">
        <v>587</v>
      </c>
      <c r="H1565" s="195" t="s">
        <v>603</v>
      </c>
      <c r="I1565" s="196"/>
      <c r="J1565" s="179">
        <f>IF(A1565="RAPPI",(VLOOKUP(TRIM(D1565), CATALOGO!F:G, 2, FALSE) * C1565)+I1565,IFERROR(IF(COUNTIF('RESTAURANTESDESCUENTOS 2026'!A:A,TRIM(A1565))&gt;0,((VLOOKUP(TRIM(D1565), CATALOGO!A:B, 2, FALSE) * C1565)*(1-VALUE(SUBSTITUTE(VLOOKUP(TRIM(A1565),'RESTAURANTESDESCUENTOS 2026'!A:B,2,FALSE),"%",""))/100)+I1565),(VLOOKUP(TRIM(D1565), CATALOGO!A:B, 2, FALSE) * C1565+I1565)),""))</f>
        <v>50000</v>
      </c>
      <c r="K1565" s="196"/>
      <c r="L1565" s="87">
        <v>570.0</v>
      </c>
      <c r="M1565" s="197" t="s">
        <v>587</v>
      </c>
      <c r="N1565" s="168"/>
    </row>
    <row r="1566" ht="22.5" hidden="1" customHeight="1">
      <c r="A1566" s="137" t="s">
        <v>603</v>
      </c>
      <c r="B1566" s="90">
        <v>46090.0</v>
      </c>
      <c r="C1566" s="55">
        <v>1.0</v>
      </c>
      <c r="D1566" s="97" t="s">
        <v>174</v>
      </c>
      <c r="E1566" s="201"/>
      <c r="F1566" s="202"/>
      <c r="G1566" s="194" t="s">
        <v>587</v>
      </c>
      <c r="H1566" s="195" t="s">
        <v>603</v>
      </c>
      <c r="I1566" s="196"/>
      <c r="J1566" s="179">
        <f>IF(A1566="RAPPI",(VLOOKUP(TRIM(D1566), CATALOGO!F:G, 2, FALSE) * C1566)+I1566,IFERROR(IF(COUNTIF('RESTAURANTESDESCUENTOS 2026'!A:A,TRIM(A1566))&gt;0,((VLOOKUP(TRIM(D1566), CATALOGO!A:B, 2, FALSE) * C1566)*(1-VALUE(SUBSTITUTE(VLOOKUP(TRIM(A1566),'RESTAURANTESDESCUENTOS 2026'!A:B,2,FALSE),"%",""))/100)+I1566),(VLOOKUP(TRIM(D1566), CATALOGO!A:B, 2, FALSE) * C1566+I1566)),""))</f>
        <v>18000</v>
      </c>
      <c r="K1566" s="196"/>
      <c r="L1566" s="87">
        <v>570.0</v>
      </c>
      <c r="M1566" s="197" t="s">
        <v>587</v>
      </c>
      <c r="N1566" s="168"/>
    </row>
    <row r="1567" ht="22.5" hidden="1" customHeight="1">
      <c r="A1567" s="137" t="s">
        <v>1079</v>
      </c>
      <c r="B1567" s="90">
        <v>46090.0</v>
      </c>
      <c r="C1567" s="55">
        <v>1.0</v>
      </c>
      <c r="D1567" s="97" t="s">
        <v>174</v>
      </c>
      <c r="E1567" s="201"/>
      <c r="F1567" s="202"/>
      <c r="G1567" s="194" t="s">
        <v>587</v>
      </c>
      <c r="H1567" s="195" t="s">
        <v>632</v>
      </c>
      <c r="I1567" s="196">
        <v>13000.0</v>
      </c>
      <c r="J1567" s="179">
        <f>IF(A1567="RAPPI",(VLOOKUP(TRIM(D1567), CATALOGO!F:G, 2, FALSE) * C1567)+I1567,IFERROR(IF(COUNTIF('RESTAURANTESDESCUENTOS 2026'!A:A,TRIM(A1567))&gt;0,((VLOOKUP(TRIM(D1567), CATALOGO!A:B, 2, FALSE) * C1567)*(1-VALUE(SUBSTITUTE(VLOOKUP(TRIM(A1567),'RESTAURANTESDESCUENTOS 2026'!A:B,2,FALSE),"%",""))/100)+I1567),(VLOOKUP(TRIM(D1567), CATALOGO!A:B, 2, FALSE) * C1567+I1567)),""))</f>
        <v>31000</v>
      </c>
      <c r="K1567" s="196">
        <v>13000.0</v>
      </c>
      <c r="L1567" s="87"/>
      <c r="M1567" s="197" t="s">
        <v>587</v>
      </c>
      <c r="N1567" s="168"/>
    </row>
    <row r="1568" ht="22.5" hidden="1" customHeight="1">
      <c r="A1568" s="137" t="s">
        <v>1069</v>
      </c>
      <c r="B1568" s="90">
        <v>46090.0</v>
      </c>
      <c r="C1568" s="55">
        <v>1.0</v>
      </c>
      <c r="D1568" s="97" t="s">
        <v>174</v>
      </c>
      <c r="E1568" s="201"/>
      <c r="F1568" s="202"/>
      <c r="G1568" s="194" t="s">
        <v>35</v>
      </c>
      <c r="H1568" s="198"/>
      <c r="I1568" s="196"/>
      <c r="J1568" s="179">
        <f>IF(A1568="RAPPI",(VLOOKUP(TRIM(D1568), CATALOGO!F:G, 2, FALSE) * C1568)+I1568,IFERROR(IF(COUNTIF('RESTAURANTESDESCUENTOS 2026'!A:A,TRIM(A1568))&gt;0,((VLOOKUP(TRIM(D1568), CATALOGO!A:B, 2, FALSE) * C1568)*(1-VALUE(SUBSTITUTE(VLOOKUP(TRIM(A1568),'RESTAURANTESDESCUENTOS 2026'!A:B,2,FALSE),"%",""))/100)+I1568),(VLOOKUP(TRIM(D1568), CATALOGO!A:B, 2, FALSE) * C1568+I1568)),""))</f>
        <v>18000</v>
      </c>
      <c r="K1568" s="196"/>
      <c r="L1568" s="87"/>
      <c r="M1568" s="197" t="s">
        <v>587</v>
      </c>
      <c r="N1568" s="168"/>
    </row>
    <row r="1569" ht="22.5" hidden="1" customHeight="1">
      <c r="A1569" s="137" t="s">
        <v>1069</v>
      </c>
      <c r="B1569" s="90">
        <v>46090.0</v>
      </c>
      <c r="C1569" s="55">
        <v>1.0</v>
      </c>
      <c r="D1569" s="97" t="s">
        <v>176</v>
      </c>
      <c r="E1569" s="201"/>
      <c r="F1569" s="202"/>
      <c r="G1569" s="194" t="s">
        <v>35</v>
      </c>
      <c r="H1569" s="198"/>
      <c r="I1569" s="196"/>
      <c r="J1569" s="179">
        <f>IF(A1569="RAPPI",(VLOOKUP(TRIM(D1569), CATALOGO!F:G, 2, FALSE) * C1569)+I1569,IFERROR(IF(COUNTIF('RESTAURANTESDESCUENTOS 2026'!A:A,TRIM(A1569))&gt;0,((VLOOKUP(TRIM(D1569), CATALOGO!A:B, 2, FALSE) * C1569)*(1-VALUE(SUBSTITUTE(VLOOKUP(TRIM(A1569),'RESTAURANTESDESCUENTOS 2026'!A:B,2,FALSE),"%",""))/100)+I1569),(VLOOKUP(TRIM(D1569), CATALOGO!A:B, 2, FALSE) * C1569+I1569)),""))</f>
        <v>50000</v>
      </c>
      <c r="K1569" s="196"/>
      <c r="L1569" s="87"/>
      <c r="M1569" s="197" t="s">
        <v>587</v>
      </c>
      <c r="N1569" s="237"/>
    </row>
    <row r="1570" ht="22.5" hidden="1" customHeight="1">
      <c r="A1570" s="137" t="s">
        <v>1069</v>
      </c>
      <c r="B1570" s="90">
        <v>46090.0</v>
      </c>
      <c r="C1570" s="55">
        <v>1.0</v>
      </c>
      <c r="D1570" s="97" t="s">
        <v>174</v>
      </c>
      <c r="E1570" s="201"/>
      <c r="F1570" s="202"/>
      <c r="G1570" s="194" t="s">
        <v>35</v>
      </c>
      <c r="H1570" s="198"/>
      <c r="I1570" s="196"/>
      <c r="J1570" s="179">
        <f>IF(A1570="RAPPI",(VLOOKUP(TRIM(D1570), CATALOGO!F:G, 2, FALSE) * C1570)+I1570,IFERROR(IF(COUNTIF('RESTAURANTESDESCUENTOS 2026'!A:A,TRIM(A1570))&gt;0,((VLOOKUP(TRIM(D1570), CATALOGO!A:B, 2, FALSE) * C1570)*(1-VALUE(SUBSTITUTE(VLOOKUP(TRIM(A1570),'RESTAURANTESDESCUENTOS 2026'!A:B,2,FALSE),"%",""))/100)+I1570),(VLOOKUP(TRIM(D1570), CATALOGO!A:B, 2, FALSE) * C1570+I1570)),""))</f>
        <v>18000</v>
      </c>
      <c r="K1570" s="196"/>
      <c r="L1570" s="87"/>
      <c r="M1570" s="197" t="s">
        <v>587</v>
      </c>
      <c r="N1570" s="237"/>
    </row>
    <row r="1571" ht="22.5" hidden="1" customHeight="1">
      <c r="A1571" s="137" t="s">
        <v>1080</v>
      </c>
      <c r="B1571" s="90">
        <v>46090.0</v>
      </c>
      <c r="C1571" s="55">
        <v>1.0</v>
      </c>
      <c r="D1571" s="97" t="s">
        <v>176</v>
      </c>
      <c r="E1571" s="201"/>
      <c r="F1571" s="202"/>
      <c r="G1571" s="194" t="s">
        <v>587</v>
      </c>
      <c r="H1571" s="195" t="s">
        <v>588</v>
      </c>
      <c r="I1571" s="196">
        <v>14000.0</v>
      </c>
      <c r="J1571" s="179">
        <f>IF(A1571="RAPPI",(VLOOKUP(TRIM(D1571), CATALOGO!F:G, 2, FALSE) * C1571)+I1571,IFERROR(IF(COUNTIF('RESTAURANTESDESCUENTOS 2026'!A:A,TRIM(A1571))&gt;0,((VLOOKUP(TRIM(D1571), CATALOGO!A:B, 2, FALSE) * C1571)*(1-VALUE(SUBSTITUTE(VLOOKUP(TRIM(A1571),'RESTAURANTESDESCUENTOS 2026'!A:B,2,FALSE),"%",""))/100)+I1571),(VLOOKUP(TRIM(D1571), CATALOGO!A:B, 2, FALSE) * C1571+I1571)),""))</f>
        <v>64000</v>
      </c>
      <c r="K1571" s="196"/>
      <c r="L1571" s="87"/>
      <c r="M1571" s="167" t="s">
        <v>587</v>
      </c>
      <c r="N1571" s="237"/>
    </row>
    <row r="1572" ht="22.5" hidden="1" customHeight="1">
      <c r="A1572" s="137" t="s">
        <v>1080</v>
      </c>
      <c r="B1572" s="90">
        <v>46090.0</v>
      </c>
      <c r="C1572" s="55">
        <v>1.0</v>
      </c>
      <c r="D1572" s="97" t="s">
        <v>186</v>
      </c>
      <c r="E1572" s="201"/>
      <c r="F1572" s="202"/>
      <c r="G1572" s="194" t="s">
        <v>587</v>
      </c>
      <c r="H1572" s="195" t="s">
        <v>588</v>
      </c>
      <c r="I1572" s="196"/>
      <c r="J1572" s="179">
        <f>IF(A1572="RAPPI",(VLOOKUP(TRIM(D1572), CATALOGO!F:G, 2, FALSE) * C1572)+I1572,IFERROR(IF(COUNTIF('RESTAURANTESDESCUENTOS 2026'!A:A,TRIM(A1572))&gt;0,((VLOOKUP(TRIM(D1572), CATALOGO!A:B, 2, FALSE) * C1572)*(1-VALUE(SUBSTITUTE(VLOOKUP(TRIM(A1572),'RESTAURANTESDESCUENTOS 2026'!A:B,2,FALSE),"%",""))/100)+I1572),(VLOOKUP(TRIM(D1572), CATALOGO!A:B, 2, FALSE) * C1572+I1572)),""))</f>
        <v>55000</v>
      </c>
      <c r="K1572" s="196"/>
      <c r="L1572" s="87"/>
      <c r="M1572" s="197" t="s">
        <v>587</v>
      </c>
      <c r="N1572" s="168"/>
    </row>
    <row r="1573" ht="22.5" hidden="1" customHeight="1">
      <c r="A1573" s="137" t="s">
        <v>1081</v>
      </c>
      <c r="B1573" s="90">
        <v>46090.0</v>
      </c>
      <c r="C1573" s="55">
        <v>1.0</v>
      </c>
      <c r="D1573" s="97" t="s">
        <v>678</v>
      </c>
      <c r="E1573" s="201"/>
      <c r="F1573" s="202"/>
      <c r="G1573" s="194" t="s">
        <v>35</v>
      </c>
      <c r="H1573" s="198"/>
      <c r="I1573" s="196"/>
      <c r="J1573" s="179">
        <f>IF(A1573="RAPPI",(VLOOKUP(TRIM(D1573), CATALOGO!F:G, 2, FALSE) * C1573)+I1573,IFERROR(IF(COUNTIF('RESTAURANTESDESCUENTOS 2026'!A:A,TRIM(A1573))&gt;0,((VLOOKUP(TRIM(D1573), CATALOGO!A:B, 2, FALSE) * C1573)*(1-VALUE(SUBSTITUTE(VLOOKUP(TRIM(A1573),'RESTAURANTESDESCUENTOS 2026'!A:B,2,FALSE),"%",""))/100)+I1573),(VLOOKUP(TRIM(D1573), CATALOGO!A:B, 2, FALSE) * C1573+I1573)),""))</f>
        <v>123000</v>
      </c>
      <c r="K1573" s="196"/>
      <c r="L1573" s="87"/>
      <c r="M1573" s="197" t="s">
        <v>587</v>
      </c>
      <c r="N1573" s="168"/>
      <c r="O1573" s="208"/>
      <c r="P1573" s="208"/>
      <c r="Q1573" s="208"/>
      <c r="R1573" s="208"/>
      <c r="S1573" s="208"/>
      <c r="T1573" s="208"/>
      <c r="U1573" s="208"/>
      <c r="V1573" s="208"/>
      <c r="W1573" s="208"/>
      <c r="X1573" s="208"/>
      <c r="Y1573" s="208"/>
    </row>
    <row r="1574" ht="22.5" hidden="1" customHeight="1">
      <c r="A1574" s="230" t="s">
        <v>1069</v>
      </c>
      <c r="B1574" s="214">
        <v>46090.0</v>
      </c>
      <c r="C1574" s="70">
        <v>1.0</v>
      </c>
      <c r="D1574" s="215" t="s">
        <v>628</v>
      </c>
      <c r="E1574" s="70" t="s">
        <v>1036</v>
      </c>
      <c r="F1574" s="215" t="s">
        <v>1036</v>
      </c>
      <c r="G1574" s="216" t="s">
        <v>35</v>
      </c>
      <c r="H1574" s="238"/>
      <c r="I1574" s="218"/>
      <c r="J1574" s="219">
        <f>IF(A1574="RAPPI",(VLOOKUP(TRIM(D1574), CATALOGO!F:G, 2, FALSE) * C1574)+I1574,IFERROR(IF(COUNTIF('RESTAURANTESDESCUENTOS 2026'!A:A,TRIM(A1574))&gt;0,((VLOOKUP(TRIM(D1574), CATALOGO!A:B, 2, FALSE) * C1574)*(1-VALUE(SUBSTITUTE(VLOOKUP(TRIM(A1574),'RESTAURANTESDESCUENTOS 2026'!A:B,2,FALSE),"%",""))/100)+I1574),(VLOOKUP(TRIM(D1574), CATALOGO!A:B, 2, FALSE) * C1574+I1574)),""))</f>
        <v>22000</v>
      </c>
      <c r="K1574" s="218"/>
      <c r="L1574" s="220"/>
      <c r="M1574" s="221" t="s">
        <v>587</v>
      </c>
      <c r="N1574" s="239"/>
    </row>
    <row r="1575" ht="22.5" hidden="1" customHeight="1">
      <c r="A1575" s="137" t="s">
        <v>1082</v>
      </c>
      <c r="B1575" s="90">
        <v>46091.0</v>
      </c>
      <c r="C1575" s="55">
        <v>45.0</v>
      </c>
      <c r="D1575" s="97" t="s">
        <v>183</v>
      </c>
      <c r="E1575" s="201"/>
      <c r="F1575" s="202"/>
      <c r="G1575" s="194" t="s">
        <v>587</v>
      </c>
      <c r="H1575" s="195" t="s">
        <v>1083</v>
      </c>
      <c r="I1575" s="196">
        <v>298000.0</v>
      </c>
      <c r="J1575" s="179">
        <f>IF(A1575="RAPPI",(VLOOKUP(TRIM(D1575), CATALOGO!F:G, 2, FALSE) * C1575)+I1575,IFERROR(IF(COUNTIF('RESTAURANTESDESCUENTOS 2026'!A:A,TRIM(A1575))&gt;0,((VLOOKUP(TRIM(D1575), CATALOGO!A:B, 2, FALSE) * C1575)*(1-VALUE(SUBSTITUTE(VLOOKUP(TRIM(A1575),'RESTAURANTESDESCUENTOS 2026'!A:B,2,FALSE),"%",""))/100)+I1575),(VLOOKUP(TRIM(D1575), CATALOGO!A:B, 2, FALSE) * C1575+I1575)),""))</f>
        <v>991000</v>
      </c>
      <c r="K1575" s="196">
        <v>0.0</v>
      </c>
      <c r="L1575" s="87">
        <v>582.0</v>
      </c>
      <c r="M1575" s="197" t="s">
        <v>587</v>
      </c>
      <c r="N1575" s="168"/>
    </row>
    <row r="1576" ht="22.5" hidden="1" customHeight="1">
      <c r="A1576" s="137" t="s">
        <v>1082</v>
      </c>
      <c r="B1576" s="90">
        <v>46091.0</v>
      </c>
      <c r="C1576" s="55">
        <v>17.0</v>
      </c>
      <c r="D1576" s="97" t="s">
        <v>184</v>
      </c>
      <c r="E1576" s="201"/>
      <c r="F1576" s="202"/>
      <c r="G1576" s="194" t="s">
        <v>587</v>
      </c>
      <c r="H1576" s="195" t="s">
        <v>1083</v>
      </c>
      <c r="I1576" s="196"/>
      <c r="J1576" s="179">
        <f>IF(A1576="RAPPI",(VLOOKUP(TRIM(D1576), CATALOGO!F:G, 2, FALSE) * C1576)+I1576,IFERROR(IF(COUNTIF('RESTAURANTESDESCUENTOS 2026'!A:A,TRIM(A1576))&gt;0,((VLOOKUP(TRIM(D1576), CATALOGO!A:B, 2, FALSE) * C1576)*(1-VALUE(SUBSTITUTE(VLOOKUP(TRIM(A1576),'RESTAURANTESDESCUENTOS 2026'!A:B,2,FALSE),"%",""))/100)+I1576),(VLOOKUP(TRIM(D1576), CATALOGO!A:B, 2, FALSE) * C1576+I1576)),""))</f>
        <v>408000</v>
      </c>
      <c r="K1576" s="196"/>
      <c r="L1576" s="87">
        <v>582.0</v>
      </c>
      <c r="M1576" s="197" t="s">
        <v>587</v>
      </c>
      <c r="N1576" s="168"/>
    </row>
    <row r="1577" ht="22.5" hidden="1" customHeight="1">
      <c r="A1577" s="137" t="s">
        <v>1082</v>
      </c>
      <c r="B1577" s="90">
        <v>46091.0</v>
      </c>
      <c r="C1577" s="55">
        <v>10.0</v>
      </c>
      <c r="D1577" s="97" t="s">
        <v>185</v>
      </c>
      <c r="E1577" s="201"/>
      <c r="F1577" s="202"/>
      <c r="G1577" s="194" t="s">
        <v>587</v>
      </c>
      <c r="H1577" s="195" t="s">
        <v>1083</v>
      </c>
      <c r="I1577" s="196">
        <v>298000.0</v>
      </c>
      <c r="J1577" s="179">
        <f>IF(A1577="RAPPI",(VLOOKUP(TRIM(D1577), CATALOGO!F:G, 2, FALSE) * C1577)+I1577,IFERROR(IF(COUNTIF('RESTAURANTESDESCUENTOS 2026'!A:A,TRIM(A1577))&gt;0,((VLOOKUP(TRIM(D1577), CATALOGO!A:B, 2, FALSE) * C1577)*(1-VALUE(SUBSTITUTE(VLOOKUP(TRIM(A1577),'RESTAURANTESDESCUENTOS 2026'!A:B,2,FALSE),"%",""))/100)+I1577),(VLOOKUP(TRIM(D1577), CATALOGO!A:B, 2, FALSE) * C1577+I1577)),""))</f>
        <v>474000</v>
      </c>
      <c r="K1577" s="196"/>
      <c r="L1577" s="87">
        <v>582.0</v>
      </c>
      <c r="M1577" s="197" t="s">
        <v>587</v>
      </c>
      <c r="N1577" s="168"/>
    </row>
    <row r="1578" ht="22.5" hidden="1" customHeight="1">
      <c r="A1578" s="137" t="s">
        <v>597</v>
      </c>
      <c r="B1578" s="90">
        <v>46091.0</v>
      </c>
      <c r="C1578" s="55">
        <v>9.0</v>
      </c>
      <c r="D1578" s="97" t="s">
        <v>178</v>
      </c>
      <c r="E1578" s="201"/>
      <c r="F1578" s="202"/>
      <c r="G1578" s="194" t="s">
        <v>587</v>
      </c>
      <c r="H1578" s="195" t="s">
        <v>632</v>
      </c>
      <c r="I1578" s="196">
        <v>0.0</v>
      </c>
      <c r="J1578" s="179"/>
      <c r="K1578" s="196">
        <v>110000.0</v>
      </c>
      <c r="L1578" s="87"/>
      <c r="M1578" s="197" t="s">
        <v>587</v>
      </c>
      <c r="N1578" s="240" t="s">
        <v>587</v>
      </c>
    </row>
    <row r="1579" ht="22.5" hidden="1" customHeight="1">
      <c r="A1579" s="137" t="s">
        <v>597</v>
      </c>
      <c r="B1579" s="90">
        <v>46091.0</v>
      </c>
      <c r="C1579" s="55">
        <v>4.0</v>
      </c>
      <c r="D1579" s="97" t="s">
        <v>177</v>
      </c>
      <c r="E1579" s="201"/>
      <c r="F1579" s="202"/>
      <c r="G1579" s="194" t="s">
        <v>587</v>
      </c>
      <c r="H1579" s="195" t="s">
        <v>632</v>
      </c>
      <c r="I1579" s="196">
        <v>0.0</v>
      </c>
      <c r="J1579" s="179"/>
      <c r="K1579" s="196">
        <v>0.0</v>
      </c>
      <c r="L1579" s="87"/>
      <c r="M1579" s="197" t="s">
        <v>587</v>
      </c>
      <c r="N1579" s="240" t="s">
        <v>587</v>
      </c>
    </row>
    <row r="1580" ht="22.5" hidden="1" customHeight="1">
      <c r="A1580" s="137" t="s">
        <v>597</v>
      </c>
      <c r="B1580" s="90">
        <v>46091.0</v>
      </c>
      <c r="C1580" s="55">
        <v>9.0</v>
      </c>
      <c r="D1580" s="97" t="s">
        <v>176</v>
      </c>
      <c r="E1580" s="201"/>
      <c r="F1580" s="202"/>
      <c r="G1580" s="194" t="s">
        <v>587</v>
      </c>
      <c r="H1580" s="195" t="s">
        <v>632</v>
      </c>
      <c r="I1580" s="196">
        <v>0.0</v>
      </c>
      <c r="J1580" s="179"/>
      <c r="K1580" s="196">
        <v>0.0</v>
      </c>
      <c r="L1580" s="87"/>
      <c r="M1580" s="210" t="s">
        <v>587</v>
      </c>
      <c r="N1580" s="240" t="s">
        <v>587</v>
      </c>
    </row>
    <row r="1581" ht="22.5" hidden="1" customHeight="1">
      <c r="A1581" s="137" t="s">
        <v>603</v>
      </c>
      <c r="B1581" s="90">
        <v>46091.0</v>
      </c>
      <c r="C1581" s="55">
        <v>1.0</v>
      </c>
      <c r="D1581" s="97" t="s">
        <v>601</v>
      </c>
      <c r="E1581" s="201"/>
      <c r="F1581" s="202"/>
      <c r="G1581" s="194" t="s">
        <v>587</v>
      </c>
      <c r="H1581" s="195" t="s">
        <v>603</v>
      </c>
      <c r="I1581" s="196"/>
      <c r="J1581" s="179">
        <f>IF(A1581="RAPPI",(VLOOKUP(TRIM(D1581), CATALOGO!F:G, 2, FALSE) * C1581)+I1581,IFERROR(IF(COUNTIF('RESTAURANTESDESCUENTOS 2026'!A:A,TRIM(A1581))&gt;0,((VLOOKUP(TRIM(D1581), CATALOGO!A:B, 2, FALSE) * C1581)*(1-VALUE(SUBSTITUTE(VLOOKUP(TRIM(A1581),'RESTAURANTESDESCUENTOS 2026'!A:B,2,FALSE),"%",""))/100)+I1581),(VLOOKUP(TRIM(D1581), CATALOGO!A:B, 2, FALSE) * C1581+I1581)),""))</f>
        <v>53000</v>
      </c>
      <c r="K1581" s="196"/>
      <c r="L1581" s="201">
        <v>589.0</v>
      </c>
      <c r="M1581" s="197" t="s">
        <v>587</v>
      </c>
      <c r="N1581" s="168"/>
    </row>
    <row r="1582" ht="22.5" hidden="1" customHeight="1">
      <c r="A1582" s="137" t="s">
        <v>603</v>
      </c>
      <c r="B1582" s="90">
        <v>46091.0</v>
      </c>
      <c r="C1582" s="55">
        <v>1.0</v>
      </c>
      <c r="D1582" s="97" t="s">
        <v>182</v>
      </c>
      <c r="E1582" s="201"/>
      <c r="F1582" s="202"/>
      <c r="G1582" s="194" t="s">
        <v>587</v>
      </c>
      <c r="H1582" s="195" t="s">
        <v>603</v>
      </c>
      <c r="I1582" s="196"/>
      <c r="J1582" s="179">
        <f>IF(A1582="RAPPI",(VLOOKUP(TRIM(D1582), CATALOGO!F:G, 2, FALSE) * C1582)+I1582,IFERROR(IF(COUNTIF('RESTAURANTESDESCUENTOS 2026'!A:A,TRIM(A1582))&gt;0,((VLOOKUP(TRIM(D1582), CATALOGO!A:B, 2, FALSE) * C1582)*(1-VALUE(SUBSTITUTE(VLOOKUP(TRIM(A1582),'RESTAURANTESDESCUENTOS 2026'!A:B,2,FALSE),"%",""))/100)+I1582),(VLOOKUP(TRIM(D1582), CATALOGO!A:B, 2, FALSE) * C1582+I1582)),""))</f>
        <v>37000</v>
      </c>
      <c r="K1582" s="196"/>
      <c r="L1582" s="201">
        <v>589.0</v>
      </c>
      <c r="M1582" s="197" t="s">
        <v>587</v>
      </c>
      <c r="N1582" s="168"/>
    </row>
    <row r="1583" ht="22.5" hidden="1" customHeight="1">
      <c r="A1583" s="137" t="s">
        <v>603</v>
      </c>
      <c r="B1583" s="90">
        <v>46091.0</v>
      </c>
      <c r="C1583" s="55">
        <v>1.0</v>
      </c>
      <c r="D1583" s="97" t="s">
        <v>182</v>
      </c>
      <c r="E1583" s="201"/>
      <c r="F1583" s="202"/>
      <c r="G1583" s="194" t="s">
        <v>587</v>
      </c>
      <c r="H1583" s="195" t="s">
        <v>603</v>
      </c>
      <c r="I1583" s="196"/>
      <c r="J1583" s="179">
        <f>IF(A1583="RAPPI",(VLOOKUP(TRIM(D1583), CATALOGO!F:G, 2, FALSE) * C1583)+I1583,IFERROR(IF(COUNTIF('RESTAURANTESDESCUENTOS 2026'!A:A,TRIM(A1583))&gt;0,((VLOOKUP(TRIM(D1583), CATALOGO!A:B, 2, FALSE) * C1583)*(1-VALUE(SUBSTITUTE(VLOOKUP(TRIM(A1583),'RESTAURANTESDESCUENTOS 2026'!A:B,2,FALSE),"%",""))/100)+I1583),(VLOOKUP(TRIM(D1583), CATALOGO!A:B, 2, FALSE) * C1583+I1583)),""))</f>
        <v>37000</v>
      </c>
      <c r="K1583" s="196"/>
      <c r="L1583" s="201">
        <v>589.0</v>
      </c>
      <c r="M1583" s="197" t="s">
        <v>587</v>
      </c>
      <c r="N1583" s="168"/>
    </row>
    <row r="1584" ht="22.5" hidden="1" customHeight="1">
      <c r="A1584" s="137" t="s">
        <v>603</v>
      </c>
      <c r="B1584" s="90">
        <v>46091.0</v>
      </c>
      <c r="C1584" s="55">
        <v>1.0</v>
      </c>
      <c r="D1584" s="97" t="s">
        <v>186</v>
      </c>
      <c r="E1584" s="201"/>
      <c r="F1584" s="202"/>
      <c r="G1584" s="194" t="s">
        <v>587</v>
      </c>
      <c r="H1584" s="195" t="s">
        <v>603</v>
      </c>
      <c r="I1584" s="196"/>
      <c r="J1584" s="179">
        <f>IF(A1584="RAPPI",(VLOOKUP(TRIM(D1584), CATALOGO!F:G, 2, FALSE) * C1584)+I1584,IFERROR(IF(COUNTIF('RESTAURANTESDESCUENTOS 2026'!A:A,TRIM(A1584))&gt;0,((VLOOKUP(TRIM(D1584), CATALOGO!A:B, 2, FALSE) * C1584)*(1-VALUE(SUBSTITUTE(VLOOKUP(TRIM(A1584),'RESTAURANTESDESCUENTOS 2026'!A:B,2,FALSE),"%",""))/100)+I1584),(VLOOKUP(TRIM(D1584), CATALOGO!A:B, 2, FALSE) * C1584+I1584)),""))</f>
        <v>55000</v>
      </c>
      <c r="K1584" s="196"/>
      <c r="L1584" s="201">
        <v>589.0</v>
      </c>
      <c r="M1584" s="197" t="s">
        <v>587</v>
      </c>
      <c r="N1584" s="168"/>
    </row>
    <row r="1585" ht="22.5" hidden="1" customHeight="1">
      <c r="A1585" s="137" t="s">
        <v>603</v>
      </c>
      <c r="B1585" s="90">
        <v>46091.0</v>
      </c>
      <c r="C1585" s="55">
        <v>1.0</v>
      </c>
      <c r="D1585" s="97" t="s">
        <v>182</v>
      </c>
      <c r="E1585" s="201"/>
      <c r="F1585" s="202"/>
      <c r="G1585" s="194" t="s">
        <v>587</v>
      </c>
      <c r="H1585" s="195" t="s">
        <v>603</v>
      </c>
      <c r="I1585" s="196"/>
      <c r="J1585" s="179">
        <f>IF(A1585="RAPPI",(VLOOKUP(TRIM(D1585), CATALOGO!F:G, 2, FALSE) * C1585)+I1585,IFERROR(IF(COUNTIF('RESTAURANTESDESCUENTOS 2026'!A:A,TRIM(A1585))&gt;0,((VLOOKUP(TRIM(D1585), CATALOGO!A:B, 2, FALSE) * C1585)*(1-VALUE(SUBSTITUTE(VLOOKUP(TRIM(A1585),'RESTAURANTESDESCUENTOS 2026'!A:B,2,FALSE),"%",""))/100)+I1585),(VLOOKUP(TRIM(D1585), CATALOGO!A:B, 2, FALSE) * C1585+I1585)),""))</f>
        <v>37000</v>
      </c>
      <c r="K1585" s="196"/>
      <c r="L1585" s="201">
        <v>589.0</v>
      </c>
      <c r="M1585" s="197" t="s">
        <v>587</v>
      </c>
      <c r="N1585" s="168"/>
    </row>
    <row r="1586" ht="22.5" hidden="1" customHeight="1">
      <c r="A1586" s="137" t="s">
        <v>603</v>
      </c>
      <c r="B1586" s="90">
        <v>46091.0</v>
      </c>
      <c r="C1586" s="55">
        <v>1.0</v>
      </c>
      <c r="D1586" s="97" t="s">
        <v>174</v>
      </c>
      <c r="E1586" s="201"/>
      <c r="F1586" s="202"/>
      <c r="G1586" s="194" t="s">
        <v>587</v>
      </c>
      <c r="H1586" s="195" t="s">
        <v>603</v>
      </c>
      <c r="I1586" s="196"/>
      <c r="J1586" s="179">
        <f>IF(A1586="RAPPI",(VLOOKUP(TRIM(D1586), CATALOGO!F:G, 2, FALSE) * C1586)+I1586,IFERROR(IF(COUNTIF('RESTAURANTESDESCUENTOS 2026'!A:A,TRIM(A1586))&gt;0,((VLOOKUP(TRIM(D1586), CATALOGO!A:B, 2, FALSE) * C1586)*(1-VALUE(SUBSTITUTE(VLOOKUP(TRIM(A1586),'RESTAURANTESDESCUENTOS 2026'!A:B,2,FALSE),"%",""))/100)+I1586),(VLOOKUP(TRIM(D1586), CATALOGO!A:B, 2, FALSE) * C1586+I1586)),""))</f>
        <v>18000</v>
      </c>
      <c r="K1586" s="196"/>
      <c r="L1586" s="201">
        <v>589.0</v>
      </c>
      <c r="M1586" s="197" t="s">
        <v>587</v>
      </c>
      <c r="N1586" s="168"/>
    </row>
    <row r="1587" ht="22.5" hidden="1" customHeight="1">
      <c r="A1587" s="137" t="s">
        <v>603</v>
      </c>
      <c r="B1587" s="90">
        <v>46091.0</v>
      </c>
      <c r="C1587" s="55">
        <v>1.0</v>
      </c>
      <c r="D1587" s="97" t="s">
        <v>628</v>
      </c>
      <c r="E1587" s="201"/>
      <c r="F1587" s="202"/>
      <c r="G1587" s="194" t="s">
        <v>587</v>
      </c>
      <c r="H1587" s="195" t="s">
        <v>603</v>
      </c>
      <c r="I1587" s="196"/>
      <c r="J1587" s="179">
        <f>IF(A1587="RAPPI",(VLOOKUP(TRIM(D1587), CATALOGO!F:G, 2, FALSE) * C1587)+I1587,IFERROR(IF(COUNTIF('RESTAURANTESDESCUENTOS 2026'!A:A,TRIM(A1587))&gt;0,((VLOOKUP(TRIM(D1587), CATALOGO!A:B, 2, FALSE) * C1587)*(1-VALUE(SUBSTITUTE(VLOOKUP(TRIM(A1587),'RESTAURANTESDESCUENTOS 2026'!A:B,2,FALSE),"%",""))/100)+I1587),(VLOOKUP(TRIM(D1587), CATALOGO!A:B, 2, FALSE) * C1587+I1587)),""))</f>
        <v>22000</v>
      </c>
      <c r="K1587" s="196"/>
      <c r="L1587" s="201">
        <v>589.0</v>
      </c>
      <c r="M1587" s="197" t="s">
        <v>587</v>
      </c>
      <c r="N1587" s="168"/>
    </row>
    <row r="1588" ht="22.5" hidden="1" customHeight="1">
      <c r="A1588" s="137" t="s">
        <v>603</v>
      </c>
      <c r="B1588" s="90">
        <v>46091.0</v>
      </c>
      <c r="C1588" s="55">
        <v>1.0</v>
      </c>
      <c r="D1588" s="97" t="s">
        <v>174</v>
      </c>
      <c r="E1588" s="201"/>
      <c r="F1588" s="202"/>
      <c r="G1588" s="194" t="s">
        <v>587</v>
      </c>
      <c r="H1588" s="195" t="s">
        <v>603</v>
      </c>
      <c r="I1588" s="196"/>
      <c r="J1588" s="179">
        <f>IF(A1588="RAPPI",(VLOOKUP(TRIM(D1588), CATALOGO!F:G, 2, FALSE) * C1588)+I1588,IFERROR(IF(COUNTIF('RESTAURANTESDESCUENTOS 2026'!A:A,TRIM(A1588))&gt;0,((VLOOKUP(TRIM(D1588), CATALOGO!A:B, 2, FALSE) * C1588)*(1-VALUE(SUBSTITUTE(VLOOKUP(TRIM(A1588),'RESTAURANTESDESCUENTOS 2026'!A:B,2,FALSE),"%",""))/100)+I1588),(VLOOKUP(TRIM(D1588), CATALOGO!A:B, 2, FALSE) * C1588+I1588)),""))</f>
        <v>18000</v>
      </c>
      <c r="K1588" s="196"/>
      <c r="L1588" s="201">
        <v>589.0</v>
      </c>
      <c r="M1588" s="197" t="s">
        <v>587</v>
      </c>
      <c r="N1588" s="168"/>
    </row>
    <row r="1589" ht="22.5" hidden="1" customHeight="1">
      <c r="A1589" s="137" t="s">
        <v>650</v>
      </c>
      <c r="B1589" s="90">
        <v>46091.0</v>
      </c>
      <c r="C1589" s="55">
        <v>2.0</v>
      </c>
      <c r="D1589" s="97" t="s">
        <v>178</v>
      </c>
      <c r="E1589" s="201"/>
      <c r="F1589" s="202"/>
      <c r="G1589" s="194" t="s">
        <v>587</v>
      </c>
      <c r="H1589" s="198"/>
      <c r="I1589" s="196">
        <v>0.0</v>
      </c>
      <c r="J1589" s="179">
        <f>IF(A1589="RAPPI",(VLOOKUP(TRIM(D1589), CATALOGO!F:G, 2, FALSE) * C1589)+I1589,IFERROR(IF(COUNTIF('RESTAURANTESDESCUENTOS 2026'!A:A,TRIM(A1589))&gt;0,((VLOOKUP(TRIM(D1589), CATALOGO!A:B, 2, FALSE) * C1589)*(1-VALUE(SUBSTITUTE(VLOOKUP(TRIM(A1589),'RESTAURANTESDESCUENTOS 2026'!A:B,2,FALSE),"%",""))/100)+I1589),(VLOOKUP(TRIM(D1589), CATALOGO!A:B, 2, FALSE) * C1589+I1589)),""))</f>
        <v>225000</v>
      </c>
      <c r="K1589" s="196">
        <v>0.0</v>
      </c>
      <c r="L1589" s="87">
        <v>573.0</v>
      </c>
      <c r="M1589" s="197" t="s">
        <v>587</v>
      </c>
      <c r="N1589" s="168"/>
    </row>
    <row r="1590" ht="22.5" hidden="1" customHeight="1">
      <c r="A1590" s="137" t="s">
        <v>144</v>
      </c>
      <c r="B1590" s="90">
        <v>46091.0</v>
      </c>
      <c r="C1590" s="55">
        <v>1.0</v>
      </c>
      <c r="D1590" s="97" t="s">
        <v>196</v>
      </c>
      <c r="E1590" s="201"/>
      <c r="F1590" s="202"/>
      <c r="G1590" s="194" t="s">
        <v>587</v>
      </c>
      <c r="H1590" s="198"/>
      <c r="I1590" s="196">
        <v>10000.0</v>
      </c>
      <c r="J1590" s="179">
        <f>IF(A1590="RAPPI",(VLOOKUP(TRIM(D1590), CATALOGO!F:G, 2, FALSE) * C1590)+I1590,IFERROR(IF(COUNTIF('RESTAURANTESDESCUENTOS 2026'!A:A,TRIM(A1590))&gt;0,((VLOOKUP(TRIM(D1590), CATALOGO!A:B, 2, FALSE) * C1590)*(1-VALUE(SUBSTITUTE(VLOOKUP(TRIM(A1590),'RESTAURANTESDESCUENTOS 2026'!A:B,2,FALSE),"%",""))/100)+I1590),(VLOOKUP(TRIM(D1590), CATALOGO!A:B, 2, FALSE) * C1590+I1590)),""))</f>
        <v>151750</v>
      </c>
      <c r="K1590" s="196"/>
      <c r="L1590" s="87"/>
      <c r="M1590" s="197" t="s">
        <v>587</v>
      </c>
      <c r="N1590" s="168"/>
    </row>
    <row r="1591" ht="22.5" hidden="1" customHeight="1">
      <c r="A1591" s="137" t="s">
        <v>38</v>
      </c>
      <c r="B1591" s="90">
        <v>46091.0</v>
      </c>
      <c r="C1591" s="55">
        <v>2.0</v>
      </c>
      <c r="D1591" s="97" t="s">
        <v>177</v>
      </c>
      <c r="E1591" s="201"/>
      <c r="F1591" s="202"/>
      <c r="G1591" s="194" t="s">
        <v>587</v>
      </c>
      <c r="H1591" s="198"/>
      <c r="I1591" s="196"/>
      <c r="J1591" s="179">
        <f>IF(A1591="RAPPI",(VLOOKUP(TRIM(D1591), CATALOGO!F:G, 2, FALSE) * C1591)+I1591,IFERROR(IF(COUNTIF('RESTAURANTESDESCUENTOS 2026'!A:A,TRIM(A1591))&gt;0,((VLOOKUP(TRIM(D1591), CATALOGO!A:B, 2, FALSE) * C1591)*(1-VALUE(SUBSTITUTE(VLOOKUP(TRIM(A1591),'RESTAURANTESDESCUENTOS 2026'!A:B,2,FALSE),"%",""))/100)+I1591),(VLOOKUP(TRIM(D1591), CATALOGO!A:B, 2, FALSE) * C1591+I1591)),""))</f>
        <v>172500</v>
      </c>
      <c r="K1591" s="196">
        <v>15000.0</v>
      </c>
      <c r="L1591" s="87"/>
      <c r="M1591" s="197" t="s">
        <v>587</v>
      </c>
      <c r="N1591" s="168"/>
    </row>
    <row r="1592" ht="22.5" hidden="1" customHeight="1">
      <c r="A1592" s="137" t="s">
        <v>958</v>
      </c>
      <c r="B1592" s="90">
        <v>46091.0</v>
      </c>
      <c r="C1592" s="55">
        <v>1.0</v>
      </c>
      <c r="D1592" s="97" t="s">
        <v>177</v>
      </c>
      <c r="E1592" s="201"/>
      <c r="F1592" s="202"/>
      <c r="G1592" s="194" t="s">
        <v>587</v>
      </c>
      <c r="H1592" s="198"/>
      <c r="I1592" s="196">
        <v>10000.0</v>
      </c>
      <c r="J1592" s="179">
        <f>IF(A1592="RAPPI",(VLOOKUP(TRIM(D1592), CATALOGO!F:G, 2, FALSE) * C1592)+I1592,IFERROR(IF(COUNTIF('RESTAURANTESDESCUENTOS 2026'!A:A,TRIM(A1592))&gt;0,((VLOOKUP(TRIM(D1592), CATALOGO!A:B, 2, FALSE) * C1592)*(1-VALUE(SUBSTITUTE(VLOOKUP(TRIM(A1592),'RESTAURANTESDESCUENTOS 2026'!A:B,2,FALSE),"%",""))/100)+I1592),(VLOOKUP(TRIM(D1592), CATALOGO!A:B, 2, FALSE) * C1592+I1592)),""))</f>
        <v>96250</v>
      </c>
      <c r="K1592" s="196">
        <v>15000.0</v>
      </c>
      <c r="L1592" s="87"/>
      <c r="M1592" s="197" t="s">
        <v>587</v>
      </c>
      <c r="N1592" s="168"/>
    </row>
    <row r="1593" ht="22.5" hidden="1" customHeight="1">
      <c r="A1593" s="137" t="s">
        <v>96</v>
      </c>
      <c r="B1593" s="90">
        <v>46091.0</v>
      </c>
      <c r="C1593" s="55">
        <v>1.0</v>
      </c>
      <c r="D1593" s="97" t="s">
        <v>178</v>
      </c>
      <c r="E1593" s="201"/>
      <c r="F1593" s="202"/>
      <c r="G1593" s="194" t="s">
        <v>587</v>
      </c>
      <c r="H1593" s="198"/>
      <c r="I1593" s="196">
        <v>5000.0</v>
      </c>
      <c r="J1593" s="179">
        <f>IF(A1593="RAPPI",(VLOOKUP(TRIM(D1593), CATALOGO!F:G, 2, FALSE) * C1593)+I1593,IFERROR(IF(COUNTIF('RESTAURANTESDESCUENTOS 2026'!A:A,TRIM(A1593))&gt;0,((VLOOKUP(TRIM(D1593), CATALOGO!A:B, 2, FALSE) * C1593)*(1-VALUE(SUBSTITUTE(VLOOKUP(TRIM(A1593),'RESTAURANTESDESCUENTOS 2026'!A:B,2,FALSE),"%",""))/100)+I1593),(VLOOKUP(TRIM(D1593), CATALOGO!A:B, 2, FALSE) * C1593+I1593)),""))</f>
        <v>110000</v>
      </c>
      <c r="K1593" s="196">
        <v>10000.0</v>
      </c>
      <c r="L1593" s="87"/>
      <c r="M1593" s="197" t="s">
        <v>587</v>
      </c>
      <c r="N1593" s="168"/>
    </row>
    <row r="1594" ht="22.5" hidden="1" customHeight="1">
      <c r="A1594" s="137" t="s">
        <v>1084</v>
      </c>
      <c r="B1594" s="90">
        <v>46091.0</v>
      </c>
      <c r="C1594" s="55">
        <v>1.0</v>
      </c>
      <c r="D1594" s="97" t="s">
        <v>197</v>
      </c>
      <c r="E1594" s="241" t="s">
        <v>1085</v>
      </c>
      <c r="F1594" s="242"/>
      <c r="G1594" s="194" t="s">
        <v>587</v>
      </c>
      <c r="H1594" s="198"/>
      <c r="I1594" s="196">
        <v>10000.0</v>
      </c>
      <c r="J1594" s="199">
        <v>65000.0</v>
      </c>
      <c r="K1594" s="196"/>
      <c r="L1594" s="87"/>
      <c r="M1594" s="197" t="s">
        <v>587</v>
      </c>
      <c r="N1594" s="168"/>
    </row>
    <row r="1595" ht="22.5" hidden="1" customHeight="1">
      <c r="A1595" s="137" t="s">
        <v>153</v>
      </c>
      <c r="B1595" s="90">
        <v>46091.0</v>
      </c>
      <c r="C1595" s="55">
        <v>1.0</v>
      </c>
      <c r="D1595" s="97" t="s">
        <v>187</v>
      </c>
      <c r="E1595" s="201"/>
      <c r="F1595" s="202"/>
      <c r="G1595" s="194" t="s">
        <v>587</v>
      </c>
      <c r="H1595" s="195" t="s">
        <v>588</v>
      </c>
      <c r="I1595" s="196">
        <v>10000.0</v>
      </c>
      <c r="J1595" s="179">
        <f>IF(A1595="RAPPI",(VLOOKUP(TRIM(D1595), CATALOGO!F:G, 2, FALSE) * C1595)+I1595,IFERROR(IF(COUNTIF('RESTAURANTESDESCUENTOS 2026'!A:A,TRIM(A1595))&gt;0,((VLOOKUP(TRIM(D1595), CATALOGO!A:B, 2, FALSE) * C1595)*(1-VALUE(SUBSTITUTE(VLOOKUP(TRIM(A1595),'RESTAURANTESDESCUENTOS 2026'!A:B,2,FALSE),"%",""))/100)+I1595),(VLOOKUP(TRIM(D1595), CATALOGO!A:B, 2, FALSE) * C1595+I1595)),""))</f>
        <v>51250</v>
      </c>
      <c r="K1595" s="196">
        <v>9000.0</v>
      </c>
      <c r="L1595" s="87"/>
      <c r="M1595" s="197" t="s">
        <v>587</v>
      </c>
      <c r="N1595" s="168"/>
    </row>
    <row r="1596" ht="22.5" hidden="1" customHeight="1">
      <c r="A1596" s="137" t="s">
        <v>153</v>
      </c>
      <c r="B1596" s="90">
        <v>46091.0</v>
      </c>
      <c r="C1596" s="55">
        <v>1.0</v>
      </c>
      <c r="D1596" s="97" t="s">
        <v>186</v>
      </c>
      <c r="E1596" s="201"/>
      <c r="F1596" s="202"/>
      <c r="G1596" s="194" t="s">
        <v>587</v>
      </c>
      <c r="H1596" s="195" t="s">
        <v>588</v>
      </c>
      <c r="I1596" s="196"/>
      <c r="J1596" s="179">
        <f>IF(A1596="RAPPI",(VLOOKUP(TRIM(D1596), CATALOGO!F:G, 2, FALSE) * C1596)+I1596,IFERROR(IF(COUNTIF('RESTAURANTESDESCUENTOS 2026'!A:A,TRIM(A1596))&gt;0,((VLOOKUP(TRIM(D1596), CATALOGO!A:B, 2, FALSE) * C1596)*(1-VALUE(SUBSTITUTE(VLOOKUP(TRIM(A1596),'RESTAURANTESDESCUENTOS 2026'!A:B,2,FALSE),"%",""))/100)+I1596),(VLOOKUP(TRIM(D1596), CATALOGO!A:B, 2, FALSE) * C1596+I1596)),""))</f>
        <v>41250</v>
      </c>
      <c r="K1596" s="196"/>
      <c r="L1596" s="87"/>
      <c r="M1596" s="197" t="s">
        <v>587</v>
      </c>
      <c r="N1596" s="168"/>
    </row>
    <row r="1597" ht="22.5" hidden="1" customHeight="1">
      <c r="A1597" s="137" t="s">
        <v>153</v>
      </c>
      <c r="B1597" s="90">
        <v>46091.0</v>
      </c>
      <c r="C1597" s="55">
        <v>1.0</v>
      </c>
      <c r="D1597" s="97" t="s">
        <v>192</v>
      </c>
      <c r="E1597" s="201"/>
      <c r="F1597" s="202"/>
      <c r="G1597" s="194" t="s">
        <v>587</v>
      </c>
      <c r="H1597" s="195" t="s">
        <v>588</v>
      </c>
      <c r="I1597" s="196"/>
      <c r="J1597" s="179">
        <f>IF(A1597="RAPPI",(VLOOKUP(TRIM(D1597), CATALOGO!F:G, 2, FALSE) * C1597)+I1597,IFERROR(IF(COUNTIF('RESTAURANTESDESCUENTOS 2026'!A:A,TRIM(A1597))&gt;0,((VLOOKUP(TRIM(D1597), CATALOGO!A:B, 2, FALSE) * C1597)*(1-VALUE(SUBSTITUTE(VLOOKUP(TRIM(A1597),'RESTAURANTESDESCUENTOS 2026'!A:B,2,FALSE),"%",""))/100)+I1597),(VLOOKUP(TRIM(D1597), CATALOGO!A:B, 2, FALSE) * C1597+I1597)),""))</f>
        <v>41250</v>
      </c>
      <c r="K1597" s="196"/>
      <c r="L1597" s="87"/>
      <c r="M1597" s="197" t="s">
        <v>587</v>
      </c>
      <c r="N1597" s="168"/>
    </row>
    <row r="1598" ht="22.5" hidden="1" customHeight="1">
      <c r="A1598" s="137" t="s">
        <v>1086</v>
      </c>
      <c r="B1598" s="90">
        <v>46091.0</v>
      </c>
      <c r="C1598" s="55">
        <v>1.0</v>
      </c>
      <c r="D1598" s="97" t="s">
        <v>177</v>
      </c>
      <c r="E1598" s="201"/>
      <c r="F1598" s="202"/>
      <c r="G1598" s="194" t="s">
        <v>587</v>
      </c>
      <c r="H1598" s="195" t="s">
        <v>588</v>
      </c>
      <c r="I1598" s="196">
        <v>13000.0</v>
      </c>
      <c r="J1598" s="179">
        <f>IF(A1598="RAPPI",(VLOOKUP(TRIM(D1598), CATALOGO!F:G, 2, FALSE) * C1598)+I1598,IFERROR(IF(COUNTIF('RESTAURANTESDESCUENTOS 2026'!A:A,TRIM(A1598))&gt;0,((VLOOKUP(TRIM(D1598), CATALOGO!A:B, 2, FALSE) * C1598)*(1-VALUE(SUBSTITUTE(VLOOKUP(TRIM(A1598),'RESTAURANTESDESCUENTOS 2026'!A:B,2,FALSE),"%",""))/100)+I1598),(VLOOKUP(TRIM(D1598), CATALOGO!A:B, 2, FALSE) * C1598+I1598)),""))</f>
        <v>128000</v>
      </c>
      <c r="K1598" s="196"/>
      <c r="L1598" s="87"/>
      <c r="M1598" s="197" t="s">
        <v>587</v>
      </c>
      <c r="N1598" s="168"/>
    </row>
    <row r="1599" ht="22.5" hidden="1" customHeight="1">
      <c r="A1599" s="137" t="s">
        <v>106</v>
      </c>
      <c r="B1599" s="90">
        <v>46091.0</v>
      </c>
      <c r="C1599" s="55">
        <v>1.0</v>
      </c>
      <c r="D1599" s="97" t="s">
        <v>178</v>
      </c>
      <c r="E1599" s="201"/>
      <c r="F1599" s="202"/>
      <c r="G1599" s="194" t="s">
        <v>587</v>
      </c>
      <c r="H1599" s="195" t="s">
        <v>632</v>
      </c>
      <c r="I1599" s="196">
        <v>8000.0</v>
      </c>
      <c r="J1599" s="179">
        <f>IF(A1599="RAPPI",(VLOOKUP(TRIM(D1599), CATALOGO!F:G, 2, FALSE) * C1599)+I1599,IFERROR(IF(COUNTIF('RESTAURANTESDESCUENTOS 2026'!A:A,TRIM(A1599))&gt;0,((VLOOKUP(TRIM(D1599), CATALOGO!A:B, 2, FALSE) * C1599)*(1-VALUE(SUBSTITUTE(VLOOKUP(TRIM(A1599),'RESTAURANTESDESCUENTOS 2026'!A:B,2,FALSE),"%",""))/100)+I1599),(VLOOKUP(TRIM(D1599), CATALOGO!A:B, 2, FALSE) * C1599+I1599)),""))</f>
        <v>105125</v>
      </c>
      <c r="K1599" s="196">
        <v>10000.0</v>
      </c>
      <c r="L1599" s="87">
        <v>574.0</v>
      </c>
      <c r="M1599" s="197" t="s">
        <v>587</v>
      </c>
      <c r="N1599" s="168"/>
    </row>
    <row r="1600" ht="22.5" hidden="1" customHeight="1">
      <c r="A1600" s="137" t="s">
        <v>1087</v>
      </c>
      <c r="B1600" s="90">
        <v>46091.0</v>
      </c>
      <c r="C1600" s="55">
        <v>1.0</v>
      </c>
      <c r="D1600" s="97" t="s">
        <v>618</v>
      </c>
      <c r="E1600" s="201" t="s">
        <v>1088</v>
      </c>
      <c r="F1600" s="202"/>
      <c r="G1600" s="194" t="s">
        <v>587</v>
      </c>
      <c r="H1600" s="195" t="s">
        <v>588</v>
      </c>
      <c r="I1600" s="196">
        <v>10000.0</v>
      </c>
      <c r="J1600" s="179">
        <f>IF(A1600="RAPPI",(VLOOKUP(TRIM(D1600), CATALOGO!F:G, 2, FALSE) * C1600)+I1600,IFERROR(IF(COUNTIF('RESTAURANTESDESCUENTOS 2026'!A:A,TRIM(A1600))&gt;0,((VLOOKUP(TRIM(D1600), CATALOGO!A:B, 2, FALSE) * C1600)*(1-VALUE(SUBSTITUTE(VLOOKUP(TRIM(A1600),'RESTAURANTESDESCUENTOS 2026'!A:B,2,FALSE),"%",""))/100)+I1600),(VLOOKUP(TRIM(D1600), CATALOGO!A:B, 2, FALSE) * C1600+I1600)),""))</f>
        <v>63000</v>
      </c>
      <c r="K1600" s="196">
        <v>7100.0</v>
      </c>
      <c r="L1600" s="87"/>
      <c r="M1600" s="197" t="s">
        <v>587</v>
      </c>
      <c r="N1600" s="168"/>
    </row>
    <row r="1601" ht="22.5" hidden="1" customHeight="1">
      <c r="A1601" s="137" t="s">
        <v>1069</v>
      </c>
      <c r="B1601" s="90">
        <v>46091.0</v>
      </c>
      <c r="C1601" s="55">
        <v>1.0</v>
      </c>
      <c r="D1601" s="97" t="s">
        <v>604</v>
      </c>
      <c r="E1601" s="201"/>
      <c r="F1601" s="202"/>
      <c r="G1601" s="194" t="s">
        <v>35</v>
      </c>
      <c r="H1601" s="198"/>
      <c r="I1601" s="196"/>
      <c r="J1601" s="179">
        <f>IF(A1601="RAPPI",(VLOOKUP(TRIM(D1601), CATALOGO!F:G, 2, FALSE) * C1601)+I1601,IFERROR(IF(COUNTIF('RESTAURANTESDESCUENTOS 2026'!A:A,TRIM(A1601))&gt;0,((VLOOKUP(TRIM(D1601), CATALOGO!A:B, 2, FALSE) * C1601)*(1-VALUE(SUBSTITUTE(VLOOKUP(TRIM(A1601),'RESTAURANTESDESCUENTOS 2026'!A:B,2,FALSE),"%",""))/100)+I1601),(VLOOKUP(TRIM(D1601), CATALOGO!A:B, 2, FALSE) * C1601+I1601)),""))</f>
        <v>22000</v>
      </c>
      <c r="K1601" s="196"/>
      <c r="L1601" s="87"/>
      <c r="M1601" s="197" t="s">
        <v>587</v>
      </c>
      <c r="N1601" s="168"/>
    </row>
    <row r="1602" ht="22.5" hidden="1" customHeight="1">
      <c r="A1602" s="137" t="s">
        <v>1089</v>
      </c>
      <c r="B1602" s="90">
        <v>46091.0</v>
      </c>
      <c r="C1602" s="55">
        <v>1.0</v>
      </c>
      <c r="D1602" s="97" t="s">
        <v>182</v>
      </c>
      <c r="E1602" s="201" t="s">
        <v>1090</v>
      </c>
      <c r="F1602" s="202"/>
      <c r="G1602" s="194" t="s">
        <v>587</v>
      </c>
      <c r="H1602" s="195" t="s">
        <v>588</v>
      </c>
      <c r="I1602" s="196">
        <v>10000.0</v>
      </c>
      <c r="J1602" s="179">
        <f>IF(A1602="RAPPI",(VLOOKUP(TRIM(D1602), CATALOGO!F:G, 2, FALSE) * C1602)+I1602,IFERROR(IF(COUNTIF('RESTAURANTESDESCUENTOS 2026'!A:A,TRIM(A1602))&gt;0,((VLOOKUP(TRIM(D1602), CATALOGO!A:B, 2, FALSE) * C1602)*(1-VALUE(SUBSTITUTE(VLOOKUP(TRIM(A1602),'RESTAURANTESDESCUENTOS 2026'!A:B,2,FALSE),"%",""))/100)+I1602),(VLOOKUP(TRIM(D1602), CATALOGO!A:B, 2, FALSE) * C1602+I1602)),""))</f>
        <v>47000</v>
      </c>
      <c r="K1602" s="196">
        <v>8000.0</v>
      </c>
      <c r="L1602" s="87"/>
      <c r="M1602" s="197" t="s">
        <v>587</v>
      </c>
      <c r="N1602" s="168"/>
    </row>
    <row r="1603" ht="22.5" hidden="1" customHeight="1">
      <c r="A1603" s="137" t="s">
        <v>706</v>
      </c>
      <c r="B1603" s="90">
        <v>46091.0</v>
      </c>
      <c r="C1603" s="55">
        <v>1.0</v>
      </c>
      <c r="D1603" s="97" t="s">
        <v>629</v>
      </c>
      <c r="E1603" s="201" t="s">
        <v>1091</v>
      </c>
      <c r="F1603" s="202"/>
      <c r="G1603" s="194" t="s">
        <v>587</v>
      </c>
      <c r="H1603" s="195" t="s">
        <v>588</v>
      </c>
      <c r="I1603" s="196">
        <v>10000.0</v>
      </c>
      <c r="J1603" s="179">
        <f>IF(A1603="RAPPI",(VLOOKUP(TRIM(D1603), CATALOGO!F:G, 2, FALSE) * C1603)+I1603,IFERROR(IF(COUNTIF('RESTAURANTESDESCUENTOS 2026'!A:A,TRIM(A1603))&gt;0,((VLOOKUP(TRIM(D1603), CATALOGO!A:B, 2, FALSE) * C1603)*(1-VALUE(SUBSTITUTE(VLOOKUP(TRIM(A1603),'RESTAURANTESDESCUENTOS 2026'!A:B,2,FALSE),"%",""))/100)+I1603),(VLOOKUP(TRIM(D1603), CATALOGO!A:B, 2, FALSE) * C1603+I1603)),""))</f>
        <v>173000</v>
      </c>
      <c r="K1603" s="196">
        <v>9300.0</v>
      </c>
      <c r="L1603" s="87"/>
      <c r="M1603" s="197" t="s">
        <v>587</v>
      </c>
      <c r="N1603" s="168"/>
    </row>
    <row r="1604" ht="22.5" hidden="1" customHeight="1">
      <c r="A1604" s="137" t="s">
        <v>1092</v>
      </c>
      <c r="B1604" s="90">
        <v>46091.0</v>
      </c>
      <c r="C1604" s="55">
        <v>1.0</v>
      </c>
      <c r="D1604" s="97" t="s">
        <v>678</v>
      </c>
      <c r="E1604" s="201" t="s">
        <v>1093</v>
      </c>
      <c r="F1604" s="202"/>
      <c r="G1604" s="194" t="s">
        <v>35</v>
      </c>
      <c r="H1604" s="198"/>
      <c r="I1604" s="196"/>
      <c r="J1604" s="179">
        <f>IF(A1604="RAPPI",(VLOOKUP(TRIM(D1604), CATALOGO!F:G, 2, FALSE) * C1604)+I1604,IFERROR(IF(COUNTIF('RESTAURANTESDESCUENTOS 2026'!A:A,TRIM(A1604))&gt;0,((VLOOKUP(TRIM(D1604), CATALOGO!A:B, 2, FALSE) * C1604)*(1-VALUE(SUBSTITUTE(VLOOKUP(TRIM(A1604),'RESTAURANTESDESCUENTOS 2026'!A:B,2,FALSE),"%",""))/100)+I1604),(VLOOKUP(TRIM(D1604), CATALOGO!A:B, 2, FALSE) * C1604+I1604)),""))</f>
        <v>123000</v>
      </c>
      <c r="K1604" s="196"/>
      <c r="L1604" s="87"/>
      <c r="M1604" s="197" t="s">
        <v>587</v>
      </c>
      <c r="N1604" s="168"/>
    </row>
    <row r="1605" ht="22.5" hidden="1" customHeight="1">
      <c r="A1605" s="137" t="s">
        <v>1094</v>
      </c>
      <c r="B1605" s="90">
        <v>46091.0</v>
      </c>
      <c r="C1605" s="55">
        <v>1.0</v>
      </c>
      <c r="D1605" s="97" t="s">
        <v>177</v>
      </c>
      <c r="E1605" s="243" t="s">
        <v>1095</v>
      </c>
      <c r="F1605" s="244"/>
      <c r="G1605" s="194" t="s">
        <v>587</v>
      </c>
      <c r="H1605" s="195" t="s">
        <v>588</v>
      </c>
      <c r="I1605" s="196">
        <v>14000.0</v>
      </c>
      <c r="J1605" s="179">
        <f>IF(A1605="RAPPI",(VLOOKUP(TRIM(D1605), CATALOGO!F:G, 2, FALSE) * C1605)+I1605,IFERROR(IF(COUNTIF('RESTAURANTESDESCUENTOS 2026'!A:A,TRIM(A1605))&gt;0,((VLOOKUP(TRIM(D1605), CATALOGO!A:B, 2, FALSE) * C1605)*(1-VALUE(SUBSTITUTE(VLOOKUP(TRIM(A1605),'RESTAURANTESDESCUENTOS 2026'!A:B,2,FALSE),"%",""))/100)+I1605),(VLOOKUP(TRIM(D1605), CATALOGO!A:B, 2, FALSE) * C1605+I1605)),""))</f>
        <v>129000</v>
      </c>
      <c r="K1605" s="196">
        <v>12000.0</v>
      </c>
      <c r="L1605" s="87"/>
      <c r="M1605" s="197" t="s">
        <v>587</v>
      </c>
      <c r="N1605" s="168"/>
    </row>
    <row r="1606" ht="22.5" hidden="1" customHeight="1">
      <c r="A1606" s="137" t="s">
        <v>1096</v>
      </c>
      <c r="B1606" s="90">
        <v>46092.0</v>
      </c>
      <c r="C1606" s="55">
        <v>1.0</v>
      </c>
      <c r="D1606" s="97" t="s">
        <v>653</v>
      </c>
      <c r="E1606" s="243" t="s">
        <v>1097</v>
      </c>
      <c r="F1606" s="244"/>
      <c r="G1606" s="194" t="s">
        <v>587</v>
      </c>
      <c r="H1606" s="195" t="s">
        <v>588</v>
      </c>
      <c r="I1606" s="196">
        <v>13000.0</v>
      </c>
      <c r="J1606" s="179">
        <f>IF(A1606="RAPPI",(VLOOKUP(TRIM(D1606), CATALOGO!F:G, 2, FALSE) * C1606)+I1606,IFERROR(IF(COUNTIF('RESTAURANTESDESCUENTOS 2026'!A:A,TRIM(A1606))&gt;0,((VLOOKUP(TRIM(D1606), CATALOGO!A:B, 2, FALSE) * C1606)*(1-VALUE(SUBSTITUTE(VLOOKUP(TRIM(A1606),'RESTAURANTESDESCUENTOS 2026'!A:B,2,FALSE),"%",""))/100)+I1606),(VLOOKUP(TRIM(D1606), CATALOGO!A:B, 2, FALSE) * C1606+I1606)),""))</f>
        <v>136000</v>
      </c>
      <c r="K1606" s="196">
        <v>10700.0</v>
      </c>
      <c r="L1606" s="87">
        <v>591.0</v>
      </c>
      <c r="M1606" s="197" t="s">
        <v>587</v>
      </c>
      <c r="N1606" s="168"/>
    </row>
    <row r="1607" ht="22.5" hidden="1" customHeight="1">
      <c r="A1607" s="137" t="s">
        <v>1096</v>
      </c>
      <c r="B1607" s="90">
        <v>46092.0</v>
      </c>
      <c r="C1607" s="55">
        <v>1.0</v>
      </c>
      <c r="D1607" s="97" t="s">
        <v>984</v>
      </c>
      <c r="E1607" s="201"/>
      <c r="F1607" s="202"/>
      <c r="G1607" s="194" t="s">
        <v>587</v>
      </c>
      <c r="H1607" s="195" t="s">
        <v>588</v>
      </c>
      <c r="I1607" s="196"/>
      <c r="J1607" s="179">
        <f>IF(A1607="RAPPI",(VLOOKUP(TRIM(D1607), CATALOGO!F:G, 2, FALSE) * C1607)+I1607,IFERROR(IF(COUNTIF('RESTAURANTESDESCUENTOS 2026'!A:A,TRIM(A1607))&gt;0,((VLOOKUP(TRIM(D1607), CATALOGO!A:B, 2, FALSE) * C1607)*(1-VALUE(SUBSTITUTE(VLOOKUP(TRIM(A1607),'RESTAURANTESDESCUENTOS 2026'!A:B,2,FALSE),"%",""))/100)+I1607),(VLOOKUP(TRIM(D1607), CATALOGO!A:B, 2, FALSE) * C1607+I1607)),""))</f>
        <v>30000</v>
      </c>
      <c r="K1607" s="196">
        <v>10700.0</v>
      </c>
      <c r="L1607" s="87">
        <v>591.0</v>
      </c>
      <c r="M1607" s="197" t="s">
        <v>587</v>
      </c>
      <c r="N1607" s="168"/>
    </row>
    <row r="1608" ht="22.5" hidden="1" customHeight="1">
      <c r="A1608" s="137" t="s">
        <v>1098</v>
      </c>
      <c r="B1608" s="90">
        <v>46092.0</v>
      </c>
      <c r="C1608" s="55">
        <v>1.0</v>
      </c>
      <c r="D1608" s="97" t="s">
        <v>177</v>
      </c>
      <c r="E1608" s="201" t="s">
        <v>1099</v>
      </c>
      <c r="F1608" s="236" t="s">
        <v>864</v>
      </c>
      <c r="G1608" s="194" t="s">
        <v>587</v>
      </c>
      <c r="H1608" s="195" t="s">
        <v>588</v>
      </c>
      <c r="I1608" s="196">
        <v>14000.0</v>
      </c>
      <c r="J1608" s="179">
        <f>IF(A1608="RAPPI",(VLOOKUP(TRIM(D1608), CATALOGO!F:G, 2, FALSE) * C1608)+I1608,IFERROR(IF(COUNTIF('RESTAURANTESDESCUENTOS 2026'!A:A,TRIM(A1608))&gt;0,((VLOOKUP(TRIM(D1608), CATALOGO!A:B, 2, FALSE) * C1608)*(1-VALUE(SUBSTITUTE(VLOOKUP(TRIM(A1608),'RESTAURANTESDESCUENTOS 2026'!A:B,2,FALSE),"%",""))/100)+I1608),(VLOOKUP(TRIM(D1608), CATALOGO!A:B, 2, FALSE) * C1608+I1608)),""))</f>
        <v>129000</v>
      </c>
      <c r="K1608" s="196">
        <v>11000.0</v>
      </c>
      <c r="L1608" s="87"/>
      <c r="M1608" s="197" t="s">
        <v>587</v>
      </c>
      <c r="N1608" s="168"/>
    </row>
    <row r="1609" ht="22.5" hidden="1" customHeight="1">
      <c r="A1609" s="137" t="s">
        <v>1100</v>
      </c>
      <c r="B1609" s="90">
        <v>46092.0</v>
      </c>
      <c r="C1609" s="55">
        <v>1.0</v>
      </c>
      <c r="D1609" s="97" t="s">
        <v>186</v>
      </c>
      <c r="E1609" s="201" t="s">
        <v>1101</v>
      </c>
      <c r="F1609" s="236" t="s">
        <v>1035</v>
      </c>
      <c r="G1609" s="194" t="s">
        <v>587</v>
      </c>
      <c r="H1609" s="195" t="s">
        <v>588</v>
      </c>
      <c r="I1609" s="196">
        <v>12000.0</v>
      </c>
      <c r="J1609" s="179">
        <f>IF(A1609="RAPPI",(VLOOKUP(TRIM(D1609), CATALOGO!F:G, 2, FALSE) * C1609)+I1609,IFERROR(IF(COUNTIF('RESTAURANTESDESCUENTOS 2026'!A:A,TRIM(A1609))&gt;0,((VLOOKUP(TRIM(D1609), CATALOGO!A:B, 2, FALSE) * C1609)*(1-VALUE(SUBSTITUTE(VLOOKUP(TRIM(A1609),'RESTAURANTESDESCUENTOS 2026'!A:B,2,FALSE),"%",""))/100)+I1609),(VLOOKUP(TRIM(D1609), CATALOGO!A:B, 2, FALSE) * C1609+I1609)),""))</f>
        <v>67000</v>
      </c>
      <c r="K1609" s="196">
        <v>13300.0</v>
      </c>
      <c r="L1609" s="87"/>
      <c r="M1609" s="197" t="s">
        <v>587</v>
      </c>
      <c r="N1609" s="168"/>
    </row>
    <row r="1610" ht="22.5" hidden="1" customHeight="1">
      <c r="A1610" s="137" t="s">
        <v>1002</v>
      </c>
      <c r="B1610" s="90">
        <v>46092.0</v>
      </c>
      <c r="C1610" s="55">
        <v>1.0</v>
      </c>
      <c r="D1610" s="97" t="s">
        <v>178</v>
      </c>
      <c r="E1610" s="201"/>
      <c r="F1610" s="202"/>
      <c r="G1610" s="194" t="s">
        <v>587</v>
      </c>
      <c r="H1610" s="195" t="s">
        <v>588</v>
      </c>
      <c r="I1610" s="196">
        <v>15000.0</v>
      </c>
      <c r="J1610" s="179">
        <f>IF(A1610="RAPPI",(VLOOKUP(TRIM(D1610), CATALOGO!F:G, 2, FALSE) * C1610)+I1610,IFERROR(IF(COUNTIF('RESTAURANTESDESCUENTOS 2026'!A:A,TRIM(A1610))&gt;0,((VLOOKUP(TRIM(D1610), CATALOGO!A:B, 2, FALSE) * C1610)*(1-VALUE(SUBSTITUTE(VLOOKUP(TRIM(A1610),'RESTAURANTESDESCUENTOS 2026'!A:B,2,FALSE),"%",""))/100)+I1610),(VLOOKUP(TRIM(D1610), CATALOGO!A:B, 2, FALSE) * C1610+I1610)),""))</f>
        <v>127500</v>
      </c>
      <c r="K1610" s="196">
        <v>20500.0</v>
      </c>
      <c r="L1610" s="87">
        <v>592.0</v>
      </c>
      <c r="M1610" s="197" t="s">
        <v>587</v>
      </c>
      <c r="N1610" s="168"/>
    </row>
    <row r="1611" ht="22.5" hidden="1" customHeight="1">
      <c r="A1611" s="137" t="s">
        <v>603</v>
      </c>
      <c r="B1611" s="90">
        <v>46092.0</v>
      </c>
      <c r="C1611" s="55">
        <v>1.0</v>
      </c>
      <c r="D1611" s="97" t="s">
        <v>640</v>
      </c>
      <c r="E1611" s="201"/>
      <c r="F1611" s="236" t="s">
        <v>603</v>
      </c>
      <c r="G1611" s="194" t="s">
        <v>587</v>
      </c>
      <c r="H1611" s="195" t="s">
        <v>603</v>
      </c>
      <c r="I1611" s="196"/>
      <c r="J1611" s="179">
        <f>IF(A1611="RAPPI",(VLOOKUP(TRIM(D1611), CATALOGO!F:G, 2, FALSE) * C1611)+I1611,IFERROR(IF(COUNTIF('RESTAURANTESDESCUENTOS 2026'!A:A,TRIM(A1611))&gt;0,((VLOOKUP(TRIM(D1611), CATALOGO!A:B, 2, FALSE) * C1611)*(1-VALUE(SUBSTITUTE(VLOOKUP(TRIM(A1611),'RESTAURANTESDESCUENTOS 2026'!A:B,2,FALSE),"%",""))/100)+I1611),(VLOOKUP(TRIM(D1611), CATALOGO!A:B, 2, FALSE) * C1611+I1611)),""))</f>
        <v>53000</v>
      </c>
      <c r="K1611" s="196"/>
      <c r="L1611" s="87">
        <v>598.0</v>
      </c>
      <c r="M1611" s="197" t="s">
        <v>587</v>
      </c>
      <c r="N1611" s="168"/>
    </row>
    <row r="1612" ht="22.5" hidden="1" customHeight="1">
      <c r="A1612" s="137" t="s">
        <v>603</v>
      </c>
      <c r="B1612" s="90">
        <v>46092.0</v>
      </c>
      <c r="C1612" s="55">
        <v>1.0</v>
      </c>
      <c r="D1612" s="97" t="s">
        <v>657</v>
      </c>
      <c r="E1612" s="201"/>
      <c r="F1612" s="236" t="s">
        <v>603</v>
      </c>
      <c r="G1612" s="194" t="s">
        <v>587</v>
      </c>
      <c r="H1612" s="195" t="s">
        <v>603</v>
      </c>
      <c r="I1612" s="196"/>
      <c r="J1612" s="179">
        <f>IF(A1612="RAPPI",(VLOOKUP(TRIM(D1612), CATALOGO!F:G, 2, FALSE) * C1612)+I1612,IFERROR(IF(COUNTIF('RESTAURANTESDESCUENTOS 2026'!A:A,TRIM(A1612))&gt;0,((VLOOKUP(TRIM(D1612), CATALOGO!A:B, 2, FALSE) * C1612)*(1-VALUE(SUBSTITUTE(VLOOKUP(TRIM(A1612),'RESTAURANTESDESCUENTOS 2026'!A:B,2,FALSE),"%",""))/100)+I1612),(VLOOKUP(TRIM(D1612), CATALOGO!A:B, 2, FALSE) * C1612+I1612)),""))</f>
        <v>8000</v>
      </c>
      <c r="K1612" s="196"/>
      <c r="L1612" s="87">
        <v>598.0</v>
      </c>
      <c r="M1612" s="197" t="s">
        <v>587</v>
      </c>
      <c r="N1612" s="168"/>
    </row>
    <row r="1613" ht="22.5" hidden="1" customHeight="1">
      <c r="A1613" s="137" t="s">
        <v>603</v>
      </c>
      <c r="B1613" s="90">
        <v>46092.0</v>
      </c>
      <c r="C1613" s="55">
        <v>1.0</v>
      </c>
      <c r="D1613" s="97" t="s">
        <v>177</v>
      </c>
      <c r="E1613" s="201"/>
      <c r="F1613" s="236" t="s">
        <v>603</v>
      </c>
      <c r="G1613" s="194" t="s">
        <v>587</v>
      </c>
      <c r="H1613" s="195" t="s">
        <v>603</v>
      </c>
      <c r="I1613" s="196"/>
      <c r="J1613" s="179">
        <f>IF(A1613="RAPPI",(VLOOKUP(TRIM(D1613), CATALOGO!F:G, 2, FALSE) * C1613)+I1613,IFERROR(IF(COUNTIF('RESTAURANTESDESCUENTOS 2026'!A:A,TRIM(A1613))&gt;0,((VLOOKUP(TRIM(D1613), CATALOGO!A:B, 2, FALSE) * C1613)*(1-VALUE(SUBSTITUTE(VLOOKUP(TRIM(A1613),'RESTAURANTESDESCUENTOS 2026'!A:B,2,FALSE),"%",""))/100)+I1613),(VLOOKUP(TRIM(D1613), CATALOGO!A:B, 2, FALSE) * C1613+I1613)),""))</f>
        <v>115000</v>
      </c>
      <c r="K1613" s="196"/>
      <c r="L1613" s="87">
        <v>598.0</v>
      </c>
      <c r="M1613" s="197" t="s">
        <v>587</v>
      </c>
      <c r="N1613" s="168"/>
    </row>
    <row r="1614" ht="22.5" hidden="1" customHeight="1">
      <c r="A1614" s="137" t="s">
        <v>603</v>
      </c>
      <c r="B1614" s="90">
        <v>46092.0</v>
      </c>
      <c r="C1614" s="55">
        <v>1.0</v>
      </c>
      <c r="D1614" s="97" t="s">
        <v>177</v>
      </c>
      <c r="E1614" s="201"/>
      <c r="F1614" s="236" t="s">
        <v>603</v>
      </c>
      <c r="G1614" s="194" t="s">
        <v>587</v>
      </c>
      <c r="H1614" s="195" t="s">
        <v>603</v>
      </c>
      <c r="I1614" s="196"/>
      <c r="J1614" s="179">
        <f>IF(A1614="RAPPI",(VLOOKUP(TRIM(D1614), CATALOGO!F:G, 2, FALSE) * C1614)+I1614,IFERROR(IF(COUNTIF('RESTAURANTESDESCUENTOS 2026'!A:A,TRIM(A1614))&gt;0,((VLOOKUP(TRIM(D1614), CATALOGO!A:B, 2, FALSE) * C1614)*(1-VALUE(SUBSTITUTE(VLOOKUP(TRIM(A1614),'RESTAURANTESDESCUENTOS 2026'!A:B,2,FALSE),"%",""))/100)+I1614),(VLOOKUP(TRIM(D1614), CATALOGO!A:B, 2, FALSE) * C1614+I1614)),""))</f>
        <v>115000</v>
      </c>
      <c r="K1614" s="196"/>
      <c r="L1614" s="87">
        <v>598.0</v>
      </c>
      <c r="M1614" s="197" t="s">
        <v>587</v>
      </c>
      <c r="N1614" s="168"/>
    </row>
    <row r="1615" ht="22.5" hidden="1" customHeight="1">
      <c r="A1615" s="137" t="s">
        <v>603</v>
      </c>
      <c r="B1615" s="90">
        <v>46092.0</v>
      </c>
      <c r="C1615" s="55">
        <v>1.0</v>
      </c>
      <c r="D1615" s="97" t="s">
        <v>182</v>
      </c>
      <c r="E1615" s="201"/>
      <c r="F1615" s="236" t="s">
        <v>603</v>
      </c>
      <c r="G1615" s="194" t="s">
        <v>587</v>
      </c>
      <c r="H1615" s="195" t="s">
        <v>603</v>
      </c>
      <c r="I1615" s="196"/>
      <c r="J1615" s="179">
        <f>IF(A1615="RAPPI",(VLOOKUP(TRIM(D1615), CATALOGO!F:G, 2, FALSE) * C1615)+I1615,IFERROR(IF(COUNTIF('RESTAURANTESDESCUENTOS 2026'!A:A,TRIM(A1615))&gt;0,((VLOOKUP(TRIM(D1615), CATALOGO!A:B, 2, FALSE) * C1615)*(1-VALUE(SUBSTITUTE(VLOOKUP(TRIM(A1615),'RESTAURANTESDESCUENTOS 2026'!A:B,2,FALSE),"%",""))/100)+I1615),(VLOOKUP(TRIM(D1615), CATALOGO!A:B, 2, FALSE) * C1615+I1615)),""))</f>
        <v>37000</v>
      </c>
      <c r="K1615" s="196"/>
      <c r="L1615" s="87">
        <v>598.0</v>
      </c>
      <c r="M1615" s="197" t="s">
        <v>587</v>
      </c>
      <c r="N1615" s="168"/>
    </row>
    <row r="1616" ht="22.5" hidden="1" customHeight="1">
      <c r="A1616" s="137" t="s">
        <v>603</v>
      </c>
      <c r="B1616" s="90">
        <v>46092.0</v>
      </c>
      <c r="C1616" s="55">
        <v>1.0</v>
      </c>
      <c r="D1616" s="97" t="s">
        <v>617</v>
      </c>
      <c r="E1616" s="201"/>
      <c r="F1616" s="236" t="s">
        <v>603</v>
      </c>
      <c r="G1616" s="194" t="s">
        <v>587</v>
      </c>
      <c r="H1616" s="195" t="s">
        <v>603</v>
      </c>
      <c r="I1616" s="196"/>
      <c r="J1616" s="179">
        <f>IF(A1616="RAPPI",(VLOOKUP(TRIM(D1616), CATALOGO!F:G, 2, FALSE) * C1616)+I1616,IFERROR(IF(COUNTIF('RESTAURANTESDESCUENTOS 2026'!A:A,TRIM(A1616))&gt;0,((VLOOKUP(TRIM(D1616), CATALOGO!A:B, 2, FALSE) * C1616)*(1-VALUE(SUBSTITUTE(VLOOKUP(TRIM(A1616),'RESTAURANTESDESCUENTOS 2026'!A:B,2,FALSE),"%",""))/100)+I1616),(VLOOKUP(TRIM(D1616), CATALOGO!A:B, 2, FALSE) * C1616+I1616)),""))</f>
        <v>123000</v>
      </c>
      <c r="K1616" s="196"/>
      <c r="L1616" s="87">
        <v>598.0</v>
      </c>
      <c r="M1616" s="197" t="s">
        <v>587</v>
      </c>
      <c r="N1616" s="168"/>
    </row>
    <row r="1617" ht="22.5" hidden="1" customHeight="1">
      <c r="A1617" s="137" t="s">
        <v>55</v>
      </c>
      <c r="B1617" s="90">
        <v>46092.0</v>
      </c>
      <c r="C1617" s="55">
        <v>2.0</v>
      </c>
      <c r="D1617" s="97" t="s">
        <v>178</v>
      </c>
      <c r="E1617" s="201"/>
      <c r="F1617" s="202"/>
      <c r="G1617" s="194" t="s">
        <v>587</v>
      </c>
      <c r="H1617" s="195" t="s">
        <v>588</v>
      </c>
      <c r="I1617" s="196">
        <v>10000.0</v>
      </c>
      <c r="J1617" s="179">
        <f>IF(A1617="RAPPI",(VLOOKUP(TRIM(D1617), CATALOGO!F:G, 2, FALSE) * C1617)+I1617,IFERROR(IF(COUNTIF('RESTAURANTESDESCUENTOS 2026'!A:A,TRIM(A1617))&gt;0,((VLOOKUP(TRIM(D1617), CATALOGO!A:B, 2, FALSE) * C1617)*(1-VALUE(SUBSTITUTE(VLOOKUP(TRIM(A1617),'RESTAURANTESDESCUENTOS 2026'!A:B,2,FALSE),"%",""))/100)+I1617),(VLOOKUP(TRIM(D1617), CATALOGO!A:B, 2, FALSE) * C1617+I1617)),""))</f>
        <v>235000</v>
      </c>
      <c r="K1617" s="196">
        <v>12500.0</v>
      </c>
      <c r="L1617" s="87">
        <v>590.0</v>
      </c>
      <c r="M1617" s="197" t="s">
        <v>587</v>
      </c>
      <c r="N1617" s="168"/>
    </row>
    <row r="1618" ht="22.5" hidden="1" customHeight="1">
      <c r="A1618" s="137" t="s">
        <v>1102</v>
      </c>
      <c r="B1618" s="90">
        <v>46092.0</v>
      </c>
      <c r="C1618" s="55">
        <v>1.0</v>
      </c>
      <c r="D1618" s="97" t="s">
        <v>186</v>
      </c>
      <c r="E1618" s="201" t="s">
        <v>1103</v>
      </c>
      <c r="F1618" s="236" t="s">
        <v>1035</v>
      </c>
      <c r="G1618" s="194" t="s">
        <v>587</v>
      </c>
      <c r="H1618" s="195" t="s">
        <v>588</v>
      </c>
      <c r="I1618" s="196">
        <v>10000.0</v>
      </c>
      <c r="J1618" s="179">
        <f>IF(A1618="RAPPI",(VLOOKUP(TRIM(D1618), CATALOGO!F:G, 2, FALSE) * C1618)+I1618,IFERROR(IF(COUNTIF('RESTAURANTESDESCUENTOS 2026'!A:A,TRIM(A1618))&gt;0,((VLOOKUP(TRIM(D1618), CATALOGO!A:B, 2, FALSE) * C1618)*(1-VALUE(SUBSTITUTE(VLOOKUP(TRIM(A1618),'RESTAURANTESDESCUENTOS 2026'!A:B,2,FALSE),"%",""))/100)+I1618),(VLOOKUP(TRIM(D1618), CATALOGO!A:B, 2, FALSE) * C1618+I1618)),""))</f>
        <v>65000</v>
      </c>
      <c r="K1618" s="196">
        <v>9000.0</v>
      </c>
      <c r="L1618" s="87"/>
      <c r="M1618" s="197" t="s">
        <v>587</v>
      </c>
      <c r="N1618" s="168"/>
    </row>
    <row r="1619" ht="22.5" hidden="1" customHeight="1">
      <c r="A1619" s="137" t="s">
        <v>1069</v>
      </c>
      <c r="B1619" s="90">
        <v>46092.0</v>
      </c>
      <c r="C1619" s="55">
        <v>1.0</v>
      </c>
      <c r="D1619" s="97" t="s">
        <v>604</v>
      </c>
      <c r="E1619" s="201"/>
      <c r="F1619" s="236" t="s">
        <v>1035</v>
      </c>
      <c r="G1619" s="194" t="s">
        <v>35</v>
      </c>
      <c r="H1619" s="198"/>
      <c r="I1619" s="196"/>
      <c r="J1619" s="179">
        <f>IF(A1619="RAPPI",(VLOOKUP(TRIM(D1619), CATALOGO!F:G, 2, FALSE) * C1619)+I1619,IFERROR(IF(COUNTIF('RESTAURANTESDESCUENTOS 2026'!A:A,TRIM(A1619))&gt;0,((VLOOKUP(TRIM(D1619), CATALOGO!A:B, 2, FALSE) * C1619)*(1-VALUE(SUBSTITUTE(VLOOKUP(TRIM(A1619),'RESTAURANTESDESCUENTOS 2026'!A:B,2,FALSE),"%",""))/100)+I1619),(VLOOKUP(TRIM(D1619), CATALOGO!A:B, 2, FALSE) * C1619+I1619)),""))</f>
        <v>22000</v>
      </c>
      <c r="K1619" s="196"/>
      <c r="L1619" s="87"/>
      <c r="M1619" s="197" t="s">
        <v>587</v>
      </c>
      <c r="N1619" s="168"/>
    </row>
    <row r="1620" ht="22.5" hidden="1" customHeight="1">
      <c r="A1620" s="137" t="s">
        <v>1069</v>
      </c>
      <c r="B1620" s="90">
        <v>46092.0</v>
      </c>
      <c r="C1620" s="55">
        <v>1.0</v>
      </c>
      <c r="D1620" s="97" t="s">
        <v>192</v>
      </c>
      <c r="E1620" s="201"/>
      <c r="F1620" s="236" t="s">
        <v>1036</v>
      </c>
      <c r="G1620" s="194" t="s">
        <v>35</v>
      </c>
      <c r="H1620" s="198"/>
      <c r="I1620" s="196"/>
      <c r="J1620" s="179">
        <f>IF(A1620="RAPPI",(VLOOKUP(TRIM(D1620), CATALOGO!F:G, 2, FALSE) * C1620)+I1620,IFERROR(IF(COUNTIF('RESTAURANTESDESCUENTOS 2026'!A:A,TRIM(A1620))&gt;0,((VLOOKUP(TRIM(D1620), CATALOGO!A:B, 2, FALSE) * C1620)*(1-VALUE(SUBSTITUTE(VLOOKUP(TRIM(A1620),'RESTAURANTESDESCUENTOS 2026'!A:B,2,FALSE),"%",""))/100)+I1620),(VLOOKUP(TRIM(D1620), CATALOGO!A:B, 2, FALSE) * C1620+I1620)),""))</f>
        <v>55000</v>
      </c>
      <c r="K1620" s="196"/>
      <c r="L1620" s="87"/>
      <c r="M1620" s="197" t="s">
        <v>587</v>
      </c>
      <c r="N1620" s="168"/>
    </row>
    <row r="1621" ht="22.5" hidden="1" customHeight="1">
      <c r="A1621" s="137" t="s">
        <v>65</v>
      </c>
      <c r="B1621" s="90">
        <v>46093.0</v>
      </c>
      <c r="C1621" s="55">
        <v>1.0</v>
      </c>
      <c r="D1621" s="97" t="s">
        <v>178</v>
      </c>
      <c r="E1621" s="201"/>
      <c r="F1621" s="202"/>
      <c r="G1621" s="194" t="s">
        <v>587</v>
      </c>
      <c r="H1621" s="195" t="s">
        <v>632</v>
      </c>
      <c r="I1621" s="196"/>
      <c r="J1621" s="179">
        <f>IF(A1621="RAPPI",(VLOOKUP(TRIM(D1621), CATALOGO!F:G, 2, FALSE) * C1621)+I1621,IFERROR(IF(COUNTIF('RESTAURANTESDESCUENTOS 2026'!A:A,TRIM(A1621))&gt;0,((VLOOKUP(TRIM(D1621), CATALOGO!A:B, 2, FALSE) * C1621)*(1-VALUE(SUBSTITUTE(VLOOKUP(TRIM(A1621),'RESTAURANTESDESCUENTOS 2026'!A:B,2,FALSE),"%",""))/100)+I1621),(VLOOKUP(TRIM(D1621), CATALOGO!A:B, 2, FALSE) * C1621+I1621)),""))</f>
        <v>112500</v>
      </c>
      <c r="K1621" s="196"/>
      <c r="L1621" s="87">
        <v>607.0</v>
      </c>
      <c r="M1621" s="197" t="s">
        <v>587</v>
      </c>
      <c r="N1621" s="168"/>
    </row>
    <row r="1622" ht="22.5" hidden="1" customHeight="1">
      <c r="A1622" s="137" t="s">
        <v>65</v>
      </c>
      <c r="B1622" s="90">
        <v>46093.0</v>
      </c>
      <c r="C1622" s="55">
        <v>200.0</v>
      </c>
      <c r="D1622" s="97" t="s">
        <v>620</v>
      </c>
      <c r="E1622" s="201"/>
      <c r="F1622" s="202"/>
      <c r="G1622" s="194" t="s">
        <v>587</v>
      </c>
      <c r="H1622" s="195" t="s">
        <v>632</v>
      </c>
      <c r="I1622" s="196"/>
      <c r="J1622" s="199">
        <v>22000.0</v>
      </c>
      <c r="K1622" s="196"/>
      <c r="L1622" s="87">
        <v>607.0</v>
      </c>
      <c r="M1622" s="197" t="s">
        <v>587</v>
      </c>
      <c r="N1622" s="168"/>
    </row>
    <row r="1623" ht="22.5" hidden="1" customHeight="1">
      <c r="A1623" s="137" t="s">
        <v>59</v>
      </c>
      <c r="B1623" s="90">
        <v>46093.0</v>
      </c>
      <c r="C1623" s="55">
        <v>1.0</v>
      </c>
      <c r="D1623" s="97" t="s">
        <v>178</v>
      </c>
      <c r="E1623" s="201"/>
      <c r="F1623" s="202"/>
      <c r="G1623" s="194" t="s">
        <v>587</v>
      </c>
      <c r="H1623" s="195" t="s">
        <v>632</v>
      </c>
      <c r="I1623" s="196"/>
      <c r="J1623" s="179">
        <f>IF(A1623="RAPPI",(VLOOKUP(TRIM(D1623), CATALOGO!F:G, 2, FALSE) * C1623)+I1623,IFERROR(IF(COUNTIF('RESTAURANTESDESCUENTOS 2026'!A:A,TRIM(A1623))&gt;0,((VLOOKUP(TRIM(D1623), CATALOGO!A:B, 2, FALSE) * C1623)*(1-VALUE(SUBSTITUTE(VLOOKUP(TRIM(A1623),'RESTAURANTESDESCUENTOS 2026'!A:B,2,FALSE),"%",""))/100)+I1623),(VLOOKUP(TRIM(D1623), CATALOGO!A:B, 2, FALSE) * C1623+I1623)),""))</f>
        <v>112500</v>
      </c>
      <c r="K1623" s="196"/>
      <c r="L1623" s="87">
        <v>605.0</v>
      </c>
      <c r="M1623" s="197" t="s">
        <v>587</v>
      </c>
      <c r="N1623" s="168"/>
    </row>
    <row r="1624" ht="22.5" hidden="1" customHeight="1">
      <c r="A1624" s="137" t="s">
        <v>59</v>
      </c>
      <c r="B1624" s="90">
        <v>46093.0</v>
      </c>
      <c r="C1624" s="55">
        <v>200.0</v>
      </c>
      <c r="D1624" s="97" t="s">
        <v>620</v>
      </c>
      <c r="E1624" s="201"/>
      <c r="F1624" s="202"/>
      <c r="G1624" s="194" t="s">
        <v>587</v>
      </c>
      <c r="H1624" s="195" t="s">
        <v>632</v>
      </c>
      <c r="I1624" s="196"/>
      <c r="J1624" s="199">
        <v>22000.0</v>
      </c>
      <c r="K1624" s="196"/>
      <c r="L1624" s="87">
        <v>605.0</v>
      </c>
      <c r="M1624" s="197" t="s">
        <v>587</v>
      </c>
      <c r="N1624" s="168"/>
    </row>
    <row r="1625" ht="22.5" hidden="1" customHeight="1">
      <c r="A1625" s="137" t="s">
        <v>40</v>
      </c>
      <c r="B1625" s="90">
        <v>46093.0</v>
      </c>
      <c r="C1625" s="55">
        <v>1.0</v>
      </c>
      <c r="D1625" s="97" t="s">
        <v>177</v>
      </c>
      <c r="E1625" s="201"/>
      <c r="F1625" s="202"/>
      <c r="G1625" s="194" t="s">
        <v>587</v>
      </c>
      <c r="H1625" s="195" t="s">
        <v>632</v>
      </c>
      <c r="I1625" s="196"/>
      <c r="J1625" s="179">
        <f>IF(A1625="RAPPI",(VLOOKUP(TRIM(D1625), CATALOGO!F:G, 2, FALSE) * C1625)+I1625,IFERROR(IF(COUNTIF('RESTAURANTESDESCUENTOS 2026'!A:A,TRIM(A1625))&gt;0,((VLOOKUP(TRIM(D1625), CATALOGO!A:B, 2, FALSE) * C1625)*(1-VALUE(SUBSTITUTE(VLOOKUP(TRIM(A1625),'RESTAURANTESDESCUENTOS 2026'!A:B,2,FALSE),"%",""))/100)+I1625),(VLOOKUP(TRIM(D1625), CATALOGO!A:B, 2, FALSE) * C1625+I1625)),""))</f>
        <v>86250</v>
      </c>
      <c r="K1625" s="196"/>
      <c r="L1625" s="87">
        <v>604.0</v>
      </c>
      <c r="M1625" s="197" t="s">
        <v>587</v>
      </c>
      <c r="N1625" s="168"/>
    </row>
    <row r="1626" ht="22.5" hidden="1" customHeight="1">
      <c r="A1626" s="137" t="s">
        <v>30</v>
      </c>
      <c r="B1626" s="90">
        <v>46093.0</v>
      </c>
      <c r="C1626" s="55">
        <v>2.0</v>
      </c>
      <c r="D1626" s="97" t="s">
        <v>178</v>
      </c>
      <c r="E1626" s="201"/>
      <c r="F1626" s="202"/>
      <c r="G1626" s="194" t="s">
        <v>587</v>
      </c>
      <c r="H1626" s="198"/>
      <c r="I1626" s="196">
        <v>25000.0</v>
      </c>
      <c r="J1626" s="179">
        <f>IF(A1626="RAPPI",(VLOOKUP(TRIM(D1626), CATALOGO!F:G, 2, FALSE) * C1626)+I1626,IFERROR(IF(COUNTIF('RESTAURANTESDESCUENTOS 2026'!A:A,TRIM(A1626))&gt;0,((VLOOKUP(TRIM(D1626), CATALOGO!A:B, 2, FALSE) * C1626)*(1-VALUE(SUBSTITUTE(VLOOKUP(TRIM(A1626),'RESTAURANTESDESCUENTOS 2026'!A:B,2,FALSE),"%",""))/100)+I1626),(VLOOKUP(TRIM(D1626), CATALOGO!A:B, 2, FALSE) * C1626+I1626)),""))</f>
        <v>250000</v>
      </c>
      <c r="K1626" s="196"/>
      <c r="L1626" s="87">
        <v>603.0</v>
      </c>
      <c r="M1626" s="197" t="s">
        <v>587</v>
      </c>
      <c r="N1626" s="168"/>
    </row>
    <row r="1627" ht="22.5" hidden="1" customHeight="1">
      <c r="A1627" s="137" t="s">
        <v>1104</v>
      </c>
      <c r="B1627" s="90">
        <v>46093.0</v>
      </c>
      <c r="C1627" s="55">
        <v>1.0</v>
      </c>
      <c r="D1627" s="97" t="s">
        <v>177</v>
      </c>
      <c r="E1627" s="201"/>
      <c r="F1627" s="202"/>
      <c r="G1627" s="194" t="s">
        <v>587</v>
      </c>
      <c r="H1627" s="195" t="s">
        <v>632</v>
      </c>
      <c r="I1627" s="196"/>
      <c r="J1627" s="179">
        <f>IF(A1627="RAPPI",(VLOOKUP(TRIM(D1627), CATALOGO!F:G, 2, FALSE) * C1627)+I1627,IFERROR(IF(COUNTIF('RESTAURANTESDESCUENTOS 2026'!A:A,TRIM(A1627))&gt;0,((VLOOKUP(TRIM(D1627), CATALOGO!A:B, 2, FALSE) * C1627)*(1-VALUE(SUBSTITUTE(VLOOKUP(TRIM(A1627),'RESTAURANTESDESCUENTOS 2026'!A:B,2,FALSE),"%",""))/100)+I1627),(VLOOKUP(TRIM(D1627), CATALOGO!A:B, 2, FALSE) * C1627+I1627)),""))</f>
        <v>86250</v>
      </c>
      <c r="K1627" s="196"/>
      <c r="L1627" s="87">
        <v>602.0</v>
      </c>
      <c r="M1627" s="197" t="s">
        <v>587</v>
      </c>
      <c r="N1627" s="168"/>
    </row>
    <row r="1628" ht="22.5" hidden="1" customHeight="1">
      <c r="A1628" s="137" t="s">
        <v>10</v>
      </c>
      <c r="B1628" s="90">
        <v>46093.0</v>
      </c>
      <c r="C1628" s="55">
        <v>2.0</v>
      </c>
      <c r="D1628" s="97" t="s">
        <v>178</v>
      </c>
      <c r="E1628" s="201"/>
      <c r="F1628" s="202"/>
      <c r="G1628" s="194" t="s">
        <v>587</v>
      </c>
      <c r="H1628" s="195" t="s">
        <v>632</v>
      </c>
      <c r="I1628" s="196"/>
      <c r="J1628" s="179">
        <f>IF(A1628="RAPPI",(VLOOKUP(TRIM(D1628), CATALOGO!F:G, 2, FALSE) * C1628)+I1628,IFERROR(IF(COUNTIF('RESTAURANTESDESCUENTOS 2026'!A:A,TRIM(A1628))&gt;0,((VLOOKUP(TRIM(D1628), CATALOGO!A:B, 2, FALSE) * C1628)*(1-VALUE(SUBSTITUTE(VLOOKUP(TRIM(A1628),'RESTAURANTESDESCUENTOS 2026'!A:B,2,FALSE),"%",""))/100)+I1628),(VLOOKUP(TRIM(D1628), CATALOGO!A:B, 2, FALSE) * C1628+I1628)),""))</f>
        <v>225000</v>
      </c>
      <c r="K1628" s="196"/>
      <c r="L1628" s="87">
        <v>601.0</v>
      </c>
      <c r="M1628" s="197" t="s">
        <v>587</v>
      </c>
      <c r="N1628" s="168"/>
    </row>
    <row r="1629" ht="22.5" hidden="1" customHeight="1">
      <c r="A1629" s="137" t="s">
        <v>73</v>
      </c>
      <c r="B1629" s="90">
        <v>46093.0</v>
      </c>
      <c r="C1629" s="55">
        <v>1.0</v>
      </c>
      <c r="D1629" s="97" t="s">
        <v>178</v>
      </c>
      <c r="E1629" s="201" t="s">
        <v>1105</v>
      </c>
      <c r="F1629" s="202"/>
      <c r="G1629" s="194" t="s">
        <v>587</v>
      </c>
      <c r="H1629" s="195" t="s">
        <v>588</v>
      </c>
      <c r="I1629" s="196"/>
      <c r="J1629" s="179">
        <f>IF(A1629="RAPPI",(VLOOKUP(TRIM(D1629), CATALOGO!F:G, 2, FALSE) * C1629)+I1629,IFERROR(IF(COUNTIF('RESTAURANTESDESCUENTOS 2026'!A:A,TRIM(A1629))&gt;0,((VLOOKUP(TRIM(D1629), CATALOGO!A:B, 2, FALSE) * C1629)*(1-VALUE(SUBSTITUTE(VLOOKUP(TRIM(A1629),'RESTAURANTESDESCUENTOS 2026'!A:B,2,FALSE),"%",""))/100)+I1629),(VLOOKUP(TRIM(D1629), CATALOGO!A:B, 2, FALSE) * C1629+I1629)),""))</f>
        <v>112500</v>
      </c>
      <c r="K1629" s="196">
        <v>7800.0</v>
      </c>
      <c r="L1629" s="87">
        <v>600.0</v>
      </c>
      <c r="M1629" s="197" t="s">
        <v>587</v>
      </c>
      <c r="N1629" s="168"/>
    </row>
    <row r="1630" ht="22.5" hidden="1" customHeight="1">
      <c r="A1630" s="137" t="s">
        <v>167</v>
      </c>
      <c r="B1630" s="90">
        <v>46093.0</v>
      </c>
      <c r="C1630" s="55">
        <v>1.0</v>
      </c>
      <c r="D1630" s="97" t="s">
        <v>178</v>
      </c>
      <c r="E1630" s="201"/>
      <c r="F1630" s="202"/>
      <c r="G1630" s="194" t="s">
        <v>35</v>
      </c>
      <c r="H1630" s="198"/>
      <c r="I1630" s="196"/>
      <c r="J1630" s="179">
        <f>IF(A1630="RAPPI",(VLOOKUP(TRIM(D1630), CATALOGO!F:G, 2, FALSE) * C1630)+I1630,IFERROR(IF(COUNTIF('RESTAURANTESDESCUENTOS 2026'!A:A,TRIM(A1630))&gt;0,((VLOOKUP(TRIM(D1630), CATALOGO!A:B, 2, FALSE) * C1630)*(1-VALUE(SUBSTITUTE(VLOOKUP(TRIM(A1630),'RESTAURANTESDESCUENTOS 2026'!A:B,2,FALSE),"%",""))/100)+I1630),(VLOOKUP(TRIM(D1630), CATALOGO!A:B, 2, FALSE) * C1630+I1630)),""))</f>
        <v>0</v>
      </c>
      <c r="K1630" s="196"/>
      <c r="L1630" s="87"/>
      <c r="M1630" s="197" t="s">
        <v>587</v>
      </c>
      <c r="N1630" s="168"/>
    </row>
    <row r="1631" ht="22.5" hidden="1" customHeight="1">
      <c r="A1631" s="137" t="s">
        <v>1106</v>
      </c>
      <c r="B1631" s="90">
        <v>46093.0</v>
      </c>
      <c r="C1631" s="55">
        <v>1.0</v>
      </c>
      <c r="D1631" s="97" t="s">
        <v>178</v>
      </c>
      <c r="E1631" s="201" t="s">
        <v>1107</v>
      </c>
      <c r="F1631" s="236" t="s">
        <v>1035</v>
      </c>
      <c r="G1631" s="194" t="s">
        <v>35</v>
      </c>
      <c r="H1631" s="198"/>
      <c r="I1631" s="196"/>
      <c r="J1631" s="179">
        <f>IF(A1631="RAPPI",(VLOOKUP(TRIM(D1631), CATALOGO!F:G, 2, FALSE) * C1631)+I1631,IFERROR(IF(COUNTIF('RESTAURANTESDESCUENTOS 2026'!A:A,TRIM(A1631))&gt;0,((VLOOKUP(TRIM(D1631), CATALOGO!A:B, 2, FALSE) * C1631)*(1-VALUE(SUBSTITUTE(VLOOKUP(TRIM(A1631),'RESTAURANTESDESCUENTOS 2026'!A:B,2,FALSE),"%",""))/100)+I1631),(VLOOKUP(TRIM(D1631), CATALOGO!A:B, 2, FALSE) * C1631+I1631)),""))</f>
        <v>150000</v>
      </c>
      <c r="K1631" s="196"/>
      <c r="L1631" s="87">
        <v>609.0</v>
      </c>
      <c r="M1631" s="197" t="s">
        <v>587</v>
      </c>
      <c r="N1631" s="168"/>
    </row>
    <row r="1632" ht="22.5" hidden="1" customHeight="1">
      <c r="A1632" s="137" t="s">
        <v>1069</v>
      </c>
      <c r="B1632" s="90">
        <v>46093.0</v>
      </c>
      <c r="C1632" s="55">
        <v>1.0</v>
      </c>
      <c r="D1632" s="97" t="s">
        <v>176</v>
      </c>
      <c r="E1632" s="201"/>
      <c r="F1632" s="236" t="s">
        <v>1036</v>
      </c>
      <c r="G1632" s="194" t="s">
        <v>35</v>
      </c>
      <c r="H1632" s="198"/>
      <c r="I1632" s="196"/>
      <c r="J1632" s="179">
        <f>IF(A1632="RAPPI",(VLOOKUP(TRIM(D1632), CATALOGO!F:G, 2, FALSE) * C1632)+I1632,IFERROR(IF(COUNTIF('RESTAURANTESDESCUENTOS 2026'!A:A,TRIM(A1632))&gt;0,((VLOOKUP(TRIM(D1632), CATALOGO!A:B, 2, FALSE) * C1632)*(1-VALUE(SUBSTITUTE(VLOOKUP(TRIM(A1632),'RESTAURANTESDESCUENTOS 2026'!A:B,2,FALSE),"%",""))/100)+I1632),(VLOOKUP(TRIM(D1632), CATALOGO!A:B, 2, FALSE) * C1632+I1632)),""))</f>
        <v>50000</v>
      </c>
      <c r="K1632" s="196"/>
      <c r="L1632" s="87"/>
      <c r="M1632" s="197" t="s">
        <v>587</v>
      </c>
      <c r="N1632" s="168"/>
    </row>
    <row r="1633" ht="22.5" hidden="1" customHeight="1">
      <c r="A1633" s="137" t="s">
        <v>1069</v>
      </c>
      <c r="B1633" s="90">
        <v>46093.0</v>
      </c>
      <c r="C1633" s="55">
        <v>1.0</v>
      </c>
      <c r="D1633" s="97" t="s">
        <v>182</v>
      </c>
      <c r="E1633" s="201" t="s">
        <v>606</v>
      </c>
      <c r="F1633" s="236" t="s">
        <v>1036</v>
      </c>
      <c r="G1633" s="194" t="s">
        <v>35</v>
      </c>
      <c r="H1633" s="198"/>
      <c r="I1633" s="196"/>
      <c r="J1633" s="179">
        <f>IF(A1633="RAPPI",(VLOOKUP(TRIM(D1633), CATALOGO!F:G, 2, FALSE) * C1633)+I1633,IFERROR(IF(COUNTIF('RESTAURANTESDESCUENTOS 2026'!A:A,TRIM(A1633))&gt;0,((VLOOKUP(TRIM(D1633), CATALOGO!A:B, 2, FALSE) * C1633)*(1-VALUE(SUBSTITUTE(VLOOKUP(TRIM(A1633),'RESTAURANTESDESCUENTOS 2026'!A:B,2,FALSE),"%",""))/100)+I1633),(VLOOKUP(TRIM(D1633), CATALOGO!A:B, 2, FALSE) * C1633+I1633)),""))</f>
        <v>37000</v>
      </c>
      <c r="K1633" s="196"/>
      <c r="L1633" s="87"/>
      <c r="M1633" s="197" t="s">
        <v>587</v>
      </c>
      <c r="N1633" s="168"/>
    </row>
    <row r="1634" ht="22.5" hidden="1" customHeight="1">
      <c r="A1634" s="137" t="s">
        <v>1108</v>
      </c>
      <c r="B1634" s="90">
        <v>46093.0</v>
      </c>
      <c r="C1634" s="55">
        <v>1.0</v>
      </c>
      <c r="D1634" s="97" t="s">
        <v>177</v>
      </c>
      <c r="E1634" s="201" t="s">
        <v>1109</v>
      </c>
      <c r="F1634" s="236" t="s">
        <v>1035</v>
      </c>
      <c r="G1634" s="194" t="s">
        <v>587</v>
      </c>
      <c r="H1634" s="195" t="s">
        <v>588</v>
      </c>
      <c r="I1634" s="196">
        <v>10000.0</v>
      </c>
      <c r="J1634" s="179">
        <f>IF(A1634="RAPPI",(VLOOKUP(TRIM(D1634), CATALOGO!F:G, 2, FALSE) * C1634)+I1634,IFERROR(IF(COUNTIF('RESTAURANTESDESCUENTOS 2026'!A:A,TRIM(A1634))&gt;0,((VLOOKUP(TRIM(D1634), CATALOGO!A:B, 2, FALSE) * C1634)*(1-VALUE(SUBSTITUTE(VLOOKUP(TRIM(A1634),'RESTAURANTESDESCUENTOS 2026'!A:B,2,FALSE),"%",""))/100)+I1634),(VLOOKUP(TRIM(D1634), CATALOGO!A:B, 2, FALSE) * C1634+I1634)),""))</f>
        <v>125000</v>
      </c>
      <c r="K1634" s="196">
        <v>8900.0</v>
      </c>
      <c r="L1634" s="87"/>
      <c r="M1634" s="197" t="s">
        <v>587</v>
      </c>
      <c r="N1634" s="168"/>
    </row>
    <row r="1635" ht="22.5" hidden="1" customHeight="1">
      <c r="A1635" s="137" t="s">
        <v>1069</v>
      </c>
      <c r="B1635" s="90">
        <v>46093.0</v>
      </c>
      <c r="C1635" s="55">
        <v>1.0</v>
      </c>
      <c r="D1635" s="97" t="s">
        <v>182</v>
      </c>
      <c r="E1635" s="201"/>
      <c r="F1635" s="236" t="s">
        <v>1036</v>
      </c>
      <c r="G1635" s="194" t="s">
        <v>35</v>
      </c>
      <c r="H1635" s="198"/>
      <c r="I1635" s="196"/>
      <c r="J1635" s="179">
        <f>IF(A1635="RAPPI",(VLOOKUP(TRIM(D1635), CATALOGO!F:G, 2, FALSE) * C1635)+I1635,IFERROR(IF(COUNTIF('RESTAURANTESDESCUENTOS 2026'!A:A,TRIM(A1635))&gt;0,((VLOOKUP(TRIM(D1635), CATALOGO!A:B, 2, FALSE) * C1635)*(1-VALUE(SUBSTITUTE(VLOOKUP(TRIM(A1635),'RESTAURANTESDESCUENTOS 2026'!A:B,2,FALSE),"%",""))/100)+I1635),(VLOOKUP(TRIM(D1635), CATALOGO!A:B, 2, FALSE) * C1635+I1635)),""))</f>
        <v>37000</v>
      </c>
      <c r="K1635" s="196"/>
      <c r="L1635" s="87"/>
      <c r="M1635" s="197" t="s">
        <v>587</v>
      </c>
      <c r="N1635" s="168"/>
    </row>
    <row r="1636" ht="22.5" hidden="1" customHeight="1">
      <c r="A1636" s="137" t="s">
        <v>1069</v>
      </c>
      <c r="B1636" s="90">
        <v>46093.0</v>
      </c>
      <c r="C1636" s="55">
        <v>1.0</v>
      </c>
      <c r="D1636" s="97" t="s">
        <v>176</v>
      </c>
      <c r="E1636" s="201"/>
      <c r="F1636" s="236" t="s">
        <v>1035</v>
      </c>
      <c r="G1636" s="194" t="s">
        <v>35</v>
      </c>
      <c r="H1636" s="198"/>
      <c r="I1636" s="196"/>
      <c r="J1636" s="179">
        <f>IF(A1636="RAPPI",(VLOOKUP(TRIM(D1636), CATALOGO!F:G, 2, FALSE) * C1636)+I1636,IFERROR(IF(COUNTIF('RESTAURANTESDESCUENTOS 2026'!A:A,TRIM(A1636))&gt;0,((VLOOKUP(TRIM(D1636), CATALOGO!A:B, 2, FALSE) * C1636)*(1-VALUE(SUBSTITUTE(VLOOKUP(TRIM(A1636),'RESTAURANTESDESCUENTOS 2026'!A:B,2,FALSE),"%",""))/100)+I1636),(VLOOKUP(TRIM(D1636), CATALOGO!A:B, 2, FALSE) * C1636+I1636)),""))</f>
        <v>50000</v>
      </c>
      <c r="K1636" s="196"/>
      <c r="L1636" s="87"/>
      <c r="M1636" s="197" t="s">
        <v>587</v>
      </c>
      <c r="N1636" s="168"/>
      <c r="Y1636" s="99" t="s">
        <v>1110</v>
      </c>
    </row>
    <row r="1637" ht="22.5" hidden="1" customHeight="1">
      <c r="A1637" s="137" t="s">
        <v>17</v>
      </c>
      <c r="B1637" s="90">
        <v>46093.0</v>
      </c>
      <c r="C1637" s="55">
        <v>1.0</v>
      </c>
      <c r="D1637" s="97" t="s">
        <v>178</v>
      </c>
      <c r="E1637" s="201"/>
      <c r="F1637" s="202"/>
      <c r="G1637" s="194" t="s">
        <v>587</v>
      </c>
      <c r="H1637" s="195" t="s">
        <v>588</v>
      </c>
      <c r="I1637" s="196">
        <v>10000.0</v>
      </c>
      <c r="J1637" s="179">
        <f>IF(A1637="RAPPI",(VLOOKUP(TRIM(D1637), CATALOGO!F:G, 2, FALSE) * C1637)+I1637,IFERROR(IF(COUNTIF('RESTAURANTESDESCUENTOS 2026'!A:A,TRIM(A1637))&gt;0,((VLOOKUP(TRIM(D1637), CATALOGO!A:B, 2, FALSE) * C1637)*(1-VALUE(SUBSTITUTE(VLOOKUP(TRIM(A1637),'RESTAURANTESDESCUENTOS 2026'!A:B,2,FALSE),"%",""))/100)+I1637),(VLOOKUP(TRIM(D1637), CATALOGO!A:B, 2, FALSE) * C1637+I1637)),""))</f>
        <v>122500</v>
      </c>
      <c r="K1637" s="196">
        <v>7700.0</v>
      </c>
      <c r="L1637" s="87"/>
      <c r="M1637" s="197" t="s">
        <v>587</v>
      </c>
      <c r="N1637" s="168"/>
    </row>
    <row r="1638" ht="22.5" hidden="1" customHeight="1">
      <c r="A1638" s="137" t="s">
        <v>1069</v>
      </c>
      <c r="B1638" s="90">
        <v>46093.0</v>
      </c>
      <c r="C1638" s="55">
        <v>1.0</v>
      </c>
      <c r="D1638" s="97" t="s">
        <v>174</v>
      </c>
      <c r="E1638" s="201"/>
      <c r="F1638" s="236" t="s">
        <v>1036</v>
      </c>
      <c r="G1638" s="194" t="s">
        <v>35</v>
      </c>
      <c r="H1638" s="198"/>
      <c r="I1638" s="196"/>
      <c r="J1638" s="179">
        <f>IF(A1638="RAPPI",(VLOOKUP(TRIM(D1638), CATALOGO!F:G, 2, FALSE) * C1638)+I1638,IFERROR(IF(COUNTIF('RESTAURANTESDESCUENTOS 2026'!A:A,TRIM(A1638))&gt;0,((VLOOKUP(TRIM(D1638), CATALOGO!A:B, 2, FALSE) * C1638)*(1-VALUE(SUBSTITUTE(VLOOKUP(TRIM(A1638),'RESTAURANTESDESCUENTOS 2026'!A:B,2,FALSE),"%",""))/100)+I1638),(VLOOKUP(TRIM(D1638), CATALOGO!A:B, 2, FALSE) * C1638+I1638)),""))</f>
        <v>18000</v>
      </c>
      <c r="K1638" s="196"/>
      <c r="L1638" s="87"/>
      <c r="M1638" s="197" t="s">
        <v>587</v>
      </c>
      <c r="N1638" s="168"/>
    </row>
    <row r="1639" ht="22.5" hidden="1" customHeight="1">
      <c r="A1639" s="137" t="s">
        <v>1069</v>
      </c>
      <c r="B1639" s="90">
        <v>46093.0</v>
      </c>
      <c r="C1639" s="55">
        <v>1.0</v>
      </c>
      <c r="D1639" s="97" t="s">
        <v>678</v>
      </c>
      <c r="E1639" s="201"/>
      <c r="F1639" s="236" t="s">
        <v>1035</v>
      </c>
      <c r="G1639" s="194" t="s">
        <v>35</v>
      </c>
      <c r="H1639" s="198"/>
      <c r="I1639" s="196"/>
      <c r="J1639" s="179">
        <f>IF(A1639="RAPPI",(VLOOKUP(TRIM(D1639), CATALOGO!F:G, 2, FALSE) * C1639)+I1639,IFERROR(IF(COUNTIF('RESTAURANTESDESCUENTOS 2026'!A:A,TRIM(A1639))&gt;0,((VLOOKUP(TRIM(D1639), CATALOGO!A:B, 2, FALSE) * C1639)*(1-VALUE(SUBSTITUTE(VLOOKUP(TRIM(A1639),'RESTAURANTESDESCUENTOS 2026'!A:B,2,FALSE),"%",""))/100)+I1639),(VLOOKUP(TRIM(D1639), CATALOGO!A:B, 2, FALSE) * C1639+I1639)),""))</f>
        <v>123000</v>
      </c>
      <c r="K1639" s="196"/>
      <c r="L1639" s="87"/>
      <c r="M1639" s="197" t="s">
        <v>587</v>
      </c>
      <c r="N1639" s="168"/>
    </row>
    <row r="1640" ht="22.5" hidden="1" customHeight="1">
      <c r="A1640" s="137" t="s">
        <v>603</v>
      </c>
      <c r="B1640" s="90">
        <v>46093.0</v>
      </c>
      <c r="C1640" s="55">
        <v>1.0</v>
      </c>
      <c r="D1640" s="97" t="s">
        <v>177</v>
      </c>
      <c r="E1640" s="201"/>
      <c r="F1640" s="236" t="s">
        <v>603</v>
      </c>
      <c r="G1640" s="194" t="s">
        <v>587</v>
      </c>
      <c r="H1640" s="195" t="s">
        <v>603</v>
      </c>
      <c r="I1640" s="196"/>
      <c r="J1640" s="179">
        <f>IF(A1640="RAPPI",(VLOOKUP(TRIM(D1640), CATALOGO!F:G, 2, FALSE) * C1640)+I1640,IFERROR(IF(COUNTIF('RESTAURANTESDESCUENTOS 2026'!A:A,TRIM(A1640))&gt;0,((VLOOKUP(TRIM(D1640), CATALOGO!A:B, 2, FALSE) * C1640)*(1-VALUE(SUBSTITUTE(VLOOKUP(TRIM(A1640),'RESTAURANTESDESCUENTOS 2026'!A:B,2,FALSE),"%",""))/100)+I1640),(VLOOKUP(TRIM(D1640), CATALOGO!A:B, 2, FALSE) * C1640+I1640)),""))</f>
        <v>115000</v>
      </c>
      <c r="K1640" s="196"/>
      <c r="L1640" s="87">
        <v>617.0</v>
      </c>
      <c r="M1640" s="197" t="s">
        <v>587</v>
      </c>
      <c r="N1640" s="168"/>
    </row>
    <row r="1641" ht="22.5" hidden="1" customHeight="1">
      <c r="A1641" s="137" t="s">
        <v>603</v>
      </c>
      <c r="B1641" s="90">
        <v>46093.0</v>
      </c>
      <c r="C1641" s="55">
        <v>1.0</v>
      </c>
      <c r="D1641" s="97" t="s">
        <v>176</v>
      </c>
      <c r="E1641" s="201"/>
      <c r="F1641" s="236" t="s">
        <v>603</v>
      </c>
      <c r="G1641" s="194" t="s">
        <v>587</v>
      </c>
      <c r="H1641" s="195" t="s">
        <v>603</v>
      </c>
      <c r="I1641" s="196"/>
      <c r="J1641" s="179">
        <f>IF(A1641="RAPPI",(VLOOKUP(TRIM(D1641), CATALOGO!F:G, 2, FALSE) * C1641)+I1641,IFERROR(IF(COUNTIF('RESTAURANTESDESCUENTOS 2026'!A:A,TRIM(A1641))&gt;0,((VLOOKUP(TRIM(D1641), CATALOGO!A:B, 2, FALSE) * C1641)*(1-VALUE(SUBSTITUTE(VLOOKUP(TRIM(A1641),'RESTAURANTESDESCUENTOS 2026'!A:B,2,FALSE),"%",""))/100)+I1641),(VLOOKUP(TRIM(D1641), CATALOGO!A:B, 2, FALSE) * C1641+I1641)),""))</f>
        <v>50000</v>
      </c>
      <c r="K1641" s="196"/>
      <c r="L1641" s="87">
        <v>617.0</v>
      </c>
      <c r="M1641" s="197" t="s">
        <v>587</v>
      </c>
      <c r="N1641" s="168"/>
    </row>
    <row r="1642" ht="22.5" hidden="1" customHeight="1">
      <c r="A1642" s="137" t="s">
        <v>603</v>
      </c>
      <c r="B1642" s="90">
        <v>46093.0</v>
      </c>
      <c r="C1642" s="55">
        <v>1.0</v>
      </c>
      <c r="D1642" s="97" t="s">
        <v>182</v>
      </c>
      <c r="E1642" s="201"/>
      <c r="F1642" s="236" t="s">
        <v>603</v>
      </c>
      <c r="G1642" s="194" t="s">
        <v>587</v>
      </c>
      <c r="H1642" s="195" t="s">
        <v>603</v>
      </c>
      <c r="I1642" s="196"/>
      <c r="J1642" s="179">
        <f>IF(A1642="RAPPI",(VLOOKUP(TRIM(D1642), CATALOGO!F:G, 2, FALSE) * C1642)+I1642,IFERROR(IF(COUNTIF('RESTAURANTESDESCUENTOS 2026'!A:A,TRIM(A1642))&gt;0,((VLOOKUP(TRIM(D1642), CATALOGO!A:B, 2, FALSE) * C1642)*(1-VALUE(SUBSTITUTE(VLOOKUP(TRIM(A1642),'RESTAURANTESDESCUENTOS 2026'!A:B,2,FALSE),"%",""))/100)+I1642),(VLOOKUP(TRIM(D1642), CATALOGO!A:B, 2, FALSE) * C1642+I1642)),""))</f>
        <v>37000</v>
      </c>
      <c r="K1642" s="196"/>
      <c r="L1642" s="87">
        <v>617.0</v>
      </c>
      <c r="M1642" s="197" t="s">
        <v>587</v>
      </c>
      <c r="N1642" s="168"/>
    </row>
    <row r="1643" ht="22.5" hidden="1" customHeight="1">
      <c r="A1643" s="137" t="s">
        <v>603</v>
      </c>
      <c r="B1643" s="90">
        <v>46093.0</v>
      </c>
      <c r="C1643" s="55">
        <v>2.0</v>
      </c>
      <c r="D1643" s="97" t="s">
        <v>176</v>
      </c>
      <c r="E1643" s="201"/>
      <c r="F1643" s="236" t="s">
        <v>603</v>
      </c>
      <c r="G1643" s="194" t="s">
        <v>587</v>
      </c>
      <c r="H1643" s="195" t="s">
        <v>603</v>
      </c>
      <c r="I1643" s="196"/>
      <c r="J1643" s="179">
        <f>IF(A1643="RAPPI",(VLOOKUP(TRIM(D1643), CATALOGO!F:G, 2, FALSE) * C1643)+I1643,IFERROR(IF(COUNTIF('RESTAURANTESDESCUENTOS 2026'!A:A,TRIM(A1643))&gt;0,((VLOOKUP(TRIM(D1643), CATALOGO!A:B, 2, FALSE) * C1643)*(1-VALUE(SUBSTITUTE(VLOOKUP(TRIM(A1643),'RESTAURANTESDESCUENTOS 2026'!A:B,2,FALSE),"%",""))/100)+I1643),(VLOOKUP(TRIM(D1643), CATALOGO!A:B, 2, FALSE) * C1643+I1643)),""))</f>
        <v>100000</v>
      </c>
      <c r="K1643" s="196"/>
      <c r="L1643" s="87">
        <v>617.0</v>
      </c>
      <c r="M1643" s="197" t="s">
        <v>587</v>
      </c>
      <c r="N1643" s="168"/>
    </row>
    <row r="1644" ht="22.5" hidden="1" customHeight="1">
      <c r="A1644" s="137" t="s">
        <v>603</v>
      </c>
      <c r="B1644" s="90">
        <v>46093.0</v>
      </c>
      <c r="C1644" s="55">
        <v>1.0</v>
      </c>
      <c r="D1644" s="97" t="s">
        <v>757</v>
      </c>
      <c r="E1644" s="201"/>
      <c r="F1644" s="236" t="s">
        <v>603</v>
      </c>
      <c r="G1644" s="194" t="s">
        <v>587</v>
      </c>
      <c r="H1644" s="195" t="s">
        <v>603</v>
      </c>
      <c r="I1644" s="196"/>
      <c r="J1644" s="179">
        <f>IF(A1644="RAPPI",(VLOOKUP(TRIM(D1644), CATALOGO!F:G, 2, FALSE) * C1644)+I1644,IFERROR(IF(COUNTIF('RESTAURANTESDESCUENTOS 2026'!A:A,TRIM(A1644))&gt;0,((VLOOKUP(TRIM(D1644), CATALOGO!A:B, 2, FALSE) * C1644)*(1-VALUE(SUBSTITUTE(VLOOKUP(TRIM(A1644),'RESTAURANTESDESCUENTOS 2026'!A:B,2,FALSE),"%",""))/100)+I1644),(VLOOKUP(TRIM(D1644), CATALOGO!A:B, 2, FALSE) * C1644+I1644)),""))</f>
        <v>22000</v>
      </c>
      <c r="K1644" s="196"/>
      <c r="L1644" s="87">
        <v>617.0</v>
      </c>
      <c r="M1644" s="197" t="s">
        <v>587</v>
      </c>
      <c r="N1644" s="168"/>
    </row>
    <row r="1645" ht="22.5" hidden="1" customHeight="1">
      <c r="A1645" s="137" t="s">
        <v>603</v>
      </c>
      <c r="B1645" s="90">
        <v>46093.0</v>
      </c>
      <c r="C1645" s="55">
        <v>1.0</v>
      </c>
      <c r="D1645" s="97" t="s">
        <v>176</v>
      </c>
      <c r="E1645" s="201"/>
      <c r="F1645" s="236" t="s">
        <v>603</v>
      </c>
      <c r="G1645" s="194" t="s">
        <v>587</v>
      </c>
      <c r="H1645" s="195" t="s">
        <v>603</v>
      </c>
      <c r="I1645" s="196"/>
      <c r="J1645" s="179">
        <f>IF(A1645="RAPPI",(VLOOKUP(TRIM(D1645), CATALOGO!F:G, 2, FALSE) * C1645)+I1645,IFERROR(IF(COUNTIF('RESTAURANTESDESCUENTOS 2026'!A:A,TRIM(A1645))&gt;0,((VLOOKUP(TRIM(D1645), CATALOGO!A:B, 2, FALSE) * C1645)*(1-VALUE(SUBSTITUTE(VLOOKUP(TRIM(A1645),'RESTAURANTESDESCUENTOS 2026'!A:B,2,FALSE),"%",""))/100)+I1645),(VLOOKUP(TRIM(D1645), CATALOGO!A:B, 2, FALSE) * C1645+I1645)),""))</f>
        <v>50000</v>
      </c>
      <c r="K1645" s="196"/>
      <c r="L1645" s="87">
        <v>617.0</v>
      </c>
      <c r="M1645" s="197" t="s">
        <v>587</v>
      </c>
      <c r="N1645" s="168"/>
    </row>
    <row r="1646" ht="22.5" hidden="1" customHeight="1">
      <c r="A1646" s="137" t="s">
        <v>603</v>
      </c>
      <c r="B1646" s="90">
        <v>46093.0</v>
      </c>
      <c r="C1646" s="55">
        <v>1.0</v>
      </c>
      <c r="D1646" s="97" t="s">
        <v>708</v>
      </c>
      <c r="E1646" s="201"/>
      <c r="F1646" s="236" t="s">
        <v>603</v>
      </c>
      <c r="G1646" s="194" t="s">
        <v>587</v>
      </c>
      <c r="H1646" s="195" t="s">
        <v>603</v>
      </c>
      <c r="I1646" s="196"/>
      <c r="J1646" s="179">
        <f>IF(A1646="RAPPI",(VLOOKUP(TRIM(D1646), CATALOGO!F:G, 2, FALSE) * C1646)+I1646,IFERROR(IF(COUNTIF('RESTAURANTESDESCUENTOS 2026'!A:A,TRIM(A1646))&gt;0,((VLOOKUP(TRIM(D1646), CATALOGO!A:B, 2, FALSE) * C1646)*(1-VALUE(SUBSTITUTE(VLOOKUP(TRIM(A1646),'RESTAURANTESDESCUENTOS 2026'!A:B,2,FALSE),"%",""))/100)+I1646),(VLOOKUP(TRIM(D1646), CATALOGO!A:B, 2, FALSE) * C1646+I1646)),""))</f>
        <v>53000</v>
      </c>
      <c r="K1646" s="196"/>
      <c r="L1646" s="87">
        <v>617.0</v>
      </c>
      <c r="M1646" s="197" t="s">
        <v>587</v>
      </c>
      <c r="N1646" s="168"/>
    </row>
    <row r="1647" ht="22.5" hidden="1" customHeight="1">
      <c r="A1647" s="137" t="s">
        <v>116</v>
      </c>
      <c r="B1647" s="90">
        <v>46094.0</v>
      </c>
      <c r="C1647" s="55">
        <v>6.0</v>
      </c>
      <c r="D1647" s="97" t="s">
        <v>183</v>
      </c>
      <c r="E1647" s="201"/>
      <c r="F1647" s="202"/>
      <c r="G1647" s="194" t="s">
        <v>587</v>
      </c>
      <c r="H1647" s="195" t="s">
        <v>632</v>
      </c>
      <c r="I1647" s="196"/>
      <c r="J1647" s="179">
        <f>IF(A1647="RAPPI",(VLOOKUP(TRIM(D1647), CATALOGO!F:G, 2, FALSE) * C1647)+I1647,IFERROR(IF(COUNTIF('RESTAURANTESDESCUENTOS 2026'!A:A,TRIM(A1647))&gt;0,((VLOOKUP(TRIM(D1647), CATALOGO!A:B, 2, FALSE) * C1647)*(1-VALUE(SUBSTITUTE(VLOOKUP(TRIM(A1647),'RESTAURANTESDESCUENTOS 2026'!A:B,2,FALSE),"%",""))/100)+I1647),(VLOOKUP(TRIM(D1647), CATALOGO!A:B, 2, FALSE) * C1647+I1647)),""))</f>
        <v>92400</v>
      </c>
      <c r="K1647" s="196"/>
      <c r="L1647" s="87"/>
      <c r="M1647" s="197" t="s">
        <v>587</v>
      </c>
      <c r="N1647" s="168"/>
    </row>
    <row r="1648" ht="22.5" hidden="1" customHeight="1">
      <c r="A1648" s="137" t="s">
        <v>116</v>
      </c>
      <c r="B1648" s="90">
        <v>46094.0</v>
      </c>
      <c r="C1648" s="55">
        <v>8.0</v>
      </c>
      <c r="D1648" s="97" t="s">
        <v>184</v>
      </c>
      <c r="E1648" s="201"/>
      <c r="F1648" s="202"/>
      <c r="G1648" s="194" t="s">
        <v>587</v>
      </c>
      <c r="H1648" s="195" t="s">
        <v>632</v>
      </c>
      <c r="I1648" s="196"/>
      <c r="J1648" s="179">
        <f>IF(A1648="RAPPI",(VLOOKUP(TRIM(D1648), CATALOGO!F:G, 2, FALSE) * C1648)+I1648,IFERROR(IF(COUNTIF('RESTAURANTESDESCUENTOS 2026'!A:A,TRIM(A1648))&gt;0,((VLOOKUP(TRIM(D1648), CATALOGO!A:B, 2, FALSE) * C1648)*(1-VALUE(SUBSTITUTE(VLOOKUP(TRIM(A1648),'RESTAURANTESDESCUENTOS 2026'!A:B,2,FALSE),"%",""))/100)+I1648),(VLOOKUP(TRIM(D1648), CATALOGO!A:B, 2, FALSE) * C1648+I1648)),""))</f>
        <v>192000</v>
      </c>
      <c r="K1648" s="196"/>
      <c r="L1648" s="87"/>
      <c r="M1648" s="197" t="s">
        <v>587</v>
      </c>
      <c r="N1648" s="168"/>
    </row>
    <row r="1649" ht="22.5" hidden="1" customHeight="1">
      <c r="A1649" s="137" t="s">
        <v>116</v>
      </c>
      <c r="B1649" s="90">
        <v>46094.0</v>
      </c>
      <c r="C1649" s="55">
        <v>10.0</v>
      </c>
      <c r="D1649" s="97" t="s">
        <v>185</v>
      </c>
      <c r="E1649" s="201"/>
      <c r="F1649" s="202"/>
      <c r="G1649" s="194" t="s">
        <v>587</v>
      </c>
      <c r="H1649" s="195" t="s">
        <v>632</v>
      </c>
      <c r="I1649" s="196"/>
      <c r="J1649" s="179">
        <f>IF(A1649="RAPPI",(VLOOKUP(TRIM(D1649), CATALOGO!F:G, 2, FALSE) * C1649)+I1649,IFERROR(IF(COUNTIF('RESTAURANTESDESCUENTOS 2026'!A:A,TRIM(A1649))&gt;0,((VLOOKUP(TRIM(D1649), CATALOGO!A:B, 2, FALSE) * C1649)*(1-VALUE(SUBSTITUTE(VLOOKUP(TRIM(A1649),'RESTAURANTESDESCUENTOS 2026'!A:B,2,FALSE),"%",""))/100)+I1649),(VLOOKUP(TRIM(D1649), CATALOGO!A:B, 2, FALSE) * C1649+I1649)),""))</f>
        <v>176000</v>
      </c>
      <c r="K1649" s="196"/>
      <c r="L1649" s="87"/>
      <c r="M1649" s="197" t="s">
        <v>587</v>
      </c>
      <c r="N1649" s="168"/>
    </row>
    <row r="1650" ht="22.5" hidden="1" customHeight="1">
      <c r="A1650" s="137" t="s">
        <v>1111</v>
      </c>
      <c r="B1650" s="90">
        <v>46094.0</v>
      </c>
      <c r="C1650" s="55">
        <v>1.0</v>
      </c>
      <c r="D1650" s="97" t="s">
        <v>739</v>
      </c>
      <c r="E1650" s="201" t="s">
        <v>1112</v>
      </c>
      <c r="F1650" s="236" t="s">
        <v>1035</v>
      </c>
      <c r="G1650" s="194" t="s">
        <v>35</v>
      </c>
      <c r="H1650" s="198"/>
      <c r="I1650" s="196"/>
      <c r="J1650" s="179">
        <f>IF(A1650="RAPPI",(VLOOKUP(TRIM(D1650), CATALOGO!F:G, 2, FALSE) * C1650)+I1650,IFERROR(IF(COUNTIF('RESTAURANTESDESCUENTOS 2026'!A:A,TRIM(A1650))&gt;0,((VLOOKUP(TRIM(D1650), CATALOGO!A:B, 2, FALSE) * C1650)*(1-VALUE(SUBSTITUTE(VLOOKUP(TRIM(A1650),'RESTAURANTESDESCUENTOS 2026'!A:B,2,FALSE),"%",""))/100)+I1650),(VLOOKUP(TRIM(D1650), CATALOGO!A:B, 2, FALSE) * C1650+I1650)),""))</f>
        <v>163000</v>
      </c>
      <c r="K1650" s="196"/>
      <c r="L1650" s="87"/>
      <c r="M1650" s="197" t="s">
        <v>587</v>
      </c>
      <c r="N1650" s="168"/>
    </row>
    <row r="1651" ht="22.5" hidden="1" customHeight="1">
      <c r="A1651" s="137" t="s">
        <v>1113</v>
      </c>
      <c r="B1651" s="90">
        <v>46094.0</v>
      </c>
      <c r="C1651" s="55">
        <v>1.0</v>
      </c>
      <c r="D1651" s="97" t="s">
        <v>697</v>
      </c>
      <c r="E1651" s="201" t="s">
        <v>1114</v>
      </c>
      <c r="F1651" s="236" t="s">
        <v>1035</v>
      </c>
      <c r="G1651" s="194" t="s">
        <v>587</v>
      </c>
      <c r="H1651" s="195" t="s">
        <v>632</v>
      </c>
      <c r="I1651" s="196">
        <v>10000.0</v>
      </c>
      <c r="J1651" s="179">
        <f>IF(A1651="RAPPI",(VLOOKUP(TRIM(D1651), CATALOGO!F:G, 2, FALSE) * C1651)+I1651,IFERROR(IF(COUNTIF('RESTAURANTESDESCUENTOS 2026'!A:A,TRIM(A1651))&gt;0,((VLOOKUP(TRIM(D1651), CATALOGO!A:B, 2, FALSE) * C1651)*(1-VALUE(SUBSTITUTE(VLOOKUP(TRIM(A1651),'RESTAURANTESDESCUENTOS 2026'!A:B,2,FALSE),"%",""))/100)+I1651),(VLOOKUP(TRIM(D1651), CATALOGO!A:B, 2, FALSE) * C1651+I1651)),""))</f>
        <v>173000</v>
      </c>
      <c r="K1651" s="196"/>
      <c r="L1651" s="87"/>
      <c r="M1651" s="197" t="s">
        <v>587</v>
      </c>
      <c r="N1651" s="168"/>
    </row>
    <row r="1652" ht="22.5" hidden="1" customHeight="1">
      <c r="A1652" s="137" t="s">
        <v>1115</v>
      </c>
      <c r="B1652" s="90">
        <v>46094.0</v>
      </c>
      <c r="C1652" s="55">
        <v>1.0</v>
      </c>
      <c r="D1652" s="97" t="s">
        <v>177</v>
      </c>
      <c r="E1652" s="201" t="s">
        <v>1116</v>
      </c>
      <c r="F1652" s="236" t="s">
        <v>1035</v>
      </c>
      <c r="G1652" s="194" t="s">
        <v>35</v>
      </c>
      <c r="H1652" s="195" t="s">
        <v>632</v>
      </c>
      <c r="I1652" s="196">
        <v>12000.0</v>
      </c>
      <c r="J1652" s="199">
        <f>119000+I1652</f>
        <v>131000</v>
      </c>
      <c r="K1652" s="196"/>
      <c r="L1652" s="87"/>
      <c r="M1652" s="197" t="s">
        <v>587</v>
      </c>
      <c r="N1652" s="168"/>
    </row>
    <row r="1653" ht="22.5" hidden="1" customHeight="1">
      <c r="A1653" s="137" t="s">
        <v>1117</v>
      </c>
      <c r="B1653" s="90">
        <v>46094.0</v>
      </c>
      <c r="C1653" s="55">
        <v>1.0</v>
      </c>
      <c r="D1653" s="97" t="s">
        <v>176</v>
      </c>
      <c r="E1653" s="201" t="s">
        <v>1118</v>
      </c>
      <c r="F1653" s="236" t="s">
        <v>1036</v>
      </c>
      <c r="G1653" s="194" t="s">
        <v>35</v>
      </c>
      <c r="H1653" s="198"/>
      <c r="I1653" s="196"/>
      <c r="J1653" s="199">
        <v>26000.0</v>
      </c>
      <c r="K1653" s="196"/>
      <c r="L1653" s="87"/>
      <c r="M1653" s="197" t="s">
        <v>587</v>
      </c>
      <c r="N1653" s="168"/>
    </row>
    <row r="1654" ht="22.5" hidden="1" customHeight="1">
      <c r="A1654" s="137" t="s">
        <v>1117</v>
      </c>
      <c r="B1654" s="90">
        <v>46094.0</v>
      </c>
      <c r="C1654" s="55"/>
      <c r="D1654" s="193"/>
      <c r="E1654" s="201"/>
      <c r="F1654" s="236" t="s">
        <v>1035</v>
      </c>
      <c r="G1654" s="194" t="s">
        <v>35</v>
      </c>
      <c r="H1654" s="198"/>
      <c r="I1654" s="196"/>
      <c r="J1654" s="199">
        <v>24000.0</v>
      </c>
      <c r="K1654" s="196"/>
      <c r="L1654" s="87"/>
      <c r="M1654" s="245"/>
      <c r="N1654" s="168"/>
    </row>
    <row r="1655" ht="22.5" hidden="1" customHeight="1">
      <c r="A1655" s="137" t="s">
        <v>1119</v>
      </c>
      <c r="B1655" s="90">
        <v>46094.0</v>
      </c>
      <c r="C1655" s="55">
        <v>1.0</v>
      </c>
      <c r="D1655" s="97" t="s">
        <v>186</v>
      </c>
      <c r="E1655" s="201"/>
      <c r="F1655" s="236" t="s">
        <v>1035</v>
      </c>
      <c r="G1655" s="194" t="s">
        <v>35</v>
      </c>
      <c r="H1655" s="198"/>
      <c r="I1655" s="196"/>
      <c r="J1655" s="179">
        <f>IF(A1655="RAPPI",(VLOOKUP(TRIM(D1655), CATALOGO!F:G, 2, FALSE) * C1655)+I1655,IFERROR(IF(COUNTIF('RESTAURANTESDESCUENTOS 2026'!A:A,TRIM(A1655))&gt;0,((VLOOKUP(TRIM(D1655), CATALOGO!A:B, 2, FALSE) * C1655)*(1-VALUE(SUBSTITUTE(VLOOKUP(TRIM(A1655),'RESTAURANTESDESCUENTOS 2026'!A:B,2,FALSE),"%",""))/100)+I1655),(VLOOKUP(TRIM(D1655), CATALOGO!A:B, 2, FALSE) * C1655+I1655)),""))</f>
        <v>55000</v>
      </c>
      <c r="K1655" s="196"/>
      <c r="L1655" s="87"/>
      <c r="M1655" s="197" t="s">
        <v>587</v>
      </c>
      <c r="N1655" s="168"/>
    </row>
    <row r="1656" ht="22.5" hidden="1" customHeight="1">
      <c r="A1656" s="137" t="s">
        <v>1119</v>
      </c>
      <c r="B1656" s="90">
        <v>46094.0</v>
      </c>
      <c r="C1656" s="55">
        <v>1.0</v>
      </c>
      <c r="D1656" s="97" t="s">
        <v>182</v>
      </c>
      <c r="E1656" s="201"/>
      <c r="F1656" s="236" t="s">
        <v>1035</v>
      </c>
      <c r="G1656" s="194" t="s">
        <v>35</v>
      </c>
      <c r="H1656" s="198"/>
      <c r="I1656" s="196"/>
      <c r="J1656" s="179">
        <f>IF(A1656="RAPPI",(VLOOKUP(TRIM(D1656), CATALOGO!F:G, 2, FALSE) * C1656)+I1656,IFERROR(IF(COUNTIF('RESTAURANTESDESCUENTOS 2026'!A:A,TRIM(A1656))&gt;0,((VLOOKUP(TRIM(D1656), CATALOGO!A:B, 2, FALSE) * C1656)*(1-VALUE(SUBSTITUTE(VLOOKUP(TRIM(A1656),'RESTAURANTESDESCUENTOS 2026'!A:B,2,FALSE),"%",""))/100)+I1656),(VLOOKUP(TRIM(D1656), CATALOGO!A:B, 2, FALSE) * C1656+I1656)),""))</f>
        <v>37000</v>
      </c>
      <c r="K1656" s="196"/>
      <c r="L1656" s="87"/>
      <c r="M1656" s="197" t="s">
        <v>587</v>
      </c>
      <c r="N1656" s="168"/>
    </row>
    <row r="1657" ht="22.5" hidden="1" customHeight="1">
      <c r="A1657" s="137" t="s">
        <v>1119</v>
      </c>
      <c r="B1657" s="90">
        <v>46094.0</v>
      </c>
      <c r="C1657" s="55">
        <v>16.0</v>
      </c>
      <c r="D1657" s="97" t="s">
        <v>620</v>
      </c>
      <c r="E1657" s="201"/>
      <c r="F1657" s="236" t="s">
        <v>1035</v>
      </c>
      <c r="G1657" s="194" t="s">
        <v>35</v>
      </c>
      <c r="H1657" s="198"/>
      <c r="I1657" s="196"/>
      <c r="J1657" s="179">
        <f>IF(A1657="RAPPI",(VLOOKUP(TRIM(D1657), CATALOGO!F:G, 2, FALSE) * C1657)+I1657,IFERROR(IF(COUNTIF('RESTAURANTESDESCUENTOS 2026'!A:A,TRIM(A1657))&gt;0,((VLOOKUP(TRIM(D1657), CATALOGO!A:B, 2, FALSE) * C1657)*(1-VALUE(SUBSTITUTE(VLOOKUP(TRIM(A1657),'RESTAURANTESDESCUENTOS 2026'!A:B,2,FALSE),"%",""))/100)+I1657),(VLOOKUP(TRIM(D1657), CATALOGO!A:B, 2, FALSE) * C1657+I1657)),""))</f>
        <v>0</v>
      </c>
      <c r="K1657" s="196"/>
      <c r="L1657" s="87"/>
      <c r="M1657" s="197" t="s">
        <v>587</v>
      </c>
      <c r="N1657" s="168"/>
    </row>
    <row r="1658" ht="22.5" hidden="1" customHeight="1">
      <c r="A1658" s="137" t="s">
        <v>1119</v>
      </c>
      <c r="B1658" s="90">
        <v>46094.0</v>
      </c>
      <c r="C1658" s="55">
        <v>1.0</v>
      </c>
      <c r="D1658" s="97" t="s">
        <v>223</v>
      </c>
      <c r="E1658" s="201"/>
      <c r="F1658" s="236" t="s">
        <v>1035</v>
      </c>
      <c r="G1658" s="194" t="s">
        <v>35</v>
      </c>
      <c r="H1658" s="198"/>
      <c r="I1658" s="196"/>
      <c r="J1658" s="179">
        <f>IF(A1658="RAPPI",(VLOOKUP(TRIM(D1658), CATALOGO!F:G, 2, FALSE) * C1658)+I1658,IFERROR(IF(COUNTIF('RESTAURANTESDESCUENTOS 2026'!A:A,TRIM(A1658))&gt;0,((VLOOKUP(TRIM(D1658), CATALOGO!A:B, 2, FALSE) * C1658)*(1-VALUE(SUBSTITUTE(VLOOKUP(TRIM(A1658),'RESTAURANTESDESCUENTOS 2026'!A:B,2,FALSE),"%",""))/100)+I1658),(VLOOKUP(TRIM(D1658), CATALOGO!A:B, 2, FALSE) * C1658+I1658)),""))</f>
        <v>37000</v>
      </c>
      <c r="K1658" s="196"/>
      <c r="L1658" s="87"/>
      <c r="M1658" s="197" t="s">
        <v>587</v>
      </c>
      <c r="N1658" s="168"/>
    </row>
    <row r="1659" ht="22.5" hidden="1" customHeight="1">
      <c r="A1659" s="137" t="s">
        <v>597</v>
      </c>
      <c r="B1659" s="90">
        <v>46094.0</v>
      </c>
      <c r="C1659" s="55">
        <v>5.0</v>
      </c>
      <c r="D1659" s="97" t="s">
        <v>178</v>
      </c>
      <c r="E1659" s="201"/>
      <c r="F1659" s="202"/>
      <c r="G1659" s="194"/>
      <c r="H1659" s="198"/>
      <c r="I1659" s="196"/>
      <c r="J1659" s="179"/>
      <c r="K1659" s="196"/>
      <c r="L1659" s="87"/>
      <c r="M1659" s="197" t="s">
        <v>587</v>
      </c>
      <c r="N1659" s="246" t="s">
        <v>587</v>
      </c>
    </row>
    <row r="1660" ht="22.5" hidden="1" customHeight="1">
      <c r="A1660" s="137" t="s">
        <v>597</v>
      </c>
      <c r="B1660" s="90">
        <v>46094.0</v>
      </c>
      <c r="C1660" s="55">
        <v>2.0</v>
      </c>
      <c r="D1660" s="97" t="s">
        <v>177</v>
      </c>
      <c r="E1660" s="201"/>
      <c r="F1660" s="202"/>
      <c r="G1660" s="194"/>
      <c r="H1660" s="198"/>
      <c r="I1660" s="196"/>
      <c r="J1660" s="179"/>
      <c r="K1660" s="196"/>
      <c r="L1660" s="87"/>
      <c r="M1660" s="197" t="s">
        <v>587</v>
      </c>
      <c r="N1660" s="246" t="s">
        <v>587</v>
      </c>
    </row>
    <row r="1661" ht="22.5" hidden="1" customHeight="1">
      <c r="A1661" s="137" t="s">
        <v>106</v>
      </c>
      <c r="B1661" s="90">
        <v>46094.0</v>
      </c>
      <c r="C1661" s="55">
        <v>1.0</v>
      </c>
      <c r="D1661" s="97" t="s">
        <v>178</v>
      </c>
      <c r="E1661" s="201" t="s">
        <v>1120</v>
      </c>
      <c r="F1661" s="202"/>
      <c r="G1661" s="194" t="s">
        <v>587</v>
      </c>
      <c r="H1661" s="195" t="s">
        <v>632</v>
      </c>
      <c r="I1661" s="196"/>
      <c r="J1661" s="199">
        <v>0.0</v>
      </c>
      <c r="K1661" s="196"/>
      <c r="L1661" s="87"/>
      <c r="M1661" s="197" t="s">
        <v>587</v>
      </c>
      <c r="N1661" s="168"/>
    </row>
    <row r="1662" ht="22.5" hidden="1" customHeight="1">
      <c r="A1662" s="137" t="s">
        <v>1121</v>
      </c>
      <c r="B1662" s="90">
        <v>46094.0</v>
      </c>
      <c r="C1662" s="55">
        <v>1.0</v>
      </c>
      <c r="D1662" s="97" t="s">
        <v>177</v>
      </c>
      <c r="E1662" s="201" t="s">
        <v>1122</v>
      </c>
      <c r="F1662" s="236" t="s">
        <v>1035</v>
      </c>
      <c r="G1662" s="194" t="s">
        <v>587</v>
      </c>
      <c r="H1662" s="195" t="s">
        <v>632</v>
      </c>
      <c r="I1662" s="196">
        <v>14000.0</v>
      </c>
      <c r="J1662" s="179">
        <f>IF(A1662="RAPPI",(VLOOKUP(TRIM(D1662), CATALOGO!F:G, 2, FALSE) * C1662)+I1662,IFERROR(IF(COUNTIF('RESTAURANTESDESCUENTOS 2026'!A:A,TRIM(A1662))&gt;0,((VLOOKUP(TRIM(D1662), CATALOGO!A:B, 2, FALSE) * C1662)*(1-VALUE(SUBSTITUTE(VLOOKUP(TRIM(A1662),'RESTAURANTESDESCUENTOS 2026'!A:B,2,FALSE),"%",""))/100)+I1662),(VLOOKUP(TRIM(D1662), CATALOGO!A:B, 2, FALSE) * C1662+I1662)),""))</f>
        <v>129000</v>
      </c>
      <c r="K1662" s="196"/>
      <c r="L1662" s="87"/>
      <c r="M1662" s="197" t="s">
        <v>587</v>
      </c>
      <c r="N1662" s="168"/>
    </row>
    <row r="1663" ht="22.5" hidden="1" customHeight="1">
      <c r="A1663" s="137" t="s">
        <v>1069</v>
      </c>
      <c r="B1663" s="90">
        <v>46094.0</v>
      </c>
      <c r="C1663" s="55">
        <v>1.0</v>
      </c>
      <c r="D1663" s="97" t="s">
        <v>177</v>
      </c>
      <c r="E1663" s="201" t="s">
        <v>667</v>
      </c>
      <c r="F1663" s="236" t="s">
        <v>1036</v>
      </c>
      <c r="G1663" s="194" t="s">
        <v>35</v>
      </c>
      <c r="H1663" s="198"/>
      <c r="I1663" s="196"/>
      <c r="J1663" s="179">
        <f>IF(A1663="RAPPI",(VLOOKUP(TRIM(D1663), CATALOGO!F:G, 2, FALSE) * C1663)+I1663,IFERROR(IF(COUNTIF('RESTAURANTESDESCUENTOS 2026'!A:A,TRIM(A1663))&gt;0,((VLOOKUP(TRIM(D1663), CATALOGO!A:B, 2, FALSE) * C1663)*(1-VALUE(SUBSTITUTE(VLOOKUP(TRIM(A1663),'RESTAURANTESDESCUENTOS 2026'!A:B,2,FALSE),"%",""))/100)+I1663),(VLOOKUP(TRIM(D1663), CATALOGO!A:B, 2, FALSE) * C1663+I1663)),""))</f>
        <v>115000</v>
      </c>
      <c r="K1663" s="196"/>
      <c r="L1663" s="87"/>
      <c r="M1663" s="197" t="s">
        <v>587</v>
      </c>
      <c r="N1663" s="168"/>
    </row>
    <row r="1664" ht="22.5" hidden="1" customHeight="1">
      <c r="A1664" s="137" t="s">
        <v>1069</v>
      </c>
      <c r="B1664" s="90">
        <v>46094.0</v>
      </c>
      <c r="C1664" s="55">
        <v>1.0</v>
      </c>
      <c r="D1664" s="97" t="s">
        <v>696</v>
      </c>
      <c r="E1664" s="201" t="s">
        <v>667</v>
      </c>
      <c r="F1664" s="236" t="s">
        <v>1036</v>
      </c>
      <c r="G1664" s="194" t="s">
        <v>35</v>
      </c>
      <c r="H1664" s="198"/>
      <c r="I1664" s="196"/>
      <c r="J1664" s="179">
        <f>IF(A1664="RAPPI",(VLOOKUP(TRIM(D1664), CATALOGO!F:G, 2, FALSE) * C1664)+I1664,IFERROR(IF(COUNTIF('RESTAURANTESDESCUENTOS 2026'!A:A,TRIM(A1664))&gt;0,((VLOOKUP(TRIM(D1664), CATALOGO!A:B, 2, FALSE) * C1664)*(1-VALUE(SUBSTITUTE(VLOOKUP(TRIM(A1664),'RESTAURANTESDESCUENTOS 2026'!A:B,2,FALSE),"%",""))/100)+I1664),(VLOOKUP(TRIM(D1664), CATALOGO!A:B, 2, FALSE) * C1664+I1664)),""))</f>
        <v>4000</v>
      </c>
      <c r="K1664" s="196"/>
      <c r="L1664" s="87"/>
      <c r="M1664" s="197" t="s">
        <v>587</v>
      </c>
      <c r="N1664" s="168"/>
    </row>
    <row r="1665" ht="22.5" hidden="1" customHeight="1">
      <c r="A1665" s="137" t="s">
        <v>968</v>
      </c>
      <c r="B1665" s="90">
        <v>46094.0</v>
      </c>
      <c r="C1665" s="55">
        <v>2.0</v>
      </c>
      <c r="D1665" s="97" t="s">
        <v>178</v>
      </c>
      <c r="E1665" s="201"/>
      <c r="F1665" s="202"/>
      <c r="G1665" s="194" t="s">
        <v>587</v>
      </c>
      <c r="H1665" s="195" t="s">
        <v>588</v>
      </c>
      <c r="I1665" s="196">
        <v>10000.0</v>
      </c>
      <c r="J1665" s="179">
        <f>IF(A1665="RAPPI",(VLOOKUP(TRIM(D1665), CATALOGO!F:G, 2, FALSE) * C1665)+I1665,IFERROR(IF(COUNTIF('RESTAURANTESDESCUENTOS 2026'!A:A,TRIM(A1665))&gt;0,((VLOOKUP(TRIM(D1665), CATALOGO!A:B, 2, FALSE) * C1665)*(1-VALUE(SUBSTITUTE(VLOOKUP(TRIM(A1665),'RESTAURANTESDESCUENTOS 2026'!A:B,2,FALSE),"%",""))/100)+I1665),(VLOOKUP(TRIM(D1665), CATALOGO!A:B, 2, FALSE) * C1665+I1665)),""))</f>
        <v>235000</v>
      </c>
      <c r="K1665" s="196"/>
      <c r="L1665" s="87">
        <v>626.0</v>
      </c>
      <c r="M1665" s="197" t="s">
        <v>587</v>
      </c>
      <c r="N1665" s="168"/>
    </row>
    <row r="1666" ht="22.5" hidden="1" customHeight="1">
      <c r="A1666" s="137" t="s">
        <v>1069</v>
      </c>
      <c r="B1666" s="90">
        <v>46094.0</v>
      </c>
      <c r="C1666" s="55">
        <v>1.0</v>
      </c>
      <c r="D1666" s="97" t="s">
        <v>602</v>
      </c>
      <c r="E1666" s="201" t="s">
        <v>667</v>
      </c>
      <c r="F1666" s="236" t="s">
        <v>1036</v>
      </c>
      <c r="G1666" s="194" t="s">
        <v>35</v>
      </c>
      <c r="H1666" s="198"/>
      <c r="I1666" s="196"/>
      <c r="J1666" s="179">
        <f>IF(A1666="RAPPI",(VLOOKUP(TRIM(D1666), CATALOGO!F:G, 2, FALSE) * C1666)+I1666,IFERROR(IF(COUNTIF('RESTAURANTESDESCUENTOS 2026'!A:A,TRIM(A1666))&gt;0,((VLOOKUP(TRIM(D1666), CATALOGO!A:B, 2, FALSE) * C1666)*(1-VALUE(SUBSTITUTE(VLOOKUP(TRIM(A1666),'RESTAURANTESDESCUENTOS 2026'!A:B,2,FALSE),"%",""))/100)+I1666),(VLOOKUP(TRIM(D1666), CATALOGO!A:B, 2, FALSE) * C1666+I1666)),""))</f>
        <v>22000</v>
      </c>
      <c r="K1666" s="196"/>
      <c r="L1666" s="87"/>
      <c r="M1666" s="197" t="s">
        <v>587</v>
      </c>
      <c r="N1666" s="168"/>
    </row>
    <row r="1667" ht="22.5" hidden="1" customHeight="1">
      <c r="A1667" s="137" t="s">
        <v>1069</v>
      </c>
      <c r="B1667" s="90">
        <v>46094.0</v>
      </c>
      <c r="C1667" s="55">
        <v>1.0</v>
      </c>
      <c r="D1667" s="97" t="s">
        <v>174</v>
      </c>
      <c r="E1667" s="201" t="s">
        <v>1123</v>
      </c>
      <c r="F1667" s="236" t="s">
        <v>1035</v>
      </c>
      <c r="G1667" s="194" t="s">
        <v>35</v>
      </c>
      <c r="H1667" s="198"/>
      <c r="I1667" s="196"/>
      <c r="J1667" s="179">
        <f>IF(A1667="RAPPI",(VLOOKUP(TRIM(D1667), CATALOGO!F:G, 2, FALSE) * C1667)+I1667,IFERROR(IF(COUNTIF('RESTAURANTESDESCUENTOS 2026'!A:A,TRIM(A1667))&gt;0,((VLOOKUP(TRIM(D1667), CATALOGO!A:B, 2, FALSE) * C1667)*(1-VALUE(SUBSTITUTE(VLOOKUP(TRIM(A1667),'RESTAURANTESDESCUENTOS 2026'!A:B,2,FALSE),"%",""))/100)+I1667),(VLOOKUP(TRIM(D1667), CATALOGO!A:B, 2, FALSE) * C1667+I1667)),""))</f>
        <v>18000</v>
      </c>
      <c r="K1667" s="196"/>
      <c r="L1667" s="87"/>
      <c r="M1667" s="197" t="s">
        <v>587</v>
      </c>
      <c r="N1667" s="168"/>
    </row>
    <row r="1668" ht="22.5" hidden="1" customHeight="1">
      <c r="A1668" s="137" t="s">
        <v>1124</v>
      </c>
      <c r="B1668" s="90">
        <v>46094.0</v>
      </c>
      <c r="C1668" s="55">
        <v>1.0</v>
      </c>
      <c r="D1668" s="97" t="s">
        <v>176</v>
      </c>
      <c r="E1668" s="201" t="s">
        <v>1125</v>
      </c>
      <c r="F1668" s="236" t="s">
        <v>1035</v>
      </c>
      <c r="G1668" s="194" t="s">
        <v>35</v>
      </c>
      <c r="H1668" s="198"/>
      <c r="I1668" s="196"/>
      <c r="J1668" s="179">
        <f>IF(A1668="RAPPI",(VLOOKUP(TRIM(D1668), CATALOGO!F:G, 2, FALSE) * C1668)+I1668,IFERROR(IF(COUNTIF('RESTAURANTESDESCUENTOS 2026'!A:A,TRIM(A1668))&gt;0,((VLOOKUP(TRIM(D1668), CATALOGO!A:B, 2, FALSE) * C1668)*(1-VALUE(SUBSTITUTE(VLOOKUP(TRIM(A1668),'RESTAURANTESDESCUENTOS 2026'!A:B,2,FALSE),"%",""))/100)+I1668),(VLOOKUP(TRIM(D1668), CATALOGO!A:B, 2, FALSE) * C1668+I1668)),""))</f>
        <v>50000</v>
      </c>
      <c r="K1668" s="196"/>
      <c r="L1668" s="87"/>
      <c r="M1668" s="197" t="s">
        <v>587</v>
      </c>
      <c r="N1668" s="168"/>
    </row>
    <row r="1669" ht="22.5" hidden="1" customHeight="1">
      <c r="A1669" s="137" t="s">
        <v>1126</v>
      </c>
      <c r="B1669" s="90">
        <v>46094.0</v>
      </c>
      <c r="C1669" s="55">
        <v>1.0</v>
      </c>
      <c r="D1669" s="97" t="s">
        <v>192</v>
      </c>
      <c r="E1669" s="201"/>
      <c r="F1669" s="236" t="s">
        <v>1035</v>
      </c>
      <c r="G1669" s="194" t="s">
        <v>35</v>
      </c>
      <c r="H1669" s="198"/>
      <c r="I1669" s="196"/>
      <c r="J1669" s="179">
        <f>IF(A1669="RAPPI",(VLOOKUP(TRIM(D1669), CATALOGO!F:G, 2, FALSE) * C1669)+I1669,IFERROR(IF(COUNTIF('RESTAURANTESDESCUENTOS 2026'!A:A,TRIM(A1669))&gt;0,((VLOOKUP(TRIM(D1669), CATALOGO!A:B, 2, FALSE) * C1669)*(1-VALUE(SUBSTITUTE(VLOOKUP(TRIM(A1669),'RESTAURANTESDESCUENTOS 2026'!A:B,2,FALSE),"%",""))/100)+I1669),(VLOOKUP(TRIM(D1669), CATALOGO!A:B, 2, FALSE) * C1669+I1669)),""))</f>
        <v>55000</v>
      </c>
      <c r="K1669" s="196"/>
      <c r="L1669" s="87"/>
      <c r="M1669" s="197" t="s">
        <v>587</v>
      </c>
      <c r="N1669" s="168"/>
    </row>
    <row r="1670" ht="22.5" hidden="1" customHeight="1">
      <c r="A1670" s="137" t="s">
        <v>603</v>
      </c>
      <c r="B1670" s="90">
        <v>46094.0</v>
      </c>
      <c r="C1670" s="55">
        <v>1.0</v>
      </c>
      <c r="D1670" s="97" t="s">
        <v>678</v>
      </c>
      <c r="E1670" s="201"/>
      <c r="F1670" s="236" t="s">
        <v>603</v>
      </c>
      <c r="G1670" s="194" t="s">
        <v>587</v>
      </c>
      <c r="H1670" s="195" t="s">
        <v>603</v>
      </c>
      <c r="I1670" s="196"/>
      <c r="J1670" s="179">
        <f>IF(A1670="RAPPI",(VLOOKUP(TRIM(D1670), CATALOGO!F:G, 2, FALSE) * C1670)+I1670,IFERROR(IF(COUNTIF('RESTAURANTESDESCUENTOS 2026'!A:A,TRIM(A1670))&gt;0,((VLOOKUP(TRIM(D1670), CATALOGO!A:B, 2, FALSE) * C1670)*(1-VALUE(SUBSTITUTE(VLOOKUP(TRIM(A1670),'RESTAURANTESDESCUENTOS 2026'!A:B,2,FALSE),"%",""))/100)+I1670),(VLOOKUP(TRIM(D1670), CATALOGO!A:B, 2, FALSE) * C1670+I1670)),""))</f>
        <v>123000</v>
      </c>
      <c r="K1670" s="196"/>
      <c r="L1670" s="87">
        <v>630.0</v>
      </c>
      <c r="M1670" s="197" t="s">
        <v>587</v>
      </c>
      <c r="N1670" s="168"/>
    </row>
    <row r="1671" ht="22.5" hidden="1" customHeight="1">
      <c r="A1671" s="137" t="s">
        <v>603</v>
      </c>
      <c r="B1671" s="90">
        <v>46094.0</v>
      </c>
      <c r="C1671" s="55">
        <v>1.0</v>
      </c>
      <c r="D1671" s="97" t="s">
        <v>628</v>
      </c>
      <c r="E1671" s="201"/>
      <c r="F1671" s="236" t="s">
        <v>603</v>
      </c>
      <c r="G1671" s="194" t="s">
        <v>587</v>
      </c>
      <c r="H1671" s="195" t="s">
        <v>603</v>
      </c>
      <c r="I1671" s="196"/>
      <c r="J1671" s="179">
        <f>IF(A1671="RAPPI",(VLOOKUP(TRIM(D1671), CATALOGO!F:G, 2, FALSE) * C1671)+I1671,IFERROR(IF(COUNTIF('RESTAURANTESDESCUENTOS 2026'!A:A,TRIM(A1671))&gt;0,((VLOOKUP(TRIM(D1671), CATALOGO!A:B, 2, FALSE) * C1671)*(1-VALUE(SUBSTITUTE(VLOOKUP(TRIM(A1671),'RESTAURANTESDESCUENTOS 2026'!A:B,2,FALSE),"%",""))/100)+I1671),(VLOOKUP(TRIM(D1671), CATALOGO!A:B, 2, FALSE) * C1671+I1671)),""))</f>
        <v>22000</v>
      </c>
      <c r="K1671" s="196"/>
      <c r="L1671" s="87">
        <v>630.0</v>
      </c>
      <c r="M1671" s="197" t="s">
        <v>587</v>
      </c>
      <c r="N1671" s="168"/>
    </row>
    <row r="1672" ht="22.5" hidden="1" customHeight="1">
      <c r="A1672" s="137" t="s">
        <v>603</v>
      </c>
      <c r="B1672" s="90">
        <v>46094.0</v>
      </c>
      <c r="C1672" s="55">
        <v>2.0</v>
      </c>
      <c r="D1672" s="97" t="s">
        <v>602</v>
      </c>
      <c r="E1672" s="201"/>
      <c r="F1672" s="236" t="s">
        <v>603</v>
      </c>
      <c r="G1672" s="194" t="s">
        <v>587</v>
      </c>
      <c r="H1672" s="195" t="s">
        <v>603</v>
      </c>
      <c r="I1672" s="196"/>
      <c r="J1672" s="179">
        <f>IF(A1672="RAPPI",(VLOOKUP(TRIM(D1672), CATALOGO!F:G, 2, FALSE) * C1672)+I1672,IFERROR(IF(COUNTIF('RESTAURANTESDESCUENTOS 2026'!A:A,TRIM(A1672))&gt;0,((VLOOKUP(TRIM(D1672), CATALOGO!A:B, 2, FALSE) * C1672)*(1-VALUE(SUBSTITUTE(VLOOKUP(TRIM(A1672),'RESTAURANTESDESCUENTOS 2026'!A:B,2,FALSE),"%",""))/100)+I1672),(VLOOKUP(TRIM(D1672), CATALOGO!A:B, 2, FALSE) * C1672+I1672)),""))</f>
        <v>44000</v>
      </c>
      <c r="K1672" s="196"/>
      <c r="L1672" s="87">
        <v>630.0</v>
      </c>
      <c r="M1672" s="197" t="s">
        <v>587</v>
      </c>
      <c r="N1672" s="168"/>
    </row>
    <row r="1673" ht="22.5" hidden="1" customHeight="1">
      <c r="A1673" s="137" t="s">
        <v>603</v>
      </c>
      <c r="B1673" s="90">
        <v>46094.0</v>
      </c>
      <c r="C1673" s="55">
        <v>1.0</v>
      </c>
      <c r="D1673" s="97" t="s">
        <v>174</v>
      </c>
      <c r="E1673" s="201"/>
      <c r="F1673" s="236" t="s">
        <v>603</v>
      </c>
      <c r="G1673" s="194" t="s">
        <v>587</v>
      </c>
      <c r="H1673" s="195" t="s">
        <v>603</v>
      </c>
      <c r="I1673" s="196"/>
      <c r="J1673" s="179">
        <f>IF(A1673="RAPPI",(VLOOKUP(TRIM(D1673), CATALOGO!F:G, 2, FALSE) * C1673)+I1673,IFERROR(IF(COUNTIF('RESTAURANTESDESCUENTOS 2026'!A:A,TRIM(A1673))&gt;0,((VLOOKUP(TRIM(D1673), CATALOGO!A:B, 2, FALSE) * C1673)*(1-VALUE(SUBSTITUTE(VLOOKUP(TRIM(A1673),'RESTAURANTESDESCUENTOS 2026'!A:B,2,FALSE),"%",""))/100)+I1673),(VLOOKUP(TRIM(D1673), CATALOGO!A:B, 2, FALSE) * C1673+I1673)),""))</f>
        <v>18000</v>
      </c>
      <c r="K1673" s="196"/>
      <c r="L1673" s="87">
        <v>630.0</v>
      </c>
      <c r="M1673" s="197" t="s">
        <v>587</v>
      </c>
      <c r="N1673" s="168"/>
    </row>
    <row r="1674" ht="22.5" hidden="1" customHeight="1">
      <c r="A1674" s="137" t="s">
        <v>603</v>
      </c>
      <c r="B1674" s="90">
        <v>46094.0</v>
      </c>
      <c r="C1674" s="55">
        <v>1.0</v>
      </c>
      <c r="D1674" s="97" t="s">
        <v>697</v>
      </c>
      <c r="E1674" s="201"/>
      <c r="F1674" s="236" t="s">
        <v>603</v>
      </c>
      <c r="G1674" s="194" t="s">
        <v>587</v>
      </c>
      <c r="H1674" s="195" t="s">
        <v>603</v>
      </c>
      <c r="I1674" s="196"/>
      <c r="J1674" s="179">
        <f>IF(A1674="RAPPI",(VLOOKUP(TRIM(D1674), CATALOGO!F:G, 2, FALSE) * C1674)+I1674,IFERROR(IF(COUNTIF('RESTAURANTESDESCUENTOS 2026'!A:A,TRIM(A1674))&gt;0,((VLOOKUP(TRIM(D1674), CATALOGO!A:B, 2, FALSE) * C1674)*(1-VALUE(SUBSTITUTE(VLOOKUP(TRIM(A1674),'RESTAURANTESDESCUENTOS 2026'!A:B,2,FALSE),"%",""))/100)+I1674),(VLOOKUP(TRIM(D1674), CATALOGO!A:B, 2, FALSE) * C1674+I1674)),""))</f>
        <v>163000</v>
      </c>
      <c r="K1674" s="196"/>
      <c r="L1674" s="87">
        <v>630.0</v>
      </c>
      <c r="M1674" s="197" t="s">
        <v>587</v>
      </c>
      <c r="N1674" s="168"/>
    </row>
    <row r="1675" ht="22.5" hidden="1" customHeight="1">
      <c r="A1675" s="137" t="s">
        <v>603</v>
      </c>
      <c r="B1675" s="90">
        <v>46094.0</v>
      </c>
      <c r="C1675" s="55">
        <v>1.0</v>
      </c>
      <c r="D1675" s="97" t="s">
        <v>657</v>
      </c>
      <c r="E1675" s="201"/>
      <c r="F1675" s="236" t="s">
        <v>603</v>
      </c>
      <c r="G1675" s="194" t="s">
        <v>587</v>
      </c>
      <c r="H1675" s="195" t="s">
        <v>603</v>
      </c>
      <c r="I1675" s="196"/>
      <c r="J1675" s="179">
        <f>IF(A1675="RAPPI",(VLOOKUP(TRIM(D1675), CATALOGO!F:G, 2, FALSE) * C1675)+I1675,IFERROR(IF(COUNTIF('RESTAURANTESDESCUENTOS 2026'!A:A,TRIM(A1675))&gt;0,((VLOOKUP(TRIM(D1675), CATALOGO!A:B, 2, FALSE) * C1675)*(1-VALUE(SUBSTITUTE(VLOOKUP(TRIM(A1675),'RESTAURANTESDESCUENTOS 2026'!A:B,2,FALSE),"%",""))/100)+I1675),(VLOOKUP(TRIM(D1675), CATALOGO!A:B, 2, FALSE) * C1675+I1675)),""))</f>
        <v>8000</v>
      </c>
      <c r="K1675" s="196"/>
      <c r="L1675" s="87">
        <v>630.0</v>
      </c>
      <c r="M1675" s="197" t="s">
        <v>587</v>
      </c>
      <c r="N1675" s="168"/>
    </row>
    <row r="1676" ht="22.5" hidden="1" customHeight="1">
      <c r="A1676" s="137" t="s">
        <v>603</v>
      </c>
      <c r="B1676" s="90">
        <v>46094.0</v>
      </c>
      <c r="C1676" s="55">
        <v>1.0</v>
      </c>
      <c r="D1676" s="97" t="s">
        <v>678</v>
      </c>
      <c r="E1676" s="201"/>
      <c r="F1676" s="236" t="s">
        <v>603</v>
      </c>
      <c r="G1676" s="194" t="s">
        <v>587</v>
      </c>
      <c r="H1676" s="195" t="s">
        <v>603</v>
      </c>
      <c r="I1676" s="196"/>
      <c r="J1676" s="179">
        <f>IF(A1676="RAPPI",(VLOOKUP(TRIM(D1676), CATALOGO!F:G, 2, FALSE) * C1676)+I1676,IFERROR(IF(COUNTIF('RESTAURANTESDESCUENTOS 2026'!A:A,TRIM(A1676))&gt;0,((VLOOKUP(TRIM(D1676), CATALOGO!A:B, 2, FALSE) * C1676)*(1-VALUE(SUBSTITUTE(VLOOKUP(TRIM(A1676),'RESTAURANTESDESCUENTOS 2026'!A:B,2,FALSE),"%",""))/100)+I1676),(VLOOKUP(TRIM(D1676), CATALOGO!A:B, 2, FALSE) * C1676+I1676)),""))</f>
        <v>123000</v>
      </c>
      <c r="K1676" s="196"/>
      <c r="L1676" s="87">
        <v>630.0</v>
      </c>
      <c r="M1676" s="197" t="s">
        <v>587</v>
      </c>
      <c r="N1676" s="168"/>
    </row>
    <row r="1677" ht="22.5" hidden="1" customHeight="1">
      <c r="A1677" s="137" t="s">
        <v>603</v>
      </c>
      <c r="B1677" s="90">
        <v>46094.0</v>
      </c>
      <c r="C1677" s="55">
        <v>1.0</v>
      </c>
      <c r="D1677" s="97" t="s">
        <v>628</v>
      </c>
      <c r="E1677" s="201"/>
      <c r="F1677" s="236" t="s">
        <v>603</v>
      </c>
      <c r="G1677" s="194" t="s">
        <v>587</v>
      </c>
      <c r="H1677" s="195" t="s">
        <v>603</v>
      </c>
      <c r="I1677" s="196"/>
      <c r="J1677" s="179">
        <f>IF(A1677="RAPPI",(VLOOKUP(TRIM(D1677), CATALOGO!F:G, 2, FALSE) * C1677)+I1677,IFERROR(IF(COUNTIF('RESTAURANTESDESCUENTOS 2026'!A:A,TRIM(A1677))&gt;0,((VLOOKUP(TRIM(D1677), CATALOGO!A:B, 2, FALSE) * C1677)*(1-VALUE(SUBSTITUTE(VLOOKUP(TRIM(A1677),'RESTAURANTESDESCUENTOS 2026'!A:B,2,FALSE),"%",""))/100)+I1677),(VLOOKUP(TRIM(D1677), CATALOGO!A:B, 2, FALSE) * C1677+I1677)),""))</f>
        <v>22000</v>
      </c>
      <c r="K1677" s="196"/>
      <c r="L1677" s="87">
        <v>630.0</v>
      </c>
      <c r="M1677" s="197" t="s">
        <v>587</v>
      </c>
      <c r="N1677" s="168"/>
    </row>
    <row r="1678" ht="22.5" hidden="1" customHeight="1">
      <c r="A1678" s="137" t="s">
        <v>1127</v>
      </c>
      <c r="B1678" s="90">
        <v>46095.0</v>
      </c>
      <c r="C1678" s="55">
        <v>1.0</v>
      </c>
      <c r="D1678" s="97" t="s">
        <v>178</v>
      </c>
      <c r="E1678" s="201" t="s">
        <v>1128</v>
      </c>
      <c r="F1678" s="236" t="s">
        <v>1035</v>
      </c>
      <c r="G1678" s="194" t="s">
        <v>35</v>
      </c>
      <c r="H1678" s="198"/>
      <c r="I1678" s="196"/>
      <c r="J1678" s="179">
        <f>IF(A1678="RAPPI",(VLOOKUP(TRIM(D1678), CATALOGO!F:G, 2, FALSE) * C1678)+I1678,IFERROR(IF(COUNTIF('RESTAURANTESDESCUENTOS 2026'!A:A,TRIM(A1678))&gt;0,((VLOOKUP(TRIM(D1678), CATALOGO!A:B, 2, FALSE) * C1678)*(1-VALUE(SUBSTITUTE(VLOOKUP(TRIM(A1678),'RESTAURANTESDESCUENTOS 2026'!A:B,2,FALSE),"%",""))/100)+I1678),(VLOOKUP(TRIM(D1678), CATALOGO!A:B, 2, FALSE) * C1678+I1678)),""))</f>
        <v>150000</v>
      </c>
      <c r="K1678" s="196"/>
      <c r="L1678" s="87"/>
      <c r="M1678" s="197" t="s">
        <v>587</v>
      </c>
      <c r="N1678" s="168"/>
    </row>
    <row r="1679" ht="22.5" hidden="1" customHeight="1">
      <c r="A1679" s="137" t="s">
        <v>1129</v>
      </c>
      <c r="B1679" s="90">
        <v>46095.0</v>
      </c>
      <c r="C1679" s="55">
        <v>1.0</v>
      </c>
      <c r="D1679" s="97" t="s">
        <v>188</v>
      </c>
      <c r="E1679" s="201"/>
      <c r="F1679" s="236" t="s">
        <v>1035</v>
      </c>
      <c r="G1679" s="194" t="s">
        <v>35</v>
      </c>
      <c r="H1679" s="198"/>
      <c r="I1679" s="196"/>
      <c r="J1679" s="179">
        <f>IF(A1679="RAPPI",(VLOOKUP(TRIM(D1679), CATALOGO!F:G, 2, FALSE) * C1679)+I1679,IFERROR(IF(COUNTIF('RESTAURANTESDESCUENTOS 2026'!A:A,TRIM(A1679))&gt;0,((VLOOKUP(TRIM(D1679), CATALOGO!A:B, 2, FALSE) * C1679)*(1-VALUE(SUBSTITUTE(VLOOKUP(TRIM(A1679),'RESTAURANTESDESCUENTOS 2026'!A:B,2,FALSE),"%",""))/100)+I1679),(VLOOKUP(TRIM(D1679), CATALOGO!A:B, 2, FALSE) * C1679+I1679)),""))</f>
        <v>163000</v>
      </c>
      <c r="K1679" s="196"/>
      <c r="L1679" s="87"/>
      <c r="M1679" s="197" t="s">
        <v>587</v>
      </c>
      <c r="N1679" s="168"/>
    </row>
    <row r="1680" ht="22.5" hidden="1" customHeight="1">
      <c r="A1680" s="137" t="s">
        <v>55</v>
      </c>
      <c r="B1680" s="90">
        <v>46095.0</v>
      </c>
      <c r="C1680" s="55">
        <v>8.0</v>
      </c>
      <c r="D1680" s="97" t="s">
        <v>182</v>
      </c>
      <c r="E1680" s="201"/>
      <c r="F1680" s="202"/>
      <c r="G1680" s="194" t="s">
        <v>587</v>
      </c>
      <c r="H1680" s="195" t="s">
        <v>632</v>
      </c>
      <c r="I1680" s="196">
        <v>10000.0</v>
      </c>
      <c r="J1680" s="199">
        <f>128000+I1680</f>
        <v>138000</v>
      </c>
      <c r="K1680" s="196">
        <v>10000.0</v>
      </c>
      <c r="L1680" s="87">
        <v>634.0</v>
      </c>
      <c r="M1680" s="197" t="s">
        <v>587</v>
      </c>
      <c r="N1680" s="168"/>
    </row>
    <row r="1681" ht="22.5" hidden="1" customHeight="1">
      <c r="A1681" s="137" t="s">
        <v>1130</v>
      </c>
      <c r="B1681" s="90">
        <v>46095.0</v>
      </c>
      <c r="C1681" s="55">
        <v>15.0</v>
      </c>
      <c r="D1681" s="97" t="s">
        <v>182</v>
      </c>
      <c r="E1681" s="201" t="s">
        <v>1131</v>
      </c>
      <c r="F1681" s="202"/>
      <c r="G1681" s="194" t="s">
        <v>587</v>
      </c>
      <c r="H1681" s="195" t="s">
        <v>632</v>
      </c>
      <c r="I1681" s="196">
        <v>0.0</v>
      </c>
      <c r="J1681" s="199">
        <v>0.0</v>
      </c>
      <c r="K1681" s="196">
        <v>10000.0</v>
      </c>
      <c r="L1681" s="87">
        <v>636.0</v>
      </c>
      <c r="M1681" s="197" t="s">
        <v>587</v>
      </c>
      <c r="N1681" s="168"/>
    </row>
    <row r="1682" ht="22.5" hidden="1" customHeight="1">
      <c r="A1682" s="137" t="s">
        <v>1132</v>
      </c>
      <c r="B1682" s="90">
        <v>46095.0</v>
      </c>
      <c r="C1682" s="55">
        <v>1.0</v>
      </c>
      <c r="D1682" s="97" t="s">
        <v>178</v>
      </c>
      <c r="E1682" s="201"/>
      <c r="F1682" s="236" t="s">
        <v>1035</v>
      </c>
      <c r="G1682" s="194" t="s">
        <v>587</v>
      </c>
      <c r="H1682" s="195" t="s">
        <v>632</v>
      </c>
      <c r="I1682" s="196">
        <v>14000.0</v>
      </c>
      <c r="J1682" s="179">
        <f>IF(A1682="RAPPI",(VLOOKUP(TRIM(D1682), CATALOGO!F:G, 2, FALSE) * C1682)+I1682,IFERROR(IF(COUNTIF('RESTAURANTESDESCUENTOS 2026'!A:A,TRIM(A1682))&gt;0,((VLOOKUP(TRIM(D1682), CATALOGO!A:B, 2, FALSE) * C1682)*(1-VALUE(SUBSTITUTE(VLOOKUP(TRIM(A1682),'RESTAURANTESDESCUENTOS 2026'!A:B,2,FALSE),"%",""))/100)+I1682),(VLOOKUP(TRIM(D1682), CATALOGO!A:B, 2, FALSE) * C1682+I1682)),""))</f>
        <v>164000</v>
      </c>
      <c r="K1682" s="196">
        <v>14000.0</v>
      </c>
      <c r="L1682" s="87"/>
      <c r="M1682" s="197" t="s">
        <v>587</v>
      </c>
      <c r="N1682" s="168"/>
    </row>
    <row r="1683" ht="22.5" hidden="1" customHeight="1">
      <c r="A1683" s="137" t="s">
        <v>1133</v>
      </c>
      <c r="B1683" s="90">
        <v>46095.0</v>
      </c>
      <c r="C1683" s="55">
        <v>12.0</v>
      </c>
      <c r="D1683" s="97" t="s">
        <v>182</v>
      </c>
      <c r="E1683" s="201" t="s">
        <v>1134</v>
      </c>
      <c r="F1683" s="236" t="s">
        <v>1035</v>
      </c>
      <c r="G1683" s="194" t="s">
        <v>587</v>
      </c>
      <c r="H1683" s="195" t="s">
        <v>632</v>
      </c>
      <c r="I1683" s="196">
        <v>13000.0</v>
      </c>
      <c r="J1683" s="179">
        <f>5000*48+I1683</f>
        <v>253000</v>
      </c>
      <c r="K1683" s="196">
        <v>12000.0</v>
      </c>
      <c r="L1683" s="87"/>
      <c r="M1683" s="197" t="s">
        <v>587</v>
      </c>
      <c r="N1683" s="168"/>
    </row>
    <row r="1684" ht="22.5" hidden="1" customHeight="1">
      <c r="A1684" s="137" t="s">
        <v>1133</v>
      </c>
      <c r="B1684" s="90">
        <v>46095.0</v>
      </c>
      <c r="C1684" s="55">
        <v>128.0</v>
      </c>
      <c r="D1684" s="97" t="s">
        <v>620</v>
      </c>
      <c r="E1684" s="201" t="s">
        <v>1135</v>
      </c>
      <c r="F1684" s="236" t="s">
        <v>1035</v>
      </c>
      <c r="G1684" s="194" t="s">
        <v>587</v>
      </c>
      <c r="H1684" s="195" t="s">
        <v>632</v>
      </c>
      <c r="I1684" s="196">
        <v>0.0</v>
      </c>
      <c r="J1684" s="179">
        <f>IF(A1684="RAPPI",(VLOOKUP(TRIM(D1684), CATALOGO!F:G, 2, FALSE) * C1684)+I1684,IFERROR(IF(COUNTIF('RESTAURANTESDESCUENTOS 2026'!A:A,TRIM(A1684))&gt;0,((VLOOKUP(TRIM(D1684), CATALOGO!A:B, 2, FALSE) * C1684)*(1-VALUE(SUBSTITUTE(VLOOKUP(TRIM(A1684),'RESTAURANTESDESCUENTOS 2026'!A:B,2,FALSE),"%",""))/100)+I1684),(VLOOKUP(TRIM(D1684), CATALOGO!A:B, 2, FALSE) * C1684+I1684)),""))</f>
        <v>0</v>
      </c>
      <c r="K1684" s="196"/>
      <c r="L1684" s="87"/>
      <c r="M1684" s="197" t="s">
        <v>587</v>
      </c>
      <c r="N1684" s="168"/>
    </row>
    <row r="1685" ht="22.5" hidden="1" customHeight="1">
      <c r="A1685" s="137" t="s">
        <v>1133</v>
      </c>
      <c r="B1685" s="90">
        <v>46095.0</v>
      </c>
      <c r="C1685" s="55">
        <v>128.0</v>
      </c>
      <c r="D1685" s="97" t="s">
        <v>669</v>
      </c>
      <c r="E1685" s="201" t="s">
        <v>1136</v>
      </c>
      <c r="F1685" s="236" t="s">
        <v>1035</v>
      </c>
      <c r="G1685" s="194" t="s">
        <v>587</v>
      </c>
      <c r="H1685" s="195" t="s">
        <v>632</v>
      </c>
      <c r="I1685" s="196">
        <v>0.0</v>
      </c>
      <c r="J1685" s="179">
        <f>IF(A1685="RAPPI",(VLOOKUP(TRIM(D1685), CATALOGO!F:G, 2, FALSE) * C1685)+I1685,IFERROR(IF(COUNTIF('RESTAURANTESDESCUENTOS 2026'!A:A,TRIM(A1685))&gt;0,((VLOOKUP(TRIM(D1685), CATALOGO!A:B, 2, FALSE) * C1685)*(1-VALUE(SUBSTITUTE(VLOOKUP(TRIM(A1685),'RESTAURANTESDESCUENTOS 2026'!A:B,2,FALSE),"%",""))/100)+I1685),(VLOOKUP(TRIM(D1685), CATALOGO!A:B, 2, FALSE) * C1685+I1685)),""))</f>
        <v>0</v>
      </c>
      <c r="K1685" s="196"/>
      <c r="L1685" s="87"/>
      <c r="M1685" s="197" t="s">
        <v>587</v>
      </c>
      <c r="N1685" s="168"/>
    </row>
    <row r="1686" ht="22.5" hidden="1" customHeight="1">
      <c r="A1686" s="137" t="s">
        <v>1137</v>
      </c>
      <c r="B1686" s="90">
        <v>46095.0</v>
      </c>
      <c r="C1686" s="55">
        <v>1.0</v>
      </c>
      <c r="D1686" s="97" t="s">
        <v>189</v>
      </c>
      <c r="E1686" s="201" t="s">
        <v>1138</v>
      </c>
      <c r="F1686" s="236" t="s">
        <v>1035</v>
      </c>
      <c r="G1686" s="194" t="s">
        <v>587</v>
      </c>
      <c r="H1686" s="195" t="s">
        <v>632</v>
      </c>
      <c r="I1686" s="196">
        <v>10000.0</v>
      </c>
      <c r="J1686" s="179">
        <f>IF(A1686="RAPPI",(VLOOKUP(TRIM(D1686), CATALOGO!F:G, 2, FALSE) * C1686)+I1686,IFERROR(IF(COUNTIF('RESTAURANTESDESCUENTOS 2026'!A:A,TRIM(A1686))&gt;0,((VLOOKUP(TRIM(D1686), CATALOGO!A:B, 2, FALSE) * C1686)*(1-VALUE(SUBSTITUTE(VLOOKUP(TRIM(A1686),'RESTAURANTESDESCUENTOS 2026'!A:B,2,FALSE),"%",""))/100)+I1686),(VLOOKUP(TRIM(D1686), CATALOGO!A:B, 2, FALSE) * C1686+I1686)),""))</f>
        <v>155000</v>
      </c>
      <c r="K1686" s="196">
        <v>10000.0</v>
      </c>
      <c r="L1686" s="87"/>
      <c r="M1686" s="197" t="s">
        <v>587</v>
      </c>
      <c r="N1686" s="168"/>
    </row>
    <row r="1687" ht="22.5" hidden="1" customHeight="1">
      <c r="A1687" s="137" t="s">
        <v>1139</v>
      </c>
      <c r="B1687" s="90">
        <v>46095.0</v>
      </c>
      <c r="C1687" s="55">
        <v>1.0</v>
      </c>
      <c r="D1687" s="97" t="s">
        <v>178</v>
      </c>
      <c r="E1687" s="201" t="s">
        <v>1140</v>
      </c>
      <c r="F1687" s="236" t="s">
        <v>1035</v>
      </c>
      <c r="G1687" s="194" t="s">
        <v>587</v>
      </c>
      <c r="H1687" s="195" t="s">
        <v>632</v>
      </c>
      <c r="I1687" s="196">
        <v>10000.0</v>
      </c>
      <c r="J1687" s="179">
        <f>IF(A1687="RAPPI",(VLOOKUP(TRIM(D1687), CATALOGO!F:G, 2, FALSE) * C1687)+I1687,IFERROR(IF(COUNTIF('RESTAURANTESDESCUENTOS 2026'!A:A,TRIM(A1687))&gt;0,((VLOOKUP(TRIM(D1687), CATALOGO!A:B, 2, FALSE) * C1687)*(1-VALUE(SUBSTITUTE(VLOOKUP(TRIM(A1687),'RESTAURANTESDESCUENTOS 2026'!A:B,2,FALSE),"%",""))/100)+I1687),(VLOOKUP(TRIM(D1687), CATALOGO!A:B, 2, FALSE) * C1687+I1687)),""))</f>
        <v>160000</v>
      </c>
      <c r="K1687" s="196">
        <v>10000.0</v>
      </c>
      <c r="L1687" s="87"/>
      <c r="M1687" s="197" t="s">
        <v>587</v>
      </c>
      <c r="N1687" s="168"/>
    </row>
    <row r="1688" ht="22.5" hidden="1" customHeight="1">
      <c r="A1688" s="137" t="s">
        <v>1141</v>
      </c>
      <c r="B1688" s="90">
        <v>46095.0</v>
      </c>
      <c r="C1688" s="55">
        <v>1.0</v>
      </c>
      <c r="D1688" s="97" t="s">
        <v>178</v>
      </c>
      <c r="E1688" s="201" t="s">
        <v>1142</v>
      </c>
      <c r="F1688" s="236" t="s">
        <v>1035</v>
      </c>
      <c r="G1688" s="194" t="s">
        <v>35</v>
      </c>
      <c r="H1688" s="198"/>
      <c r="I1688" s="196"/>
      <c r="J1688" s="179">
        <f>IF(A1688="RAPPI",(VLOOKUP(TRIM(D1688), CATALOGO!F:G, 2, FALSE) * C1688)+I1688,IFERROR(IF(COUNTIF('RESTAURANTESDESCUENTOS 2026'!A:A,TRIM(A1688))&gt;0,((VLOOKUP(TRIM(D1688), CATALOGO!A:B, 2, FALSE) * C1688)*(1-VALUE(SUBSTITUTE(VLOOKUP(TRIM(A1688),'RESTAURANTESDESCUENTOS 2026'!A:B,2,FALSE),"%",""))/100)+I1688),(VLOOKUP(TRIM(D1688), CATALOGO!A:B, 2, FALSE) * C1688+I1688)),""))</f>
        <v>150000</v>
      </c>
      <c r="K1688" s="196"/>
      <c r="L1688" s="87"/>
      <c r="M1688" s="197" t="s">
        <v>587</v>
      </c>
      <c r="N1688" s="168"/>
    </row>
    <row r="1689" ht="22.5" hidden="1" customHeight="1">
      <c r="A1689" s="137" t="s">
        <v>33</v>
      </c>
      <c r="B1689" s="90">
        <v>46095.0</v>
      </c>
      <c r="C1689" s="55">
        <v>2.0</v>
      </c>
      <c r="D1689" s="97" t="s">
        <v>177</v>
      </c>
      <c r="E1689" s="201"/>
      <c r="F1689" s="202"/>
      <c r="G1689" s="194" t="s">
        <v>587</v>
      </c>
      <c r="H1689" s="195" t="s">
        <v>632</v>
      </c>
      <c r="I1689" s="196"/>
      <c r="J1689" s="179">
        <f>IF(A1689="RAPPI",(VLOOKUP(TRIM(D1689), CATALOGO!F:G, 2, FALSE) * C1689)+I1689,IFERROR(IF(COUNTIF('RESTAURANTESDESCUENTOS 2026'!A:A,TRIM(A1689))&gt;0,((VLOOKUP(TRIM(D1689), CATALOGO!A:B, 2, FALSE) * C1689)*(1-VALUE(SUBSTITUTE(VLOOKUP(TRIM(A1689),'RESTAURANTESDESCUENTOS 2026'!A:B,2,FALSE),"%",""))/100)+I1689),(VLOOKUP(TRIM(D1689), CATALOGO!A:B, 2, FALSE) * C1689+I1689)),""))</f>
        <v>172500</v>
      </c>
      <c r="K1689" s="196">
        <v>13000.0</v>
      </c>
      <c r="L1689" s="87">
        <v>635.0</v>
      </c>
      <c r="M1689" s="197" t="s">
        <v>587</v>
      </c>
      <c r="N1689" s="168"/>
    </row>
    <row r="1690" ht="22.5" hidden="1" customHeight="1">
      <c r="A1690" s="137" t="s">
        <v>17</v>
      </c>
      <c r="B1690" s="90">
        <v>46095.0</v>
      </c>
      <c r="C1690" s="55">
        <v>1.0</v>
      </c>
      <c r="D1690" s="97" t="s">
        <v>178</v>
      </c>
      <c r="E1690" s="201"/>
      <c r="F1690" s="202"/>
      <c r="G1690" s="194" t="s">
        <v>587</v>
      </c>
      <c r="H1690" s="195" t="s">
        <v>632</v>
      </c>
      <c r="I1690" s="196">
        <v>10000.0</v>
      </c>
      <c r="J1690" s="179">
        <f>IF(A1690="RAPPI",(VLOOKUP(TRIM(D1690), CATALOGO!F:G, 2, FALSE) * C1690)+I1690,IFERROR(IF(COUNTIF('RESTAURANTESDESCUENTOS 2026'!A:A,TRIM(A1690))&gt;0,((VLOOKUP(TRIM(D1690), CATALOGO!A:B, 2, FALSE) * C1690)*(1-VALUE(SUBSTITUTE(VLOOKUP(TRIM(A1690),'RESTAURANTESDESCUENTOS 2026'!A:B,2,FALSE),"%",""))/100)+I1690),(VLOOKUP(TRIM(D1690), CATALOGO!A:B, 2, FALSE) * C1690+I1690)),""))</f>
        <v>122500</v>
      </c>
      <c r="K1690" s="196">
        <v>10000.0</v>
      </c>
      <c r="L1690" s="87">
        <v>633.0</v>
      </c>
      <c r="M1690" s="197" t="s">
        <v>587</v>
      </c>
      <c r="N1690" s="168"/>
    </row>
    <row r="1691" ht="22.5" hidden="1" customHeight="1">
      <c r="A1691" s="137" t="s">
        <v>55</v>
      </c>
      <c r="B1691" s="90">
        <v>46095.0</v>
      </c>
      <c r="C1691" s="55">
        <v>3.0</v>
      </c>
      <c r="D1691" s="97" t="s">
        <v>178</v>
      </c>
      <c r="E1691" s="201"/>
      <c r="F1691" s="202"/>
      <c r="G1691" s="194" t="s">
        <v>587</v>
      </c>
      <c r="H1691" s="195" t="s">
        <v>632</v>
      </c>
      <c r="I1691" s="196">
        <v>0.0</v>
      </c>
      <c r="J1691" s="179">
        <f>IF(A1691="RAPPI",(VLOOKUP(TRIM(D1691), CATALOGO!F:G, 2, FALSE) * C1691)+I1691,IFERROR(IF(COUNTIF('RESTAURANTESDESCUENTOS 2026'!A:A,TRIM(A1691))&gt;0,((VLOOKUP(TRIM(D1691), CATALOGO!A:B, 2, FALSE) * C1691)*(1-VALUE(SUBSTITUTE(VLOOKUP(TRIM(A1691),'RESTAURANTESDESCUENTOS 2026'!A:B,2,FALSE),"%",""))/100)+I1691),(VLOOKUP(TRIM(D1691), CATALOGO!A:B, 2, FALSE) * C1691+I1691)),""))</f>
        <v>337500</v>
      </c>
      <c r="K1691" s="196"/>
      <c r="L1691" s="87">
        <v>634.0</v>
      </c>
      <c r="M1691" s="197" t="s">
        <v>587</v>
      </c>
      <c r="N1691" s="168"/>
    </row>
    <row r="1692" ht="22.5" hidden="1" customHeight="1">
      <c r="A1692" s="137" t="s">
        <v>1143</v>
      </c>
      <c r="B1692" s="90">
        <v>46095.0</v>
      </c>
      <c r="C1692" s="55">
        <v>1.0</v>
      </c>
      <c r="D1692" s="97" t="s">
        <v>601</v>
      </c>
      <c r="E1692" s="201"/>
      <c r="F1692" s="236" t="s">
        <v>1035</v>
      </c>
      <c r="G1692" s="194" t="s">
        <v>587</v>
      </c>
      <c r="H1692" s="195" t="s">
        <v>632</v>
      </c>
      <c r="I1692" s="196">
        <v>14000.0</v>
      </c>
      <c r="J1692" s="179">
        <f>IF(A1692="RAPPI",(VLOOKUP(TRIM(D1692), CATALOGO!F:G, 2, FALSE) * C1692)+I1692,IFERROR(IF(COUNTIF('RESTAURANTESDESCUENTOS 2026'!A:A,TRIM(A1692))&gt;0,((VLOOKUP(TRIM(D1692), CATALOGO!A:B, 2, FALSE) * C1692)*(1-VALUE(SUBSTITUTE(VLOOKUP(TRIM(A1692),'RESTAURANTESDESCUENTOS 2026'!A:B,2,FALSE),"%",""))/100)+I1692),(VLOOKUP(TRIM(D1692), CATALOGO!A:B, 2, FALSE) * C1692+I1692)),""))</f>
        <v>67000</v>
      </c>
      <c r="K1692" s="196">
        <v>14000.0</v>
      </c>
      <c r="L1692" s="87"/>
      <c r="M1692" s="197" t="s">
        <v>587</v>
      </c>
      <c r="N1692" s="168"/>
    </row>
    <row r="1693" ht="22.5" hidden="1" customHeight="1">
      <c r="A1693" s="137" t="s">
        <v>1069</v>
      </c>
      <c r="B1693" s="90">
        <v>46095.0</v>
      </c>
      <c r="C1693" s="55">
        <v>1.0</v>
      </c>
      <c r="D1693" s="97" t="s">
        <v>174</v>
      </c>
      <c r="E1693" s="201"/>
      <c r="F1693" s="236" t="s">
        <v>1035</v>
      </c>
      <c r="G1693" s="194"/>
      <c r="H1693" s="198"/>
      <c r="I1693" s="196"/>
      <c r="J1693" s="179">
        <f>IF(A1693="RAPPI",(VLOOKUP(TRIM(D1693), CATALOGO!F:G, 2, FALSE) * C1693)+I1693,IFERROR(IF(COUNTIF('RESTAURANTESDESCUENTOS 2026'!A:A,TRIM(A1693))&gt;0,((VLOOKUP(TRIM(D1693), CATALOGO!A:B, 2, FALSE) * C1693)*(1-VALUE(SUBSTITUTE(VLOOKUP(TRIM(A1693),'RESTAURANTESDESCUENTOS 2026'!A:B,2,FALSE),"%",""))/100)+I1693),(VLOOKUP(TRIM(D1693), CATALOGO!A:B, 2, FALSE) * C1693+I1693)),""))</f>
        <v>18000</v>
      </c>
      <c r="K1693" s="196"/>
      <c r="L1693" s="87"/>
      <c r="M1693" s="197" t="s">
        <v>587</v>
      </c>
      <c r="N1693" s="168"/>
    </row>
    <row r="1694" ht="22.5" hidden="1" customHeight="1">
      <c r="A1694" s="137" t="s">
        <v>1144</v>
      </c>
      <c r="B1694" s="90">
        <v>46095.0</v>
      </c>
      <c r="C1694" s="55">
        <v>1.0</v>
      </c>
      <c r="D1694" s="97" t="s">
        <v>177</v>
      </c>
      <c r="E1694" s="201"/>
      <c r="F1694" s="236" t="s">
        <v>1035</v>
      </c>
      <c r="G1694" s="194" t="s">
        <v>587</v>
      </c>
      <c r="H1694" s="195" t="s">
        <v>632</v>
      </c>
      <c r="I1694" s="196">
        <v>12000.0</v>
      </c>
      <c r="J1694" s="179">
        <f>IF(A1694="RAPPI",(VLOOKUP(TRIM(D1694), CATALOGO!F:G, 2, FALSE) * C1694)+I1694,IFERROR(IF(COUNTIF('RESTAURANTESDESCUENTOS 2026'!A:A,TRIM(A1694))&gt;0,((VLOOKUP(TRIM(D1694), CATALOGO!A:B, 2, FALSE) * C1694)*(1-VALUE(SUBSTITUTE(VLOOKUP(TRIM(A1694),'RESTAURANTESDESCUENTOS 2026'!A:B,2,FALSE),"%",""))/100)+I1694),(VLOOKUP(TRIM(D1694), CATALOGO!A:B, 2, FALSE) * C1694+I1694)),""))</f>
        <v>127000</v>
      </c>
      <c r="K1694" s="196">
        <v>12000.0</v>
      </c>
      <c r="L1694" s="87"/>
      <c r="M1694" s="197" t="s">
        <v>587</v>
      </c>
      <c r="N1694" s="168"/>
    </row>
    <row r="1695" ht="22.5" hidden="1" customHeight="1">
      <c r="A1695" s="137" t="s">
        <v>1047</v>
      </c>
      <c r="B1695" s="90">
        <v>46095.0</v>
      </c>
      <c r="C1695" s="55">
        <v>1.0</v>
      </c>
      <c r="D1695" s="97" t="s">
        <v>678</v>
      </c>
      <c r="E1695" s="247"/>
      <c r="F1695" s="236" t="s">
        <v>1035</v>
      </c>
      <c r="G1695" s="194"/>
      <c r="H1695" s="198"/>
      <c r="I1695" s="196">
        <v>10000.0</v>
      </c>
      <c r="J1695" s="179">
        <f>IF(A1695="RAPPI",(VLOOKUP(TRIM(D1695), CATALOGO!F:G, 2, FALSE) * C1695)+I1695,IFERROR(IF(COUNTIF('RESTAURANTESDESCUENTOS 2026'!A:A,TRIM(A1695))&gt;0,((VLOOKUP(TRIM(D1695), CATALOGO!A:B, 2, FALSE) * C1695)*(1-VALUE(SUBSTITUTE(VLOOKUP(TRIM(A1695),'RESTAURANTESDESCUENTOS 2026'!A:B,2,FALSE),"%",""))/100)+I1695),(VLOOKUP(TRIM(D1695), CATALOGO!A:B, 2, FALSE) * C1695+I1695)),""))</f>
        <v>133000</v>
      </c>
      <c r="K1695" s="196">
        <v>13000.0</v>
      </c>
      <c r="L1695" s="87">
        <v>792.0</v>
      </c>
      <c r="M1695" s="197" t="s">
        <v>587</v>
      </c>
      <c r="N1695" s="168"/>
    </row>
    <row r="1696" ht="22.5" hidden="1" customHeight="1">
      <c r="A1696" s="137" t="s">
        <v>1069</v>
      </c>
      <c r="B1696" s="90">
        <v>46095.0</v>
      </c>
      <c r="C1696" s="55">
        <v>1.0</v>
      </c>
      <c r="D1696" s="97" t="s">
        <v>187</v>
      </c>
      <c r="E1696" s="201"/>
      <c r="F1696" s="236" t="s">
        <v>1036</v>
      </c>
      <c r="G1696" s="194" t="s">
        <v>35</v>
      </c>
      <c r="H1696" s="198"/>
      <c r="I1696" s="196"/>
      <c r="J1696" s="179">
        <f>IF(A1696="RAPPI",(VLOOKUP(TRIM(D1696), CATALOGO!F:G, 2, FALSE) * C1696)+I1696,IFERROR(IF(COUNTIF('RESTAURANTESDESCUENTOS 2026'!A:A,TRIM(A1696))&gt;0,((VLOOKUP(TRIM(D1696), CATALOGO!A:B, 2, FALSE) * C1696)*(1-VALUE(SUBSTITUTE(VLOOKUP(TRIM(A1696),'RESTAURANTESDESCUENTOS 2026'!A:B,2,FALSE),"%",""))/100)+I1696),(VLOOKUP(TRIM(D1696), CATALOGO!A:B, 2, FALSE) * C1696+I1696)),""))</f>
        <v>55000</v>
      </c>
      <c r="K1696" s="196"/>
      <c r="L1696" s="87"/>
      <c r="M1696" s="197" t="s">
        <v>587</v>
      </c>
      <c r="N1696" s="168"/>
    </row>
    <row r="1697" ht="22.5" hidden="1" customHeight="1">
      <c r="A1697" s="137" t="s">
        <v>49</v>
      </c>
      <c r="B1697" s="90">
        <v>46095.0</v>
      </c>
      <c r="C1697" s="55">
        <v>3.0</v>
      </c>
      <c r="D1697" s="97" t="s">
        <v>177</v>
      </c>
      <c r="E1697" s="201"/>
      <c r="F1697" s="202"/>
      <c r="G1697" s="194" t="s">
        <v>587</v>
      </c>
      <c r="H1697" s="195" t="s">
        <v>632</v>
      </c>
      <c r="I1697" s="196">
        <v>0.0</v>
      </c>
      <c r="J1697" s="179">
        <f>IF(A1697="RAPPI",(VLOOKUP(TRIM(D1697), CATALOGO!F:G, 2, FALSE) * C1697)+I1697,IFERROR(IF(COUNTIF('RESTAURANTESDESCUENTOS 2026'!A:A,TRIM(A1697))&gt;0,((VLOOKUP(TRIM(D1697), CATALOGO!A:B, 2, FALSE) * C1697)*(1-VALUE(SUBSTITUTE(VLOOKUP(TRIM(A1697),'RESTAURANTESDESCUENTOS 2026'!A:B,2,FALSE),"%",""))/100)+I1697),(VLOOKUP(TRIM(D1697), CATALOGO!A:B, 2, FALSE) * C1697+I1697)),""))</f>
        <v>258750</v>
      </c>
      <c r="K1697" s="196">
        <v>55000.0</v>
      </c>
      <c r="L1697" s="87"/>
      <c r="M1697" s="197" t="s">
        <v>587</v>
      </c>
      <c r="N1697" s="168"/>
    </row>
    <row r="1698" ht="22.5" hidden="1" customHeight="1">
      <c r="A1698" s="137" t="s">
        <v>650</v>
      </c>
      <c r="B1698" s="90">
        <v>46095.0</v>
      </c>
      <c r="C1698" s="55">
        <v>1.0</v>
      </c>
      <c r="D1698" s="97" t="s">
        <v>178</v>
      </c>
      <c r="E1698" s="201"/>
      <c r="F1698" s="202"/>
      <c r="G1698" s="194" t="s">
        <v>587</v>
      </c>
      <c r="H1698" s="195" t="s">
        <v>632</v>
      </c>
      <c r="I1698" s="196">
        <v>0.0</v>
      </c>
      <c r="J1698" s="179">
        <f>IF(A1698="RAPPI",(VLOOKUP(TRIM(D1698), CATALOGO!F:G, 2, FALSE) * C1698)+I1698,IFERROR(IF(COUNTIF('RESTAURANTESDESCUENTOS 2026'!A:A,TRIM(A1698))&gt;0,((VLOOKUP(TRIM(D1698), CATALOGO!A:B, 2, FALSE) * C1698)*(1-VALUE(SUBSTITUTE(VLOOKUP(TRIM(A1698),'RESTAURANTESDESCUENTOS 2026'!A:B,2,FALSE),"%",""))/100)+I1698),(VLOOKUP(TRIM(D1698), CATALOGO!A:B, 2, FALSE) * C1698+I1698)),""))</f>
        <v>112500</v>
      </c>
      <c r="K1698" s="196">
        <v>55000.0</v>
      </c>
      <c r="L1698" s="87"/>
      <c r="M1698" s="197" t="s">
        <v>587</v>
      </c>
      <c r="N1698" s="168"/>
    </row>
    <row r="1699" ht="22.5" hidden="1" customHeight="1">
      <c r="A1699" s="137" t="s">
        <v>1069</v>
      </c>
      <c r="B1699" s="90">
        <v>46095.0</v>
      </c>
      <c r="C1699" s="55">
        <v>1.0</v>
      </c>
      <c r="D1699" s="97" t="s">
        <v>628</v>
      </c>
      <c r="E1699" s="201"/>
      <c r="F1699" s="236" t="s">
        <v>1036</v>
      </c>
      <c r="G1699" s="194" t="s">
        <v>35</v>
      </c>
      <c r="H1699" s="198"/>
      <c r="I1699" s="196"/>
      <c r="J1699" s="179">
        <f>IF(A1699="RAPPI",(VLOOKUP(TRIM(D1699), CATALOGO!F:G, 2, FALSE) * C1699)+I1699,IFERROR(IF(COUNTIF('RESTAURANTESDESCUENTOS 2026'!A:A,TRIM(A1699))&gt;0,((VLOOKUP(TRIM(D1699), CATALOGO!A:B, 2, FALSE) * C1699)*(1-VALUE(SUBSTITUTE(VLOOKUP(TRIM(A1699),'RESTAURANTESDESCUENTOS 2026'!A:B,2,FALSE),"%",""))/100)+I1699),(VLOOKUP(TRIM(D1699), CATALOGO!A:B, 2, FALSE) * C1699+I1699)),""))</f>
        <v>22000</v>
      </c>
      <c r="K1699" s="196"/>
      <c r="L1699" s="87"/>
      <c r="M1699" s="197" t="s">
        <v>587</v>
      </c>
      <c r="N1699" s="168"/>
    </row>
    <row r="1700" ht="22.5" hidden="1" customHeight="1">
      <c r="A1700" s="137" t="s">
        <v>1145</v>
      </c>
      <c r="B1700" s="90">
        <v>46095.0</v>
      </c>
      <c r="C1700" s="55">
        <v>1.0</v>
      </c>
      <c r="D1700" s="97" t="s">
        <v>182</v>
      </c>
      <c r="E1700" s="201" t="s">
        <v>1146</v>
      </c>
      <c r="F1700" s="236" t="s">
        <v>1035</v>
      </c>
      <c r="G1700" s="194" t="s">
        <v>587</v>
      </c>
      <c r="H1700" s="195" t="s">
        <v>632</v>
      </c>
      <c r="I1700" s="196">
        <v>10000.0</v>
      </c>
      <c r="J1700" s="179">
        <f>IF(A1700="RAPPI",(VLOOKUP(TRIM(D1700), CATALOGO!F:G, 2, FALSE) * C1700)+I1700,IFERROR(IF(COUNTIF('RESTAURANTESDESCUENTOS 2026'!A:A,TRIM(A1700))&gt;0,((VLOOKUP(TRIM(D1700), CATALOGO!A:B, 2, FALSE) * C1700)*(1-VALUE(SUBSTITUTE(VLOOKUP(TRIM(A1700),'RESTAURANTESDESCUENTOS 2026'!A:B,2,FALSE),"%",""))/100)+I1700),(VLOOKUP(TRIM(D1700), CATALOGO!A:B, 2, FALSE) * C1700+I1700)),""))</f>
        <v>47000</v>
      </c>
      <c r="K1700" s="196">
        <v>10000.0</v>
      </c>
      <c r="L1700" s="87"/>
      <c r="M1700" s="197" t="s">
        <v>587</v>
      </c>
      <c r="N1700" s="168"/>
    </row>
    <row r="1701" ht="22.5" hidden="1" customHeight="1">
      <c r="A1701" s="137" t="s">
        <v>1069</v>
      </c>
      <c r="B1701" s="90">
        <v>46095.0</v>
      </c>
      <c r="C1701" s="55">
        <v>1.0</v>
      </c>
      <c r="D1701" s="97" t="s">
        <v>640</v>
      </c>
      <c r="E1701" s="201"/>
      <c r="F1701" s="236" t="s">
        <v>1036</v>
      </c>
      <c r="G1701" s="194" t="s">
        <v>35</v>
      </c>
      <c r="H1701" s="198"/>
      <c r="I1701" s="196"/>
      <c r="J1701" s="179">
        <f>IF(A1701="RAPPI",(VLOOKUP(TRIM(D1701), CATALOGO!F:G, 2, FALSE) * C1701)+I1701,IFERROR(IF(COUNTIF('RESTAURANTESDESCUENTOS 2026'!A:A,TRIM(A1701))&gt;0,((VLOOKUP(TRIM(D1701), CATALOGO!A:B, 2, FALSE) * C1701)*(1-VALUE(SUBSTITUTE(VLOOKUP(TRIM(A1701),'RESTAURANTESDESCUENTOS 2026'!A:B,2,FALSE),"%",""))/100)+I1701),(VLOOKUP(TRIM(D1701), CATALOGO!A:B, 2, FALSE) * C1701+I1701)),""))</f>
        <v>53000</v>
      </c>
      <c r="K1701" s="196"/>
      <c r="L1701" s="87"/>
      <c r="M1701" s="197" t="s">
        <v>587</v>
      </c>
      <c r="N1701" s="168"/>
    </row>
    <row r="1702" ht="22.5" hidden="1" customHeight="1">
      <c r="A1702" s="137" t="s">
        <v>1147</v>
      </c>
      <c r="B1702" s="90">
        <v>46095.0</v>
      </c>
      <c r="C1702" s="55">
        <v>1.0</v>
      </c>
      <c r="D1702" s="97" t="s">
        <v>739</v>
      </c>
      <c r="E1702" s="201" t="s">
        <v>1148</v>
      </c>
      <c r="F1702" s="236" t="s">
        <v>1035</v>
      </c>
      <c r="G1702" s="194" t="s">
        <v>587</v>
      </c>
      <c r="H1702" s="195" t="s">
        <v>588</v>
      </c>
      <c r="I1702" s="196">
        <v>10000.0</v>
      </c>
      <c r="J1702" s="179">
        <f>IF(A1702="RAPPI",(VLOOKUP(TRIM(D1702), CATALOGO!F:G, 2, FALSE) * C1702)+I1702,IFERROR(IF(COUNTIF('RESTAURANTESDESCUENTOS 2026'!A:A,TRIM(A1702))&gt;0,((VLOOKUP(TRIM(D1702), CATALOGO!A:B, 2, FALSE) * C1702)*(1-VALUE(SUBSTITUTE(VLOOKUP(TRIM(A1702),'RESTAURANTESDESCUENTOS 2026'!A:B,2,FALSE),"%",""))/100)+I1702),(VLOOKUP(TRIM(D1702), CATALOGO!A:B, 2, FALSE) * C1702+I1702)),""))</f>
        <v>173000</v>
      </c>
      <c r="K1702" s="196">
        <v>15000.0</v>
      </c>
      <c r="L1702" s="87"/>
      <c r="M1702" s="197" t="s">
        <v>587</v>
      </c>
      <c r="N1702" s="168"/>
    </row>
    <row r="1703" ht="22.5" hidden="1" customHeight="1">
      <c r="A1703" s="137" t="s">
        <v>1149</v>
      </c>
      <c r="B1703" s="90">
        <v>46095.0</v>
      </c>
      <c r="C1703" s="55">
        <v>1.0</v>
      </c>
      <c r="D1703" s="97" t="s">
        <v>640</v>
      </c>
      <c r="E1703" s="201"/>
      <c r="F1703" s="236" t="s">
        <v>1035</v>
      </c>
      <c r="G1703" s="194" t="s">
        <v>587</v>
      </c>
      <c r="H1703" s="195" t="s">
        <v>588</v>
      </c>
      <c r="I1703" s="196">
        <v>12000.0</v>
      </c>
      <c r="J1703" s="179">
        <f>IF(A1703="RAPPI",(VLOOKUP(TRIM(D1703), CATALOGO!F:G, 2, FALSE) * C1703)+I1703,IFERROR(IF(COUNTIF('RESTAURANTESDESCUENTOS 2026'!A:A,TRIM(A1703))&gt;0,((VLOOKUP(TRIM(D1703), CATALOGO!A:B, 2, FALSE) * C1703)*(1-VALUE(SUBSTITUTE(VLOOKUP(TRIM(A1703),'RESTAURANTESDESCUENTOS 2026'!A:B,2,FALSE),"%",""))/100)+I1703),(VLOOKUP(TRIM(D1703), CATALOGO!A:B, 2, FALSE) * C1703+I1703)),""))</f>
        <v>65000</v>
      </c>
      <c r="K1703" s="196"/>
      <c r="L1703" s="87"/>
      <c r="M1703" s="197" t="s">
        <v>587</v>
      </c>
      <c r="N1703" s="168"/>
    </row>
    <row r="1704" ht="22.5" hidden="1" customHeight="1">
      <c r="A1704" s="137" t="s">
        <v>1078</v>
      </c>
      <c r="B1704" s="90">
        <v>46095.0</v>
      </c>
      <c r="C1704" s="55">
        <v>1.0</v>
      </c>
      <c r="D1704" s="97" t="s">
        <v>178</v>
      </c>
      <c r="E1704" s="201"/>
      <c r="F1704" s="202"/>
      <c r="G1704" s="194" t="s">
        <v>587</v>
      </c>
      <c r="H1704" s="195" t="s">
        <v>632</v>
      </c>
      <c r="I1704" s="196">
        <v>5000.0</v>
      </c>
      <c r="J1704" s="179">
        <f>IF(A1704="RAPPI",(VLOOKUP(TRIM(D1704), CATALOGO!F:G, 2, FALSE) * C1704)+I1704,IFERROR(IF(COUNTIF('RESTAURANTESDESCUENTOS 2026'!A:A,TRIM(A1704))&gt;0,((VLOOKUP(TRIM(D1704), CATALOGO!A:B, 2, FALSE) * C1704)*(1-VALUE(SUBSTITUTE(VLOOKUP(TRIM(A1704),'RESTAURANTESDESCUENTOS 2026'!A:B,2,FALSE),"%",""))/100)+I1704),(VLOOKUP(TRIM(D1704), CATALOGO!A:B, 2, FALSE) * C1704+I1704)),""))</f>
        <v>110000</v>
      </c>
      <c r="K1704" s="196">
        <v>10000.0</v>
      </c>
      <c r="L1704" s="87">
        <v>649.0</v>
      </c>
      <c r="M1704" s="197" t="s">
        <v>587</v>
      </c>
      <c r="N1704" s="168"/>
    </row>
    <row r="1705" ht="22.5" hidden="1" customHeight="1">
      <c r="A1705" s="137" t="s">
        <v>1078</v>
      </c>
      <c r="B1705" s="90">
        <v>46095.0</v>
      </c>
      <c r="C1705" s="55">
        <v>150.0</v>
      </c>
      <c r="D1705" s="97" t="s">
        <v>236</v>
      </c>
      <c r="E1705" s="201" t="s">
        <v>1150</v>
      </c>
      <c r="F1705" s="202"/>
      <c r="G1705" s="194" t="s">
        <v>587</v>
      </c>
      <c r="H1705" s="195" t="s">
        <v>632</v>
      </c>
      <c r="I1705" s="196"/>
      <c r="J1705" s="179">
        <f>110*150</f>
        <v>16500</v>
      </c>
      <c r="K1705" s="196"/>
      <c r="L1705" s="87">
        <v>649.0</v>
      </c>
      <c r="M1705" s="197" t="s">
        <v>587</v>
      </c>
      <c r="N1705" s="168"/>
    </row>
    <row r="1706" ht="22.5" hidden="1" customHeight="1">
      <c r="A1706" s="137" t="s">
        <v>1069</v>
      </c>
      <c r="B1706" s="90">
        <v>46095.0</v>
      </c>
      <c r="C1706" s="55">
        <v>1.0</v>
      </c>
      <c r="D1706" s="97" t="s">
        <v>176</v>
      </c>
      <c r="E1706" s="201"/>
      <c r="F1706" s="236" t="s">
        <v>1035</v>
      </c>
      <c r="G1706" s="194"/>
      <c r="H1706" s="198"/>
      <c r="I1706" s="196"/>
      <c r="J1706" s="179">
        <f>IF(A1706="RAPPI",(VLOOKUP(TRIM(D1706), CATALOGO!F:G, 2, FALSE) * C1706)+I1706,IFERROR(IF(COUNTIF('RESTAURANTESDESCUENTOS 2026'!A:A,TRIM(A1706))&gt;0,((VLOOKUP(TRIM(D1706), CATALOGO!A:B, 2, FALSE) * C1706)*(1-VALUE(SUBSTITUTE(VLOOKUP(TRIM(A1706),'RESTAURANTESDESCUENTOS 2026'!A:B,2,FALSE),"%",""))/100)+I1706),(VLOOKUP(TRIM(D1706), CATALOGO!A:B, 2, FALSE) * C1706+I1706)),""))</f>
        <v>50000</v>
      </c>
      <c r="K1706" s="196"/>
      <c r="L1706" s="87">
        <v>653.0</v>
      </c>
      <c r="M1706" s="197" t="s">
        <v>587</v>
      </c>
      <c r="N1706" s="168"/>
    </row>
    <row r="1707" ht="22.5" hidden="1" customHeight="1">
      <c r="A1707" s="137" t="s">
        <v>1069</v>
      </c>
      <c r="B1707" s="90">
        <v>46095.0</v>
      </c>
      <c r="C1707" s="55">
        <v>1.0</v>
      </c>
      <c r="D1707" s="97" t="s">
        <v>176</v>
      </c>
      <c r="E1707" s="201"/>
      <c r="F1707" s="236" t="s">
        <v>1036</v>
      </c>
      <c r="G1707" s="194" t="s">
        <v>35</v>
      </c>
      <c r="H1707" s="198"/>
      <c r="I1707" s="196"/>
      <c r="J1707" s="179">
        <f>IF(A1707="RAPPI",(VLOOKUP(TRIM(D1707), CATALOGO!F:G, 2, FALSE) * C1707)+I1707,IFERROR(IF(COUNTIF('RESTAURANTESDESCUENTOS 2026'!A:A,TRIM(A1707))&gt;0,((VLOOKUP(TRIM(D1707), CATALOGO!A:B, 2, FALSE) * C1707)*(1-VALUE(SUBSTITUTE(VLOOKUP(TRIM(A1707),'RESTAURANTESDESCUENTOS 2026'!A:B,2,FALSE),"%",""))/100)+I1707),(VLOOKUP(TRIM(D1707), CATALOGO!A:B, 2, FALSE) * C1707+I1707)),""))</f>
        <v>50000</v>
      </c>
      <c r="K1707" s="196"/>
      <c r="L1707" s="87">
        <v>653.0</v>
      </c>
      <c r="M1707" s="197" t="s">
        <v>587</v>
      </c>
      <c r="N1707" s="168"/>
    </row>
    <row r="1708" ht="22.5" hidden="1" customHeight="1">
      <c r="A1708" s="137" t="s">
        <v>1069</v>
      </c>
      <c r="B1708" s="90">
        <v>46095.0</v>
      </c>
      <c r="C1708" s="55">
        <v>1.0</v>
      </c>
      <c r="D1708" s="97" t="s">
        <v>174</v>
      </c>
      <c r="E1708" s="201"/>
      <c r="F1708" s="236" t="s">
        <v>1036</v>
      </c>
      <c r="G1708" s="194" t="s">
        <v>35</v>
      </c>
      <c r="H1708" s="198"/>
      <c r="I1708" s="196"/>
      <c r="J1708" s="179">
        <f>IF(A1708="RAPPI",(VLOOKUP(TRIM(D1708), CATALOGO!F:G, 2, FALSE) * C1708)+I1708,IFERROR(IF(COUNTIF('RESTAURANTESDESCUENTOS 2026'!A:A,TRIM(A1708))&gt;0,((VLOOKUP(TRIM(D1708), CATALOGO!A:B, 2, FALSE) * C1708)*(1-VALUE(SUBSTITUTE(VLOOKUP(TRIM(A1708),'RESTAURANTESDESCUENTOS 2026'!A:B,2,FALSE),"%",""))/100)+I1708),(VLOOKUP(TRIM(D1708), CATALOGO!A:B, 2, FALSE) * C1708+I1708)),""))</f>
        <v>18000</v>
      </c>
      <c r="K1708" s="196"/>
      <c r="L1708" s="87">
        <v>653.0</v>
      </c>
      <c r="M1708" s="197" t="s">
        <v>587</v>
      </c>
      <c r="N1708" s="168"/>
    </row>
    <row r="1709" ht="22.5" hidden="1" customHeight="1">
      <c r="A1709" s="137" t="s">
        <v>603</v>
      </c>
      <c r="B1709" s="90">
        <v>46095.0</v>
      </c>
      <c r="C1709" s="55">
        <v>1.0</v>
      </c>
      <c r="D1709" s="97" t="s">
        <v>617</v>
      </c>
      <c r="E1709" s="201"/>
      <c r="F1709" s="236" t="s">
        <v>603</v>
      </c>
      <c r="G1709" s="194" t="s">
        <v>587</v>
      </c>
      <c r="H1709" s="195" t="s">
        <v>603</v>
      </c>
      <c r="I1709" s="196"/>
      <c r="J1709" s="179">
        <f>IF(A1709="RAPPI",(VLOOKUP(TRIM(D1709), CATALOGO!F:G, 2, FALSE) * C1709)+I1709,IFERROR(IF(COUNTIF('RESTAURANTESDESCUENTOS 2026'!A:A,TRIM(A1709))&gt;0,((VLOOKUP(TRIM(D1709), CATALOGO!A:B, 2, FALSE) * C1709)*(1-VALUE(SUBSTITUTE(VLOOKUP(TRIM(A1709),'RESTAURANTESDESCUENTOS 2026'!A:B,2,FALSE),"%",""))/100)+I1709),(VLOOKUP(TRIM(D1709), CATALOGO!A:B, 2, FALSE) * C1709+I1709)),""))</f>
        <v>123000</v>
      </c>
      <c r="K1709" s="196"/>
      <c r="L1709" s="87">
        <v>654.0</v>
      </c>
      <c r="M1709" s="197" t="s">
        <v>587</v>
      </c>
      <c r="N1709" s="168"/>
    </row>
    <row r="1710" ht="22.5" hidden="1" customHeight="1">
      <c r="A1710" s="137" t="s">
        <v>603</v>
      </c>
      <c r="B1710" s="90">
        <v>46095.0</v>
      </c>
      <c r="C1710" s="55">
        <v>1.0</v>
      </c>
      <c r="D1710" s="97" t="s">
        <v>178</v>
      </c>
      <c r="E1710" s="201"/>
      <c r="F1710" s="236" t="s">
        <v>603</v>
      </c>
      <c r="G1710" s="194" t="s">
        <v>587</v>
      </c>
      <c r="H1710" s="195" t="s">
        <v>603</v>
      </c>
      <c r="I1710" s="196"/>
      <c r="J1710" s="179">
        <f>IF(A1710="RAPPI",(VLOOKUP(TRIM(D1710), CATALOGO!F:G, 2, FALSE) * C1710)+I1710,IFERROR(IF(COUNTIF('RESTAURANTESDESCUENTOS 2026'!A:A,TRIM(A1710))&gt;0,((VLOOKUP(TRIM(D1710), CATALOGO!A:B, 2, FALSE) * C1710)*(1-VALUE(SUBSTITUTE(VLOOKUP(TRIM(A1710),'RESTAURANTESDESCUENTOS 2026'!A:B,2,FALSE),"%",""))/100)+I1710),(VLOOKUP(TRIM(D1710), CATALOGO!A:B, 2, FALSE) * C1710+I1710)),""))</f>
        <v>150000</v>
      </c>
      <c r="K1710" s="196"/>
      <c r="L1710" s="87">
        <v>654.0</v>
      </c>
      <c r="M1710" s="197" t="s">
        <v>587</v>
      </c>
      <c r="N1710" s="168"/>
    </row>
    <row r="1711" ht="22.5" hidden="1" customHeight="1">
      <c r="A1711" s="137" t="s">
        <v>603</v>
      </c>
      <c r="B1711" s="90">
        <v>46095.0</v>
      </c>
      <c r="C1711" s="55">
        <v>1.0</v>
      </c>
      <c r="D1711" s="97" t="s">
        <v>186</v>
      </c>
      <c r="E1711" s="201"/>
      <c r="F1711" s="236" t="s">
        <v>603</v>
      </c>
      <c r="G1711" s="194" t="s">
        <v>587</v>
      </c>
      <c r="H1711" s="195" t="s">
        <v>603</v>
      </c>
      <c r="I1711" s="196"/>
      <c r="J1711" s="179">
        <f>IF(A1711="RAPPI",(VLOOKUP(TRIM(D1711), CATALOGO!F:G, 2, FALSE) * C1711)+I1711,IFERROR(IF(COUNTIF('RESTAURANTESDESCUENTOS 2026'!A:A,TRIM(A1711))&gt;0,((VLOOKUP(TRIM(D1711), CATALOGO!A:B, 2, FALSE) * C1711)*(1-VALUE(SUBSTITUTE(VLOOKUP(TRIM(A1711),'RESTAURANTESDESCUENTOS 2026'!A:B,2,FALSE),"%",""))/100)+I1711),(VLOOKUP(TRIM(D1711), CATALOGO!A:B, 2, FALSE) * C1711+I1711)),""))</f>
        <v>55000</v>
      </c>
      <c r="K1711" s="196"/>
      <c r="L1711" s="87">
        <v>654.0</v>
      </c>
      <c r="M1711" s="197" t="s">
        <v>587</v>
      </c>
      <c r="N1711" s="168"/>
    </row>
    <row r="1712" ht="22.5" hidden="1" customHeight="1">
      <c r="A1712" s="137" t="s">
        <v>603</v>
      </c>
      <c r="B1712" s="90">
        <v>46095.0</v>
      </c>
      <c r="C1712" s="55">
        <v>1.0</v>
      </c>
      <c r="D1712" s="97" t="s">
        <v>199</v>
      </c>
      <c r="E1712" s="201"/>
      <c r="F1712" s="236" t="s">
        <v>603</v>
      </c>
      <c r="G1712" s="194" t="s">
        <v>587</v>
      </c>
      <c r="H1712" s="195" t="s">
        <v>603</v>
      </c>
      <c r="I1712" s="196"/>
      <c r="J1712" s="179">
        <f>IF(A1712="RAPPI",(VLOOKUP(TRIM(D1712), CATALOGO!F:G, 2, FALSE) * C1712)+I1712,IFERROR(IF(COUNTIF('RESTAURANTESDESCUENTOS 2026'!A:A,TRIM(A1712))&gt;0,((VLOOKUP(TRIM(D1712), CATALOGO!A:B, 2, FALSE) * C1712)*(1-VALUE(SUBSTITUTE(VLOOKUP(TRIM(A1712),'RESTAURANTESDESCUENTOS 2026'!A:B,2,FALSE),"%",""))/100)+I1712),(VLOOKUP(TRIM(D1712), CATALOGO!A:B, 2, FALSE) * C1712+I1712)),""))</f>
        <v>55000</v>
      </c>
      <c r="K1712" s="196"/>
      <c r="L1712" s="87">
        <v>654.0</v>
      </c>
      <c r="M1712" s="197" t="s">
        <v>587</v>
      </c>
      <c r="N1712" s="168"/>
    </row>
    <row r="1713" ht="22.5" hidden="1" customHeight="1">
      <c r="A1713" s="137" t="s">
        <v>603</v>
      </c>
      <c r="B1713" s="90">
        <v>46095.0</v>
      </c>
      <c r="C1713" s="55">
        <v>1.0</v>
      </c>
      <c r="D1713" s="97" t="s">
        <v>187</v>
      </c>
      <c r="E1713" s="201"/>
      <c r="F1713" s="236" t="s">
        <v>603</v>
      </c>
      <c r="G1713" s="194" t="s">
        <v>587</v>
      </c>
      <c r="H1713" s="195" t="s">
        <v>603</v>
      </c>
      <c r="I1713" s="196"/>
      <c r="J1713" s="179">
        <f>IF(A1713="RAPPI",(VLOOKUP(TRIM(D1713), CATALOGO!F:G, 2, FALSE) * C1713)+I1713,IFERROR(IF(COUNTIF('RESTAURANTESDESCUENTOS 2026'!A:A,TRIM(A1713))&gt;0,((VLOOKUP(TRIM(D1713), CATALOGO!A:B, 2, FALSE) * C1713)*(1-VALUE(SUBSTITUTE(VLOOKUP(TRIM(A1713),'RESTAURANTESDESCUENTOS 2026'!A:B,2,FALSE),"%",""))/100)+I1713),(VLOOKUP(TRIM(D1713), CATALOGO!A:B, 2, FALSE) * C1713+I1713)),""))</f>
        <v>55000</v>
      </c>
      <c r="K1713" s="196"/>
      <c r="L1713" s="87">
        <v>654.0</v>
      </c>
      <c r="M1713" s="197" t="s">
        <v>587</v>
      </c>
      <c r="N1713" s="168"/>
    </row>
    <row r="1714" ht="22.5" hidden="1" customHeight="1">
      <c r="A1714" s="137" t="s">
        <v>603</v>
      </c>
      <c r="B1714" s="90">
        <v>46095.0</v>
      </c>
      <c r="C1714" s="55">
        <v>1.0</v>
      </c>
      <c r="D1714" s="97" t="s">
        <v>757</v>
      </c>
      <c r="E1714" s="201"/>
      <c r="F1714" s="236" t="s">
        <v>603</v>
      </c>
      <c r="G1714" s="194" t="s">
        <v>587</v>
      </c>
      <c r="H1714" s="195" t="s">
        <v>603</v>
      </c>
      <c r="I1714" s="196"/>
      <c r="J1714" s="179">
        <f>IF(A1714="RAPPI",(VLOOKUP(TRIM(D1714), CATALOGO!F:G, 2, FALSE) * C1714)+I1714,IFERROR(IF(COUNTIF('RESTAURANTESDESCUENTOS 2026'!A:A,TRIM(A1714))&gt;0,((VLOOKUP(TRIM(D1714), CATALOGO!A:B, 2, FALSE) * C1714)*(1-VALUE(SUBSTITUTE(VLOOKUP(TRIM(A1714),'RESTAURANTESDESCUENTOS 2026'!A:B,2,FALSE),"%",""))/100)+I1714),(VLOOKUP(TRIM(D1714), CATALOGO!A:B, 2, FALSE) * C1714+I1714)),""))</f>
        <v>22000</v>
      </c>
      <c r="K1714" s="196"/>
      <c r="L1714" s="87">
        <v>654.0</v>
      </c>
      <c r="M1714" s="197" t="s">
        <v>587</v>
      </c>
      <c r="N1714" s="168"/>
    </row>
    <row r="1715" ht="22.5" hidden="1" customHeight="1">
      <c r="A1715" s="137" t="s">
        <v>603</v>
      </c>
      <c r="B1715" s="90">
        <v>46095.0</v>
      </c>
      <c r="C1715" s="55">
        <v>1.0</v>
      </c>
      <c r="D1715" s="97" t="s">
        <v>604</v>
      </c>
      <c r="E1715" s="201"/>
      <c r="F1715" s="236" t="s">
        <v>603</v>
      </c>
      <c r="G1715" s="194" t="s">
        <v>587</v>
      </c>
      <c r="H1715" s="195" t="s">
        <v>603</v>
      </c>
      <c r="I1715" s="196"/>
      <c r="J1715" s="179">
        <f>IF(A1715="RAPPI",(VLOOKUP(TRIM(D1715), CATALOGO!F:G, 2, FALSE) * C1715)+I1715,IFERROR(IF(COUNTIF('RESTAURANTESDESCUENTOS 2026'!A:A,TRIM(A1715))&gt;0,((VLOOKUP(TRIM(D1715), CATALOGO!A:B, 2, FALSE) * C1715)*(1-VALUE(SUBSTITUTE(VLOOKUP(TRIM(A1715),'RESTAURANTESDESCUENTOS 2026'!A:B,2,FALSE),"%",""))/100)+I1715),(VLOOKUP(TRIM(D1715), CATALOGO!A:B, 2, FALSE) * C1715+I1715)),""))</f>
        <v>22000</v>
      </c>
      <c r="K1715" s="196"/>
      <c r="L1715" s="87">
        <v>654.0</v>
      </c>
      <c r="M1715" s="197" t="s">
        <v>587</v>
      </c>
      <c r="N1715" s="168"/>
    </row>
    <row r="1716" ht="22.5" hidden="1" customHeight="1">
      <c r="A1716" s="137" t="s">
        <v>603</v>
      </c>
      <c r="B1716" s="90">
        <v>46095.0</v>
      </c>
      <c r="C1716" s="55">
        <v>1.0</v>
      </c>
      <c r="D1716" s="97" t="s">
        <v>182</v>
      </c>
      <c r="E1716" s="201"/>
      <c r="F1716" s="236" t="s">
        <v>603</v>
      </c>
      <c r="G1716" s="194" t="s">
        <v>587</v>
      </c>
      <c r="H1716" s="195" t="s">
        <v>603</v>
      </c>
      <c r="I1716" s="196"/>
      <c r="J1716" s="179">
        <f>IF(A1716="RAPPI",(VLOOKUP(TRIM(D1716), CATALOGO!F:G, 2, FALSE) * C1716)+I1716,IFERROR(IF(COUNTIF('RESTAURANTESDESCUENTOS 2026'!A:A,TRIM(A1716))&gt;0,((VLOOKUP(TRIM(D1716), CATALOGO!A:B, 2, FALSE) * C1716)*(1-VALUE(SUBSTITUTE(VLOOKUP(TRIM(A1716),'RESTAURANTESDESCUENTOS 2026'!A:B,2,FALSE),"%",""))/100)+I1716),(VLOOKUP(TRIM(D1716), CATALOGO!A:B, 2, FALSE) * C1716+I1716)),""))</f>
        <v>37000</v>
      </c>
      <c r="K1716" s="196"/>
      <c r="L1716" s="87">
        <v>654.0</v>
      </c>
      <c r="M1716" s="197" t="s">
        <v>587</v>
      </c>
      <c r="N1716" s="168"/>
    </row>
    <row r="1717" ht="22.5" hidden="1" customHeight="1">
      <c r="A1717" s="137" t="s">
        <v>603</v>
      </c>
      <c r="B1717" s="90">
        <v>46095.0</v>
      </c>
      <c r="C1717" s="55">
        <v>1.0</v>
      </c>
      <c r="D1717" s="97" t="s">
        <v>177</v>
      </c>
      <c r="E1717" s="201"/>
      <c r="F1717" s="236" t="s">
        <v>603</v>
      </c>
      <c r="G1717" s="194" t="s">
        <v>587</v>
      </c>
      <c r="H1717" s="195" t="s">
        <v>603</v>
      </c>
      <c r="I1717" s="196"/>
      <c r="J1717" s="179">
        <f>IF(A1717="RAPPI",(VLOOKUP(TRIM(D1717), CATALOGO!F:G, 2, FALSE) * C1717)+I1717,IFERROR(IF(COUNTIF('RESTAURANTESDESCUENTOS 2026'!A:A,TRIM(A1717))&gt;0,((VLOOKUP(TRIM(D1717), CATALOGO!A:B, 2, FALSE) * C1717)*(1-VALUE(SUBSTITUTE(VLOOKUP(TRIM(A1717),'RESTAURANTESDESCUENTOS 2026'!A:B,2,FALSE),"%",""))/100)+I1717),(VLOOKUP(TRIM(D1717), CATALOGO!A:B, 2, FALSE) * C1717+I1717)),""))</f>
        <v>115000</v>
      </c>
      <c r="K1717" s="196"/>
      <c r="L1717" s="87">
        <v>654.0</v>
      </c>
      <c r="M1717" s="197" t="s">
        <v>587</v>
      </c>
      <c r="N1717" s="168"/>
    </row>
    <row r="1718" ht="22.5" hidden="1" customHeight="1">
      <c r="A1718" s="137" t="s">
        <v>623</v>
      </c>
      <c r="B1718" s="90">
        <v>46097.0</v>
      </c>
      <c r="C1718" s="55">
        <v>1.0</v>
      </c>
      <c r="D1718" s="97" t="s">
        <v>189</v>
      </c>
      <c r="E1718" s="201"/>
      <c r="F1718" s="236" t="s">
        <v>1035</v>
      </c>
      <c r="G1718" s="194" t="s">
        <v>587</v>
      </c>
      <c r="H1718" s="195" t="s">
        <v>632</v>
      </c>
      <c r="I1718" s="196">
        <v>10000.0</v>
      </c>
      <c r="J1718" s="179">
        <f>IF(A1718="RAPPI",(VLOOKUP(TRIM(D1718), CATALOGO!F:G, 2, FALSE) * C1718)+I1718,IFERROR(IF(COUNTIF('RESTAURANTESDESCUENTOS 2026'!A:A,TRIM(A1718))&gt;0,((VLOOKUP(TRIM(D1718), CATALOGO!A:B, 2, FALSE) * C1718)*(1-VALUE(SUBSTITUTE(VLOOKUP(TRIM(A1718),'RESTAURANTESDESCUENTOS 2026'!A:B,2,FALSE),"%",""))/100)+I1718),(VLOOKUP(TRIM(D1718), CATALOGO!A:B, 2, FALSE) * C1718+I1718)),""))</f>
        <v>155000</v>
      </c>
      <c r="K1718" s="196"/>
      <c r="L1718" s="87">
        <v>671.0</v>
      </c>
      <c r="M1718" s="197" t="s">
        <v>587</v>
      </c>
      <c r="N1718" s="168"/>
    </row>
    <row r="1719" ht="22.5" hidden="1" customHeight="1">
      <c r="A1719" s="137" t="s">
        <v>46</v>
      </c>
      <c r="B1719" s="90">
        <v>46097.0</v>
      </c>
      <c r="C1719" s="55">
        <v>1.0</v>
      </c>
      <c r="D1719" s="97" t="s">
        <v>177</v>
      </c>
      <c r="E1719" s="201" t="s">
        <v>14</v>
      </c>
      <c r="F1719" s="202"/>
      <c r="G1719" s="194" t="s">
        <v>587</v>
      </c>
      <c r="H1719" s="195" t="s">
        <v>632</v>
      </c>
      <c r="I1719" s="196"/>
      <c r="J1719" s="219">
        <f>IF(A1719="RAPPI",(VLOOKUP(TRIM(D1719), CATALOGO!F:G, 2, FALSE) * C1719)+I1719,IFERROR(IF(COUNTIF('RESTAURANTESDESCUENTOS 2026'!A:A,TRIM(A1719))&gt;0,((VLOOKUP(TRIM(D1719), CATALOGO!A:B, 2, FALSE) * C1719)*(1-VALUE(SUBSTITUTE(VLOOKUP(TRIM(A1719),'RESTAURANTESDESCUENTOS 2026'!A:B,2,FALSE),"%",""))/100)+I1719),(VLOOKUP(TRIM(D1719), CATALOGO!A:B, 2, FALSE) * C1719+I1719)),""))</f>
        <v>86250</v>
      </c>
      <c r="K1719" s="196"/>
      <c r="L1719" s="87">
        <v>655.0</v>
      </c>
      <c r="M1719" s="197" t="s">
        <v>587</v>
      </c>
      <c r="N1719" s="168"/>
    </row>
    <row r="1720" ht="22.5" hidden="1" customHeight="1">
      <c r="A1720" s="137" t="s">
        <v>38</v>
      </c>
      <c r="B1720" s="90">
        <v>46097.0</v>
      </c>
      <c r="C1720" s="55">
        <v>1.0</v>
      </c>
      <c r="D1720" s="97" t="s">
        <v>177</v>
      </c>
      <c r="E1720" s="201"/>
      <c r="F1720" s="202"/>
      <c r="G1720" s="194" t="s">
        <v>587</v>
      </c>
      <c r="H1720" s="195" t="s">
        <v>632</v>
      </c>
      <c r="I1720" s="196">
        <v>0.0</v>
      </c>
      <c r="J1720" s="219">
        <f>IF(A1720="RAPPI",(VLOOKUP(TRIM(D1720), CATALOGO!F:G, 2, FALSE) * C1720)+I1720,IFERROR(IF(COUNTIF('RESTAURANTESDESCUENTOS 2026'!A:A,TRIM(A1720))&gt;0,((VLOOKUP(TRIM(D1720), CATALOGO!A:B, 2, FALSE) * C1720)*(1-VALUE(SUBSTITUTE(VLOOKUP(TRIM(A1720),'RESTAURANTESDESCUENTOS 2026'!A:B,2,FALSE),"%",""))/100)+I1720),(VLOOKUP(TRIM(D1720), CATALOGO!A:B, 2, FALSE) * C1720+I1720)),""))</f>
        <v>86250</v>
      </c>
      <c r="K1720" s="196"/>
      <c r="L1720" s="87">
        <v>656.0</v>
      </c>
      <c r="M1720" s="197" t="s">
        <v>587</v>
      </c>
      <c r="N1720" s="168"/>
    </row>
    <row r="1721" ht="22.5" hidden="1" customHeight="1">
      <c r="A1721" s="137" t="s">
        <v>103</v>
      </c>
      <c r="B1721" s="90">
        <v>46097.0</v>
      </c>
      <c r="C1721" s="55">
        <v>1.0</v>
      </c>
      <c r="D1721" s="97" t="s">
        <v>178</v>
      </c>
      <c r="E1721" s="201"/>
      <c r="F1721" s="202"/>
      <c r="G1721" s="194" t="s">
        <v>35</v>
      </c>
      <c r="H1721" s="198"/>
      <c r="I1721" s="196">
        <v>0.0</v>
      </c>
      <c r="J1721" s="219">
        <f>IF(A1721="RAPPI",(VLOOKUP(TRIM(D1721), CATALOGO!F:G, 2, FALSE) * C1721)+I1721,IFERROR(IF(COUNTIF('RESTAURANTESDESCUENTOS 2026'!A:A,TRIM(A1721))&gt;0,((VLOOKUP(TRIM(D1721), CATALOGO!A:B, 2, FALSE) * C1721)*(1-VALUE(SUBSTITUTE(VLOOKUP(TRIM(A1721),'RESTAURANTESDESCUENTOS 2026'!A:B,2,FALSE),"%",""))/100)+I1721),(VLOOKUP(TRIM(D1721), CATALOGO!A:B, 2, FALSE) * C1721+I1721)),""))</f>
        <v>105000</v>
      </c>
      <c r="K1721" s="196"/>
      <c r="L1721" s="87">
        <v>657.0</v>
      </c>
      <c r="M1721" s="197" t="s">
        <v>587</v>
      </c>
      <c r="N1721" s="168"/>
    </row>
    <row r="1722" ht="22.5" hidden="1" customHeight="1">
      <c r="A1722" s="137" t="s">
        <v>52</v>
      </c>
      <c r="B1722" s="90">
        <v>46097.0</v>
      </c>
      <c r="C1722" s="55">
        <v>1.0</v>
      </c>
      <c r="D1722" s="97" t="s">
        <v>177</v>
      </c>
      <c r="E1722" s="201"/>
      <c r="F1722" s="202"/>
      <c r="G1722" s="194" t="s">
        <v>587</v>
      </c>
      <c r="H1722" s="195" t="s">
        <v>632</v>
      </c>
      <c r="I1722" s="196"/>
      <c r="J1722" s="219">
        <f>IF(A1722="RAPPI",(VLOOKUP(TRIM(D1722), CATALOGO!F:G, 2, FALSE) * C1722)+I1722,IFERROR(IF(COUNTIF('RESTAURANTESDESCUENTOS 2026'!A:A,TRIM(A1722))&gt;0,((VLOOKUP(TRIM(D1722), CATALOGO!A:B, 2, FALSE) * C1722)*(1-VALUE(SUBSTITUTE(VLOOKUP(TRIM(A1722),'RESTAURANTESDESCUENTOS 2026'!A:B,2,FALSE),"%",""))/100)+I1722),(VLOOKUP(TRIM(D1722), CATALOGO!A:B, 2, FALSE) * C1722+I1722)),""))</f>
        <v>86250</v>
      </c>
      <c r="K1722" s="196"/>
      <c r="L1722" s="87">
        <v>658.0</v>
      </c>
      <c r="M1722" s="197" t="s">
        <v>587</v>
      </c>
      <c r="N1722" s="168"/>
    </row>
    <row r="1723" ht="22.5" hidden="1" customHeight="1">
      <c r="A1723" s="137" t="s">
        <v>106</v>
      </c>
      <c r="B1723" s="90">
        <v>46097.0</v>
      </c>
      <c r="C1723" s="55">
        <v>1.0</v>
      </c>
      <c r="D1723" s="97" t="s">
        <v>178</v>
      </c>
      <c r="E1723" s="201"/>
      <c r="F1723" s="202"/>
      <c r="G1723" s="194" t="s">
        <v>587</v>
      </c>
      <c r="H1723" s="195" t="s">
        <v>632</v>
      </c>
      <c r="I1723" s="196">
        <v>8000.0</v>
      </c>
      <c r="J1723" s="219">
        <f>IF(A1723="RAPPI",(VLOOKUP(TRIM(D1723), CATALOGO!F:G, 2, FALSE) * C1723)+I1723,IFERROR(IF(COUNTIF('RESTAURANTESDESCUENTOS 2026'!A:A,TRIM(A1723))&gt;0,((VLOOKUP(TRIM(D1723), CATALOGO!A:B, 2, FALSE) * C1723)*(1-VALUE(SUBSTITUTE(VLOOKUP(TRIM(A1723),'RESTAURANTESDESCUENTOS 2026'!A:B,2,FALSE),"%",""))/100)+I1723),(VLOOKUP(TRIM(D1723), CATALOGO!A:B, 2, FALSE) * C1723+I1723)),""))</f>
        <v>105125</v>
      </c>
      <c r="K1723" s="196"/>
      <c r="L1723" s="87">
        <v>659.0</v>
      </c>
      <c r="M1723" s="197" t="s">
        <v>587</v>
      </c>
      <c r="N1723" s="168"/>
    </row>
    <row r="1724" ht="22.5" hidden="1" customHeight="1">
      <c r="A1724" s="137" t="s">
        <v>99</v>
      </c>
      <c r="B1724" s="90">
        <v>46097.0</v>
      </c>
      <c r="C1724" s="55">
        <v>3.0</v>
      </c>
      <c r="D1724" s="97" t="s">
        <v>178</v>
      </c>
      <c r="E1724" s="201"/>
      <c r="F1724" s="202"/>
      <c r="G1724" s="194" t="s">
        <v>587</v>
      </c>
      <c r="H1724" s="195" t="s">
        <v>632</v>
      </c>
      <c r="I1724" s="196">
        <v>5000.0</v>
      </c>
      <c r="J1724" s="219">
        <f>IF(A1724="RAPPI",(VLOOKUP(TRIM(D1724), CATALOGO!F:G, 2, FALSE) * C1724)+I1724,IFERROR(IF(COUNTIF('RESTAURANTESDESCUENTOS 2026'!A:A,TRIM(A1724))&gt;0,((VLOOKUP(TRIM(D1724), CATALOGO!A:B, 2, FALSE) * C1724)*(1-VALUE(SUBSTITUTE(VLOOKUP(TRIM(A1724),'RESTAURANTESDESCUENTOS 2026'!A:B,2,FALSE),"%",""))/100)+I1724),(VLOOKUP(TRIM(D1724), CATALOGO!A:B, 2, FALSE) * C1724+I1724)),""))</f>
        <v>320000</v>
      </c>
      <c r="K1724" s="196"/>
      <c r="L1724" s="87">
        <v>660.0</v>
      </c>
      <c r="M1724" s="197" t="s">
        <v>587</v>
      </c>
      <c r="N1724" s="168"/>
    </row>
    <row r="1725" ht="22.5" hidden="1" customHeight="1">
      <c r="A1725" s="137" t="s">
        <v>96</v>
      </c>
      <c r="B1725" s="90">
        <v>46097.0</v>
      </c>
      <c r="C1725" s="55">
        <v>1.0</v>
      </c>
      <c r="D1725" s="97" t="s">
        <v>178</v>
      </c>
      <c r="E1725" s="201"/>
      <c r="F1725" s="202"/>
      <c r="G1725" s="194" t="s">
        <v>587</v>
      </c>
      <c r="H1725" s="195" t="s">
        <v>632</v>
      </c>
      <c r="I1725" s="196">
        <v>5000.0</v>
      </c>
      <c r="J1725" s="219">
        <f>IF(A1725="RAPPI",(VLOOKUP(TRIM(D1725), CATALOGO!F:G, 2, FALSE) * C1725)+I1725,IFERROR(IF(COUNTIF('RESTAURANTESDESCUENTOS 2026'!A:A,TRIM(A1725))&gt;0,((VLOOKUP(TRIM(D1725), CATALOGO!A:B, 2, FALSE) * C1725)*(1-VALUE(SUBSTITUTE(VLOOKUP(TRIM(A1725),'RESTAURANTESDESCUENTOS 2026'!A:B,2,FALSE),"%",""))/100)+I1725),(VLOOKUP(TRIM(D1725), CATALOGO!A:B, 2, FALSE) * C1725+I1725)),""))</f>
        <v>110000</v>
      </c>
      <c r="K1725" s="196"/>
      <c r="L1725" s="87">
        <v>661.0</v>
      </c>
      <c r="M1725" s="197" t="s">
        <v>587</v>
      </c>
      <c r="N1725" s="168"/>
    </row>
    <row r="1726" ht="22.5" hidden="1" customHeight="1">
      <c r="A1726" s="137" t="s">
        <v>86</v>
      </c>
      <c r="B1726" s="90">
        <v>46097.0</v>
      </c>
      <c r="C1726" s="55">
        <v>1.0</v>
      </c>
      <c r="D1726" s="97" t="s">
        <v>177</v>
      </c>
      <c r="E1726" s="201" t="s">
        <v>610</v>
      </c>
      <c r="F1726" s="202"/>
      <c r="G1726" s="194" t="s">
        <v>587</v>
      </c>
      <c r="H1726" s="195" t="s">
        <v>632</v>
      </c>
      <c r="I1726" s="196">
        <v>0.0</v>
      </c>
      <c r="J1726" s="219">
        <f>IF(A1726="RAPPI",(VLOOKUP(TRIM(D1726), CATALOGO!F:G, 2, FALSE) * C1726)+I1726,IFERROR(IF(COUNTIF('RESTAURANTESDESCUENTOS 2026'!A:A,TRIM(A1726))&gt;0,((VLOOKUP(TRIM(D1726), CATALOGO!A:B, 2, FALSE) * C1726)*(1-VALUE(SUBSTITUTE(VLOOKUP(TRIM(A1726),'RESTAURANTESDESCUENTOS 2026'!A:B,2,FALSE),"%",""))/100)+I1726),(VLOOKUP(TRIM(D1726), CATALOGO!A:B, 2, FALSE) * C1726+I1726)),""))</f>
        <v>86250</v>
      </c>
      <c r="K1726" s="196"/>
      <c r="L1726" s="87">
        <v>662.0</v>
      </c>
      <c r="M1726" s="197" t="s">
        <v>587</v>
      </c>
      <c r="N1726" s="168"/>
    </row>
    <row r="1727" ht="22.5" hidden="1" customHeight="1">
      <c r="A1727" s="137" t="s">
        <v>55</v>
      </c>
      <c r="B1727" s="90">
        <v>46097.0</v>
      </c>
      <c r="C1727" s="55">
        <v>1.0</v>
      </c>
      <c r="D1727" s="97" t="s">
        <v>178</v>
      </c>
      <c r="E1727" s="201"/>
      <c r="F1727" s="202"/>
      <c r="G1727" s="194" t="s">
        <v>587</v>
      </c>
      <c r="H1727" s="195" t="s">
        <v>632</v>
      </c>
      <c r="I1727" s="196">
        <v>10000.0</v>
      </c>
      <c r="J1727" s="219">
        <f>IF(A1727="RAPPI",(VLOOKUP(TRIM(D1727), CATALOGO!F:G, 2, FALSE) * C1727)+I1727,IFERROR(IF(COUNTIF('RESTAURANTESDESCUENTOS 2026'!A:A,TRIM(A1727))&gt;0,((VLOOKUP(TRIM(D1727), CATALOGO!A:B, 2, FALSE) * C1727)*(1-VALUE(SUBSTITUTE(VLOOKUP(TRIM(A1727),'RESTAURANTESDESCUENTOS 2026'!A:B,2,FALSE),"%",""))/100)+I1727),(VLOOKUP(TRIM(D1727), CATALOGO!A:B, 2, FALSE) * C1727+I1727)),""))</f>
        <v>122500</v>
      </c>
      <c r="K1727" s="196"/>
      <c r="L1727" s="87">
        <v>663.0</v>
      </c>
      <c r="M1727" s="197" t="s">
        <v>587</v>
      </c>
      <c r="N1727" s="168"/>
    </row>
    <row r="1728" ht="22.5" hidden="1" customHeight="1">
      <c r="A1728" s="137" t="s">
        <v>23</v>
      </c>
      <c r="B1728" s="90">
        <v>46097.0</v>
      </c>
      <c r="C1728" s="55">
        <v>3.0</v>
      </c>
      <c r="D1728" s="97" t="s">
        <v>178</v>
      </c>
      <c r="E1728" s="201"/>
      <c r="F1728" s="202"/>
      <c r="G1728" s="194" t="s">
        <v>35</v>
      </c>
      <c r="H1728" s="198"/>
      <c r="I1728" s="196">
        <v>25000.0</v>
      </c>
      <c r="J1728" s="219">
        <f>IF(A1728="RAPPI",(VLOOKUP(TRIM(D1728), CATALOGO!F:G, 2, FALSE) * C1728)+I1728,IFERROR(IF(COUNTIF('RESTAURANTESDESCUENTOS 2026'!A:A,TRIM(A1728))&gt;0,((VLOOKUP(TRIM(D1728), CATALOGO!A:B, 2, FALSE) * C1728)*(1-VALUE(SUBSTITUTE(VLOOKUP(TRIM(A1728),'RESTAURANTESDESCUENTOS 2026'!A:B,2,FALSE),"%",""))/100)+I1728),(VLOOKUP(TRIM(D1728), CATALOGO!A:B, 2, FALSE) * C1728+I1728)),""))</f>
        <v>362500</v>
      </c>
      <c r="K1728" s="196"/>
      <c r="L1728" s="87"/>
      <c r="M1728" s="197" t="s">
        <v>587</v>
      </c>
      <c r="N1728" s="168"/>
    </row>
    <row r="1729" ht="22.5" hidden="1" customHeight="1">
      <c r="A1729" s="137" t="s">
        <v>597</v>
      </c>
      <c r="B1729" s="90">
        <v>46097.0</v>
      </c>
      <c r="C1729" s="55">
        <v>3.0</v>
      </c>
      <c r="D1729" s="97" t="s">
        <v>178</v>
      </c>
      <c r="E1729" s="201"/>
      <c r="F1729" s="202"/>
      <c r="G1729" s="194" t="s">
        <v>35</v>
      </c>
      <c r="H1729" s="198"/>
      <c r="I1729" s="196"/>
      <c r="J1729" s="219"/>
      <c r="K1729" s="196"/>
      <c r="L1729" s="87"/>
      <c r="M1729" s="197" t="s">
        <v>587</v>
      </c>
      <c r="N1729" s="168"/>
    </row>
    <row r="1730" ht="22.5" hidden="1" customHeight="1">
      <c r="A1730" s="137" t="s">
        <v>597</v>
      </c>
      <c r="B1730" s="90">
        <v>46097.0</v>
      </c>
      <c r="C1730" s="55">
        <v>3.0</v>
      </c>
      <c r="D1730" s="97" t="s">
        <v>177</v>
      </c>
      <c r="E1730" s="201"/>
      <c r="F1730" s="202"/>
      <c r="G1730" s="194" t="s">
        <v>35</v>
      </c>
      <c r="H1730" s="198"/>
      <c r="I1730" s="196"/>
      <c r="J1730" s="219"/>
      <c r="K1730" s="196"/>
      <c r="L1730" s="87"/>
      <c r="M1730" s="197" t="s">
        <v>587</v>
      </c>
      <c r="N1730" s="168"/>
    </row>
    <row r="1731" ht="22.5" hidden="1" customHeight="1">
      <c r="A1731" s="137" t="s">
        <v>597</v>
      </c>
      <c r="B1731" s="90">
        <v>46097.0</v>
      </c>
      <c r="C1731" s="55">
        <v>5.0</v>
      </c>
      <c r="D1731" s="97" t="s">
        <v>176</v>
      </c>
      <c r="E1731" s="201"/>
      <c r="F1731" s="202"/>
      <c r="G1731" s="194" t="s">
        <v>35</v>
      </c>
      <c r="H1731" s="198"/>
      <c r="I1731" s="196"/>
      <c r="J1731" s="219"/>
      <c r="K1731" s="196"/>
      <c r="L1731" s="87"/>
      <c r="M1731" s="197" t="s">
        <v>587</v>
      </c>
      <c r="N1731" s="168"/>
    </row>
    <row r="1732" ht="22.5" hidden="1" customHeight="1">
      <c r="A1732" s="137" t="s">
        <v>142</v>
      </c>
      <c r="B1732" s="90">
        <v>46097.0</v>
      </c>
      <c r="C1732" s="55">
        <v>1.0</v>
      </c>
      <c r="D1732" s="97" t="s">
        <v>187</v>
      </c>
      <c r="E1732" s="201"/>
      <c r="F1732" s="236" t="s">
        <v>1035</v>
      </c>
      <c r="G1732" s="194" t="s">
        <v>35</v>
      </c>
      <c r="H1732" s="198"/>
      <c r="I1732" s="196">
        <v>10000.0</v>
      </c>
      <c r="J1732" s="219">
        <f>IF(A1732="RAPPI",(VLOOKUP(TRIM(D1732), CATALOGO!F:G, 2, FALSE) * C1732)+I1732,IFERROR(IF(COUNTIF('RESTAURANTESDESCUENTOS 2026'!A:A,TRIM(A1732))&gt;0,((VLOOKUP(TRIM(D1732), CATALOGO!A:B, 2, FALSE) * C1732)*(1-VALUE(SUBSTITUTE(VLOOKUP(TRIM(A1732),'RESTAURANTESDESCUENTOS 2026'!A:B,2,FALSE),"%",""))/100)+I1732),(VLOOKUP(TRIM(D1732), CATALOGO!A:B, 2, FALSE) * C1732+I1732)),""))</f>
        <v>51250</v>
      </c>
      <c r="K1732" s="196"/>
      <c r="L1732" s="87">
        <v>672.0</v>
      </c>
      <c r="M1732" s="197" t="s">
        <v>587</v>
      </c>
      <c r="N1732" s="168"/>
    </row>
    <row r="1733" ht="22.5" hidden="1" customHeight="1">
      <c r="A1733" s="137" t="s">
        <v>1151</v>
      </c>
      <c r="B1733" s="90">
        <v>46097.0</v>
      </c>
      <c r="C1733" s="55">
        <v>1.0</v>
      </c>
      <c r="D1733" s="97" t="s">
        <v>601</v>
      </c>
      <c r="E1733" s="201"/>
      <c r="F1733" s="236" t="s">
        <v>1035</v>
      </c>
      <c r="G1733" s="194" t="s">
        <v>587</v>
      </c>
      <c r="H1733" s="195" t="s">
        <v>588</v>
      </c>
      <c r="I1733" s="196">
        <v>10000.0</v>
      </c>
      <c r="J1733" s="219">
        <f>IF(A1733="RAPPI",(VLOOKUP(TRIM(D1733), CATALOGO!F:G, 2, FALSE) * C1733)+I1733,IFERROR(IF(COUNTIF('RESTAURANTESDESCUENTOS 2026'!A:A,TRIM(A1733))&gt;0,((VLOOKUP(TRIM(D1733), CATALOGO!A:B, 2, FALSE) * C1733)*(1-VALUE(SUBSTITUTE(VLOOKUP(TRIM(A1733),'RESTAURANTESDESCUENTOS 2026'!A:B,2,FALSE),"%",""))/100)+I1733),(VLOOKUP(TRIM(D1733), CATALOGO!A:B, 2, FALSE) * C1733+I1733)),""))</f>
        <v>63000</v>
      </c>
      <c r="K1733" s="196"/>
      <c r="L1733" s="87">
        <v>673.0</v>
      </c>
      <c r="M1733" s="197" t="s">
        <v>587</v>
      </c>
      <c r="N1733" s="168"/>
    </row>
    <row r="1734" ht="22.5" hidden="1" customHeight="1">
      <c r="A1734" s="137" t="s">
        <v>1069</v>
      </c>
      <c r="B1734" s="90">
        <v>46097.0</v>
      </c>
      <c r="C1734" s="55">
        <v>1.0</v>
      </c>
      <c r="D1734" s="97" t="s">
        <v>174</v>
      </c>
      <c r="E1734" s="201"/>
      <c r="F1734" s="236" t="s">
        <v>1036</v>
      </c>
      <c r="G1734" s="194" t="s">
        <v>35</v>
      </c>
      <c r="H1734" s="198"/>
      <c r="I1734" s="196"/>
      <c r="J1734" s="219">
        <f>IF(A1734="RAPPI",(VLOOKUP(TRIM(D1734), CATALOGO!F:G, 2, FALSE) * C1734)+I1734,IFERROR(IF(COUNTIF('RESTAURANTESDESCUENTOS 2026'!A:A,TRIM(A1734))&gt;0,((VLOOKUP(TRIM(D1734), CATALOGO!A:B, 2, FALSE) * C1734)*(1-VALUE(SUBSTITUTE(VLOOKUP(TRIM(A1734),'RESTAURANTESDESCUENTOS 2026'!A:B,2,FALSE),"%",""))/100)+I1734),(VLOOKUP(TRIM(D1734), CATALOGO!A:B, 2, FALSE) * C1734+I1734)),""))</f>
        <v>18000</v>
      </c>
      <c r="K1734" s="196"/>
      <c r="L1734" s="87">
        <v>674.0</v>
      </c>
      <c r="M1734" s="197" t="s">
        <v>587</v>
      </c>
      <c r="N1734" s="168"/>
    </row>
    <row r="1735" ht="22.5" hidden="1" customHeight="1">
      <c r="A1735" s="137" t="s">
        <v>603</v>
      </c>
      <c r="B1735" s="90">
        <v>46097.0</v>
      </c>
      <c r="C1735" s="55">
        <v>1.0</v>
      </c>
      <c r="D1735" s="97" t="s">
        <v>640</v>
      </c>
      <c r="E1735" s="248"/>
      <c r="F1735" s="236" t="s">
        <v>603</v>
      </c>
      <c r="G1735" s="194" t="s">
        <v>587</v>
      </c>
      <c r="H1735" s="195" t="s">
        <v>603</v>
      </c>
      <c r="I1735" s="196"/>
      <c r="J1735" s="219">
        <f>IF(A1735="RAPPI",(VLOOKUP(TRIM(D1735), CATALOGO!F:G, 2, FALSE) * C1735)+I1735,IFERROR(IF(COUNTIF('RESTAURANTESDESCUENTOS 2026'!A:A,TRIM(A1735))&gt;0,((VLOOKUP(TRIM(D1735), CATALOGO!A:B, 2, FALSE) * C1735)*(1-VALUE(SUBSTITUTE(VLOOKUP(TRIM(A1735),'RESTAURANTESDESCUENTOS 2026'!A:B,2,FALSE),"%",""))/100)+I1735),(VLOOKUP(TRIM(D1735), CATALOGO!A:B, 2, FALSE) * C1735+I1735)),""))</f>
        <v>53000</v>
      </c>
      <c r="K1735" s="196"/>
      <c r="L1735" s="87">
        <v>669.0</v>
      </c>
      <c r="M1735" s="197" t="s">
        <v>587</v>
      </c>
      <c r="N1735" s="168"/>
    </row>
    <row r="1736" ht="22.5" hidden="1" customHeight="1">
      <c r="A1736" s="137" t="s">
        <v>603</v>
      </c>
      <c r="B1736" s="90">
        <v>46097.0</v>
      </c>
      <c r="C1736" s="55">
        <v>1.0</v>
      </c>
      <c r="D1736" s="97" t="s">
        <v>676</v>
      </c>
      <c r="E1736" s="248"/>
      <c r="F1736" s="236" t="s">
        <v>603</v>
      </c>
      <c r="G1736" s="194" t="s">
        <v>587</v>
      </c>
      <c r="H1736" s="195" t="s">
        <v>603</v>
      </c>
      <c r="I1736" s="196"/>
      <c r="J1736" s="219">
        <f>IF(A1736="RAPPI",(VLOOKUP(TRIM(D1736), CATALOGO!F:G, 2, FALSE) * C1736)+I1736,IFERROR(IF(COUNTIF('RESTAURANTESDESCUENTOS 2026'!A:A,TRIM(A1736))&gt;0,((VLOOKUP(TRIM(D1736), CATALOGO!A:B, 2, FALSE) * C1736)*(1-VALUE(SUBSTITUTE(VLOOKUP(TRIM(A1736),'RESTAURANTESDESCUENTOS 2026'!A:B,2,FALSE),"%",""))/100)+I1736),(VLOOKUP(TRIM(D1736), CATALOGO!A:B, 2, FALSE) * C1736+I1736)),""))</f>
        <v>8000</v>
      </c>
      <c r="K1736" s="196"/>
      <c r="L1736" s="87">
        <v>669.0</v>
      </c>
      <c r="M1736" s="197" t="s">
        <v>587</v>
      </c>
      <c r="N1736" s="168"/>
    </row>
    <row r="1737" ht="22.5" hidden="1" customHeight="1">
      <c r="A1737" s="137" t="s">
        <v>603</v>
      </c>
      <c r="B1737" s="90">
        <v>46097.0</v>
      </c>
      <c r="C1737" s="55">
        <v>1.0</v>
      </c>
      <c r="D1737" s="97" t="s">
        <v>176</v>
      </c>
      <c r="E1737" s="248"/>
      <c r="F1737" s="236" t="s">
        <v>603</v>
      </c>
      <c r="G1737" s="194" t="s">
        <v>587</v>
      </c>
      <c r="H1737" s="195" t="s">
        <v>603</v>
      </c>
      <c r="I1737" s="196"/>
      <c r="J1737" s="219">
        <f>IF(A1737="RAPPI",(VLOOKUP(TRIM(D1737), CATALOGO!F:G, 2, FALSE) * C1737)+I1737,IFERROR(IF(COUNTIF('RESTAURANTESDESCUENTOS 2026'!A:A,TRIM(A1737))&gt;0,((VLOOKUP(TRIM(D1737), CATALOGO!A:B, 2, FALSE) * C1737)*(1-VALUE(SUBSTITUTE(VLOOKUP(TRIM(A1737),'RESTAURANTESDESCUENTOS 2026'!A:B,2,FALSE),"%",""))/100)+I1737),(VLOOKUP(TRIM(D1737), CATALOGO!A:B, 2, FALSE) * C1737+I1737)),""))</f>
        <v>50000</v>
      </c>
      <c r="K1737" s="196"/>
      <c r="L1737" s="87">
        <v>669.0</v>
      </c>
      <c r="M1737" s="197" t="s">
        <v>587</v>
      </c>
      <c r="N1737" s="168"/>
    </row>
    <row r="1738" ht="22.5" hidden="1" customHeight="1">
      <c r="A1738" s="137" t="s">
        <v>603</v>
      </c>
      <c r="B1738" s="90">
        <v>46097.0</v>
      </c>
      <c r="C1738" s="55">
        <v>1.0</v>
      </c>
      <c r="D1738" s="97" t="s">
        <v>176</v>
      </c>
      <c r="E1738" s="248"/>
      <c r="F1738" s="236" t="s">
        <v>603</v>
      </c>
      <c r="G1738" s="194" t="s">
        <v>587</v>
      </c>
      <c r="H1738" s="195" t="s">
        <v>603</v>
      </c>
      <c r="I1738" s="196"/>
      <c r="J1738" s="219">
        <f>IF(A1738="RAPPI",(VLOOKUP(TRIM(D1738), CATALOGO!F:G, 2, FALSE) * C1738)+I1738,IFERROR(IF(COUNTIF('RESTAURANTESDESCUENTOS 2026'!A:A,TRIM(A1738))&gt;0,((VLOOKUP(TRIM(D1738), CATALOGO!A:B, 2, FALSE) * C1738)*(1-VALUE(SUBSTITUTE(VLOOKUP(TRIM(A1738),'RESTAURANTESDESCUENTOS 2026'!A:B,2,FALSE),"%",""))/100)+I1738),(VLOOKUP(TRIM(D1738), CATALOGO!A:B, 2, FALSE) * C1738+I1738)),""))</f>
        <v>50000</v>
      </c>
      <c r="K1738" s="196"/>
      <c r="L1738" s="87">
        <v>669.0</v>
      </c>
      <c r="M1738" s="197" t="s">
        <v>587</v>
      </c>
      <c r="N1738" s="168"/>
    </row>
    <row r="1739" ht="22.5" hidden="1" customHeight="1">
      <c r="A1739" s="137" t="s">
        <v>603</v>
      </c>
      <c r="B1739" s="90">
        <v>46097.0</v>
      </c>
      <c r="C1739" s="55">
        <v>1.0</v>
      </c>
      <c r="D1739" s="97" t="s">
        <v>628</v>
      </c>
      <c r="E1739" s="248"/>
      <c r="F1739" s="236" t="s">
        <v>603</v>
      </c>
      <c r="G1739" s="194" t="s">
        <v>587</v>
      </c>
      <c r="H1739" s="195" t="s">
        <v>603</v>
      </c>
      <c r="I1739" s="196"/>
      <c r="J1739" s="219">
        <f>IF(A1739="RAPPI",(VLOOKUP(TRIM(D1739), CATALOGO!F:G, 2, FALSE) * C1739)+I1739,IFERROR(IF(COUNTIF('RESTAURANTESDESCUENTOS 2026'!A:A,TRIM(A1739))&gt;0,((VLOOKUP(TRIM(D1739), CATALOGO!A:B, 2, FALSE) * C1739)*(1-VALUE(SUBSTITUTE(VLOOKUP(TRIM(A1739),'RESTAURANTESDESCUENTOS 2026'!A:B,2,FALSE),"%",""))/100)+I1739),(VLOOKUP(TRIM(D1739), CATALOGO!A:B, 2, FALSE) * C1739+I1739)),""))</f>
        <v>22000</v>
      </c>
      <c r="K1739" s="196"/>
      <c r="L1739" s="87">
        <v>669.0</v>
      </c>
      <c r="M1739" s="197" t="s">
        <v>587</v>
      </c>
      <c r="N1739" s="168"/>
    </row>
    <row r="1740" ht="22.5" hidden="1" customHeight="1">
      <c r="A1740" s="137" t="s">
        <v>603</v>
      </c>
      <c r="B1740" s="90">
        <v>46097.0</v>
      </c>
      <c r="C1740" s="55">
        <v>1.0</v>
      </c>
      <c r="D1740" s="97" t="s">
        <v>697</v>
      </c>
      <c r="E1740" s="248"/>
      <c r="F1740" s="236" t="s">
        <v>603</v>
      </c>
      <c r="G1740" s="194" t="s">
        <v>587</v>
      </c>
      <c r="H1740" s="195" t="s">
        <v>603</v>
      </c>
      <c r="I1740" s="196"/>
      <c r="J1740" s="219">
        <f>IF(A1740="RAPPI",(VLOOKUP(TRIM(D1740), CATALOGO!F:G, 2, FALSE) * C1740)+I1740,IFERROR(IF(COUNTIF('RESTAURANTESDESCUENTOS 2026'!A:A,TRIM(A1740))&gt;0,((VLOOKUP(TRIM(D1740), CATALOGO!A:B, 2, FALSE) * C1740)*(1-VALUE(SUBSTITUTE(VLOOKUP(TRIM(A1740),'RESTAURANTESDESCUENTOS 2026'!A:B,2,FALSE),"%",""))/100)+I1740),(VLOOKUP(TRIM(D1740), CATALOGO!A:B, 2, FALSE) * C1740+I1740)),""))</f>
        <v>163000</v>
      </c>
      <c r="K1740" s="196"/>
      <c r="L1740" s="87">
        <v>669.0</v>
      </c>
      <c r="M1740" s="197" t="s">
        <v>587</v>
      </c>
      <c r="N1740" s="168"/>
    </row>
    <row r="1741" ht="22.5" hidden="1" customHeight="1">
      <c r="A1741" s="137" t="s">
        <v>603</v>
      </c>
      <c r="B1741" s="90">
        <v>46097.0</v>
      </c>
      <c r="C1741" s="55">
        <v>1.0</v>
      </c>
      <c r="D1741" s="97" t="s">
        <v>176</v>
      </c>
      <c r="E1741" s="248"/>
      <c r="F1741" s="236" t="s">
        <v>603</v>
      </c>
      <c r="G1741" s="194" t="s">
        <v>587</v>
      </c>
      <c r="H1741" s="195" t="s">
        <v>603</v>
      </c>
      <c r="I1741" s="196"/>
      <c r="J1741" s="219">
        <f>IF(A1741="RAPPI",(VLOOKUP(TRIM(D1741), CATALOGO!F:G, 2, FALSE) * C1741)+I1741,IFERROR(IF(COUNTIF('RESTAURANTESDESCUENTOS 2026'!A:A,TRIM(A1741))&gt;0,((VLOOKUP(TRIM(D1741), CATALOGO!A:B, 2, FALSE) * C1741)*(1-VALUE(SUBSTITUTE(VLOOKUP(TRIM(A1741),'RESTAURANTESDESCUENTOS 2026'!A:B,2,FALSE),"%",""))/100)+I1741),(VLOOKUP(TRIM(D1741), CATALOGO!A:B, 2, FALSE) * C1741+I1741)),""))</f>
        <v>50000</v>
      </c>
      <c r="K1741" s="196"/>
      <c r="L1741" s="87">
        <v>669.0</v>
      </c>
      <c r="M1741" s="197" t="s">
        <v>587</v>
      </c>
      <c r="N1741" s="168"/>
    </row>
    <row r="1742" ht="22.5" hidden="1" customHeight="1">
      <c r="A1742" s="137" t="s">
        <v>603</v>
      </c>
      <c r="B1742" s="90">
        <v>46097.0</v>
      </c>
      <c r="C1742" s="55">
        <v>1.0</v>
      </c>
      <c r="D1742" s="97" t="s">
        <v>654</v>
      </c>
      <c r="E1742" s="248"/>
      <c r="F1742" s="236" t="s">
        <v>603</v>
      </c>
      <c r="G1742" s="194" t="s">
        <v>587</v>
      </c>
      <c r="H1742" s="195" t="s">
        <v>603</v>
      </c>
      <c r="I1742" s="196"/>
      <c r="J1742" s="219">
        <f>IF(A1742="RAPPI",(VLOOKUP(TRIM(D1742), CATALOGO!F:G, 2, FALSE) * C1742)+I1742,IFERROR(IF(COUNTIF('RESTAURANTESDESCUENTOS 2026'!A:A,TRIM(A1742))&gt;0,((VLOOKUP(TRIM(D1742), CATALOGO!A:B, 2, FALSE) * C1742)*(1-VALUE(SUBSTITUTE(VLOOKUP(TRIM(A1742),'RESTAURANTESDESCUENTOS 2026'!A:B,2,FALSE),"%",""))/100)+I1742),(VLOOKUP(TRIM(D1742), CATALOGO!A:B, 2, FALSE) * C1742+I1742)),""))</f>
        <v>4000</v>
      </c>
      <c r="K1742" s="196"/>
      <c r="L1742" s="87">
        <v>669.0</v>
      </c>
      <c r="M1742" s="197" t="s">
        <v>587</v>
      </c>
      <c r="N1742" s="168"/>
    </row>
    <row r="1743" ht="22.5" hidden="1" customHeight="1">
      <c r="A1743" s="137" t="s">
        <v>167</v>
      </c>
      <c r="B1743" s="90">
        <v>46097.0</v>
      </c>
      <c r="C1743" s="55">
        <v>1.0</v>
      </c>
      <c r="D1743" s="97" t="s">
        <v>174</v>
      </c>
      <c r="E1743" s="248"/>
      <c r="F1743" s="202"/>
      <c r="G1743" s="194" t="s">
        <v>35</v>
      </c>
      <c r="H1743" s="198"/>
      <c r="I1743" s="196"/>
      <c r="J1743" s="199">
        <v>0.0</v>
      </c>
      <c r="K1743" s="196"/>
      <c r="L1743" s="87">
        <v>675.0</v>
      </c>
      <c r="M1743" s="197" t="s">
        <v>587</v>
      </c>
      <c r="N1743" s="168"/>
    </row>
    <row r="1744" ht="22.5" hidden="1" customHeight="1">
      <c r="A1744" s="137" t="s">
        <v>167</v>
      </c>
      <c r="B1744" s="90">
        <v>46097.0</v>
      </c>
      <c r="C1744" s="55">
        <v>1.0</v>
      </c>
      <c r="D1744" s="97" t="s">
        <v>628</v>
      </c>
      <c r="E1744" s="248"/>
      <c r="F1744" s="202"/>
      <c r="G1744" s="194" t="s">
        <v>35</v>
      </c>
      <c r="H1744" s="198"/>
      <c r="I1744" s="196"/>
      <c r="J1744" s="179">
        <f>IF(A1744="RAPPI",(VLOOKUP(TRIM(D1744), CATALOGO!F:G, 2, FALSE) * C1744)+I1744,IFERROR(IF(COUNTIF('RESTAURANTESDESCUENTOS 2026'!A:A,TRIM(A1744))&gt;0,((VLOOKUP(TRIM(D1744), CATALOGO!A:B, 2, FALSE) * C1744)*(1-VALUE(SUBSTITUTE(VLOOKUP(TRIM(A1744),'RESTAURANTESDESCUENTOS 2026'!A:B,2,FALSE),"%",""))/100)+I1744),(VLOOKUP(TRIM(D1744), CATALOGO!A:B, 2, FALSE) * C1744+I1744)),""))</f>
        <v>0</v>
      </c>
      <c r="K1744" s="196"/>
      <c r="L1744" s="87">
        <v>675.0</v>
      </c>
      <c r="M1744" s="197" t="s">
        <v>587</v>
      </c>
      <c r="N1744" s="168"/>
    </row>
    <row r="1745" ht="22.5" hidden="1" customHeight="1">
      <c r="A1745" s="137" t="s">
        <v>167</v>
      </c>
      <c r="B1745" s="90">
        <v>46097.0</v>
      </c>
      <c r="C1745" s="55">
        <v>1.0</v>
      </c>
      <c r="D1745" s="97" t="s">
        <v>602</v>
      </c>
      <c r="E1745" s="248"/>
      <c r="F1745" s="202"/>
      <c r="G1745" s="194" t="s">
        <v>35</v>
      </c>
      <c r="H1745" s="198"/>
      <c r="I1745" s="196"/>
      <c r="J1745" s="179">
        <f>IF(A1745="RAPPI",(VLOOKUP(TRIM(D1745), CATALOGO!F:G, 2, FALSE) * C1745)+I1745,IFERROR(IF(COUNTIF('RESTAURANTESDESCUENTOS 2026'!A:A,TRIM(A1745))&gt;0,((VLOOKUP(TRIM(D1745), CATALOGO!A:B, 2, FALSE) * C1745)*(1-VALUE(SUBSTITUTE(VLOOKUP(TRIM(A1745),'RESTAURANTESDESCUENTOS 2026'!A:B,2,FALSE),"%",""))/100)+I1745),(VLOOKUP(TRIM(D1745), CATALOGO!A:B, 2, FALSE) * C1745+I1745)),""))</f>
        <v>0</v>
      </c>
      <c r="K1745" s="196"/>
      <c r="L1745" s="87">
        <v>675.0</v>
      </c>
      <c r="M1745" s="197" t="s">
        <v>587</v>
      </c>
      <c r="N1745" s="168"/>
    </row>
    <row r="1746" ht="22.5" hidden="1" customHeight="1">
      <c r="A1746" s="137" t="s">
        <v>1152</v>
      </c>
      <c r="B1746" s="90">
        <v>46098.0</v>
      </c>
      <c r="C1746" s="55">
        <v>4.0</v>
      </c>
      <c r="D1746" s="97" t="s">
        <v>182</v>
      </c>
      <c r="E1746" s="248" t="s">
        <v>1153</v>
      </c>
      <c r="F1746" s="236" t="s">
        <v>1035</v>
      </c>
      <c r="G1746" s="194" t="s">
        <v>587</v>
      </c>
      <c r="H1746" s="198"/>
      <c r="I1746" s="196">
        <v>14000.0</v>
      </c>
      <c r="J1746" s="179">
        <f>IF(A1746="RAPPI",(VLOOKUP(TRIM(D1746), CATALOGO!F:G, 2, FALSE) * C1746)+I1746,IFERROR(IF(COUNTIF('RESTAURANTESDESCUENTOS 2026'!A:A,TRIM(A1746))&gt;0,((VLOOKUP(TRIM(D1746), CATALOGO!A:B, 2, FALSE) * C1746)*(1-VALUE(SUBSTITUTE(VLOOKUP(TRIM(A1746),'RESTAURANTESDESCUENTOS 2026'!A:B,2,FALSE),"%",""))/100)+I1746),(VLOOKUP(TRIM(D1746), CATALOGO!A:B, 2, FALSE) * C1746+I1746)),""))</f>
        <v>162000</v>
      </c>
      <c r="K1746" s="196">
        <v>0.0</v>
      </c>
      <c r="L1746" s="87">
        <v>679.0</v>
      </c>
      <c r="M1746" s="197" t="s">
        <v>587</v>
      </c>
      <c r="N1746" s="168"/>
    </row>
    <row r="1747" ht="22.5" hidden="1" customHeight="1">
      <c r="A1747" s="137" t="s">
        <v>1152</v>
      </c>
      <c r="B1747" s="90">
        <v>46098.0</v>
      </c>
      <c r="C1747" s="55">
        <v>32.0</v>
      </c>
      <c r="D1747" s="97" t="s">
        <v>620</v>
      </c>
      <c r="E1747" s="201"/>
      <c r="F1747" s="236" t="s">
        <v>1035</v>
      </c>
      <c r="G1747" s="194" t="s">
        <v>587</v>
      </c>
      <c r="H1747" s="198"/>
      <c r="I1747" s="196"/>
      <c r="J1747" s="179">
        <f>IF(A1747="RAPPI",(VLOOKUP(TRIM(D1747), CATALOGO!F:G, 2, FALSE) * C1747)+I1747,IFERROR(IF(COUNTIF('RESTAURANTESDESCUENTOS 2026'!A:A,TRIM(A1747))&gt;0,((VLOOKUP(TRIM(D1747), CATALOGO!A:B, 2, FALSE) * C1747)*(1-VALUE(SUBSTITUTE(VLOOKUP(TRIM(A1747),'RESTAURANTESDESCUENTOS 2026'!A:B,2,FALSE),"%",""))/100)+I1747),(VLOOKUP(TRIM(D1747), CATALOGO!A:B, 2, FALSE) * C1747+I1747)),""))</f>
        <v>0</v>
      </c>
      <c r="K1747" s="196"/>
      <c r="L1747" s="87">
        <v>679.0</v>
      </c>
      <c r="M1747" s="197" t="s">
        <v>587</v>
      </c>
      <c r="N1747" s="168"/>
    </row>
    <row r="1748" ht="22.5" hidden="1" customHeight="1">
      <c r="A1748" s="137" t="s">
        <v>1152</v>
      </c>
      <c r="B1748" s="90">
        <v>46098.0</v>
      </c>
      <c r="C1748" s="55">
        <v>32.0</v>
      </c>
      <c r="D1748" s="97" t="s">
        <v>669</v>
      </c>
      <c r="E1748" s="201"/>
      <c r="F1748" s="236" t="s">
        <v>1035</v>
      </c>
      <c r="G1748" s="194"/>
      <c r="H1748" s="198"/>
      <c r="I1748" s="196"/>
      <c r="J1748" s="179">
        <f>IF(A1748="RAPPI",(VLOOKUP(TRIM(D1748), CATALOGO!F:G, 2, FALSE) * C1748)+I1748,IFERROR(IF(COUNTIF('RESTAURANTESDESCUENTOS 2026'!A:A,TRIM(A1748))&gt;0,((VLOOKUP(TRIM(D1748), CATALOGO!A:B, 2, FALSE) * C1748)*(1-VALUE(SUBSTITUTE(VLOOKUP(TRIM(A1748),'RESTAURANTESDESCUENTOS 2026'!A:B,2,FALSE),"%",""))/100)+I1748),(VLOOKUP(TRIM(D1748), CATALOGO!A:B, 2, FALSE) * C1748+I1748)),""))</f>
        <v>0</v>
      </c>
      <c r="K1748" s="196"/>
      <c r="L1748" s="87">
        <v>679.0</v>
      </c>
      <c r="M1748" s="197" t="s">
        <v>587</v>
      </c>
      <c r="N1748" s="168"/>
    </row>
    <row r="1749" ht="22.5" hidden="1" customHeight="1">
      <c r="A1749" s="137" t="s">
        <v>1152</v>
      </c>
      <c r="B1749" s="90">
        <v>46098.0</v>
      </c>
      <c r="C1749" s="55">
        <v>32.0</v>
      </c>
      <c r="D1749" s="97" t="s">
        <v>236</v>
      </c>
      <c r="E1749" s="201"/>
      <c r="F1749" s="236" t="s">
        <v>1035</v>
      </c>
      <c r="G1749" s="194"/>
      <c r="H1749" s="198"/>
      <c r="I1749" s="196"/>
      <c r="J1749" s="179">
        <f>IF(A1749="RAPPI",(VLOOKUP(TRIM(D1749), CATALOGO!F:G, 2, FALSE) * C1749)+I1749,IFERROR(IF(COUNTIF('RESTAURANTESDESCUENTOS 2026'!A:A,TRIM(A1749))&gt;0,((VLOOKUP(TRIM(D1749), CATALOGO!A:B, 2, FALSE) * C1749)*(1-VALUE(SUBSTITUTE(VLOOKUP(TRIM(A1749),'RESTAURANTESDESCUENTOS 2026'!A:B,2,FALSE),"%",""))/100)+I1749),(VLOOKUP(TRIM(D1749), CATALOGO!A:B, 2, FALSE) * C1749+I1749)),""))</f>
        <v>0</v>
      </c>
      <c r="K1749" s="196"/>
      <c r="L1749" s="87">
        <v>679.0</v>
      </c>
      <c r="M1749" s="197" t="s">
        <v>587</v>
      </c>
      <c r="N1749" s="168"/>
    </row>
    <row r="1750" ht="22.5" hidden="1" customHeight="1">
      <c r="A1750" s="137" t="s">
        <v>1152</v>
      </c>
      <c r="B1750" s="90">
        <v>46098.0</v>
      </c>
      <c r="C1750" s="55">
        <v>32.0</v>
      </c>
      <c r="D1750" s="97" t="s">
        <v>639</v>
      </c>
      <c r="E1750" s="201"/>
      <c r="F1750" s="236" t="s">
        <v>1035</v>
      </c>
      <c r="G1750" s="194"/>
      <c r="H1750" s="198"/>
      <c r="I1750" s="196"/>
      <c r="J1750" s="179">
        <f>IF(A1750="RAPPI",(VLOOKUP(TRIM(D1750), CATALOGO!F:G, 2, FALSE) * C1750)+I1750,IFERROR(IF(COUNTIF('RESTAURANTESDESCUENTOS 2026'!A:A,TRIM(A1750))&gt;0,((VLOOKUP(TRIM(D1750), CATALOGO!A:B, 2, FALSE) * C1750)*(1-VALUE(SUBSTITUTE(VLOOKUP(TRIM(A1750),'RESTAURANTESDESCUENTOS 2026'!A:B,2,FALSE),"%",""))/100)+I1750),(VLOOKUP(TRIM(D1750), CATALOGO!A:B, 2, FALSE) * C1750+I1750)),""))</f>
        <v>0</v>
      </c>
      <c r="K1750" s="196"/>
      <c r="L1750" s="87">
        <v>679.0</v>
      </c>
      <c r="M1750" s="197" t="s">
        <v>587</v>
      </c>
      <c r="N1750" s="168"/>
    </row>
    <row r="1751" ht="22.5" hidden="1" customHeight="1">
      <c r="A1751" s="137" t="s">
        <v>109</v>
      </c>
      <c r="B1751" s="90">
        <v>46098.0</v>
      </c>
      <c r="C1751" s="55">
        <v>24.0</v>
      </c>
      <c r="D1751" s="97" t="s">
        <v>183</v>
      </c>
      <c r="E1751" s="201" t="s">
        <v>1154</v>
      </c>
      <c r="F1751" s="202"/>
      <c r="G1751" s="194" t="s">
        <v>587</v>
      </c>
      <c r="H1751" s="195" t="s">
        <v>632</v>
      </c>
      <c r="I1751" s="196"/>
      <c r="J1751" s="179">
        <f>IF(A1751="RAPPI",(VLOOKUP(TRIM(D1751), CATALOGO!F:G, 2, FALSE) * C1751)+I1751,IFERROR(IF(COUNTIF('RESTAURANTESDESCUENTOS 2026'!A:A,TRIM(A1751))&gt;0,((VLOOKUP(TRIM(D1751), CATALOGO!A:B, 2, FALSE) * C1751)*(1-VALUE(SUBSTITUTE(VLOOKUP(TRIM(A1751),'RESTAURANTESDESCUENTOS 2026'!A:B,2,FALSE),"%",""))/100)+I1751),(VLOOKUP(TRIM(D1751), CATALOGO!A:B, 2, FALSE) * C1751+I1751)),""))</f>
        <v>369600</v>
      </c>
      <c r="K1751" s="196">
        <v>0.0</v>
      </c>
      <c r="L1751" s="87">
        <v>676.0</v>
      </c>
      <c r="M1751" s="197" t="s">
        <v>587</v>
      </c>
      <c r="N1751" s="168"/>
    </row>
    <row r="1752" ht="22.5" hidden="1" customHeight="1">
      <c r="A1752" s="137" t="s">
        <v>109</v>
      </c>
      <c r="B1752" s="90">
        <v>46098.0</v>
      </c>
      <c r="C1752" s="55">
        <v>15.0</v>
      </c>
      <c r="D1752" s="97" t="s">
        <v>184</v>
      </c>
      <c r="E1752" s="201" t="s">
        <v>1154</v>
      </c>
      <c r="F1752" s="202"/>
      <c r="G1752" s="194" t="s">
        <v>587</v>
      </c>
      <c r="H1752" s="195" t="s">
        <v>632</v>
      </c>
      <c r="I1752" s="196"/>
      <c r="J1752" s="179">
        <f>IF(A1752="RAPPI",(VLOOKUP(TRIM(D1752), CATALOGO!F:G, 2, FALSE) * C1752)+I1752,IFERROR(IF(COUNTIF('RESTAURANTESDESCUENTOS 2026'!A:A,TRIM(A1752))&gt;0,((VLOOKUP(TRIM(D1752), CATALOGO!A:B, 2, FALSE) * C1752)*(1-VALUE(SUBSTITUTE(VLOOKUP(TRIM(A1752),'RESTAURANTESDESCUENTOS 2026'!A:B,2,FALSE),"%",""))/100)+I1752),(VLOOKUP(TRIM(D1752), CATALOGO!A:B, 2, FALSE) * C1752+I1752)),""))</f>
        <v>360000</v>
      </c>
      <c r="K1752" s="196">
        <v>0.0</v>
      </c>
      <c r="L1752" s="87">
        <v>676.0</v>
      </c>
      <c r="M1752" s="197" t="s">
        <v>587</v>
      </c>
      <c r="N1752" s="168"/>
    </row>
    <row r="1753" ht="22.5" hidden="1" customHeight="1">
      <c r="A1753" s="137" t="s">
        <v>109</v>
      </c>
      <c r="B1753" s="90">
        <v>46098.0</v>
      </c>
      <c r="C1753" s="55">
        <v>9.0</v>
      </c>
      <c r="D1753" s="97" t="s">
        <v>185</v>
      </c>
      <c r="E1753" s="201" t="s">
        <v>1154</v>
      </c>
      <c r="F1753" s="202"/>
      <c r="G1753" s="194" t="s">
        <v>587</v>
      </c>
      <c r="H1753" s="195" t="s">
        <v>632</v>
      </c>
      <c r="I1753" s="196"/>
      <c r="J1753" s="179">
        <f>IF(A1753="RAPPI",(VLOOKUP(TRIM(D1753), CATALOGO!F:G, 2, FALSE) * C1753)+I1753,IFERROR(IF(COUNTIF('RESTAURANTESDESCUENTOS 2026'!A:A,TRIM(A1753))&gt;0,((VLOOKUP(TRIM(D1753), CATALOGO!A:B, 2, FALSE) * C1753)*(1-VALUE(SUBSTITUTE(VLOOKUP(TRIM(A1753),'RESTAURANTESDESCUENTOS 2026'!A:B,2,FALSE),"%",""))/100)+I1753),(VLOOKUP(TRIM(D1753), CATALOGO!A:B, 2, FALSE) * C1753+I1753)),""))</f>
        <v>158400</v>
      </c>
      <c r="K1753" s="196">
        <v>0.0</v>
      </c>
      <c r="L1753" s="87">
        <v>676.0</v>
      </c>
      <c r="M1753" s="197" t="s">
        <v>587</v>
      </c>
      <c r="N1753" s="168"/>
    </row>
    <row r="1754" ht="22.5" hidden="1" customHeight="1">
      <c r="A1754" s="137" t="s">
        <v>116</v>
      </c>
      <c r="B1754" s="90">
        <v>46098.0</v>
      </c>
      <c r="C1754" s="55">
        <v>6.0</v>
      </c>
      <c r="D1754" s="97" t="s">
        <v>185</v>
      </c>
      <c r="E1754" s="201"/>
      <c r="F1754" s="202"/>
      <c r="G1754" s="194" t="s">
        <v>587</v>
      </c>
      <c r="H1754" s="195" t="s">
        <v>632</v>
      </c>
      <c r="I1754" s="196"/>
      <c r="J1754" s="179">
        <f>IF(A1754="RAPPI",(VLOOKUP(TRIM(D1754), CATALOGO!F:G, 2, FALSE) * C1754)+I1754,IFERROR(IF(COUNTIF('RESTAURANTESDESCUENTOS 2026'!A:A,TRIM(A1754))&gt;0,((VLOOKUP(TRIM(D1754), CATALOGO!A:B, 2, FALSE) * C1754)*(1-VALUE(SUBSTITUTE(VLOOKUP(TRIM(A1754),'RESTAURANTESDESCUENTOS 2026'!A:B,2,FALSE),"%",""))/100)+I1754),(VLOOKUP(TRIM(D1754), CATALOGO!A:B, 2, FALSE) * C1754+I1754)),""))</f>
        <v>105600</v>
      </c>
      <c r="K1754" s="196">
        <v>0.0</v>
      </c>
      <c r="L1754" s="87">
        <v>677.0</v>
      </c>
      <c r="M1754" s="197" t="s">
        <v>587</v>
      </c>
      <c r="N1754" s="168"/>
    </row>
    <row r="1755" ht="22.5" hidden="1" customHeight="1">
      <c r="A1755" s="137" t="s">
        <v>116</v>
      </c>
      <c r="B1755" s="90">
        <v>46098.0</v>
      </c>
      <c r="C1755" s="55">
        <v>12.0</v>
      </c>
      <c r="D1755" s="97" t="s">
        <v>183</v>
      </c>
      <c r="E1755" s="201"/>
      <c r="F1755" s="202"/>
      <c r="G1755" s="194" t="s">
        <v>587</v>
      </c>
      <c r="H1755" s="195" t="s">
        <v>632</v>
      </c>
      <c r="I1755" s="196"/>
      <c r="J1755" s="179">
        <f>IF(A1755="RAPPI",(VLOOKUP(TRIM(D1755), CATALOGO!F:G, 2, FALSE) * C1755)+I1755,IFERROR(IF(COUNTIF('RESTAURANTESDESCUENTOS 2026'!A:A,TRIM(A1755))&gt;0,((VLOOKUP(TRIM(D1755), CATALOGO!A:B, 2, FALSE) * C1755)*(1-VALUE(SUBSTITUTE(VLOOKUP(TRIM(A1755),'RESTAURANTESDESCUENTOS 2026'!A:B,2,FALSE),"%",""))/100)+I1755),(VLOOKUP(TRIM(D1755), CATALOGO!A:B, 2, FALSE) * C1755+I1755)),""))</f>
        <v>184800</v>
      </c>
      <c r="K1755" s="196">
        <v>0.0</v>
      </c>
      <c r="L1755" s="87">
        <v>677.0</v>
      </c>
      <c r="M1755" s="197" t="s">
        <v>587</v>
      </c>
      <c r="N1755" s="168"/>
    </row>
    <row r="1756" ht="22.5" hidden="1" customHeight="1">
      <c r="A1756" s="137" t="s">
        <v>116</v>
      </c>
      <c r="B1756" s="90">
        <v>46098.0</v>
      </c>
      <c r="C1756" s="55">
        <v>12.0</v>
      </c>
      <c r="D1756" s="97" t="s">
        <v>184</v>
      </c>
      <c r="E1756" s="201"/>
      <c r="F1756" s="202"/>
      <c r="G1756" s="194" t="s">
        <v>587</v>
      </c>
      <c r="H1756" s="195" t="s">
        <v>632</v>
      </c>
      <c r="I1756" s="196"/>
      <c r="J1756" s="179">
        <f>IF(A1756="RAPPI",(VLOOKUP(TRIM(D1756), CATALOGO!F:G, 2, FALSE) * C1756)+I1756,IFERROR(IF(COUNTIF('RESTAURANTESDESCUENTOS 2026'!A:A,TRIM(A1756))&gt;0,((VLOOKUP(TRIM(D1756), CATALOGO!A:B, 2, FALSE) * C1756)*(1-VALUE(SUBSTITUTE(VLOOKUP(TRIM(A1756),'RESTAURANTESDESCUENTOS 2026'!A:B,2,FALSE),"%",""))/100)+I1756),(VLOOKUP(TRIM(D1756), CATALOGO!A:B, 2, FALSE) * C1756+I1756)),""))</f>
        <v>288000</v>
      </c>
      <c r="K1756" s="196">
        <v>0.0</v>
      </c>
      <c r="L1756" s="87">
        <v>677.0</v>
      </c>
      <c r="M1756" s="197" t="s">
        <v>587</v>
      </c>
      <c r="N1756" s="168"/>
    </row>
    <row r="1757" ht="22.5" hidden="1" customHeight="1">
      <c r="A1757" s="137" t="s">
        <v>1155</v>
      </c>
      <c r="B1757" s="90">
        <v>46098.0</v>
      </c>
      <c r="C1757" s="55">
        <v>1.0</v>
      </c>
      <c r="D1757" s="97" t="s">
        <v>200</v>
      </c>
      <c r="E1757" s="201" t="s">
        <v>1156</v>
      </c>
      <c r="F1757" s="236" t="s">
        <v>1035</v>
      </c>
      <c r="G1757" s="194" t="s">
        <v>587</v>
      </c>
      <c r="H1757" s="195" t="s">
        <v>632</v>
      </c>
      <c r="I1757" s="196">
        <v>13000.0</v>
      </c>
      <c r="J1757" s="179">
        <f>IF(A1757="RAPPI",(VLOOKUP(TRIM(D1757), CATALOGO!F:G, 2, FALSE) * C1757)+I1757,IFERROR(IF(COUNTIF('RESTAURANTESDESCUENTOS 2026'!A:A,TRIM(A1757))&gt;0,((VLOOKUP(TRIM(D1757), CATALOGO!A:B, 2, FALSE) * C1757)*(1-VALUE(SUBSTITUTE(VLOOKUP(TRIM(A1757),'RESTAURANTESDESCUENTOS 2026'!A:B,2,FALSE),"%",""))/100)+I1757),(VLOOKUP(TRIM(D1757), CATALOGO!A:B, 2, FALSE) * C1757+I1757)),""))</f>
        <v>132000</v>
      </c>
      <c r="K1757" s="196">
        <v>0.0</v>
      </c>
      <c r="L1757" s="87">
        <v>680.0</v>
      </c>
      <c r="M1757" s="197" t="s">
        <v>587</v>
      </c>
      <c r="N1757" s="168"/>
    </row>
    <row r="1758" ht="22.5" hidden="1" customHeight="1">
      <c r="A1758" s="137" t="s">
        <v>1157</v>
      </c>
      <c r="B1758" s="90">
        <v>46098.0</v>
      </c>
      <c r="C1758" s="55">
        <v>1.0</v>
      </c>
      <c r="D1758" s="97" t="s">
        <v>195</v>
      </c>
      <c r="E1758" s="201" t="s">
        <v>1158</v>
      </c>
      <c r="F1758" s="236" t="s">
        <v>1035</v>
      </c>
      <c r="G1758" s="194" t="s">
        <v>35</v>
      </c>
      <c r="H1758" s="198"/>
      <c r="I1758" s="196">
        <v>0.0</v>
      </c>
      <c r="J1758" s="179">
        <f>IF(A1758="RAPPI",(VLOOKUP(TRIM(D1758), CATALOGO!F:G, 2, FALSE) * C1758)+I1758,IFERROR(IF(COUNTIF('RESTAURANTESDESCUENTOS 2026'!A:A,TRIM(A1758))&gt;0,((VLOOKUP(TRIM(D1758), CATALOGO!A:B, 2, FALSE) * C1758)*(1-VALUE(SUBSTITUTE(VLOOKUP(TRIM(A1758),'RESTAURANTESDESCUENTOS 2026'!A:B,2,FALSE),"%",""))/100)+I1758),(VLOOKUP(TRIM(D1758), CATALOGO!A:B, 2, FALSE) * C1758+I1758)),""))</f>
        <v>37000</v>
      </c>
      <c r="K1758" s="196"/>
      <c r="L1758" s="87">
        <v>681.0</v>
      </c>
      <c r="M1758" s="197" t="s">
        <v>587</v>
      </c>
      <c r="N1758" s="168"/>
    </row>
    <row r="1759" ht="22.5" hidden="1" customHeight="1">
      <c r="A1759" s="137" t="s">
        <v>1157</v>
      </c>
      <c r="B1759" s="90">
        <v>46098.0</v>
      </c>
      <c r="C1759" s="55">
        <v>1.0</v>
      </c>
      <c r="D1759" s="97" t="s">
        <v>182</v>
      </c>
      <c r="E1759" s="201" t="s">
        <v>1159</v>
      </c>
      <c r="F1759" s="236" t="s">
        <v>1035</v>
      </c>
      <c r="G1759" s="194" t="s">
        <v>35</v>
      </c>
      <c r="H1759" s="198"/>
      <c r="I1759" s="196">
        <v>0.0</v>
      </c>
      <c r="J1759" s="199">
        <v>37000.0</v>
      </c>
      <c r="K1759" s="196"/>
      <c r="L1759" s="87">
        <v>681.0</v>
      </c>
      <c r="M1759" s="197" t="s">
        <v>587</v>
      </c>
      <c r="N1759" s="168"/>
    </row>
    <row r="1760" ht="22.5" hidden="1" customHeight="1">
      <c r="A1760" s="137" t="s">
        <v>168</v>
      </c>
      <c r="B1760" s="90">
        <v>46098.0</v>
      </c>
      <c r="C1760" s="55">
        <v>1.0</v>
      </c>
      <c r="D1760" s="97" t="s">
        <v>178</v>
      </c>
      <c r="E1760" s="201"/>
      <c r="F1760" s="236" t="s">
        <v>1036</v>
      </c>
      <c r="G1760" s="194" t="s">
        <v>35</v>
      </c>
      <c r="H1760" s="198"/>
      <c r="I1760" s="196">
        <v>0.0</v>
      </c>
      <c r="J1760" s="179">
        <f>IF(A1760="RAPPI",(VLOOKUP(TRIM(D1760), CATALOGO!F:G, 2, FALSE) * C1760)+I1760,IFERROR(IF(COUNTIF('RESTAURANTESDESCUENTOS 2026'!A:A,TRIM(A1760))&gt;0,((VLOOKUP(TRIM(D1760), CATALOGO!A:B, 2, FALSE) * C1760)*(1-VALUE(SUBSTITUTE(VLOOKUP(TRIM(A1760),'RESTAURANTESDESCUENTOS 2026'!A:B,2,FALSE),"%",""))/100)+I1760),(VLOOKUP(TRIM(D1760), CATALOGO!A:B, 2, FALSE) * C1760+I1760)),""))</f>
        <v>105000</v>
      </c>
      <c r="K1760" s="196"/>
      <c r="L1760" s="87">
        <v>682.0</v>
      </c>
      <c r="M1760" s="197" t="s">
        <v>587</v>
      </c>
      <c r="N1760" s="168"/>
    </row>
    <row r="1761" ht="22.5" hidden="1" customHeight="1">
      <c r="A1761" s="137" t="s">
        <v>1160</v>
      </c>
      <c r="B1761" s="90">
        <v>46098.0</v>
      </c>
      <c r="C1761" s="55">
        <v>1.0</v>
      </c>
      <c r="D1761" s="97" t="s">
        <v>177</v>
      </c>
      <c r="E1761" s="201"/>
      <c r="F1761" s="236" t="s">
        <v>1035</v>
      </c>
      <c r="G1761" s="194" t="s">
        <v>587</v>
      </c>
      <c r="H1761" s="195" t="s">
        <v>588</v>
      </c>
      <c r="I1761" s="196">
        <v>16000.0</v>
      </c>
      <c r="J1761" s="179">
        <f>IF(A1761="RAPPI",(VLOOKUP(TRIM(D1761), CATALOGO!F:G, 2, FALSE) * C1761)+I1761,IFERROR(IF(COUNTIF('RESTAURANTESDESCUENTOS 2026'!A:A,TRIM(A1761))&gt;0,((VLOOKUP(TRIM(D1761), CATALOGO!A:B, 2, FALSE) * C1761)*(1-VALUE(SUBSTITUTE(VLOOKUP(TRIM(A1761),'RESTAURANTESDESCUENTOS 2026'!A:B,2,FALSE),"%",""))/100)+I1761),(VLOOKUP(TRIM(D1761), CATALOGO!A:B, 2, FALSE) * C1761+I1761)),""))</f>
        <v>131000</v>
      </c>
      <c r="K1761" s="196"/>
      <c r="L1761" s="87">
        <v>683.0</v>
      </c>
      <c r="M1761" s="197" t="s">
        <v>587</v>
      </c>
      <c r="N1761" s="168"/>
    </row>
    <row r="1762" ht="22.5" hidden="1" customHeight="1">
      <c r="A1762" s="137" t="s">
        <v>1160</v>
      </c>
      <c r="B1762" s="90">
        <v>46098.0</v>
      </c>
      <c r="C1762" s="55">
        <v>1.0</v>
      </c>
      <c r="D1762" s="97" t="s">
        <v>176</v>
      </c>
      <c r="E1762" s="201"/>
      <c r="F1762" s="236" t="s">
        <v>1035</v>
      </c>
      <c r="G1762" s="194" t="s">
        <v>587</v>
      </c>
      <c r="H1762" s="195" t="s">
        <v>588</v>
      </c>
      <c r="I1762" s="196"/>
      <c r="J1762" s="179">
        <f>IF(A1762="RAPPI",(VLOOKUP(TRIM(D1762), CATALOGO!F:G, 2, FALSE) * C1762)+I1762,IFERROR(IF(COUNTIF('RESTAURANTESDESCUENTOS 2026'!A:A,TRIM(A1762))&gt;0,((VLOOKUP(TRIM(D1762), CATALOGO!A:B, 2, FALSE) * C1762)*(1-VALUE(SUBSTITUTE(VLOOKUP(TRIM(A1762),'RESTAURANTESDESCUENTOS 2026'!A:B,2,FALSE),"%",""))/100)+I1762),(VLOOKUP(TRIM(D1762), CATALOGO!A:B, 2, FALSE) * C1762+I1762)),""))</f>
        <v>50000</v>
      </c>
      <c r="K1762" s="196"/>
      <c r="L1762" s="87">
        <v>683.0</v>
      </c>
      <c r="M1762" s="197" t="s">
        <v>587</v>
      </c>
      <c r="N1762" s="168"/>
    </row>
    <row r="1763" ht="22.5" hidden="1" customHeight="1">
      <c r="A1763" s="137" t="s">
        <v>1161</v>
      </c>
      <c r="B1763" s="90">
        <v>46098.0</v>
      </c>
      <c r="C1763" s="55">
        <v>1.0</v>
      </c>
      <c r="D1763" s="97" t="s">
        <v>176</v>
      </c>
      <c r="E1763" s="201"/>
      <c r="F1763" s="236" t="s">
        <v>1035</v>
      </c>
      <c r="G1763" s="194" t="s">
        <v>587</v>
      </c>
      <c r="H1763" s="195" t="s">
        <v>588</v>
      </c>
      <c r="I1763" s="196">
        <v>14000.0</v>
      </c>
      <c r="J1763" s="179">
        <f>IF(A1763="RAPPI",(VLOOKUP(TRIM(D1763), CATALOGO!F:G, 2, FALSE) * C1763)+I1763,IFERROR(IF(COUNTIF('RESTAURANTESDESCUENTOS 2026'!A:A,TRIM(A1763))&gt;0,((VLOOKUP(TRIM(D1763), CATALOGO!A:B, 2, FALSE) * C1763)*(1-VALUE(SUBSTITUTE(VLOOKUP(TRIM(A1763),'RESTAURANTESDESCUENTOS 2026'!A:B,2,FALSE),"%",""))/100)+I1763),(VLOOKUP(TRIM(D1763), CATALOGO!A:B, 2, FALSE) * C1763+I1763)),""))</f>
        <v>64000</v>
      </c>
      <c r="K1763" s="196"/>
      <c r="L1763" s="87">
        <v>684.0</v>
      </c>
      <c r="M1763" s="197" t="s">
        <v>587</v>
      </c>
      <c r="N1763" s="168"/>
    </row>
    <row r="1764" ht="22.5" hidden="1" customHeight="1">
      <c r="A1764" s="137" t="s">
        <v>1162</v>
      </c>
      <c r="B1764" s="90">
        <v>46098.0</v>
      </c>
      <c r="C1764" s="55">
        <v>1.0</v>
      </c>
      <c r="D1764" s="97" t="s">
        <v>653</v>
      </c>
      <c r="E1764" s="201"/>
      <c r="F1764" s="236" t="s">
        <v>1035</v>
      </c>
      <c r="G1764" s="194" t="s">
        <v>587</v>
      </c>
      <c r="H1764" s="195" t="s">
        <v>588</v>
      </c>
      <c r="I1764" s="196">
        <v>14000.0</v>
      </c>
      <c r="J1764" s="179">
        <f>IF(A1764="RAPPI",(VLOOKUP(TRIM(D1764), CATALOGO!F:G, 2, FALSE) * C1764)+I1764,IFERROR(IF(COUNTIF('RESTAURANTESDESCUENTOS 2026'!A:A,TRIM(A1764))&gt;0,((VLOOKUP(TRIM(D1764), CATALOGO!A:B, 2, FALSE) * C1764)*(1-VALUE(SUBSTITUTE(VLOOKUP(TRIM(A1764),'RESTAURANTESDESCUENTOS 2026'!A:B,2,FALSE),"%",""))/100)+I1764),(VLOOKUP(TRIM(D1764), CATALOGO!A:B, 2, FALSE) * C1764+I1764)),""))</f>
        <v>137000</v>
      </c>
      <c r="K1764" s="196"/>
      <c r="L1764" s="87">
        <v>685.0</v>
      </c>
      <c r="M1764" s="197" t="s">
        <v>587</v>
      </c>
      <c r="N1764" s="168"/>
    </row>
    <row r="1765" ht="22.5" hidden="1" customHeight="1">
      <c r="A1765" s="137" t="s">
        <v>603</v>
      </c>
      <c r="B1765" s="90">
        <v>46098.0</v>
      </c>
      <c r="C1765" s="55">
        <v>1.0</v>
      </c>
      <c r="D1765" s="97" t="s">
        <v>186</v>
      </c>
      <c r="E1765" s="201"/>
      <c r="F1765" s="236" t="s">
        <v>603</v>
      </c>
      <c r="G1765" s="194" t="s">
        <v>587</v>
      </c>
      <c r="H1765" s="195" t="s">
        <v>603</v>
      </c>
      <c r="I1765" s="196"/>
      <c r="J1765" s="179">
        <f>IF(A1765="RAPPI",(VLOOKUP(TRIM(D1765), CATALOGO!F:G, 2, FALSE) * C1765)+I1765,IFERROR(IF(COUNTIF('RESTAURANTESDESCUENTOS 2026'!A:A,TRIM(A1765))&gt;0,((VLOOKUP(TRIM(D1765), CATALOGO!A:B, 2, FALSE) * C1765)*(1-VALUE(SUBSTITUTE(VLOOKUP(TRIM(A1765),'RESTAURANTESDESCUENTOS 2026'!A:B,2,FALSE),"%",""))/100)+I1765),(VLOOKUP(TRIM(D1765), CATALOGO!A:B, 2, FALSE) * C1765+I1765)),""))</f>
        <v>55000</v>
      </c>
      <c r="K1765" s="196"/>
      <c r="L1765" s="87">
        <v>678.0</v>
      </c>
      <c r="M1765" s="197" t="s">
        <v>587</v>
      </c>
      <c r="N1765" s="168"/>
    </row>
    <row r="1766" ht="22.5" hidden="1" customHeight="1">
      <c r="A1766" s="137" t="s">
        <v>603</v>
      </c>
      <c r="B1766" s="90">
        <v>46098.0</v>
      </c>
      <c r="C1766" s="55">
        <v>1.0</v>
      </c>
      <c r="D1766" s="97" t="s">
        <v>187</v>
      </c>
      <c r="E1766" s="201"/>
      <c r="F1766" s="236" t="s">
        <v>603</v>
      </c>
      <c r="G1766" s="194" t="s">
        <v>587</v>
      </c>
      <c r="H1766" s="195" t="s">
        <v>603</v>
      </c>
      <c r="I1766" s="196"/>
      <c r="J1766" s="179">
        <f>IF(A1766="RAPPI",(VLOOKUP(TRIM(D1766), CATALOGO!F:G, 2, FALSE) * C1766)+I1766,IFERROR(IF(COUNTIF('RESTAURANTESDESCUENTOS 2026'!A:A,TRIM(A1766))&gt;0,((VLOOKUP(TRIM(D1766), CATALOGO!A:B, 2, FALSE) * C1766)*(1-VALUE(SUBSTITUTE(VLOOKUP(TRIM(A1766),'RESTAURANTESDESCUENTOS 2026'!A:B,2,FALSE),"%",""))/100)+I1766),(VLOOKUP(TRIM(D1766), CATALOGO!A:B, 2, FALSE) * C1766+I1766)),""))</f>
        <v>55000</v>
      </c>
      <c r="K1766" s="196"/>
      <c r="L1766" s="87">
        <v>678.0</v>
      </c>
      <c r="M1766" s="197" t="s">
        <v>587</v>
      </c>
      <c r="N1766" s="168"/>
    </row>
    <row r="1767" ht="22.5" hidden="1" customHeight="1">
      <c r="A1767" s="137" t="s">
        <v>603</v>
      </c>
      <c r="B1767" s="90">
        <v>46098.0</v>
      </c>
      <c r="C1767" s="55">
        <v>1.0</v>
      </c>
      <c r="D1767" s="97" t="s">
        <v>174</v>
      </c>
      <c r="E1767" s="201"/>
      <c r="F1767" s="236" t="s">
        <v>603</v>
      </c>
      <c r="G1767" s="194" t="s">
        <v>587</v>
      </c>
      <c r="H1767" s="195" t="s">
        <v>603</v>
      </c>
      <c r="I1767" s="196"/>
      <c r="J1767" s="179">
        <f>IF(A1767="RAPPI",(VLOOKUP(TRIM(D1767), CATALOGO!F:G, 2, FALSE) * C1767)+I1767,IFERROR(IF(COUNTIF('RESTAURANTESDESCUENTOS 2026'!A:A,TRIM(A1767))&gt;0,((VLOOKUP(TRIM(D1767), CATALOGO!A:B, 2, FALSE) * C1767)*(1-VALUE(SUBSTITUTE(VLOOKUP(TRIM(A1767),'RESTAURANTESDESCUENTOS 2026'!A:B,2,FALSE),"%",""))/100)+I1767),(VLOOKUP(TRIM(D1767), CATALOGO!A:B, 2, FALSE) * C1767+I1767)),""))</f>
        <v>18000</v>
      </c>
      <c r="K1767" s="196"/>
      <c r="L1767" s="87">
        <v>678.0</v>
      </c>
      <c r="M1767" s="197" t="s">
        <v>587</v>
      </c>
      <c r="N1767" s="168"/>
    </row>
    <row r="1768" ht="22.5" hidden="1" customHeight="1">
      <c r="A1768" s="137" t="s">
        <v>603</v>
      </c>
      <c r="B1768" s="90">
        <v>46098.0</v>
      </c>
      <c r="C1768" s="55">
        <v>1.0</v>
      </c>
      <c r="D1768" s="97" t="s">
        <v>678</v>
      </c>
      <c r="E1768" s="201"/>
      <c r="F1768" s="236" t="s">
        <v>603</v>
      </c>
      <c r="G1768" s="194" t="s">
        <v>587</v>
      </c>
      <c r="H1768" s="195" t="s">
        <v>603</v>
      </c>
      <c r="I1768" s="196"/>
      <c r="J1768" s="179">
        <f>IF(A1768="RAPPI",(VLOOKUP(TRIM(D1768), CATALOGO!F:G, 2, FALSE) * C1768)+I1768,IFERROR(IF(COUNTIF('RESTAURANTESDESCUENTOS 2026'!A:A,TRIM(A1768))&gt;0,((VLOOKUP(TRIM(D1768), CATALOGO!A:B, 2, FALSE) * C1768)*(1-VALUE(SUBSTITUTE(VLOOKUP(TRIM(A1768),'RESTAURANTESDESCUENTOS 2026'!A:B,2,FALSE),"%",""))/100)+I1768),(VLOOKUP(TRIM(D1768), CATALOGO!A:B, 2, FALSE) * C1768+I1768)),""))</f>
        <v>123000</v>
      </c>
      <c r="K1768" s="196"/>
      <c r="L1768" s="87">
        <v>678.0</v>
      </c>
      <c r="M1768" s="197" t="s">
        <v>587</v>
      </c>
      <c r="N1768" s="168"/>
    </row>
    <row r="1769" ht="22.5" hidden="1" customHeight="1">
      <c r="A1769" s="137" t="s">
        <v>603</v>
      </c>
      <c r="B1769" s="90">
        <v>46098.0</v>
      </c>
      <c r="C1769" s="55">
        <v>1.0</v>
      </c>
      <c r="D1769" s="97" t="s">
        <v>628</v>
      </c>
      <c r="E1769" s="249" t="s">
        <v>1163</v>
      </c>
      <c r="F1769" s="236" t="s">
        <v>603</v>
      </c>
      <c r="G1769" s="194" t="s">
        <v>587</v>
      </c>
      <c r="H1769" s="195" t="s">
        <v>603</v>
      </c>
      <c r="I1769" s="196"/>
      <c r="J1769" s="179">
        <f>IF(A1769="RAPPI",(VLOOKUP(TRIM(D1769), CATALOGO!F:G, 2, FALSE) * C1769)+I1769,IFERROR(IF(COUNTIF('RESTAURANTESDESCUENTOS 2026'!A:A,TRIM(A1769))&gt;0,((VLOOKUP(TRIM(D1769), CATALOGO!A:B, 2, FALSE) * C1769)*(1-VALUE(SUBSTITUTE(VLOOKUP(TRIM(A1769),'RESTAURANTESDESCUENTOS 2026'!A:B,2,FALSE),"%",""))/100)+I1769),(VLOOKUP(TRIM(D1769), CATALOGO!A:B, 2, FALSE) * C1769+I1769)),""))</f>
        <v>22000</v>
      </c>
      <c r="K1769" s="196"/>
      <c r="L1769" s="87">
        <v>687.0</v>
      </c>
      <c r="M1769" s="197" t="s">
        <v>587</v>
      </c>
      <c r="N1769" s="168"/>
    </row>
    <row r="1770" ht="22.5" hidden="1" customHeight="1">
      <c r="A1770" s="137" t="s">
        <v>1069</v>
      </c>
      <c r="B1770" s="90">
        <v>46098.0</v>
      </c>
      <c r="C1770" s="55">
        <v>1.0</v>
      </c>
      <c r="D1770" s="97" t="s">
        <v>174</v>
      </c>
      <c r="E1770" s="201"/>
      <c r="F1770" s="236" t="s">
        <v>1036</v>
      </c>
      <c r="G1770" s="194" t="s">
        <v>35</v>
      </c>
      <c r="H1770" s="198"/>
      <c r="I1770" s="196"/>
      <c r="J1770" s="179">
        <f>IF(A1770="RAPPI",(VLOOKUP(TRIM(D1770), CATALOGO!F:G, 2, FALSE) * C1770)+I1770,IFERROR(IF(COUNTIF('RESTAURANTESDESCUENTOS 2026'!A:A,TRIM(A1770))&gt;0,((VLOOKUP(TRIM(D1770), CATALOGO!A:B, 2, FALSE) * C1770)*(1-VALUE(SUBSTITUTE(VLOOKUP(TRIM(A1770),'RESTAURANTESDESCUENTOS 2026'!A:B,2,FALSE),"%",""))/100)+I1770),(VLOOKUP(TRIM(D1770), CATALOGO!A:B, 2, FALSE) * C1770+I1770)),""))</f>
        <v>18000</v>
      </c>
      <c r="K1770" s="196"/>
      <c r="L1770" s="87">
        <v>686.0</v>
      </c>
      <c r="M1770" s="197" t="s">
        <v>587</v>
      </c>
      <c r="N1770" s="168"/>
    </row>
    <row r="1771" ht="22.5" hidden="1" customHeight="1">
      <c r="A1771" s="137" t="s">
        <v>1069</v>
      </c>
      <c r="B1771" s="90">
        <v>46098.0</v>
      </c>
      <c r="C1771" s="55">
        <v>1.0</v>
      </c>
      <c r="D1771" s="97" t="s">
        <v>174</v>
      </c>
      <c r="E1771" s="201"/>
      <c r="F1771" s="236" t="s">
        <v>1036</v>
      </c>
      <c r="G1771" s="194" t="s">
        <v>35</v>
      </c>
      <c r="H1771" s="198"/>
      <c r="I1771" s="196"/>
      <c r="J1771" s="179">
        <f>IF(A1771="RAPPI",(VLOOKUP(TRIM(D1771), CATALOGO!F:G, 2, FALSE) * C1771)+I1771,IFERROR(IF(COUNTIF('RESTAURANTESDESCUENTOS 2026'!A:A,TRIM(A1771))&gt;0,((VLOOKUP(TRIM(D1771), CATALOGO!A:B, 2, FALSE) * C1771)*(1-VALUE(SUBSTITUTE(VLOOKUP(TRIM(A1771),'RESTAURANTESDESCUENTOS 2026'!A:B,2,FALSE),"%",""))/100)+I1771),(VLOOKUP(TRIM(D1771), CATALOGO!A:B, 2, FALSE) * C1771+I1771)),""))</f>
        <v>18000</v>
      </c>
      <c r="K1771" s="196"/>
      <c r="L1771" s="87">
        <v>686.0</v>
      </c>
      <c r="M1771" s="197" t="s">
        <v>587</v>
      </c>
      <c r="N1771" s="168"/>
    </row>
    <row r="1772" ht="22.5" hidden="1" customHeight="1">
      <c r="A1772" s="137" t="s">
        <v>1069</v>
      </c>
      <c r="B1772" s="90">
        <v>46098.0</v>
      </c>
      <c r="C1772" s="55">
        <v>1.0</v>
      </c>
      <c r="D1772" s="97" t="s">
        <v>174</v>
      </c>
      <c r="E1772" s="201"/>
      <c r="F1772" s="236" t="s">
        <v>1036</v>
      </c>
      <c r="G1772" s="194" t="s">
        <v>35</v>
      </c>
      <c r="H1772" s="198"/>
      <c r="I1772" s="196"/>
      <c r="J1772" s="179">
        <f>IF(A1772="RAPPI",(VLOOKUP(TRIM(D1772), CATALOGO!F:G, 2, FALSE) * C1772)+I1772,IFERROR(IF(COUNTIF('RESTAURANTESDESCUENTOS 2026'!A:A,TRIM(A1772))&gt;0,((VLOOKUP(TRIM(D1772), CATALOGO!A:B, 2, FALSE) * C1772)*(1-VALUE(SUBSTITUTE(VLOOKUP(TRIM(A1772),'RESTAURANTESDESCUENTOS 2026'!A:B,2,FALSE),"%",""))/100)+I1772),(VLOOKUP(TRIM(D1772), CATALOGO!A:B, 2, FALSE) * C1772+I1772)),""))</f>
        <v>18000</v>
      </c>
      <c r="K1772" s="196"/>
      <c r="L1772" s="87">
        <v>686.0</v>
      </c>
      <c r="M1772" s="197" t="s">
        <v>587</v>
      </c>
      <c r="N1772" s="168"/>
    </row>
    <row r="1773" ht="22.5" hidden="1" customHeight="1">
      <c r="A1773" s="137" t="s">
        <v>1069</v>
      </c>
      <c r="B1773" s="90">
        <v>46098.0</v>
      </c>
      <c r="C1773" s="55">
        <v>1.0</v>
      </c>
      <c r="D1773" s="97" t="s">
        <v>174</v>
      </c>
      <c r="E1773" s="201"/>
      <c r="F1773" s="236" t="s">
        <v>1036</v>
      </c>
      <c r="G1773" s="194" t="s">
        <v>35</v>
      </c>
      <c r="H1773" s="198"/>
      <c r="I1773" s="196"/>
      <c r="J1773" s="179">
        <f>IF(A1773="RAPPI",(VLOOKUP(TRIM(D1773), CATALOGO!F:G, 2, FALSE) * C1773)+I1773,IFERROR(IF(COUNTIF('RESTAURANTESDESCUENTOS 2026'!A:A,TRIM(A1773))&gt;0,((VLOOKUP(TRIM(D1773), CATALOGO!A:B, 2, FALSE) * C1773)*(1-VALUE(SUBSTITUTE(VLOOKUP(TRIM(A1773),'RESTAURANTESDESCUENTOS 2026'!A:B,2,FALSE),"%",""))/100)+I1773),(VLOOKUP(TRIM(D1773), CATALOGO!A:B, 2, FALSE) * C1773+I1773)),""))</f>
        <v>18000</v>
      </c>
      <c r="K1773" s="196"/>
      <c r="L1773" s="87">
        <v>686.0</v>
      </c>
      <c r="M1773" s="197" t="s">
        <v>587</v>
      </c>
      <c r="N1773" s="168"/>
    </row>
    <row r="1774" ht="22.5" hidden="1" customHeight="1">
      <c r="A1774" s="137" t="s">
        <v>1069</v>
      </c>
      <c r="B1774" s="90">
        <v>46098.0</v>
      </c>
      <c r="C1774" s="55">
        <v>1.0</v>
      </c>
      <c r="D1774" s="97" t="s">
        <v>177</v>
      </c>
      <c r="E1774" s="201"/>
      <c r="F1774" s="236" t="s">
        <v>1036</v>
      </c>
      <c r="G1774" s="194" t="s">
        <v>35</v>
      </c>
      <c r="H1774" s="198"/>
      <c r="I1774" s="196"/>
      <c r="J1774" s="179">
        <f>IF(A1774="RAPPI",(VLOOKUP(TRIM(D1774), CATALOGO!F:G, 2, FALSE) * C1774)+I1774,IFERROR(IF(COUNTIF('RESTAURANTESDESCUENTOS 2026'!A:A,TRIM(A1774))&gt;0,((VLOOKUP(TRIM(D1774), CATALOGO!A:B, 2, FALSE) * C1774)*(1-VALUE(SUBSTITUTE(VLOOKUP(TRIM(A1774),'RESTAURANTESDESCUENTOS 2026'!A:B,2,FALSE),"%",""))/100)+I1774),(VLOOKUP(TRIM(D1774), CATALOGO!A:B, 2, FALSE) * C1774+I1774)),""))</f>
        <v>115000</v>
      </c>
      <c r="K1774" s="196"/>
      <c r="L1774" s="87">
        <v>686.0</v>
      </c>
      <c r="M1774" s="197" t="s">
        <v>587</v>
      </c>
      <c r="N1774" s="168"/>
    </row>
    <row r="1775" ht="22.5" hidden="1" customHeight="1">
      <c r="A1775" s="137" t="s">
        <v>1164</v>
      </c>
      <c r="B1775" s="90">
        <v>46099.0</v>
      </c>
      <c r="C1775" s="55">
        <v>1.0</v>
      </c>
      <c r="D1775" s="97" t="s">
        <v>201</v>
      </c>
      <c r="E1775" s="201" t="s">
        <v>1165</v>
      </c>
      <c r="F1775" s="236" t="s">
        <v>1035</v>
      </c>
      <c r="G1775" s="194" t="s">
        <v>587</v>
      </c>
      <c r="H1775" s="195" t="s">
        <v>588</v>
      </c>
      <c r="I1775" s="196">
        <v>13000.0</v>
      </c>
      <c r="J1775" s="179">
        <f>IF(A1775="RAPPI",(VLOOKUP(TRIM(D1775), CATALOGO!F:G, 2, FALSE) * C1775)+I1775,IFERROR(IF(COUNTIF('RESTAURANTESDESCUENTOS 2026'!A:A,TRIM(A1775))&gt;0,((VLOOKUP(TRIM(D1775), CATALOGO!A:B, 2, FALSE) * C1775)*(1-VALUE(SUBSTITUTE(VLOOKUP(TRIM(A1775),'RESTAURANTESDESCUENTOS 2026'!A:B,2,FALSE),"%",""))/100)+I1775),(VLOOKUP(TRIM(D1775), CATALOGO!A:B, 2, FALSE) * C1775+I1775)),""))</f>
        <v>189000</v>
      </c>
      <c r="K1775" s="196"/>
      <c r="L1775" s="87">
        <v>691.0</v>
      </c>
      <c r="M1775" s="197" t="s">
        <v>587</v>
      </c>
      <c r="N1775" s="168"/>
    </row>
    <row r="1776" ht="22.5" hidden="1" customHeight="1">
      <c r="A1776" s="137" t="s">
        <v>55</v>
      </c>
      <c r="B1776" s="90">
        <v>46099.0</v>
      </c>
      <c r="C1776" s="55">
        <v>3.0</v>
      </c>
      <c r="D1776" s="97" t="s">
        <v>178</v>
      </c>
      <c r="E1776" s="201" t="s">
        <v>1166</v>
      </c>
      <c r="F1776" s="202"/>
      <c r="G1776" s="194" t="s">
        <v>587</v>
      </c>
      <c r="H1776" s="195" t="s">
        <v>588</v>
      </c>
      <c r="I1776" s="196">
        <v>10000.0</v>
      </c>
      <c r="J1776" s="179">
        <f>IF(A1776="RAPPI",(VLOOKUP(TRIM(D1776), CATALOGO!F:G, 2, FALSE) * C1776)+I1776,IFERROR(IF(COUNTIF('RESTAURANTESDESCUENTOS 2026'!A:A,TRIM(A1776))&gt;0,((VLOOKUP(TRIM(D1776), CATALOGO!A:B, 2, FALSE) * C1776)*(1-VALUE(SUBSTITUTE(VLOOKUP(TRIM(A1776),'RESTAURANTESDESCUENTOS 2026'!A:B,2,FALSE),"%",""))/100)+I1776),(VLOOKUP(TRIM(D1776), CATALOGO!A:B, 2, FALSE) * C1776+I1776)),""))</f>
        <v>347500</v>
      </c>
      <c r="K1776" s="196"/>
      <c r="L1776" s="87">
        <v>688.0</v>
      </c>
      <c r="M1776" s="197" t="s">
        <v>587</v>
      </c>
      <c r="N1776" s="168"/>
    </row>
    <row r="1777" ht="22.5" hidden="1" customHeight="1">
      <c r="A1777" s="137" t="s">
        <v>1167</v>
      </c>
      <c r="B1777" s="90">
        <v>46099.0</v>
      </c>
      <c r="C1777" s="55">
        <v>2.0</v>
      </c>
      <c r="D1777" s="97" t="s">
        <v>177</v>
      </c>
      <c r="E1777" s="201"/>
      <c r="F1777" s="236" t="s">
        <v>1035</v>
      </c>
      <c r="G1777" s="194" t="s">
        <v>587</v>
      </c>
      <c r="H1777" s="195" t="s">
        <v>588</v>
      </c>
      <c r="I1777" s="196">
        <v>10000.0</v>
      </c>
      <c r="J1777" s="179">
        <f>IF(A1777="RAPPI",(VLOOKUP(TRIM(D1777), CATALOGO!F:G, 2, FALSE) * C1777)+I1777,IFERROR(IF(COUNTIF('RESTAURANTESDESCUENTOS 2026'!A:A,TRIM(A1777))&gt;0,((VLOOKUP(TRIM(D1777), CATALOGO!A:B, 2, FALSE) * C1777)*(1-VALUE(SUBSTITUTE(VLOOKUP(TRIM(A1777),'RESTAURANTESDESCUENTOS 2026'!A:B,2,FALSE),"%",""))/100)+I1777),(VLOOKUP(TRIM(D1777), CATALOGO!A:B, 2, FALSE) * C1777+I1777)),""))</f>
        <v>240000</v>
      </c>
      <c r="K1777" s="196"/>
      <c r="L1777" s="87">
        <v>692.0</v>
      </c>
      <c r="M1777" s="197" t="s">
        <v>587</v>
      </c>
      <c r="N1777" s="168"/>
    </row>
    <row r="1778" ht="22.5" hidden="1" customHeight="1">
      <c r="A1778" s="137" t="s">
        <v>1168</v>
      </c>
      <c r="B1778" s="90">
        <v>46099.0</v>
      </c>
      <c r="C1778" s="55">
        <v>1.0</v>
      </c>
      <c r="D1778" s="97" t="s">
        <v>629</v>
      </c>
      <c r="E1778" s="201"/>
      <c r="F1778" s="236" t="s">
        <v>1035</v>
      </c>
      <c r="G1778" s="194" t="s">
        <v>587</v>
      </c>
      <c r="H1778" s="195" t="s">
        <v>588</v>
      </c>
      <c r="I1778" s="196">
        <v>10000.0</v>
      </c>
      <c r="J1778" s="179">
        <f>IF(A1778="RAPPI",(VLOOKUP(TRIM(D1778), CATALOGO!F:G, 2, FALSE) * C1778)+I1778,IFERROR(IF(COUNTIF('RESTAURANTESDESCUENTOS 2026'!A:A,TRIM(A1778))&gt;0,((VLOOKUP(TRIM(D1778), CATALOGO!A:B, 2, FALSE) * C1778)*(1-VALUE(SUBSTITUTE(VLOOKUP(TRIM(A1778),'RESTAURANTESDESCUENTOS 2026'!A:B,2,FALSE),"%",""))/100)+I1778),(VLOOKUP(TRIM(D1778), CATALOGO!A:B, 2, FALSE) * C1778+I1778)),""))</f>
        <v>173000</v>
      </c>
      <c r="K1778" s="196"/>
      <c r="L1778" s="87">
        <v>693.0</v>
      </c>
      <c r="M1778" s="197" t="s">
        <v>587</v>
      </c>
      <c r="N1778" s="168"/>
    </row>
    <row r="1779" ht="22.5" hidden="1" customHeight="1">
      <c r="A1779" s="137" t="s">
        <v>1169</v>
      </c>
      <c r="B1779" s="90">
        <v>46099.0</v>
      </c>
      <c r="C1779" s="55">
        <v>1.0</v>
      </c>
      <c r="D1779" s="97" t="s">
        <v>824</v>
      </c>
      <c r="E1779" s="201"/>
      <c r="F1779" s="236" t="s">
        <v>1035</v>
      </c>
      <c r="G1779" s="194" t="s">
        <v>587</v>
      </c>
      <c r="H1779" s="195" t="s">
        <v>588</v>
      </c>
      <c r="I1779" s="196">
        <v>10000.0</v>
      </c>
      <c r="J1779" s="179">
        <f>IF(A1779="RAPPI",(VLOOKUP(TRIM(D1779), CATALOGO!F:G, 2, FALSE) * C1779)+I1779,IFERROR(IF(COUNTIF('RESTAURANTESDESCUENTOS 2026'!A:A,TRIM(A1779))&gt;0,((VLOOKUP(TRIM(D1779), CATALOGO!A:B, 2, FALSE) * C1779)*(1-VALUE(SUBSTITUTE(VLOOKUP(TRIM(A1779),'RESTAURANTESDESCUENTOS 2026'!A:B,2,FALSE),"%",""))/100)+I1779),(VLOOKUP(TRIM(D1779), CATALOGO!A:B, 2, FALSE) * C1779+I1779)),""))</f>
        <v>133000</v>
      </c>
      <c r="K1779" s="196"/>
      <c r="L1779" s="87">
        <v>694.0</v>
      </c>
      <c r="M1779" s="197" t="s">
        <v>587</v>
      </c>
      <c r="N1779" s="168"/>
    </row>
    <row r="1780" ht="22.5" hidden="1" customHeight="1">
      <c r="A1780" s="137" t="s">
        <v>1169</v>
      </c>
      <c r="B1780" s="90">
        <v>46099.0</v>
      </c>
      <c r="C1780" s="55">
        <v>1.0</v>
      </c>
      <c r="D1780" s="97" t="s">
        <v>192</v>
      </c>
      <c r="E1780" s="201"/>
      <c r="F1780" s="236" t="s">
        <v>1035</v>
      </c>
      <c r="G1780" s="194" t="s">
        <v>587</v>
      </c>
      <c r="H1780" s="195" t="s">
        <v>588</v>
      </c>
      <c r="I1780" s="196">
        <v>0.0</v>
      </c>
      <c r="J1780" s="179">
        <f>IF(A1780="RAPPI",(VLOOKUP(TRIM(D1780), CATALOGO!F:G, 2, FALSE) * C1780)+I1780,IFERROR(IF(COUNTIF('RESTAURANTESDESCUENTOS 2026'!A:A,TRIM(A1780))&gt;0,((VLOOKUP(TRIM(D1780), CATALOGO!A:B, 2, FALSE) * C1780)*(1-VALUE(SUBSTITUTE(VLOOKUP(TRIM(A1780),'RESTAURANTESDESCUENTOS 2026'!A:B,2,FALSE),"%",""))/100)+I1780),(VLOOKUP(TRIM(D1780), CATALOGO!A:B, 2, FALSE) * C1780+I1780)),""))</f>
        <v>55000</v>
      </c>
      <c r="K1780" s="196"/>
      <c r="L1780" s="87">
        <v>694.0</v>
      </c>
      <c r="M1780" s="197" t="s">
        <v>587</v>
      </c>
      <c r="N1780" s="168"/>
    </row>
    <row r="1781" ht="22.5" hidden="1" customHeight="1">
      <c r="A1781" s="137" t="s">
        <v>1170</v>
      </c>
      <c r="B1781" s="90">
        <v>46099.0</v>
      </c>
      <c r="C1781" s="55">
        <v>1.0</v>
      </c>
      <c r="D1781" s="97" t="s">
        <v>186</v>
      </c>
      <c r="E1781" s="201"/>
      <c r="F1781" s="236" t="s">
        <v>1035</v>
      </c>
      <c r="G1781" s="194" t="s">
        <v>587</v>
      </c>
      <c r="H1781" s="195" t="s">
        <v>588</v>
      </c>
      <c r="I1781" s="196">
        <v>13000.0</v>
      </c>
      <c r="J1781" s="179">
        <f>IF(A1781="RAPPI",(VLOOKUP(TRIM(D1781), CATALOGO!F:G, 2, FALSE) * C1781)+I1781,IFERROR(IF(COUNTIF('RESTAURANTESDESCUENTOS 2026'!A:A,TRIM(A1781))&gt;0,((VLOOKUP(TRIM(D1781), CATALOGO!A:B, 2, FALSE) * C1781)*(1-VALUE(SUBSTITUTE(VLOOKUP(TRIM(A1781),'RESTAURANTESDESCUENTOS 2026'!A:B,2,FALSE),"%",""))/100)+I1781),(VLOOKUP(TRIM(D1781), CATALOGO!A:B, 2, FALSE) * C1781+I1781)),""))</f>
        <v>68000</v>
      </c>
      <c r="K1781" s="196"/>
      <c r="L1781" s="87">
        <v>695.0</v>
      </c>
      <c r="M1781" s="197" t="s">
        <v>587</v>
      </c>
      <c r="N1781" s="168"/>
    </row>
    <row r="1782" ht="22.5" hidden="1" customHeight="1">
      <c r="A1782" s="137" t="s">
        <v>1170</v>
      </c>
      <c r="B1782" s="90">
        <v>46099.0</v>
      </c>
      <c r="C1782" s="55">
        <v>1.0</v>
      </c>
      <c r="D1782" s="97" t="s">
        <v>187</v>
      </c>
      <c r="E1782" s="201"/>
      <c r="F1782" s="236" t="s">
        <v>1035</v>
      </c>
      <c r="G1782" s="194" t="s">
        <v>587</v>
      </c>
      <c r="H1782" s="195" t="s">
        <v>588</v>
      </c>
      <c r="I1782" s="196">
        <v>0.0</v>
      </c>
      <c r="J1782" s="179">
        <f>IF(A1782="RAPPI",(VLOOKUP(TRIM(D1782), CATALOGO!F:G, 2, FALSE) * C1782)+I1782,IFERROR(IF(COUNTIF('RESTAURANTESDESCUENTOS 2026'!A:A,TRIM(A1782))&gt;0,((VLOOKUP(TRIM(D1782), CATALOGO!A:B, 2, FALSE) * C1782)*(1-VALUE(SUBSTITUTE(VLOOKUP(TRIM(A1782),'RESTAURANTESDESCUENTOS 2026'!A:B,2,FALSE),"%",""))/100)+I1782),(VLOOKUP(TRIM(D1782), CATALOGO!A:B, 2, FALSE) * C1782+I1782)),""))</f>
        <v>55000</v>
      </c>
      <c r="K1782" s="196"/>
      <c r="L1782" s="87">
        <v>695.0</v>
      </c>
      <c r="M1782" s="197" t="s">
        <v>587</v>
      </c>
      <c r="N1782" s="168"/>
    </row>
    <row r="1783" ht="22.5" hidden="1" customHeight="1">
      <c r="A1783" s="137" t="s">
        <v>1171</v>
      </c>
      <c r="B1783" s="90">
        <v>46099.0</v>
      </c>
      <c r="C1783" s="55">
        <v>1.0</v>
      </c>
      <c r="D1783" s="97" t="s">
        <v>182</v>
      </c>
      <c r="E1783" s="201" t="s">
        <v>1172</v>
      </c>
      <c r="F1783" s="236" t="s">
        <v>1035</v>
      </c>
      <c r="G1783" s="194" t="s">
        <v>587</v>
      </c>
      <c r="H1783" s="195" t="s">
        <v>588</v>
      </c>
      <c r="I1783" s="196">
        <v>14000.0</v>
      </c>
      <c r="J1783" s="179">
        <f>IF(A1783="RAPPI",(VLOOKUP(TRIM(D1783), CATALOGO!F:G, 2, FALSE) * C1783)+I1783,IFERROR(IF(COUNTIF('RESTAURANTESDESCUENTOS 2026'!A:A,TRIM(A1783))&gt;0,((VLOOKUP(TRIM(D1783), CATALOGO!A:B, 2, FALSE) * C1783)*(1-VALUE(SUBSTITUTE(VLOOKUP(TRIM(A1783),'RESTAURANTESDESCUENTOS 2026'!A:B,2,FALSE),"%",""))/100)+I1783),(VLOOKUP(TRIM(D1783), CATALOGO!A:B, 2, FALSE) * C1783+I1783)),""))</f>
        <v>51000</v>
      </c>
      <c r="K1783" s="196"/>
      <c r="L1783" s="87">
        <v>696.0</v>
      </c>
      <c r="M1783" s="197" t="s">
        <v>587</v>
      </c>
      <c r="N1783" s="168"/>
    </row>
    <row r="1784" ht="22.5" hidden="1" customHeight="1">
      <c r="A1784" s="137" t="s">
        <v>10</v>
      </c>
      <c r="B1784" s="90">
        <v>46099.0</v>
      </c>
      <c r="C1784" s="55">
        <v>2.0</v>
      </c>
      <c r="D1784" s="97" t="s">
        <v>178</v>
      </c>
      <c r="E1784" s="201"/>
      <c r="F1784" s="202"/>
      <c r="G1784" s="194" t="s">
        <v>587</v>
      </c>
      <c r="H1784" s="195" t="s">
        <v>588</v>
      </c>
      <c r="I1784" s="196">
        <v>10000.0</v>
      </c>
      <c r="J1784" s="179">
        <f>IF(A1784="RAPPI",(VLOOKUP(TRIM(D1784), CATALOGO!F:G, 2, FALSE) * C1784)+I1784,IFERROR(IF(COUNTIF('RESTAURANTESDESCUENTOS 2026'!A:A,TRIM(A1784))&gt;0,((VLOOKUP(TRIM(D1784), CATALOGO!A:B, 2, FALSE) * C1784)*(1-VALUE(SUBSTITUTE(VLOOKUP(TRIM(A1784),'RESTAURANTESDESCUENTOS 2026'!A:B,2,FALSE),"%",""))/100)+I1784),(VLOOKUP(TRIM(D1784), CATALOGO!A:B, 2, FALSE) * C1784+I1784)),""))</f>
        <v>235000</v>
      </c>
      <c r="K1784" s="196"/>
      <c r="L1784" s="87">
        <v>689.0</v>
      </c>
      <c r="M1784" s="197" t="s">
        <v>587</v>
      </c>
      <c r="N1784" s="168"/>
    </row>
    <row r="1785" ht="22.5" hidden="1" customHeight="1">
      <c r="A1785" s="137" t="s">
        <v>1173</v>
      </c>
      <c r="B1785" s="90">
        <v>46099.0</v>
      </c>
      <c r="C1785" s="55">
        <v>1.0</v>
      </c>
      <c r="D1785" s="97" t="s">
        <v>182</v>
      </c>
      <c r="E1785" s="201" t="s">
        <v>1172</v>
      </c>
      <c r="F1785" s="236" t="s">
        <v>1035</v>
      </c>
      <c r="G1785" s="194" t="s">
        <v>587</v>
      </c>
      <c r="H1785" s="195" t="s">
        <v>588</v>
      </c>
      <c r="I1785" s="196">
        <v>12000.0</v>
      </c>
      <c r="J1785" s="179">
        <f>IF(A1785="RAPPI",(VLOOKUP(TRIM(D1785), CATALOGO!F:G, 2, FALSE) * C1785)+I1785,IFERROR(IF(COUNTIF('RESTAURANTESDESCUENTOS 2026'!A:A,TRIM(A1785))&gt;0,((VLOOKUP(TRIM(D1785), CATALOGO!A:B, 2, FALSE) * C1785)*(1-VALUE(SUBSTITUTE(VLOOKUP(TRIM(A1785),'RESTAURANTESDESCUENTOS 2026'!A:B,2,FALSE),"%",""))/100)+I1785),(VLOOKUP(TRIM(D1785), CATALOGO!A:B, 2, FALSE) * C1785+I1785)),""))</f>
        <v>49000</v>
      </c>
      <c r="K1785" s="196"/>
      <c r="L1785" s="87">
        <v>697.0</v>
      </c>
      <c r="M1785" s="197" t="s">
        <v>587</v>
      </c>
      <c r="N1785" s="168"/>
    </row>
    <row r="1786" ht="22.5" hidden="1" customHeight="1">
      <c r="A1786" s="137" t="s">
        <v>1174</v>
      </c>
      <c r="B1786" s="90">
        <v>46099.0</v>
      </c>
      <c r="C1786" s="55">
        <v>1.0</v>
      </c>
      <c r="D1786" s="97" t="s">
        <v>601</v>
      </c>
      <c r="E1786" s="201"/>
      <c r="F1786" s="236" t="s">
        <v>1035</v>
      </c>
      <c r="G1786" s="194" t="s">
        <v>587</v>
      </c>
      <c r="H1786" s="195" t="s">
        <v>588</v>
      </c>
      <c r="I1786" s="196">
        <v>13000.0</v>
      </c>
      <c r="J1786" s="179">
        <f>IF(A1786="RAPPI",(VLOOKUP(TRIM(D1786), CATALOGO!F:G, 2, FALSE) * C1786)+I1786,IFERROR(IF(COUNTIF('RESTAURANTESDESCUENTOS 2026'!A:A,TRIM(A1786))&gt;0,((VLOOKUP(TRIM(D1786), CATALOGO!A:B, 2, FALSE) * C1786)*(1-VALUE(SUBSTITUTE(VLOOKUP(TRIM(A1786),'RESTAURANTESDESCUENTOS 2026'!A:B,2,FALSE),"%",""))/100)+I1786),(VLOOKUP(TRIM(D1786), CATALOGO!A:B, 2, FALSE) * C1786+I1786)),""))</f>
        <v>66000</v>
      </c>
      <c r="K1786" s="196"/>
      <c r="L1786" s="87">
        <v>698.0</v>
      </c>
      <c r="M1786" s="197" t="s">
        <v>587</v>
      </c>
      <c r="N1786" s="168"/>
    </row>
    <row r="1787" ht="22.5" hidden="1" customHeight="1">
      <c r="A1787" s="137" t="s">
        <v>603</v>
      </c>
      <c r="B1787" s="90">
        <v>46099.0</v>
      </c>
      <c r="C1787" s="55">
        <v>1.0</v>
      </c>
      <c r="D1787" s="97" t="s">
        <v>176</v>
      </c>
      <c r="E1787" s="201"/>
      <c r="F1787" s="236" t="s">
        <v>603</v>
      </c>
      <c r="G1787" s="194" t="s">
        <v>587</v>
      </c>
      <c r="H1787" s="195" t="s">
        <v>603</v>
      </c>
      <c r="I1787" s="196"/>
      <c r="J1787" s="179">
        <f>IF(A1787="RAPPI",(VLOOKUP(TRIM(D1787), CATALOGO!F:G, 2, FALSE) * C1787)+I1787,IFERROR(IF(COUNTIF('RESTAURANTESDESCUENTOS 2026'!A:A,TRIM(A1787))&gt;0,((VLOOKUP(TRIM(D1787), CATALOGO!A:B, 2, FALSE) * C1787)*(1-VALUE(SUBSTITUTE(VLOOKUP(TRIM(A1787),'RESTAURANTESDESCUENTOS 2026'!A:B,2,FALSE),"%",""))/100)+I1787),(VLOOKUP(TRIM(D1787), CATALOGO!A:B, 2, FALSE) * C1787+I1787)),""))</f>
        <v>50000</v>
      </c>
      <c r="K1787" s="196"/>
      <c r="L1787" s="87">
        <v>690.0</v>
      </c>
      <c r="M1787" s="197" t="s">
        <v>587</v>
      </c>
      <c r="N1787" s="168"/>
    </row>
    <row r="1788" ht="22.5" hidden="1" customHeight="1">
      <c r="A1788" s="137" t="s">
        <v>603</v>
      </c>
      <c r="B1788" s="90">
        <v>46099.0</v>
      </c>
      <c r="C1788" s="55">
        <v>1.0</v>
      </c>
      <c r="D1788" s="97" t="s">
        <v>602</v>
      </c>
      <c r="E1788" s="201"/>
      <c r="F1788" s="236" t="s">
        <v>603</v>
      </c>
      <c r="G1788" s="194" t="s">
        <v>587</v>
      </c>
      <c r="H1788" s="195" t="s">
        <v>603</v>
      </c>
      <c r="I1788" s="196"/>
      <c r="J1788" s="179">
        <f>IF(A1788="RAPPI",(VLOOKUP(TRIM(D1788), CATALOGO!F:G, 2, FALSE) * C1788)+I1788,IFERROR(IF(COUNTIF('RESTAURANTESDESCUENTOS 2026'!A:A,TRIM(A1788))&gt;0,((VLOOKUP(TRIM(D1788), CATALOGO!A:B, 2, FALSE) * C1788)*(1-VALUE(SUBSTITUTE(VLOOKUP(TRIM(A1788),'RESTAURANTESDESCUENTOS 2026'!A:B,2,FALSE),"%",""))/100)+I1788),(VLOOKUP(TRIM(D1788), CATALOGO!A:B, 2, FALSE) * C1788+I1788)),""))</f>
        <v>22000</v>
      </c>
      <c r="K1788" s="196"/>
      <c r="L1788" s="87">
        <v>690.0</v>
      </c>
      <c r="M1788" s="197" t="s">
        <v>587</v>
      </c>
      <c r="N1788" s="168"/>
    </row>
    <row r="1789" ht="22.5" hidden="1" customHeight="1">
      <c r="A1789" s="137" t="s">
        <v>603</v>
      </c>
      <c r="B1789" s="90">
        <v>46099.0</v>
      </c>
      <c r="C1789" s="55">
        <v>1.0</v>
      </c>
      <c r="D1789" s="97" t="s">
        <v>182</v>
      </c>
      <c r="E1789" s="201"/>
      <c r="F1789" s="236" t="s">
        <v>603</v>
      </c>
      <c r="G1789" s="194" t="s">
        <v>587</v>
      </c>
      <c r="H1789" s="195" t="s">
        <v>603</v>
      </c>
      <c r="I1789" s="196"/>
      <c r="J1789" s="179">
        <f>IF(A1789="RAPPI",(VLOOKUP(TRIM(D1789), CATALOGO!F:G, 2, FALSE) * C1789)+I1789,IFERROR(IF(COUNTIF('RESTAURANTESDESCUENTOS 2026'!A:A,TRIM(A1789))&gt;0,((VLOOKUP(TRIM(D1789), CATALOGO!A:B, 2, FALSE) * C1789)*(1-VALUE(SUBSTITUTE(VLOOKUP(TRIM(A1789),'RESTAURANTESDESCUENTOS 2026'!A:B,2,FALSE),"%",""))/100)+I1789),(VLOOKUP(TRIM(D1789), CATALOGO!A:B, 2, FALSE) * C1789+I1789)),""))</f>
        <v>37000</v>
      </c>
      <c r="K1789" s="196"/>
      <c r="L1789" s="87">
        <v>690.0</v>
      </c>
      <c r="M1789" s="197" t="s">
        <v>587</v>
      </c>
      <c r="N1789" s="168"/>
    </row>
    <row r="1790" ht="22.5" hidden="1" customHeight="1">
      <c r="A1790" s="137" t="s">
        <v>603</v>
      </c>
      <c r="B1790" s="90">
        <v>46099.0</v>
      </c>
      <c r="C1790" s="55">
        <v>1.0</v>
      </c>
      <c r="D1790" s="97" t="s">
        <v>187</v>
      </c>
      <c r="E1790" s="201"/>
      <c r="F1790" s="236" t="s">
        <v>603</v>
      </c>
      <c r="G1790" s="194" t="s">
        <v>587</v>
      </c>
      <c r="H1790" s="195" t="s">
        <v>603</v>
      </c>
      <c r="I1790" s="196"/>
      <c r="J1790" s="179">
        <f>IF(A1790="RAPPI",(VLOOKUP(TRIM(D1790), CATALOGO!F:G, 2, FALSE) * C1790)+I1790,IFERROR(IF(COUNTIF('RESTAURANTESDESCUENTOS 2026'!A:A,TRIM(A1790))&gt;0,((VLOOKUP(TRIM(D1790), CATALOGO!A:B, 2, FALSE) * C1790)*(1-VALUE(SUBSTITUTE(VLOOKUP(TRIM(A1790),'RESTAURANTESDESCUENTOS 2026'!A:B,2,FALSE),"%",""))/100)+I1790),(VLOOKUP(TRIM(D1790), CATALOGO!A:B, 2, FALSE) * C1790+I1790)),""))</f>
        <v>55000</v>
      </c>
      <c r="K1790" s="196"/>
      <c r="L1790" s="87">
        <v>690.0</v>
      </c>
      <c r="M1790" s="197" t="s">
        <v>587</v>
      </c>
      <c r="N1790" s="168"/>
    </row>
    <row r="1791" ht="22.5" hidden="1" customHeight="1">
      <c r="A1791" s="137" t="s">
        <v>603</v>
      </c>
      <c r="B1791" s="90">
        <v>46099.0</v>
      </c>
      <c r="C1791" s="55">
        <v>1.0</v>
      </c>
      <c r="D1791" s="97" t="s">
        <v>653</v>
      </c>
      <c r="E1791" s="201"/>
      <c r="F1791" s="236" t="s">
        <v>603</v>
      </c>
      <c r="G1791" s="194" t="s">
        <v>587</v>
      </c>
      <c r="H1791" s="195" t="s">
        <v>603</v>
      </c>
      <c r="I1791" s="196"/>
      <c r="J1791" s="179">
        <f>IF(A1791="RAPPI",(VLOOKUP(TRIM(D1791), CATALOGO!F:G, 2, FALSE) * C1791)+I1791,IFERROR(IF(COUNTIF('RESTAURANTESDESCUENTOS 2026'!A:A,TRIM(A1791))&gt;0,((VLOOKUP(TRIM(D1791), CATALOGO!A:B, 2, FALSE) * C1791)*(1-VALUE(SUBSTITUTE(VLOOKUP(TRIM(A1791),'RESTAURANTESDESCUENTOS 2026'!A:B,2,FALSE),"%",""))/100)+I1791),(VLOOKUP(TRIM(D1791), CATALOGO!A:B, 2, FALSE) * C1791+I1791)),""))</f>
        <v>123000</v>
      </c>
      <c r="K1791" s="196"/>
      <c r="L1791" s="87">
        <v>690.0</v>
      </c>
      <c r="M1791" s="197" t="s">
        <v>587</v>
      </c>
      <c r="N1791" s="168"/>
    </row>
    <row r="1792" ht="22.5" hidden="1" customHeight="1">
      <c r="A1792" s="137" t="s">
        <v>603</v>
      </c>
      <c r="B1792" s="90">
        <v>46099.0</v>
      </c>
      <c r="C1792" s="55">
        <v>1.0</v>
      </c>
      <c r="D1792" s="97" t="s">
        <v>177</v>
      </c>
      <c r="E1792" s="201"/>
      <c r="F1792" s="236" t="s">
        <v>603</v>
      </c>
      <c r="G1792" s="194" t="s">
        <v>587</v>
      </c>
      <c r="H1792" s="195" t="s">
        <v>603</v>
      </c>
      <c r="I1792" s="196"/>
      <c r="J1792" s="179">
        <f>IF(A1792="RAPPI",(VLOOKUP(TRIM(D1792), CATALOGO!F:G, 2, FALSE) * C1792)+I1792,IFERROR(IF(COUNTIF('RESTAURANTESDESCUENTOS 2026'!A:A,TRIM(A1792))&gt;0,((VLOOKUP(TRIM(D1792), CATALOGO!A:B, 2, FALSE) * C1792)*(1-VALUE(SUBSTITUTE(VLOOKUP(TRIM(A1792),'RESTAURANTESDESCUENTOS 2026'!A:B,2,FALSE),"%",""))/100)+I1792),(VLOOKUP(TRIM(D1792), CATALOGO!A:B, 2, FALSE) * C1792+I1792)),""))</f>
        <v>115000</v>
      </c>
      <c r="K1792" s="196"/>
      <c r="L1792" s="87">
        <v>690.0</v>
      </c>
      <c r="M1792" s="197" t="s">
        <v>587</v>
      </c>
      <c r="N1792" s="168"/>
    </row>
    <row r="1793" ht="22.5" hidden="1" customHeight="1">
      <c r="A1793" s="137" t="s">
        <v>603</v>
      </c>
      <c r="B1793" s="90">
        <v>46099.0</v>
      </c>
      <c r="C1793" s="55">
        <v>1.0</v>
      </c>
      <c r="D1793" s="97" t="s">
        <v>186</v>
      </c>
      <c r="E1793" s="201"/>
      <c r="F1793" s="236" t="s">
        <v>603</v>
      </c>
      <c r="G1793" s="194" t="s">
        <v>587</v>
      </c>
      <c r="H1793" s="195" t="s">
        <v>603</v>
      </c>
      <c r="I1793" s="196"/>
      <c r="J1793" s="179">
        <f>IF(A1793="RAPPI",(VLOOKUP(TRIM(D1793), CATALOGO!F:G, 2, FALSE) * C1793)+I1793,IFERROR(IF(COUNTIF('RESTAURANTESDESCUENTOS 2026'!A:A,TRIM(A1793))&gt;0,((VLOOKUP(TRIM(D1793), CATALOGO!A:B, 2, FALSE) * C1793)*(1-VALUE(SUBSTITUTE(VLOOKUP(TRIM(A1793),'RESTAURANTESDESCUENTOS 2026'!A:B,2,FALSE),"%",""))/100)+I1793),(VLOOKUP(TRIM(D1793), CATALOGO!A:B, 2, FALSE) * C1793+I1793)),""))</f>
        <v>55000</v>
      </c>
      <c r="K1793" s="196"/>
      <c r="L1793" s="87">
        <v>690.0</v>
      </c>
      <c r="M1793" s="197" t="s">
        <v>587</v>
      </c>
      <c r="N1793" s="168"/>
    </row>
    <row r="1794" ht="22.5" hidden="1" customHeight="1">
      <c r="A1794" s="137" t="s">
        <v>603</v>
      </c>
      <c r="B1794" s="90">
        <v>46099.0</v>
      </c>
      <c r="C1794" s="55">
        <v>1.0</v>
      </c>
      <c r="D1794" s="97" t="s">
        <v>640</v>
      </c>
      <c r="E1794" s="201"/>
      <c r="F1794" s="236" t="s">
        <v>603</v>
      </c>
      <c r="G1794" s="194" t="s">
        <v>587</v>
      </c>
      <c r="H1794" s="195" t="s">
        <v>603</v>
      </c>
      <c r="I1794" s="196"/>
      <c r="J1794" s="179">
        <f>IF(A1794="RAPPI",(VLOOKUP(TRIM(D1794), CATALOGO!F:G, 2, FALSE) * C1794)+I1794,IFERROR(IF(COUNTIF('RESTAURANTESDESCUENTOS 2026'!A:A,TRIM(A1794))&gt;0,((VLOOKUP(TRIM(D1794), CATALOGO!A:B, 2, FALSE) * C1794)*(1-VALUE(SUBSTITUTE(VLOOKUP(TRIM(A1794),'RESTAURANTESDESCUENTOS 2026'!A:B,2,FALSE),"%",""))/100)+I1794),(VLOOKUP(TRIM(D1794), CATALOGO!A:B, 2, FALSE) * C1794+I1794)),""))</f>
        <v>53000</v>
      </c>
      <c r="K1794" s="196"/>
      <c r="L1794" s="87">
        <v>690.0</v>
      </c>
      <c r="M1794" s="197" t="s">
        <v>587</v>
      </c>
      <c r="N1794" s="168"/>
    </row>
    <row r="1795" ht="22.5" hidden="1" customHeight="1">
      <c r="A1795" s="137" t="s">
        <v>1069</v>
      </c>
      <c r="B1795" s="90">
        <v>46099.0</v>
      </c>
      <c r="C1795" s="55">
        <v>1.0</v>
      </c>
      <c r="D1795" s="97" t="s">
        <v>601</v>
      </c>
      <c r="E1795" s="201"/>
      <c r="F1795" s="236" t="s">
        <v>1036</v>
      </c>
      <c r="G1795" s="194" t="s">
        <v>35</v>
      </c>
      <c r="H1795" s="198"/>
      <c r="I1795" s="196"/>
      <c r="J1795" s="179">
        <f>IF(A1795="RAPPI",(VLOOKUP(TRIM(D1795), CATALOGO!F:G, 2, FALSE) * C1795)+I1795,IFERROR(IF(COUNTIF('RESTAURANTESDESCUENTOS 2026'!A:A,TRIM(A1795))&gt;0,((VLOOKUP(TRIM(D1795), CATALOGO!A:B, 2, FALSE) * C1795)*(1-VALUE(SUBSTITUTE(VLOOKUP(TRIM(A1795),'RESTAURANTESDESCUENTOS 2026'!A:B,2,FALSE),"%",""))/100)+I1795),(VLOOKUP(TRIM(D1795), CATALOGO!A:B, 2, FALSE) * C1795+I1795)),""))</f>
        <v>53000</v>
      </c>
      <c r="K1795" s="196"/>
      <c r="L1795" s="87">
        <v>699.0</v>
      </c>
      <c r="M1795" s="197" t="s">
        <v>587</v>
      </c>
      <c r="N1795" s="168"/>
    </row>
    <row r="1796" ht="22.5" hidden="1" customHeight="1">
      <c r="A1796" s="137" t="s">
        <v>1069</v>
      </c>
      <c r="B1796" s="90">
        <v>46099.0</v>
      </c>
      <c r="C1796" s="55">
        <v>1.0</v>
      </c>
      <c r="D1796" s="97" t="s">
        <v>176</v>
      </c>
      <c r="E1796" s="201"/>
      <c r="F1796" s="236" t="s">
        <v>1036</v>
      </c>
      <c r="G1796" s="194" t="s">
        <v>35</v>
      </c>
      <c r="H1796" s="198"/>
      <c r="I1796" s="196"/>
      <c r="J1796" s="179">
        <f>IF(A1796="RAPPI",(VLOOKUP(TRIM(D1796), CATALOGO!F:G, 2, FALSE) * C1796)+I1796,IFERROR(IF(COUNTIF('RESTAURANTESDESCUENTOS 2026'!A:A,TRIM(A1796))&gt;0,((VLOOKUP(TRIM(D1796), CATALOGO!A:B, 2, FALSE) * C1796)*(1-VALUE(SUBSTITUTE(VLOOKUP(TRIM(A1796),'RESTAURANTESDESCUENTOS 2026'!A:B,2,FALSE),"%",""))/100)+I1796),(VLOOKUP(TRIM(D1796), CATALOGO!A:B, 2, FALSE) * C1796+I1796)),""))</f>
        <v>50000</v>
      </c>
      <c r="K1796" s="196"/>
      <c r="L1796" s="87">
        <v>699.0</v>
      </c>
      <c r="M1796" s="197" t="s">
        <v>587</v>
      </c>
      <c r="N1796" s="168"/>
    </row>
    <row r="1797" ht="22.5" hidden="1" customHeight="1">
      <c r="A1797" s="137" t="s">
        <v>1069</v>
      </c>
      <c r="B1797" s="90">
        <v>46099.0</v>
      </c>
      <c r="C1797" s="55">
        <v>1.0</v>
      </c>
      <c r="D1797" s="97" t="s">
        <v>176</v>
      </c>
      <c r="E1797" s="201"/>
      <c r="F1797" s="236" t="s">
        <v>1035</v>
      </c>
      <c r="G1797" s="194" t="s">
        <v>35</v>
      </c>
      <c r="H1797" s="198"/>
      <c r="I1797" s="196"/>
      <c r="J1797" s="179">
        <f>IF(A1797="RAPPI",(VLOOKUP(TRIM(D1797), CATALOGO!F:G, 2, FALSE) * C1797)+I1797,IFERROR(IF(COUNTIF('RESTAURANTESDESCUENTOS 2026'!A:A,TRIM(A1797))&gt;0,((VLOOKUP(TRIM(D1797), CATALOGO!A:B, 2, FALSE) * C1797)*(1-VALUE(SUBSTITUTE(VLOOKUP(TRIM(A1797),'RESTAURANTESDESCUENTOS 2026'!A:B,2,FALSE),"%",""))/100)+I1797),(VLOOKUP(TRIM(D1797), CATALOGO!A:B, 2, FALSE) * C1797+I1797)),""))</f>
        <v>50000</v>
      </c>
      <c r="K1797" s="196"/>
      <c r="L1797" s="87">
        <v>699.0</v>
      </c>
      <c r="M1797" s="197" t="s">
        <v>587</v>
      </c>
      <c r="N1797" s="168"/>
    </row>
    <row r="1798" ht="22.5" hidden="1" customHeight="1">
      <c r="A1798" s="137" t="s">
        <v>1069</v>
      </c>
      <c r="B1798" s="90">
        <v>46099.0</v>
      </c>
      <c r="C1798" s="55">
        <v>1.0</v>
      </c>
      <c r="D1798" s="97" t="s">
        <v>174</v>
      </c>
      <c r="E1798" s="201"/>
      <c r="F1798" s="236" t="s">
        <v>1035</v>
      </c>
      <c r="G1798" s="194" t="s">
        <v>35</v>
      </c>
      <c r="H1798" s="198"/>
      <c r="I1798" s="196"/>
      <c r="J1798" s="179">
        <f>IF(A1798="RAPPI",(VLOOKUP(TRIM(D1798), CATALOGO!F:G, 2, FALSE) * C1798)+I1798,IFERROR(IF(COUNTIF('RESTAURANTESDESCUENTOS 2026'!A:A,TRIM(A1798))&gt;0,((VLOOKUP(TRIM(D1798), CATALOGO!A:B, 2, FALSE) * C1798)*(1-VALUE(SUBSTITUTE(VLOOKUP(TRIM(A1798),'RESTAURANTESDESCUENTOS 2026'!A:B,2,FALSE),"%",""))/100)+I1798),(VLOOKUP(TRIM(D1798), CATALOGO!A:B, 2, FALSE) * C1798+I1798)),""))</f>
        <v>18000</v>
      </c>
      <c r="K1798" s="196"/>
      <c r="L1798" s="87">
        <v>699.0</v>
      </c>
      <c r="M1798" s="197" t="s">
        <v>587</v>
      </c>
      <c r="N1798" s="168"/>
    </row>
    <row r="1799" ht="22.5" hidden="1" customHeight="1">
      <c r="A1799" s="137" t="s">
        <v>1069</v>
      </c>
      <c r="B1799" s="90">
        <v>46099.0</v>
      </c>
      <c r="C1799" s="55">
        <v>1.0</v>
      </c>
      <c r="D1799" s="97" t="s">
        <v>178</v>
      </c>
      <c r="E1799" s="201"/>
      <c r="F1799" s="236" t="s">
        <v>1035</v>
      </c>
      <c r="G1799" s="194" t="s">
        <v>35</v>
      </c>
      <c r="H1799" s="198"/>
      <c r="I1799" s="196"/>
      <c r="J1799" s="179">
        <f>IF(A1799="RAPPI",(VLOOKUP(TRIM(D1799), CATALOGO!F:G, 2, FALSE) * C1799)+I1799,IFERROR(IF(COUNTIF('RESTAURANTESDESCUENTOS 2026'!A:A,TRIM(A1799))&gt;0,((VLOOKUP(TRIM(D1799), CATALOGO!A:B, 2, FALSE) * C1799)*(1-VALUE(SUBSTITUTE(VLOOKUP(TRIM(A1799),'RESTAURANTESDESCUENTOS 2026'!A:B,2,FALSE),"%",""))/100)+I1799),(VLOOKUP(TRIM(D1799), CATALOGO!A:B, 2, FALSE) * C1799+I1799)),""))</f>
        <v>150000</v>
      </c>
      <c r="K1799" s="196"/>
      <c r="L1799" s="87">
        <v>699.0</v>
      </c>
      <c r="M1799" s="197" t="s">
        <v>587</v>
      </c>
      <c r="N1799" s="168"/>
    </row>
    <row r="1800" ht="22.5" hidden="1" customHeight="1">
      <c r="A1800" s="137" t="s">
        <v>1069</v>
      </c>
      <c r="B1800" s="90">
        <v>46099.0</v>
      </c>
      <c r="C1800" s="55">
        <v>1.0</v>
      </c>
      <c r="D1800" s="97" t="s">
        <v>174</v>
      </c>
      <c r="E1800" s="201"/>
      <c r="F1800" s="236" t="s">
        <v>1035</v>
      </c>
      <c r="G1800" s="194" t="s">
        <v>35</v>
      </c>
      <c r="H1800" s="198"/>
      <c r="I1800" s="196"/>
      <c r="J1800" s="179">
        <f>IF(A1800="RAPPI",(VLOOKUP(TRIM(D1800), CATALOGO!F:G, 2, FALSE) * C1800)+I1800,IFERROR(IF(COUNTIF('RESTAURANTESDESCUENTOS 2026'!A:A,TRIM(A1800))&gt;0,((VLOOKUP(TRIM(D1800), CATALOGO!A:B, 2, FALSE) * C1800)*(1-VALUE(SUBSTITUTE(VLOOKUP(TRIM(A1800),'RESTAURANTESDESCUENTOS 2026'!A:B,2,FALSE),"%",""))/100)+I1800),(VLOOKUP(TRIM(D1800), CATALOGO!A:B, 2, FALSE) * C1800+I1800)),""))</f>
        <v>18000</v>
      </c>
      <c r="K1800" s="196"/>
      <c r="L1800" s="87">
        <v>699.0</v>
      </c>
      <c r="M1800" s="197" t="s">
        <v>587</v>
      </c>
      <c r="N1800" s="168"/>
    </row>
    <row r="1801" ht="22.5" hidden="1" customHeight="1">
      <c r="A1801" s="137" t="s">
        <v>30</v>
      </c>
      <c r="B1801" s="90">
        <v>46100.0</v>
      </c>
      <c r="C1801" s="55">
        <v>2.0</v>
      </c>
      <c r="D1801" s="97" t="s">
        <v>178</v>
      </c>
      <c r="E1801" s="201" t="s">
        <v>14</v>
      </c>
      <c r="F1801" s="202"/>
      <c r="G1801" s="194" t="s">
        <v>587</v>
      </c>
      <c r="H1801" s="195" t="s">
        <v>907</v>
      </c>
      <c r="I1801" s="196">
        <v>25000.0</v>
      </c>
      <c r="J1801" s="219">
        <f>IF(A1801="RAPPI",(VLOOKUP(TRIM(D1801), CATALOGO!F:G, 2, FALSE) * C1801)+I1801,IFERROR(IF(COUNTIF('RESTAURANTESDESCUENTOS 2026'!A:A,TRIM(A1801))&gt;0,((VLOOKUP(TRIM(D1801), CATALOGO!A:B, 2, FALSE) * C1801)*(1-VALUE(SUBSTITUTE(VLOOKUP(TRIM(A1801),'RESTAURANTESDESCUENTOS 2026'!A:B,2,FALSE),"%",""))/100)+I1801),(VLOOKUP(TRIM(D1801), CATALOGO!A:B, 2, FALSE) * C1801+I1801)),""))</f>
        <v>250000</v>
      </c>
      <c r="K1801" s="196">
        <v>25000.0</v>
      </c>
      <c r="L1801" s="87">
        <v>700.0</v>
      </c>
      <c r="M1801" s="197" t="s">
        <v>587</v>
      </c>
      <c r="N1801" s="168"/>
    </row>
    <row r="1802" ht="22.5" hidden="1" customHeight="1">
      <c r="A1802" s="137" t="s">
        <v>1175</v>
      </c>
      <c r="B1802" s="90">
        <v>46100.0</v>
      </c>
      <c r="C1802" s="55">
        <v>1.0</v>
      </c>
      <c r="D1802" s="97" t="s">
        <v>177</v>
      </c>
      <c r="E1802" s="201" t="s">
        <v>1176</v>
      </c>
      <c r="F1802" s="236" t="s">
        <v>1035</v>
      </c>
      <c r="G1802" s="194" t="s">
        <v>587</v>
      </c>
      <c r="H1802" s="195" t="s">
        <v>632</v>
      </c>
      <c r="I1802" s="196">
        <v>12000.0</v>
      </c>
      <c r="J1802" s="219">
        <f>IF(A1802="RAPPI",(VLOOKUP(TRIM(D1802), CATALOGO!F:G, 2, FALSE) * C1802)+I1802,IFERROR(IF(COUNTIF('RESTAURANTESDESCUENTOS 2026'!A:A,TRIM(A1802))&gt;0,((VLOOKUP(TRIM(D1802), CATALOGO!A:B, 2, FALSE) * C1802)*(1-VALUE(SUBSTITUTE(VLOOKUP(TRIM(A1802),'RESTAURANTESDESCUENTOS 2026'!A:B,2,FALSE),"%",""))/100)+I1802),(VLOOKUP(TRIM(D1802), CATALOGO!A:B, 2, FALSE) * C1802+I1802)),""))</f>
        <v>127000</v>
      </c>
      <c r="K1802" s="196">
        <v>12000.0</v>
      </c>
      <c r="L1802" s="87">
        <v>710.0</v>
      </c>
      <c r="M1802" s="197" t="s">
        <v>587</v>
      </c>
      <c r="N1802" s="168"/>
    </row>
    <row r="1803" ht="22.5" hidden="1" customHeight="1">
      <c r="A1803" s="137" t="s">
        <v>131</v>
      </c>
      <c r="B1803" s="90">
        <v>46100.0</v>
      </c>
      <c r="C1803" s="55">
        <v>1.0</v>
      </c>
      <c r="D1803" s="97" t="s">
        <v>178</v>
      </c>
      <c r="E1803" s="201" t="s">
        <v>1177</v>
      </c>
      <c r="F1803" s="202"/>
      <c r="G1803" s="194" t="s">
        <v>587</v>
      </c>
      <c r="H1803" s="195" t="s">
        <v>632</v>
      </c>
      <c r="I1803" s="196">
        <v>5000.0</v>
      </c>
      <c r="J1803" s="219">
        <f>IF(A1803="RAPPI",(VLOOKUP(TRIM(D1803), CATALOGO!F:G, 2, FALSE) * C1803)+I1803,IFERROR(IF(COUNTIF('RESTAURANTESDESCUENTOS 2026'!A:A,TRIM(A1803))&gt;0,((VLOOKUP(TRIM(D1803), CATALOGO!A:B, 2, FALSE) * C1803)*(1-VALUE(SUBSTITUTE(VLOOKUP(TRIM(A1803),'RESTAURANTESDESCUENTOS 2026'!A:B,2,FALSE),"%",""))/100)+I1803),(VLOOKUP(TRIM(D1803), CATALOGO!A:B, 2, FALSE) * C1803+I1803)),""))</f>
        <v>110000</v>
      </c>
      <c r="K1803" s="196">
        <v>10000.0</v>
      </c>
      <c r="L1803" s="87">
        <v>701.0</v>
      </c>
      <c r="M1803" s="197" t="s">
        <v>587</v>
      </c>
      <c r="N1803" s="168"/>
    </row>
    <row r="1804" ht="22.5" hidden="1" customHeight="1">
      <c r="A1804" s="137" t="s">
        <v>1178</v>
      </c>
      <c r="B1804" s="90">
        <v>46100.0</v>
      </c>
      <c r="C1804" s="55">
        <v>1.0</v>
      </c>
      <c r="D1804" s="97" t="s">
        <v>186</v>
      </c>
      <c r="E1804" s="201"/>
      <c r="F1804" s="236" t="s">
        <v>1035</v>
      </c>
      <c r="G1804" s="194" t="s">
        <v>35</v>
      </c>
      <c r="H1804" s="198"/>
      <c r="I1804" s="196"/>
      <c r="J1804" s="250">
        <f>IF(A1804="RAPPI",(VLOOKUP(TRIM(D1804), CATALOGO!F:G, 2, FALSE) * C1804)+I1804,IFERROR(IF(COUNTIF('RESTAURANTESDESCUENTOS 2026'!A:A,TRIM(A1804))&gt;0,((VLOOKUP(TRIM(D1804), CATALOGO!A:B, 2, FALSE) * C1804)*(1-VALUE(SUBSTITUTE(VLOOKUP(TRIM(A1804),'RESTAURANTESDESCUENTOS 2026'!A:B,2,FALSE),"%",""))/100)+I1804),(VLOOKUP(TRIM(D1804), CATALOGO!A:B, 2, FALSE) * C1804+I1804)),""))</f>
        <v>55000</v>
      </c>
      <c r="K1804" s="196"/>
      <c r="L1804" s="87">
        <v>709.0</v>
      </c>
      <c r="M1804" s="197" t="s">
        <v>587</v>
      </c>
      <c r="N1804" s="168"/>
    </row>
    <row r="1805" ht="22.5" hidden="1" customHeight="1">
      <c r="A1805" s="137" t="s">
        <v>1178</v>
      </c>
      <c r="B1805" s="90">
        <v>46100.0</v>
      </c>
      <c r="C1805" s="55">
        <v>1.0</v>
      </c>
      <c r="D1805" s="97" t="s">
        <v>192</v>
      </c>
      <c r="E1805" s="201"/>
      <c r="F1805" s="236" t="s">
        <v>1035</v>
      </c>
      <c r="G1805" s="194" t="s">
        <v>35</v>
      </c>
      <c r="H1805" s="198"/>
      <c r="I1805" s="196"/>
      <c r="J1805" s="250">
        <f>IF(A1805="RAPPI",(VLOOKUP(TRIM(D1805), CATALOGO!F:G, 2, FALSE) * C1805)+I1805,IFERROR(IF(COUNTIF('RESTAURANTESDESCUENTOS 2026'!A:A,TRIM(A1805))&gt;0,((VLOOKUP(TRIM(D1805), CATALOGO!A:B, 2, FALSE) * C1805)*(1-VALUE(SUBSTITUTE(VLOOKUP(TRIM(A1805),'RESTAURANTESDESCUENTOS 2026'!A:B,2,FALSE),"%",""))/100)+I1805),(VLOOKUP(TRIM(D1805), CATALOGO!A:B, 2, FALSE) * C1805+I1805)),""))</f>
        <v>55000</v>
      </c>
      <c r="K1805" s="196"/>
      <c r="L1805" s="87">
        <v>709.0</v>
      </c>
      <c r="M1805" s="197" t="s">
        <v>587</v>
      </c>
      <c r="N1805" s="168"/>
    </row>
    <row r="1806" ht="22.5" hidden="1" customHeight="1">
      <c r="A1806" s="137" t="s">
        <v>63</v>
      </c>
      <c r="B1806" s="90">
        <v>46100.0</v>
      </c>
      <c r="C1806" s="55">
        <v>1.0</v>
      </c>
      <c r="D1806" s="97" t="s">
        <v>178</v>
      </c>
      <c r="E1806" s="201" t="s">
        <v>747</v>
      </c>
      <c r="F1806" s="202"/>
      <c r="G1806" s="194" t="s">
        <v>587</v>
      </c>
      <c r="H1806" s="195" t="s">
        <v>632</v>
      </c>
      <c r="I1806" s="196"/>
      <c r="J1806" s="219">
        <f>IF(A1806="RAPPI",(VLOOKUP(TRIM(D1806), CATALOGO!F:G, 2, FALSE) * C1806)+I1806,IFERROR(IF(COUNTIF('RESTAURANTESDESCUENTOS 2026'!A:A,TRIM(A1806))&gt;0,((VLOOKUP(TRIM(D1806), CATALOGO!A:B, 2, FALSE) * C1806)*(1-VALUE(SUBSTITUTE(VLOOKUP(TRIM(A1806),'RESTAURANTESDESCUENTOS 2026'!A:B,2,FALSE),"%",""))/100)+I1806),(VLOOKUP(TRIM(D1806), CATALOGO!A:B, 2, FALSE) * C1806+I1806)),""))</f>
        <v>112500</v>
      </c>
      <c r="K1806" s="196">
        <v>10000.0</v>
      </c>
      <c r="L1806" s="87">
        <v>702.0</v>
      </c>
      <c r="M1806" s="197" t="s">
        <v>587</v>
      </c>
      <c r="N1806" s="168"/>
    </row>
    <row r="1807" ht="22.5" hidden="1" customHeight="1">
      <c r="A1807" s="137" t="s">
        <v>63</v>
      </c>
      <c r="B1807" s="90">
        <v>46100.0</v>
      </c>
      <c r="C1807" s="55">
        <v>200.0</v>
      </c>
      <c r="D1807" s="97" t="s">
        <v>620</v>
      </c>
      <c r="E1807" s="201" t="s">
        <v>747</v>
      </c>
      <c r="F1807" s="202"/>
      <c r="G1807" s="194" t="s">
        <v>587</v>
      </c>
      <c r="H1807" s="195" t="s">
        <v>632</v>
      </c>
      <c r="I1807" s="196"/>
      <c r="J1807" s="219">
        <f>200*110</f>
        <v>22000</v>
      </c>
      <c r="K1807" s="196">
        <v>0.0</v>
      </c>
      <c r="L1807" s="87">
        <v>702.0</v>
      </c>
      <c r="M1807" s="197" t="s">
        <v>587</v>
      </c>
      <c r="N1807" s="168"/>
    </row>
    <row r="1808" ht="22.5" hidden="1" customHeight="1">
      <c r="A1808" s="137" t="s">
        <v>67</v>
      </c>
      <c r="B1808" s="90">
        <v>46100.0</v>
      </c>
      <c r="C1808" s="55">
        <v>1.0</v>
      </c>
      <c r="D1808" s="97" t="s">
        <v>178</v>
      </c>
      <c r="E1808" s="201" t="s">
        <v>747</v>
      </c>
      <c r="F1808" s="202"/>
      <c r="G1808" s="194" t="s">
        <v>35</v>
      </c>
      <c r="H1808" s="198"/>
      <c r="I1808" s="196">
        <v>0.0</v>
      </c>
      <c r="J1808" s="219">
        <f>IF(A1808="RAPPI",(VLOOKUP(TRIM(D1808), CATALOGO!F:G, 2, FALSE) * C1808)+I1808,IFERROR(IF(COUNTIF('RESTAURANTESDESCUENTOS 2026'!A:A,TRIM(A1808))&gt;0,((VLOOKUP(TRIM(D1808), CATALOGO!A:B, 2, FALSE) * C1808)*(1-VALUE(SUBSTITUTE(VLOOKUP(TRIM(A1808),'RESTAURANTESDESCUENTOS 2026'!A:B,2,FALSE),"%",""))/100)+I1808),(VLOOKUP(TRIM(D1808), CATALOGO!A:B, 2, FALSE) * C1808+I1808)),""))</f>
        <v>112500</v>
      </c>
      <c r="K1808" s="196">
        <v>0.0</v>
      </c>
      <c r="L1808" s="87">
        <v>703.0</v>
      </c>
      <c r="M1808" s="197" t="s">
        <v>587</v>
      </c>
      <c r="N1808" s="168"/>
    </row>
    <row r="1809" ht="22.5" hidden="1" customHeight="1">
      <c r="A1809" s="137" t="s">
        <v>67</v>
      </c>
      <c r="B1809" s="90">
        <v>46100.0</v>
      </c>
      <c r="C1809" s="55">
        <v>200.0</v>
      </c>
      <c r="D1809" s="97" t="s">
        <v>620</v>
      </c>
      <c r="E1809" s="201" t="s">
        <v>747</v>
      </c>
      <c r="F1809" s="202"/>
      <c r="G1809" s="194" t="s">
        <v>35</v>
      </c>
      <c r="H1809" s="198"/>
      <c r="I1809" s="196">
        <v>0.0</v>
      </c>
      <c r="J1809" s="219">
        <f>200*110</f>
        <v>22000</v>
      </c>
      <c r="K1809" s="196">
        <v>0.0</v>
      </c>
      <c r="L1809" s="87">
        <v>703.0</v>
      </c>
      <c r="M1809" s="197" t="s">
        <v>587</v>
      </c>
      <c r="N1809" s="168"/>
    </row>
    <row r="1810" ht="22.5" hidden="1" customHeight="1">
      <c r="A1810" s="137" t="s">
        <v>69</v>
      </c>
      <c r="B1810" s="90">
        <v>46100.0</v>
      </c>
      <c r="C1810" s="55">
        <v>1.0</v>
      </c>
      <c r="D1810" s="97" t="s">
        <v>178</v>
      </c>
      <c r="E1810" s="201" t="s">
        <v>747</v>
      </c>
      <c r="F1810" s="202"/>
      <c r="G1810" s="194" t="s">
        <v>587</v>
      </c>
      <c r="H1810" s="195" t="s">
        <v>632</v>
      </c>
      <c r="I1810" s="196"/>
      <c r="J1810" s="219">
        <f>IF(A1810="RAPPI",(VLOOKUP(TRIM(D1810), CATALOGO!F:G, 2, FALSE) * C1810)+I1810,IFERROR(IF(COUNTIF('RESTAURANTESDESCUENTOS 2026'!A:A,TRIM(A1810))&gt;0,((VLOOKUP(TRIM(D1810), CATALOGO!A:B, 2, FALSE) * C1810)*(1-VALUE(SUBSTITUTE(VLOOKUP(TRIM(A1810),'RESTAURANTESDESCUENTOS 2026'!A:B,2,FALSE),"%",""))/100)+I1810),(VLOOKUP(TRIM(D1810), CATALOGO!A:B, 2, FALSE) * C1810+I1810)),""))</f>
        <v>112500</v>
      </c>
      <c r="K1810" s="196">
        <v>10000.0</v>
      </c>
      <c r="L1810" s="87">
        <v>706.0</v>
      </c>
      <c r="M1810" s="197" t="s">
        <v>587</v>
      </c>
      <c r="N1810" s="168"/>
    </row>
    <row r="1811" ht="22.5" hidden="1" customHeight="1">
      <c r="A1811" s="137" t="s">
        <v>69</v>
      </c>
      <c r="B1811" s="90">
        <v>46100.0</v>
      </c>
      <c r="C1811" s="55">
        <v>200.0</v>
      </c>
      <c r="D1811" s="97" t="s">
        <v>620</v>
      </c>
      <c r="E1811" s="201" t="s">
        <v>747</v>
      </c>
      <c r="F1811" s="202"/>
      <c r="G1811" s="194" t="s">
        <v>587</v>
      </c>
      <c r="H1811" s="195" t="s">
        <v>632</v>
      </c>
      <c r="I1811" s="196"/>
      <c r="J1811" s="219">
        <f>200*110</f>
        <v>22000</v>
      </c>
      <c r="K1811" s="196">
        <v>0.0</v>
      </c>
      <c r="L1811" s="87">
        <v>706.0</v>
      </c>
      <c r="M1811" s="197" t="s">
        <v>587</v>
      </c>
      <c r="N1811" s="168"/>
    </row>
    <row r="1812" ht="22.5" hidden="1" customHeight="1">
      <c r="A1812" s="137" t="s">
        <v>38</v>
      </c>
      <c r="B1812" s="90">
        <v>46100.0</v>
      </c>
      <c r="C1812" s="55">
        <v>1.0</v>
      </c>
      <c r="D1812" s="97" t="s">
        <v>177</v>
      </c>
      <c r="E1812" s="201" t="s">
        <v>747</v>
      </c>
      <c r="F1812" s="202"/>
      <c r="G1812" s="194"/>
      <c r="H1812" s="198"/>
      <c r="I1812" s="196"/>
      <c r="J1812" s="219">
        <f>IF(A1812="RAPPI",(VLOOKUP(TRIM(D1812), CATALOGO!F:G, 2, FALSE) * C1812)+I1812,IFERROR(IF(COUNTIF('RESTAURANTESDESCUENTOS 2026'!A:A,TRIM(A1812))&gt;0,((VLOOKUP(TRIM(D1812), CATALOGO!A:B, 2, FALSE) * C1812)*(1-VALUE(SUBSTITUTE(VLOOKUP(TRIM(A1812),'RESTAURANTESDESCUENTOS 2026'!A:B,2,FALSE),"%",""))/100)+I1812),(VLOOKUP(TRIM(D1812), CATALOGO!A:B, 2, FALSE) * C1812+I1812)),""))</f>
        <v>86250</v>
      </c>
      <c r="K1812" s="196">
        <v>10000.0</v>
      </c>
      <c r="L1812" s="87">
        <v>704.0</v>
      </c>
      <c r="M1812" s="197" t="s">
        <v>587</v>
      </c>
      <c r="N1812" s="168"/>
    </row>
    <row r="1813" ht="22.5" hidden="1" customHeight="1">
      <c r="A1813" s="137" t="s">
        <v>650</v>
      </c>
      <c r="B1813" s="90">
        <v>46100.0</v>
      </c>
      <c r="C1813" s="55">
        <v>1.0</v>
      </c>
      <c r="D1813" s="97" t="s">
        <v>178</v>
      </c>
      <c r="E1813" s="201"/>
      <c r="F1813" s="202"/>
      <c r="G1813" s="194" t="s">
        <v>35</v>
      </c>
      <c r="H1813" s="198"/>
      <c r="I1813" s="196"/>
      <c r="J1813" s="219">
        <f>IF(A1813="RAPPI",(VLOOKUP(TRIM(D1813), CATALOGO!F:G, 2, FALSE) * C1813)+I1813,IFERROR(IF(COUNTIF('RESTAURANTESDESCUENTOS 2026'!A:A,TRIM(A1813))&gt;0,((VLOOKUP(TRIM(D1813), CATALOGO!A:B, 2, FALSE) * C1813)*(1-VALUE(SUBSTITUTE(VLOOKUP(TRIM(A1813),'RESTAURANTESDESCUENTOS 2026'!A:B,2,FALSE),"%",""))/100)+I1813),(VLOOKUP(TRIM(D1813), CATALOGO!A:B, 2, FALSE) * C1813+I1813)),""))</f>
        <v>112500</v>
      </c>
      <c r="K1813" s="196"/>
      <c r="L1813" s="87">
        <v>705.0</v>
      </c>
      <c r="M1813" s="197" t="s">
        <v>587</v>
      </c>
      <c r="N1813" s="168"/>
    </row>
    <row r="1814" ht="22.5" hidden="1" customHeight="1">
      <c r="A1814" s="137" t="s">
        <v>597</v>
      </c>
      <c r="B1814" s="90">
        <v>46100.0</v>
      </c>
      <c r="C1814" s="55">
        <v>8.0</v>
      </c>
      <c r="D1814" s="97" t="s">
        <v>178</v>
      </c>
      <c r="E1814" s="201"/>
      <c r="F1814" s="202"/>
      <c r="G1814" s="194" t="s">
        <v>35</v>
      </c>
      <c r="H1814" s="198"/>
      <c r="I1814" s="196"/>
      <c r="J1814" s="251">
        <v>0.0</v>
      </c>
      <c r="K1814" s="196"/>
      <c r="L1814" s="87"/>
      <c r="M1814" s="197" t="s">
        <v>587</v>
      </c>
      <c r="N1814" s="246" t="s">
        <v>587</v>
      </c>
    </row>
    <row r="1815" ht="22.5" hidden="1" customHeight="1">
      <c r="A1815" s="137" t="s">
        <v>46</v>
      </c>
      <c r="B1815" s="90">
        <v>46100.0</v>
      </c>
      <c r="C1815" s="55">
        <v>1.0</v>
      </c>
      <c r="D1815" s="97" t="s">
        <v>177</v>
      </c>
      <c r="E1815" s="201"/>
      <c r="F1815" s="202"/>
      <c r="G1815" s="194"/>
      <c r="H1815" s="198"/>
      <c r="I1815" s="196"/>
      <c r="J1815" s="219">
        <f>IF(A1815="RAPPI",(VLOOKUP(TRIM(D1815), CATALOGO!F:G, 2, FALSE) * C1815)+I1815,IFERROR(IF(COUNTIF('RESTAURANTESDESCUENTOS 2026'!A:A,TRIM(A1815))&gt;0,((VLOOKUP(TRIM(D1815), CATALOGO!A:B, 2, FALSE) * C1815)*(1-VALUE(SUBSTITUTE(VLOOKUP(TRIM(A1815),'RESTAURANTESDESCUENTOS 2026'!A:B,2,FALSE),"%",""))/100)+I1815),(VLOOKUP(TRIM(D1815), CATALOGO!A:B, 2, FALSE) * C1815+I1815)),""))</f>
        <v>86250</v>
      </c>
      <c r="K1815" s="196">
        <v>8000.0</v>
      </c>
      <c r="L1815" s="87">
        <v>716.0</v>
      </c>
      <c r="M1815" s="197" t="s">
        <v>587</v>
      </c>
      <c r="N1815" s="168"/>
    </row>
    <row r="1816" ht="22.5" hidden="1" customHeight="1">
      <c r="A1816" s="137" t="s">
        <v>21</v>
      </c>
      <c r="B1816" s="90">
        <v>46100.0</v>
      </c>
      <c r="C1816" s="55">
        <v>1.0</v>
      </c>
      <c r="D1816" s="97" t="s">
        <v>178</v>
      </c>
      <c r="E1816" s="201"/>
      <c r="F1816" s="202"/>
      <c r="G1816" s="194" t="s">
        <v>35</v>
      </c>
      <c r="H1816" s="198"/>
      <c r="I1816" s="196">
        <v>15000.0</v>
      </c>
      <c r="J1816" s="219">
        <f>IF(A1816="RAPPI",(VLOOKUP(TRIM(D1816), CATALOGO!F:G, 2, FALSE) * C1816)+I1816,IFERROR(IF(COUNTIF('RESTAURANTESDESCUENTOS 2026'!A:A,TRIM(A1816))&gt;0,((VLOOKUP(TRIM(D1816), CATALOGO!A:B, 2, FALSE) * C1816)*(1-VALUE(SUBSTITUTE(VLOOKUP(TRIM(A1816),'RESTAURANTESDESCUENTOS 2026'!A:B,2,FALSE),"%",""))/100)+I1816),(VLOOKUP(TRIM(D1816), CATALOGO!A:B, 2, FALSE) * C1816+I1816)),""))</f>
        <v>127500</v>
      </c>
      <c r="K1816" s="196"/>
      <c r="L1816" s="87">
        <v>720.0</v>
      </c>
      <c r="M1816" s="197" t="s">
        <v>587</v>
      </c>
      <c r="N1816" s="168"/>
    </row>
    <row r="1817" ht="22.5" hidden="1" customHeight="1">
      <c r="A1817" s="137" t="s">
        <v>623</v>
      </c>
      <c r="B1817" s="90">
        <v>46100.0</v>
      </c>
      <c r="C1817" s="55">
        <v>1.0</v>
      </c>
      <c r="D1817" s="97" t="s">
        <v>225</v>
      </c>
      <c r="E1817" s="201"/>
      <c r="F1817" s="236" t="s">
        <v>864</v>
      </c>
      <c r="G1817" s="194" t="s">
        <v>587</v>
      </c>
      <c r="H1817" s="195" t="s">
        <v>588</v>
      </c>
      <c r="I1817" s="196">
        <v>10000.0</v>
      </c>
      <c r="J1817" s="219">
        <f>IF(A1817="RAPPI",(VLOOKUP(TRIM(D1817), CATALOGO!F:G, 2, FALSE) * C1817)+I1817,IFERROR(IF(COUNTIF('RESTAURANTESDESCUENTOS 2026'!A:A,TRIM(A1817))&gt;0,((VLOOKUP(TRIM(D1817), CATALOGO!A:B, 2, FALSE) * C1817)*(1-VALUE(SUBSTITUTE(VLOOKUP(TRIM(A1817),'RESTAURANTESDESCUENTOS 2026'!A:B,2,FALSE),"%",""))/100)+I1817),(VLOOKUP(TRIM(D1817), CATALOGO!A:B, 2, FALSE) * C1817+I1817)),""))</f>
        <v>47000</v>
      </c>
      <c r="K1817" s="196"/>
      <c r="L1817" s="87">
        <v>721.0</v>
      </c>
      <c r="M1817" s="197" t="s">
        <v>587</v>
      </c>
      <c r="N1817" s="168"/>
    </row>
    <row r="1818" ht="22.5" hidden="1" customHeight="1">
      <c r="A1818" s="137" t="s">
        <v>603</v>
      </c>
      <c r="B1818" s="90">
        <v>46100.0</v>
      </c>
      <c r="C1818" s="55">
        <v>1.0</v>
      </c>
      <c r="D1818" s="97" t="s">
        <v>182</v>
      </c>
      <c r="E1818" s="201"/>
      <c r="F1818" s="236" t="s">
        <v>603</v>
      </c>
      <c r="G1818" s="194" t="s">
        <v>587</v>
      </c>
      <c r="H1818" s="195" t="s">
        <v>603</v>
      </c>
      <c r="I1818" s="196"/>
      <c r="J1818" s="219">
        <f>IF(A1818="RAPPI",(VLOOKUP(TRIM(D1818), CATALOGO!F:G, 2, FALSE) * C1818)+I1818,IFERROR(IF(COUNTIF('RESTAURANTESDESCUENTOS 2026'!A:A,TRIM(A1818))&gt;0,((VLOOKUP(TRIM(D1818), CATALOGO!A:B, 2, FALSE) * C1818)*(1-VALUE(SUBSTITUTE(VLOOKUP(TRIM(A1818),'RESTAURANTESDESCUENTOS 2026'!A:B,2,FALSE),"%",""))/100)+I1818),(VLOOKUP(TRIM(D1818), CATALOGO!A:B, 2, FALSE) * C1818+I1818)),""))</f>
        <v>37000</v>
      </c>
      <c r="K1818" s="196"/>
      <c r="L1818" s="87">
        <v>724.0</v>
      </c>
      <c r="M1818" s="197" t="s">
        <v>587</v>
      </c>
      <c r="N1818" s="168"/>
    </row>
    <row r="1819" ht="22.5" hidden="1" customHeight="1">
      <c r="A1819" s="137" t="s">
        <v>603</v>
      </c>
      <c r="B1819" s="90">
        <v>46100.0</v>
      </c>
      <c r="C1819" s="55">
        <v>1.0</v>
      </c>
      <c r="D1819" s="97" t="s">
        <v>176</v>
      </c>
      <c r="E1819" s="201"/>
      <c r="F1819" s="236" t="s">
        <v>603</v>
      </c>
      <c r="G1819" s="194" t="s">
        <v>587</v>
      </c>
      <c r="H1819" s="195" t="s">
        <v>603</v>
      </c>
      <c r="I1819" s="196"/>
      <c r="J1819" s="179">
        <f>IF(A1819="RAPPI",(VLOOKUP(TRIM(D1819), CATALOGO!F:G, 2, FALSE) * C1819)+I1819,IFERROR(IF(COUNTIF('RESTAURANTESDESCUENTOS 2026'!A:A,TRIM(A1819))&gt;0,((VLOOKUP(TRIM(D1819), CATALOGO!A:B, 2, FALSE) * C1819)*(1-VALUE(SUBSTITUTE(VLOOKUP(TRIM(A1819),'RESTAURANTESDESCUENTOS 2026'!A:B,2,FALSE),"%",""))/100)+I1819),(VLOOKUP(TRIM(D1819), CATALOGO!A:B, 2, FALSE) * C1819+I1819)),""))</f>
        <v>50000</v>
      </c>
      <c r="K1819" s="196"/>
      <c r="L1819" s="87">
        <v>724.0</v>
      </c>
      <c r="M1819" s="197" t="s">
        <v>587</v>
      </c>
      <c r="N1819" s="168"/>
    </row>
    <row r="1820" ht="22.5" hidden="1" customHeight="1">
      <c r="A1820" s="137" t="s">
        <v>603</v>
      </c>
      <c r="B1820" s="90">
        <v>46100.0</v>
      </c>
      <c r="C1820" s="55">
        <v>1.0</v>
      </c>
      <c r="D1820" s="97" t="s">
        <v>186</v>
      </c>
      <c r="E1820" s="201"/>
      <c r="F1820" s="236" t="s">
        <v>603</v>
      </c>
      <c r="G1820" s="194" t="s">
        <v>587</v>
      </c>
      <c r="H1820" s="195" t="s">
        <v>603</v>
      </c>
      <c r="I1820" s="196"/>
      <c r="J1820" s="179">
        <f>IF(A1820="RAPPI",(VLOOKUP(TRIM(D1820), CATALOGO!F:G, 2, FALSE) * C1820)+I1820,IFERROR(IF(COUNTIF('RESTAURANTESDESCUENTOS 2026'!A:A,TRIM(A1820))&gt;0,((VLOOKUP(TRIM(D1820), CATALOGO!A:B, 2, FALSE) * C1820)*(1-VALUE(SUBSTITUTE(VLOOKUP(TRIM(A1820),'RESTAURANTESDESCUENTOS 2026'!A:B,2,FALSE),"%",""))/100)+I1820),(VLOOKUP(TRIM(D1820), CATALOGO!A:B, 2, FALSE) * C1820+I1820)),""))</f>
        <v>55000</v>
      </c>
      <c r="K1820" s="196"/>
      <c r="L1820" s="87">
        <v>724.0</v>
      </c>
      <c r="M1820" s="197" t="s">
        <v>587</v>
      </c>
      <c r="N1820" s="168"/>
    </row>
    <row r="1821" ht="22.5" hidden="1" customHeight="1">
      <c r="A1821" s="137" t="s">
        <v>603</v>
      </c>
      <c r="B1821" s="90">
        <v>46100.0</v>
      </c>
      <c r="C1821" s="55">
        <v>1.0</v>
      </c>
      <c r="D1821" s="97" t="s">
        <v>187</v>
      </c>
      <c r="E1821" s="201"/>
      <c r="F1821" s="236" t="s">
        <v>603</v>
      </c>
      <c r="G1821" s="194" t="s">
        <v>587</v>
      </c>
      <c r="H1821" s="195" t="s">
        <v>603</v>
      </c>
      <c r="I1821" s="196"/>
      <c r="J1821" s="179">
        <f>IF(A1821="RAPPI",(VLOOKUP(TRIM(D1821), CATALOGO!F:G, 2, FALSE) * C1821)+I1821,IFERROR(IF(COUNTIF('RESTAURANTESDESCUENTOS 2026'!A:A,TRIM(A1821))&gt;0,((VLOOKUP(TRIM(D1821), CATALOGO!A:B, 2, FALSE) * C1821)*(1-VALUE(SUBSTITUTE(VLOOKUP(TRIM(A1821),'RESTAURANTESDESCUENTOS 2026'!A:B,2,FALSE),"%",""))/100)+I1821),(VLOOKUP(TRIM(D1821), CATALOGO!A:B, 2, FALSE) * C1821+I1821)),""))</f>
        <v>55000</v>
      </c>
      <c r="K1821" s="196"/>
      <c r="L1821" s="87">
        <v>724.0</v>
      </c>
      <c r="M1821" s="197" t="s">
        <v>587</v>
      </c>
      <c r="N1821" s="168"/>
    </row>
    <row r="1822" ht="22.5" hidden="1" customHeight="1">
      <c r="A1822" s="137" t="s">
        <v>603</v>
      </c>
      <c r="B1822" s="90">
        <v>46100.0</v>
      </c>
      <c r="C1822" s="55">
        <v>1.0</v>
      </c>
      <c r="D1822" s="97" t="s">
        <v>176</v>
      </c>
      <c r="E1822" s="201"/>
      <c r="F1822" s="236" t="s">
        <v>603</v>
      </c>
      <c r="G1822" s="194" t="s">
        <v>587</v>
      </c>
      <c r="H1822" s="195" t="s">
        <v>603</v>
      </c>
      <c r="I1822" s="196"/>
      <c r="J1822" s="179">
        <f>IF(A1822="RAPPI",(VLOOKUP(TRIM(D1822), CATALOGO!F:G, 2, FALSE) * C1822)+I1822,IFERROR(IF(COUNTIF('RESTAURANTESDESCUENTOS 2026'!A:A,TRIM(A1822))&gt;0,((VLOOKUP(TRIM(D1822), CATALOGO!A:B, 2, FALSE) * C1822)*(1-VALUE(SUBSTITUTE(VLOOKUP(TRIM(A1822),'RESTAURANTESDESCUENTOS 2026'!A:B,2,FALSE),"%",""))/100)+I1822),(VLOOKUP(TRIM(D1822), CATALOGO!A:B, 2, FALSE) * C1822+I1822)),""))</f>
        <v>50000</v>
      </c>
      <c r="K1822" s="196"/>
      <c r="L1822" s="87">
        <v>724.0</v>
      </c>
      <c r="M1822" s="197" t="s">
        <v>587</v>
      </c>
      <c r="N1822" s="168"/>
    </row>
    <row r="1823" ht="22.5" hidden="1" customHeight="1">
      <c r="A1823" s="137" t="s">
        <v>603</v>
      </c>
      <c r="B1823" s="90">
        <v>46100.0</v>
      </c>
      <c r="C1823" s="55">
        <v>1.0</v>
      </c>
      <c r="D1823" s="97" t="s">
        <v>601</v>
      </c>
      <c r="E1823" s="201"/>
      <c r="F1823" s="236" t="s">
        <v>603</v>
      </c>
      <c r="G1823" s="194" t="s">
        <v>587</v>
      </c>
      <c r="H1823" s="195" t="s">
        <v>603</v>
      </c>
      <c r="I1823" s="196"/>
      <c r="J1823" s="179">
        <f>IF(A1823="RAPPI",(VLOOKUP(TRIM(D1823), CATALOGO!F:G, 2, FALSE) * C1823)+I1823,IFERROR(IF(COUNTIF('RESTAURANTESDESCUENTOS 2026'!A:A,TRIM(A1823))&gt;0,((VLOOKUP(TRIM(D1823), CATALOGO!A:B, 2, FALSE) * C1823)*(1-VALUE(SUBSTITUTE(VLOOKUP(TRIM(A1823),'RESTAURANTESDESCUENTOS 2026'!A:B,2,FALSE),"%",""))/100)+I1823),(VLOOKUP(TRIM(D1823), CATALOGO!A:B, 2, FALSE) * C1823+I1823)),""))</f>
        <v>53000</v>
      </c>
      <c r="K1823" s="196"/>
      <c r="L1823" s="87">
        <v>724.0</v>
      </c>
      <c r="M1823" s="197" t="s">
        <v>587</v>
      </c>
      <c r="N1823" s="168"/>
    </row>
    <row r="1824" ht="22.5" hidden="1" customHeight="1">
      <c r="A1824" s="137" t="s">
        <v>603</v>
      </c>
      <c r="B1824" s="90">
        <v>46100.0</v>
      </c>
      <c r="C1824" s="55">
        <v>1.0</v>
      </c>
      <c r="D1824" s="97" t="s">
        <v>640</v>
      </c>
      <c r="E1824" s="201"/>
      <c r="F1824" s="236" t="s">
        <v>603</v>
      </c>
      <c r="G1824" s="194" t="s">
        <v>587</v>
      </c>
      <c r="H1824" s="195" t="s">
        <v>603</v>
      </c>
      <c r="I1824" s="196"/>
      <c r="J1824" s="179">
        <f>IF(A1824="RAPPI",(VLOOKUP(TRIM(D1824), CATALOGO!F:G, 2, FALSE) * C1824)+I1824,IFERROR(IF(COUNTIF('RESTAURANTESDESCUENTOS 2026'!A:A,TRIM(A1824))&gt;0,((VLOOKUP(TRIM(D1824), CATALOGO!A:B, 2, FALSE) * C1824)*(1-VALUE(SUBSTITUTE(VLOOKUP(TRIM(A1824),'RESTAURANTESDESCUENTOS 2026'!A:B,2,FALSE),"%",""))/100)+I1824),(VLOOKUP(TRIM(D1824), CATALOGO!A:B, 2, FALSE) * C1824+I1824)),""))</f>
        <v>53000</v>
      </c>
      <c r="K1824" s="196"/>
      <c r="L1824" s="87">
        <v>724.0</v>
      </c>
      <c r="M1824" s="197" t="s">
        <v>587</v>
      </c>
      <c r="N1824" s="168"/>
    </row>
    <row r="1825" ht="22.5" hidden="1" customHeight="1">
      <c r="A1825" s="137" t="s">
        <v>603</v>
      </c>
      <c r="B1825" s="90">
        <v>46100.0</v>
      </c>
      <c r="C1825" s="55">
        <v>1.0</v>
      </c>
      <c r="D1825" s="97" t="s">
        <v>602</v>
      </c>
      <c r="E1825" s="201"/>
      <c r="F1825" s="236" t="s">
        <v>603</v>
      </c>
      <c r="G1825" s="194" t="s">
        <v>587</v>
      </c>
      <c r="H1825" s="195" t="s">
        <v>603</v>
      </c>
      <c r="I1825" s="196"/>
      <c r="J1825" s="179">
        <f>IF(A1825="RAPPI",(VLOOKUP(TRIM(D1825), CATALOGO!F:G, 2, FALSE) * C1825)+I1825,IFERROR(IF(COUNTIF('RESTAURANTESDESCUENTOS 2026'!A:A,TRIM(A1825))&gt;0,((VLOOKUP(TRIM(D1825), CATALOGO!A:B, 2, FALSE) * C1825)*(1-VALUE(SUBSTITUTE(VLOOKUP(TRIM(A1825),'RESTAURANTESDESCUENTOS 2026'!A:B,2,FALSE),"%",""))/100)+I1825),(VLOOKUP(TRIM(D1825), CATALOGO!A:B, 2, FALSE) * C1825+I1825)),""))</f>
        <v>22000</v>
      </c>
      <c r="K1825" s="196"/>
      <c r="L1825" s="87">
        <v>724.0</v>
      </c>
      <c r="M1825" s="197" t="s">
        <v>587</v>
      </c>
      <c r="N1825" s="168"/>
    </row>
    <row r="1826" ht="22.5" hidden="1" customHeight="1">
      <c r="A1826" s="137" t="s">
        <v>603</v>
      </c>
      <c r="B1826" s="90">
        <v>46100.0</v>
      </c>
      <c r="C1826" s="55">
        <v>1.0</v>
      </c>
      <c r="D1826" s="97" t="s">
        <v>186</v>
      </c>
      <c r="E1826" s="201"/>
      <c r="F1826" s="236" t="s">
        <v>603</v>
      </c>
      <c r="G1826" s="194" t="s">
        <v>587</v>
      </c>
      <c r="H1826" s="195" t="s">
        <v>603</v>
      </c>
      <c r="I1826" s="196"/>
      <c r="J1826" s="179">
        <f>IF(A1826="RAPPI",(VLOOKUP(TRIM(D1826), CATALOGO!F:G, 2, FALSE) * C1826)+I1826,IFERROR(IF(COUNTIF('RESTAURANTESDESCUENTOS 2026'!A:A,TRIM(A1826))&gt;0,((VLOOKUP(TRIM(D1826), CATALOGO!A:B, 2, FALSE) * C1826)*(1-VALUE(SUBSTITUTE(VLOOKUP(TRIM(A1826),'RESTAURANTESDESCUENTOS 2026'!A:B,2,FALSE),"%",""))/100)+I1826),(VLOOKUP(TRIM(D1826), CATALOGO!A:B, 2, FALSE) * C1826+I1826)),""))</f>
        <v>55000</v>
      </c>
      <c r="K1826" s="196"/>
      <c r="L1826" s="87">
        <v>724.0</v>
      </c>
      <c r="M1826" s="197" t="s">
        <v>587</v>
      </c>
      <c r="N1826" s="168"/>
    </row>
    <row r="1827" ht="22.5" hidden="1" customHeight="1">
      <c r="A1827" s="137" t="s">
        <v>603</v>
      </c>
      <c r="B1827" s="90">
        <v>46100.0</v>
      </c>
      <c r="C1827" s="55">
        <v>2.0</v>
      </c>
      <c r="D1827" s="97" t="s">
        <v>601</v>
      </c>
      <c r="E1827" s="201"/>
      <c r="F1827" s="236" t="s">
        <v>603</v>
      </c>
      <c r="G1827" s="194" t="s">
        <v>587</v>
      </c>
      <c r="H1827" s="195" t="s">
        <v>603</v>
      </c>
      <c r="I1827" s="196"/>
      <c r="J1827" s="179">
        <f>IF(A1827="RAPPI",(VLOOKUP(TRIM(D1827), CATALOGO!F:G, 2, FALSE) * C1827)+I1827,IFERROR(IF(COUNTIF('RESTAURANTESDESCUENTOS 2026'!A:A,TRIM(A1827))&gt;0,((VLOOKUP(TRIM(D1827), CATALOGO!A:B, 2, FALSE) * C1827)*(1-VALUE(SUBSTITUTE(VLOOKUP(TRIM(A1827),'RESTAURANTESDESCUENTOS 2026'!A:B,2,FALSE),"%",""))/100)+I1827),(VLOOKUP(TRIM(D1827), CATALOGO!A:B, 2, FALSE) * C1827+I1827)),""))</f>
        <v>106000</v>
      </c>
      <c r="K1827" s="196"/>
      <c r="L1827" s="87">
        <v>724.0</v>
      </c>
      <c r="M1827" s="197" t="s">
        <v>587</v>
      </c>
      <c r="N1827" s="168"/>
    </row>
    <row r="1828" ht="22.5" hidden="1" customHeight="1">
      <c r="A1828" s="137" t="s">
        <v>603</v>
      </c>
      <c r="B1828" s="90">
        <v>46100.0</v>
      </c>
      <c r="C1828" s="55">
        <v>1.0</v>
      </c>
      <c r="D1828" s="97" t="s">
        <v>628</v>
      </c>
      <c r="E1828" s="201"/>
      <c r="F1828" s="236" t="s">
        <v>603</v>
      </c>
      <c r="G1828" s="194" t="s">
        <v>587</v>
      </c>
      <c r="H1828" s="195" t="s">
        <v>603</v>
      </c>
      <c r="I1828" s="196"/>
      <c r="J1828" s="179">
        <f>IF(A1828="RAPPI",(VLOOKUP(TRIM(D1828), CATALOGO!F:G, 2, FALSE) * C1828)+I1828,IFERROR(IF(COUNTIF('RESTAURANTESDESCUENTOS 2026'!A:A,TRIM(A1828))&gt;0,((VLOOKUP(TRIM(D1828), CATALOGO!A:B, 2, FALSE) * C1828)*(1-VALUE(SUBSTITUTE(VLOOKUP(TRIM(A1828),'RESTAURANTESDESCUENTOS 2026'!A:B,2,FALSE),"%",""))/100)+I1828),(VLOOKUP(TRIM(D1828), CATALOGO!A:B, 2, FALSE) * C1828+I1828)),""))</f>
        <v>22000</v>
      </c>
      <c r="K1828" s="196"/>
      <c r="L1828" s="87">
        <v>724.0</v>
      </c>
      <c r="M1828" s="197" t="s">
        <v>587</v>
      </c>
      <c r="N1828" s="168"/>
    </row>
    <row r="1829" ht="22.5" hidden="1" customHeight="1">
      <c r="A1829" s="137" t="s">
        <v>603</v>
      </c>
      <c r="B1829" s="90">
        <v>46100.0</v>
      </c>
      <c r="C1829" s="55">
        <v>1.0</v>
      </c>
      <c r="D1829" s="97" t="s">
        <v>640</v>
      </c>
      <c r="E1829" s="201"/>
      <c r="F1829" s="236" t="s">
        <v>603</v>
      </c>
      <c r="G1829" s="194" t="s">
        <v>587</v>
      </c>
      <c r="H1829" s="195" t="s">
        <v>603</v>
      </c>
      <c r="I1829" s="196"/>
      <c r="J1829" s="179">
        <f>IF(A1829="RAPPI",(VLOOKUP(TRIM(D1829), CATALOGO!F:G, 2, FALSE) * C1829)+I1829,IFERROR(IF(COUNTIF('RESTAURANTESDESCUENTOS 2026'!A:A,TRIM(A1829))&gt;0,((VLOOKUP(TRIM(D1829), CATALOGO!A:B, 2, FALSE) * C1829)*(1-VALUE(SUBSTITUTE(VLOOKUP(TRIM(A1829),'RESTAURANTESDESCUENTOS 2026'!A:B,2,FALSE),"%",""))/100)+I1829),(VLOOKUP(TRIM(D1829), CATALOGO!A:B, 2, FALSE) * C1829+I1829)),""))</f>
        <v>53000</v>
      </c>
      <c r="K1829" s="196"/>
      <c r="L1829" s="87">
        <v>724.0</v>
      </c>
      <c r="M1829" s="197" t="s">
        <v>587</v>
      </c>
      <c r="N1829" s="168"/>
    </row>
    <row r="1830" ht="22.5" hidden="1" customHeight="1">
      <c r="A1830" s="137" t="s">
        <v>603</v>
      </c>
      <c r="B1830" s="90">
        <v>46100.0</v>
      </c>
      <c r="C1830" s="55">
        <v>1.0</v>
      </c>
      <c r="D1830" s="97" t="s">
        <v>757</v>
      </c>
      <c r="E1830" s="201"/>
      <c r="F1830" s="236" t="s">
        <v>603</v>
      </c>
      <c r="G1830" s="194" t="s">
        <v>587</v>
      </c>
      <c r="H1830" s="195" t="s">
        <v>603</v>
      </c>
      <c r="I1830" s="196"/>
      <c r="J1830" s="179">
        <f>IF(A1830="RAPPI",(VLOOKUP(TRIM(D1830), CATALOGO!F:G, 2, FALSE) * C1830)+I1830,IFERROR(IF(COUNTIF('RESTAURANTESDESCUENTOS 2026'!A:A,TRIM(A1830))&gt;0,((VLOOKUP(TRIM(D1830), CATALOGO!A:B, 2, FALSE) * C1830)*(1-VALUE(SUBSTITUTE(VLOOKUP(TRIM(A1830),'RESTAURANTESDESCUENTOS 2026'!A:B,2,FALSE),"%",""))/100)+I1830),(VLOOKUP(TRIM(D1830), CATALOGO!A:B, 2, FALSE) * C1830+I1830)),""))</f>
        <v>22000</v>
      </c>
      <c r="K1830" s="196"/>
      <c r="L1830" s="87">
        <v>724.0</v>
      </c>
      <c r="M1830" s="197" t="s">
        <v>587</v>
      </c>
      <c r="N1830" s="168"/>
    </row>
    <row r="1831" ht="22.5" hidden="1" customHeight="1">
      <c r="A1831" s="137" t="s">
        <v>603</v>
      </c>
      <c r="B1831" s="90">
        <v>46100.0</v>
      </c>
      <c r="C1831" s="55">
        <v>1.0</v>
      </c>
      <c r="D1831" s="97" t="s">
        <v>602</v>
      </c>
      <c r="E1831" s="201"/>
      <c r="F1831" s="236" t="s">
        <v>603</v>
      </c>
      <c r="G1831" s="194" t="s">
        <v>587</v>
      </c>
      <c r="H1831" s="195" t="s">
        <v>603</v>
      </c>
      <c r="I1831" s="196"/>
      <c r="J1831" s="179">
        <f>IF(A1831="RAPPI",(VLOOKUP(TRIM(D1831), CATALOGO!F:G, 2, FALSE) * C1831)+I1831,IFERROR(IF(COUNTIF('RESTAURANTESDESCUENTOS 2026'!A:A,TRIM(A1831))&gt;0,((VLOOKUP(TRIM(D1831), CATALOGO!A:B, 2, FALSE) * C1831)*(1-VALUE(SUBSTITUTE(VLOOKUP(TRIM(A1831),'RESTAURANTESDESCUENTOS 2026'!A:B,2,FALSE),"%",""))/100)+I1831),(VLOOKUP(TRIM(D1831), CATALOGO!A:B, 2, FALSE) * C1831+I1831)),""))</f>
        <v>22000</v>
      </c>
      <c r="K1831" s="196"/>
      <c r="L1831" s="87">
        <v>724.0</v>
      </c>
      <c r="M1831" s="197" t="s">
        <v>587</v>
      </c>
      <c r="N1831" s="168"/>
    </row>
    <row r="1832" ht="22.5" hidden="1" customHeight="1">
      <c r="A1832" s="137" t="s">
        <v>603</v>
      </c>
      <c r="B1832" s="90">
        <v>46100.0</v>
      </c>
      <c r="C1832" s="55">
        <v>1.0</v>
      </c>
      <c r="D1832" s="97" t="s">
        <v>182</v>
      </c>
      <c r="E1832" s="201"/>
      <c r="F1832" s="236" t="s">
        <v>603</v>
      </c>
      <c r="G1832" s="194" t="s">
        <v>587</v>
      </c>
      <c r="H1832" s="195" t="s">
        <v>603</v>
      </c>
      <c r="I1832" s="196"/>
      <c r="J1832" s="179">
        <f>IF(A1832="RAPPI",(VLOOKUP(TRIM(D1832), CATALOGO!F:G, 2, FALSE) * C1832)+I1832,IFERROR(IF(COUNTIF('RESTAURANTESDESCUENTOS 2026'!A:A,TRIM(A1832))&gt;0,((VLOOKUP(TRIM(D1832), CATALOGO!A:B, 2, FALSE) * C1832)*(1-VALUE(SUBSTITUTE(VLOOKUP(TRIM(A1832),'RESTAURANTESDESCUENTOS 2026'!A:B,2,FALSE),"%",""))/100)+I1832),(VLOOKUP(TRIM(D1832), CATALOGO!A:B, 2, FALSE) * C1832+I1832)),""))</f>
        <v>37000</v>
      </c>
      <c r="K1832" s="196"/>
      <c r="L1832" s="87">
        <v>724.0</v>
      </c>
      <c r="M1832" s="197" t="s">
        <v>587</v>
      </c>
      <c r="N1832" s="168"/>
    </row>
    <row r="1833" ht="22.5" hidden="1" customHeight="1">
      <c r="A1833" s="137" t="s">
        <v>603</v>
      </c>
      <c r="B1833" s="90">
        <v>46100.0</v>
      </c>
      <c r="C1833" s="55">
        <v>1.0</v>
      </c>
      <c r="D1833" s="97" t="s">
        <v>174</v>
      </c>
      <c r="E1833" s="201"/>
      <c r="F1833" s="236" t="s">
        <v>603</v>
      </c>
      <c r="G1833" s="194" t="s">
        <v>587</v>
      </c>
      <c r="H1833" s="195" t="s">
        <v>603</v>
      </c>
      <c r="I1833" s="196"/>
      <c r="J1833" s="179">
        <f>IF(A1833="RAPPI",(VLOOKUP(TRIM(D1833), CATALOGO!F:G, 2, FALSE) * C1833)+I1833,IFERROR(IF(COUNTIF('RESTAURANTESDESCUENTOS 2026'!A:A,TRIM(A1833))&gt;0,((VLOOKUP(TRIM(D1833), CATALOGO!A:B, 2, FALSE) * C1833)*(1-VALUE(SUBSTITUTE(VLOOKUP(TRIM(A1833),'RESTAURANTESDESCUENTOS 2026'!A:B,2,FALSE),"%",""))/100)+I1833),(VLOOKUP(TRIM(D1833), CATALOGO!A:B, 2, FALSE) * C1833+I1833)),""))</f>
        <v>18000</v>
      </c>
      <c r="K1833" s="196"/>
      <c r="L1833" s="87">
        <v>724.0</v>
      </c>
      <c r="M1833" s="197" t="s">
        <v>587</v>
      </c>
      <c r="N1833" s="168"/>
    </row>
    <row r="1834" ht="22.5" hidden="1" customHeight="1">
      <c r="A1834" s="137" t="s">
        <v>603</v>
      </c>
      <c r="B1834" s="90">
        <v>46100.0</v>
      </c>
      <c r="C1834" s="55">
        <v>1.0</v>
      </c>
      <c r="D1834" s="97" t="s">
        <v>177</v>
      </c>
      <c r="E1834" s="201"/>
      <c r="F1834" s="236" t="s">
        <v>603</v>
      </c>
      <c r="G1834" s="194" t="s">
        <v>587</v>
      </c>
      <c r="H1834" s="195" t="s">
        <v>603</v>
      </c>
      <c r="I1834" s="196"/>
      <c r="J1834" s="179">
        <f>IF(A1834="RAPPI",(VLOOKUP(TRIM(D1834), CATALOGO!F:G, 2, FALSE) * C1834)+I1834,IFERROR(IF(COUNTIF('RESTAURANTESDESCUENTOS 2026'!A:A,TRIM(A1834))&gt;0,((VLOOKUP(TRIM(D1834), CATALOGO!A:B, 2, FALSE) * C1834)*(1-VALUE(SUBSTITUTE(VLOOKUP(TRIM(A1834),'RESTAURANTESDESCUENTOS 2026'!A:B,2,FALSE),"%",""))/100)+I1834),(VLOOKUP(TRIM(D1834), CATALOGO!A:B, 2, FALSE) * C1834+I1834)),""))</f>
        <v>115000</v>
      </c>
      <c r="K1834" s="196"/>
      <c r="L1834" s="87">
        <v>724.0</v>
      </c>
      <c r="M1834" s="197" t="s">
        <v>587</v>
      </c>
      <c r="N1834" s="168"/>
    </row>
    <row r="1835" ht="22.5" hidden="1" customHeight="1">
      <c r="A1835" s="137" t="s">
        <v>603</v>
      </c>
      <c r="B1835" s="90">
        <v>46100.0</v>
      </c>
      <c r="C1835" s="55">
        <v>1.0</v>
      </c>
      <c r="D1835" s="97" t="s">
        <v>174</v>
      </c>
      <c r="E1835" s="201"/>
      <c r="F1835" s="236" t="s">
        <v>603</v>
      </c>
      <c r="G1835" s="194" t="s">
        <v>587</v>
      </c>
      <c r="H1835" s="195" t="s">
        <v>603</v>
      </c>
      <c r="I1835" s="196"/>
      <c r="J1835" s="219">
        <f>IF(A1835="RAPPI",(VLOOKUP(TRIM(D1835), CATALOGO!F:G, 2, FALSE) * C1835)+I1835,IFERROR(IF(COUNTIF('RESTAURANTESDESCUENTOS 2026'!A:A,TRIM(A1835))&gt;0,((VLOOKUP(TRIM(D1835), CATALOGO!A:B, 2, FALSE) * C1835)*(1-VALUE(SUBSTITUTE(VLOOKUP(TRIM(A1835),'RESTAURANTESDESCUENTOS 2026'!A:B,2,FALSE),"%",""))/100)+I1835),(VLOOKUP(TRIM(D1835), CATALOGO!A:B, 2, FALSE) * C1835+I1835)),""))</f>
        <v>18000</v>
      </c>
      <c r="K1835" s="196"/>
      <c r="L1835" s="87">
        <v>724.0</v>
      </c>
      <c r="M1835" s="197" t="s">
        <v>587</v>
      </c>
      <c r="N1835" s="168"/>
    </row>
    <row r="1836" ht="22.5" hidden="1" customHeight="1">
      <c r="A1836" s="137" t="s">
        <v>86</v>
      </c>
      <c r="B1836" s="90">
        <v>46100.0</v>
      </c>
      <c r="C1836" s="55">
        <v>1.0</v>
      </c>
      <c r="D1836" s="97" t="s">
        <v>177</v>
      </c>
      <c r="E1836" s="201" t="s">
        <v>610</v>
      </c>
      <c r="F1836" s="202"/>
      <c r="G1836" s="194" t="s">
        <v>587</v>
      </c>
      <c r="H1836" s="195" t="s">
        <v>632</v>
      </c>
      <c r="I1836" s="196"/>
      <c r="J1836" s="219">
        <f>IF(A1836="RAPPI",(VLOOKUP(TRIM(D1836), CATALOGO!F:G, 2, FALSE) * C1836)+I1836,IFERROR(IF(COUNTIF('RESTAURANTESDESCUENTOS 2026'!A:A,TRIM(A1836))&gt;0,((VLOOKUP(TRIM(D1836), CATALOGO!A:B, 2, FALSE) * C1836)*(1-VALUE(SUBSTITUTE(VLOOKUP(TRIM(A1836),'RESTAURANTESDESCUENTOS 2026'!A:B,2,FALSE),"%",""))/100)+I1836),(VLOOKUP(TRIM(D1836), CATALOGO!A:B, 2, FALSE) * C1836+I1836)),""))</f>
        <v>86250</v>
      </c>
      <c r="K1836" s="196">
        <v>10000.0</v>
      </c>
      <c r="L1836" s="87">
        <v>707.0</v>
      </c>
      <c r="M1836" s="197" t="s">
        <v>587</v>
      </c>
      <c r="N1836" s="168"/>
    </row>
    <row r="1837" ht="22.5" hidden="1" customHeight="1">
      <c r="A1837" s="137" t="s">
        <v>43</v>
      </c>
      <c r="B1837" s="90">
        <v>46100.0</v>
      </c>
      <c r="C1837" s="55">
        <v>3.0</v>
      </c>
      <c r="D1837" s="97" t="s">
        <v>177</v>
      </c>
      <c r="E1837" s="201"/>
      <c r="F1837" s="202"/>
      <c r="G1837" s="194" t="s">
        <v>587</v>
      </c>
      <c r="H1837" s="195" t="s">
        <v>632</v>
      </c>
      <c r="I1837" s="196"/>
      <c r="J1837" s="219">
        <f>IF(A1837="RAPPI",(VLOOKUP(TRIM(D1837), CATALOGO!F:G, 2, FALSE) * C1837)+I1837,IFERROR(IF(COUNTIF('RESTAURANTESDESCUENTOS 2026'!A:A,TRIM(A1837))&gt;0,((VLOOKUP(TRIM(D1837), CATALOGO!A:B, 2, FALSE) * C1837)*(1-VALUE(SUBSTITUTE(VLOOKUP(TRIM(A1837),'RESTAURANTESDESCUENTOS 2026'!A:B,2,FALSE),"%",""))/100)+I1837),(VLOOKUP(TRIM(D1837), CATALOGO!A:B, 2, FALSE) * C1837+I1837)),""))</f>
        <v>258750</v>
      </c>
      <c r="K1837" s="196">
        <v>10000.0</v>
      </c>
      <c r="L1837" s="87">
        <v>708.0</v>
      </c>
      <c r="M1837" s="197" t="s">
        <v>587</v>
      </c>
      <c r="N1837" s="168"/>
    </row>
    <row r="1838" ht="22.5" hidden="1" customHeight="1">
      <c r="A1838" s="137" t="s">
        <v>1179</v>
      </c>
      <c r="B1838" s="90">
        <v>46100.0</v>
      </c>
      <c r="C1838" s="55">
        <v>1.0</v>
      </c>
      <c r="D1838" s="97" t="s">
        <v>182</v>
      </c>
      <c r="E1838" s="201" t="s">
        <v>1180</v>
      </c>
      <c r="F1838" s="236" t="s">
        <v>1035</v>
      </c>
      <c r="G1838" s="194" t="s">
        <v>587</v>
      </c>
      <c r="H1838" s="195" t="s">
        <v>632</v>
      </c>
      <c r="I1838" s="196">
        <v>10000.0</v>
      </c>
      <c r="J1838" s="219">
        <f>IF(A1838="RAPPI",(VLOOKUP(TRIM(D1838), CATALOGO!F:G, 2, FALSE) * C1838)+I1838,IFERROR(IF(COUNTIF('RESTAURANTESDESCUENTOS 2026'!A:A,TRIM(A1838))&gt;0,((VLOOKUP(TRIM(D1838), CATALOGO!A:B, 2, FALSE) * C1838)*(1-VALUE(SUBSTITUTE(VLOOKUP(TRIM(A1838),'RESTAURANTESDESCUENTOS 2026'!A:B,2,FALSE),"%",""))/100)+I1838),(VLOOKUP(TRIM(D1838), CATALOGO!A:B, 2, FALSE) * C1838+I1838)),""))</f>
        <v>47000</v>
      </c>
      <c r="K1838" s="196">
        <v>10000.0</v>
      </c>
      <c r="L1838" s="87">
        <v>712.0</v>
      </c>
      <c r="M1838" s="197" t="s">
        <v>587</v>
      </c>
      <c r="N1838" s="168"/>
    </row>
    <row r="1839" ht="22.5" hidden="1" customHeight="1">
      <c r="A1839" s="137" t="s">
        <v>169</v>
      </c>
      <c r="B1839" s="90">
        <v>46100.0</v>
      </c>
      <c r="C1839" s="55">
        <v>1.0</v>
      </c>
      <c r="D1839" s="97" t="s">
        <v>653</v>
      </c>
      <c r="E1839" s="201" t="s">
        <v>1181</v>
      </c>
      <c r="F1839" s="202"/>
      <c r="G1839" s="194" t="s">
        <v>587</v>
      </c>
      <c r="H1839" s="195" t="s">
        <v>632</v>
      </c>
      <c r="I1839" s="196">
        <v>10000.0</v>
      </c>
      <c r="J1839" s="219">
        <f>IF(A1839="RAPPI",(VLOOKUP(TRIM(D1839), CATALOGO!F:G, 2, FALSE) * C1839)+I1839,IFERROR(IF(COUNTIF('RESTAURANTESDESCUENTOS 2026'!A:A,TRIM(A1839))&gt;0,((VLOOKUP(TRIM(D1839), CATALOGO!A:B, 2, FALSE) * C1839)*(1-VALUE(SUBSTITUTE(VLOOKUP(TRIM(A1839),'RESTAURANTESDESCUENTOS 2026'!A:B,2,FALSE),"%",""))/100)+I1839),(VLOOKUP(TRIM(D1839), CATALOGO!A:B, 2, FALSE) * C1839+I1839)),""))</f>
        <v>102250</v>
      </c>
      <c r="K1839" s="196">
        <v>10000.0</v>
      </c>
      <c r="L1839" s="87">
        <v>711.0</v>
      </c>
      <c r="M1839" s="197" t="s">
        <v>587</v>
      </c>
      <c r="N1839" s="168"/>
    </row>
    <row r="1840" ht="22.5" hidden="1" customHeight="1">
      <c r="A1840" s="137" t="s">
        <v>1182</v>
      </c>
      <c r="B1840" s="90">
        <v>46100.0</v>
      </c>
      <c r="C1840" s="55">
        <v>1.0</v>
      </c>
      <c r="D1840" s="97" t="s">
        <v>178</v>
      </c>
      <c r="E1840" s="201"/>
      <c r="F1840" s="236" t="s">
        <v>1035</v>
      </c>
      <c r="G1840" s="194" t="s">
        <v>587</v>
      </c>
      <c r="H1840" s="195" t="s">
        <v>632</v>
      </c>
      <c r="I1840" s="196">
        <v>15000.0</v>
      </c>
      <c r="J1840" s="219">
        <f>IF(A1840="RAPPI",(VLOOKUP(TRIM(D1840), CATALOGO!F:G, 2, FALSE) * C1840)+I1840,IFERROR(IF(COUNTIF('RESTAURANTESDESCUENTOS 2026'!A:A,TRIM(A1840))&gt;0,((VLOOKUP(TRIM(D1840), CATALOGO!A:B, 2, FALSE) * C1840)*(1-VALUE(SUBSTITUTE(VLOOKUP(TRIM(A1840),'RESTAURANTESDESCUENTOS 2026'!A:B,2,FALSE),"%",""))/100)+I1840),(VLOOKUP(TRIM(D1840), CATALOGO!A:B, 2, FALSE) * C1840+I1840)),""))</f>
        <v>165000</v>
      </c>
      <c r="K1840" s="196">
        <v>15000.0</v>
      </c>
      <c r="L1840" s="87">
        <v>715.0</v>
      </c>
      <c r="M1840" s="197" t="s">
        <v>587</v>
      </c>
      <c r="N1840" s="168"/>
    </row>
    <row r="1841" ht="22.5" hidden="1" customHeight="1">
      <c r="A1841" s="137" t="s">
        <v>1183</v>
      </c>
      <c r="B1841" s="90">
        <v>46100.0</v>
      </c>
      <c r="C1841" s="55">
        <v>1.0</v>
      </c>
      <c r="D1841" s="97" t="s">
        <v>187</v>
      </c>
      <c r="E1841" s="201" t="s">
        <v>1184</v>
      </c>
      <c r="F1841" s="236" t="s">
        <v>1035</v>
      </c>
      <c r="G1841" s="194" t="s">
        <v>587</v>
      </c>
      <c r="H1841" s="195" t="s">
        <v>588</v>
      </c>
      <c r="I1841" s="196">
        <v>12000.0</v>
      </c>
      <c r="J1841" s="250">
        <f>IF(A1841="RAPPI",(VLOOKUP(TRIM(D1841), CATALOGO!F:G, 2, FALSE) * C1841)+I1841,IFERROR(IF(COUNTIF('RESTAURANTESDESCUENTOS 2026'!A:A,TRIM(A1841))&gt;0,((VLOOKUP(TRIM(D1841), CATALOGO!A:B, 2, FALSE) * C1841)*(1-VALUE(SUBSTITUTE(VLOOKUP(TRIM(A1841),'RESTAURANTESDESCUENTOS 2026'!A:B,2,FALSE),"%",""))/100)+I1841),(VLOOKUP(TRIM(D1841), CATALOGO!A:B, 2, FALSE) * C1841+I1841)),""))</f>
        <v>67000</v>
      </c>
      <c r="K1841" s="196"/>
      <c r="L1841" s="87">
        <v>714.0</v>
      </c>
      <c r="M1841" s="197" t="s">
        <v>587</v>
      </c>
      <c r="N1841" s="168"/>
    </row>
    <row r="1842" ht="22.5" hidden="1" customHeight="1">
      <c r="A1842" s="137" t="s">
        <v>1185</v>
      </c>
      <c r="B1842" s="90">
        <v>46100.0</v>
      </c>
      <c r="C1842" s="55">
        <v>1.0</v>
      </c>
      <c r="D1842" s="97" t="s">
        <v>178</v>
      </c>
      <c r="E1842" s="201"/>
      <c r="F1842" s="236" t="s">
        <v>1035</v>
      </c>
      <c r="G1842" s="194" t="s">
        <v>587</v>
      </c>
      <c r="H1842" s="195" t="s">
        <v>632</v>
      </c>
      <c r="I1842" s="196">
        <v>10000.0</v>
      </c>
      <c r="J1842" s="250">
        <f>IF(A1842="RAPPI",(VLOOKUP(TRIM(D1842), CATALOGO!F:G, 2, FALSE) * C1842)+I1842,IFERROR(IF(COUNTIF('RESTAURANTESDESCUENTOS 2026'!A:A,TRIM(A1842))&gt;0,((VLOOKUP(TRIM(D1842), CATALOGO!A:B, 2, FALSE) * C1842)*(1-VALUE(SUBSTITUTE(VLOOKUP(TRIM(A1842),'RESTAURANTESDESCUENTOS 2026'!A:B,2,FALSE),"%",""))/100)+I1842),(VLOOKUP(TRIM(D1842), CATALOGO!A:B, 2, FALSE) * C1842+I1842)),""))</f>
        <v>160000</v>
      </c>
      <c r="K1842" s="196">
        <v>10000.0</v>
      </c>
      <c r="L1842" s="87">
        <v>742.0</v>
      </c>
      <c r="M1842" s="197" t="s">
        <v>587</v>
      </c>
      <c r="N1842" s="168"/>
    </row>
    <row r="1843" ht="22.5" hidden="1" customHeight="1">
      <c r="A1843" s="137" t="s">
        <v>1183</v>
      </c>
      <c r="B1843" s="90">
        <v>46100.0</v>
      </c>
      <c r="C1843" s="55">
        <v>1.0</v>
      </c>
      <c r="D1843" s="97" t="s">
        <v>186</v>
      </c>
      <c r="E1843" s="201"/>
      <c r="F1843" s="236" t="s">
        <v>1035</v>
      </c>
      <c r="G1843" s="194" t="s">
        <v>587</v>
      </c>
      <c r="H1843" s="195" t="s">
        <v>588</v>
      </c>
      <c r="I1843" s="196"/>
      <c r="J1843" s="250">
        <f>IF(A1843="RAPPI",(VLOOKUP(TRIM(D1843), CATALOGO!F:G, 2, FALSE) * C1843)+I1843,IFERROR(IF(COUNTIF('RESTAURANTESDESCUENTOS 2026'!A:A,TRIM(A1843))&gt;0,((VLOOKUP(TRIM(D1843), CATALOGO!A:B, 2, FALSE) * C1843)*(1-VALUE(SUBSTITUTE(VLOOKUP(TRIM(A1843),'RESTAURANTESDESCUENTOS 2026'!A:B,2,FALSE),"%",""))/100)+I1843),(VLOOKUP(TRIM(D1843), CATALOGO!A:B, 2, FALSE) * C1843+I1843)),""))</f>
        <v>55000</v>
      </c>
      <c r="K1843" s="196"/>
      <c r="L1843" s="87">
        <v>714.0</v>
      </c>
      <c r="M1843" s="197" t="s">
        <v>587</v>
      </c>
      <c r="N1843" s="168"/>
    </row>
    <row r="1844" ht="22.5" hidden="1" customHeight="1">
      <c r="A1844" s="137" t="s">
        <v>1186</v>
      </c>
      <c r="B1844" s="90">
        <v>46100.0</v>
      </c>
      <c r="C1844" s="55">
        <v>1.0</v>
      </c>
      <c r="D1844" s="97" t="s">
        <v>182</v>
      </c>
      <c r="E1844" s="201" t="s">
        <v>1187</v>
      </c>
      <c r="F1844" s="236" t="s">
        <v>1035</v>
      </c>
      <c r="G1844" s="194" t="s">
        <v>587</v>
      </c>
      <c r="H1844" s="195" t="s">
        <v>588</v>
      </c>
      <c r="I1844" s="196">
        <v>13000.0</v>
      </c>
      <c r="J1844" s="250">
        <f>IF(A1844="RAPPI",(VLOOKUP(TRIM(D1844), CATALOGO!F:G, 2, FALSE) * C1844)+I1844,IFERROR(IF(COUNTIF('RESTAURANTESDESCUENTOS 2026'!A:A,TRIM(A1844))&gt;0,((VLOOKUP(TRIM(D1844), CATALOGO!A:B, 2, FALSE) * C1844)*(1-VALUE(SUBSTITUTE(VLOOKUP(TRIM(A1844),'RESTAURANTESDESCUENTOS 2026'!A:B,2,FALSE),"%",""))/100)+I1844),(VLOOKUP(TRIM(D1844), CATALOGO!A:B, 2, FALSE) * C1844+I1844)),""))</f>
        <v>50000</v>
      </c>
      <c r="K1844" s="196"/>
      <c r="L1844" s="87">
        <v>713.0</v>
      </c>
      <c r="M1844" s="197" t="s">
        <v>587</v>
      </c>
      <c r="N1844" s="168"/>
    </row>
    <row r="1845" ht="22.5" hidden="1" customHeight="1">
      <c r="A1845" s="137" t="s">
        <v>1188</v>
      </c>
      <c r="B1845" s="90">
        <v>46100.0</v>
      </c>
      <c r="C1845" s="55">
        <v>1.0</v>
      </c>
      <c r="D1845" s="97" t="s">
        <v>177</v>
      </c>
      <c r="E1845" s="201"/>
      <c r="F1845" s="236" t="s">
        <v>1035</v>
      </c>
      <c r="G1845" s="194"/>
      <c r="H1845" s="198"/>
      <c r="I1845" s="196">
        <v>10000.0</v>
      </c>
      <c r="J1845" s="250">
        <f>IF(A1845="RAPPI",(VLOOKUP(TRIM(D1845), CATALOGO!F:G, 2, FALSE) * C1845)+I1845,IFERROR(IF(COUNTIF('RESTAURANTESDESCUENTOS 2026'!A:A,TRIM(A1845))&gt;0,((VLOOKUP(TRIM(D1845), CATALOGO!A:B, 2, FALSE) * C1845)*(1-VALUE(SUBSTITUTE(VLOOKUP(TRIM(A1845),'RESTAURANTESDESCUENTOS 2026'!A:B,2,FALSE),"%",""))/100)+I1845),(VLOOKUP(TRIM(D1845), CATALOGO!A:B, 2, FALSE) * C1845+I1845)),""))</f>
        <v>125000</v>
      </c>
      <c r="K1845" s="196">
        <v>10000.0</v>
      </c>
      <c r="L1845" s="87">
        <v>717.0</v>
      </c>
      <c r="M1845" s="197" t="s">
        <v>587</v>
      </c>
      <c r="N1845" s="168"/>
    </row>
    <row r="1846" ht="22.5" hidden="1" customHeight="1">
      <c r="A1846" s="137" t="s">
        <v>1055</v>
      </c>
      <c r="B1846" s="90">
        <v>46100.0</v>
      </c>
      <c r="C1846" s="55">
        <v>1.0</v>
      </c>
      <c r="D1846" s="97" t="s">
        <v>182</v>
      </c>
      <c r="E1846" s="201" t="s">
        <v>1189</v>
      </c>
      <c r="F1846" s="236" t="s">
        <v>1035</v>
      </c>
      <c r="G1846" s="194" t="s">
        <v>587</v>
      </c>
      <c r="H1846" s="195" t="s">
        <v>588</v>
      </c>
      <c r="I1846" s="196">
        <v>15000.0</v>
      </c>
      <c r="J1846" s="250">
        <f>IF(A1846="RAPPI",(VLOOKUP(TRIM(D1846), CATALOGO!F:G, 2, FALSE) * C1846)+I1846,IFERROR(IF(COUNTIF('RESTAURANTESDESCUENTOS 2026'!A:A,TRIM(A1846))&gt;0,((VLOOKUP(TRIM(D1846), CATALOGO!A:B, 2, FALSE) * C1846)*(1-VALUE(SUBSTITUTE(VLOOKUP(TRIM(A1846),'RESTAURANTESDESCUENTOS 2026'!A:B,2,FALSE),"%",""))/100)+I1846),(VLOOKUP(TRIM(D1846), CATALOGO!A:B, 2, FALSE) * C1846+I1846)),""))</f>
        <v>52000</v>
      </c>
      <c r="K1846" s="196">
        <v>19500.0</v>
      </c>
      <c r="L1846" s="87">
        <v>718.0</v>
      </c>
      <c r="M1846" s="197" t="s">
        <v>587</v>
      </c>
      <c r="N1846" s="168"/>
    </row>
    <row r="1847" ht="22.5" hidden="1" customHeight="1">
      <c r="A1847" s="137" t="s">
        <v>1190</v>
      </c>
      <c r="B1847" s="90">
        <v>46100.0</v>
      </c>
      <c r="C1847" s="55">
        <v>1.0</v>
      </c>
      <c r="D1847" s="97" t="s">
        <v>176</v>
      </c>
      <c r="E1847" s="201"/>
      <c r="F1847" s="236" t="s">
        <v>1035</v>
      </c>
      <c r="G1847" s="194" t="s">
        <v>587</v>
      </c>
      <c r="H1847" s="195" t="s">
        <v>632</v>
      </c>
      <c r="I1847" s="196">
        <v>10000.0</v>
      </c>
      <c r="J1847" s="250">
        <f>IF(A1847="RAPPI",(VLOOKUP(TRIM(D1847), CATALOGO!F:G, 2, FALSE) * C1847)+I1847,IFERROR(IF(COUNTIF('RESTAURANTESDESCUENTOS 2026'!A:A,TRIM(A1847))&gt;0,((VLOOKUP(TRIM(D1847), CATALOGO!A:B, 2, FALSE) * C1847)*(1-VALUE(SUBSTITUTE(VLOOKUP(TRIM(A1847),'RESTAURANTESDESCUENTOS 2026'!A:B,2,FALSE),"%",""))/100)+I1847),(VLOOKUP(TRIM(D1847), CATALOGO!A:B, 2, FALSE) * C1847+I1847)),""))</f>
        <v>60000</v>
      </c>
      <c r="K1847" s="196">
        <v>10000.0</v>
      </c>
      <c r="L1847" s="87">
        <v>719.0</v>
      </c>
      <c r="M1847" s="197" t="s">
        <v>587</v>
      </c>
      <c r="N1847" s="168"/>
    </row>
    <row r="1848" ht="22.5" hidden="1" customHeight="1">
      <c r="A1848" s="137" t="s">
        <v>1191</v>
      </c>
      <c r="B1848" s="90">
        <v>46100.0</v>
      </c>
      <c r="C1848" s="55">
        <v>1.0</v>
      </c>
      <c r="D1848" s="97" t="s">
        <v>708</v>
      </c>
      <c r="E1848" s="201"/>
      <c r="F1848" s="236" t="s">
        <v>1035</v>
      </c>
      <c r="G1848" s="194" t="s">
        <v>587</v>
      </c>
      <c r="H1848" s="195" t="s">
        <v>588</v>
      </c>
      <c r="I1848" s="196">
        <v>14000.0</v>
      </c>
      <c r="J1848" s="179">
        <f>IF(A1848="RAPPI",(VLOOKUP(TRIM(D1848), CATALOGO!F:G, 2, FALSE) * C1848)+I1848,IFERROR(IF(COUNTIF('RESTAURANTESDESCUENTOS 2026'!A:A,TRIM(A1848))&gt;0,((VLOOKUP(TRIM(D1848), CATALOGO!A:B, 2, FALSE) * C1848)*(1-VALUE(SUBSTITUTE(VLOOKUP(TRIM(A1848),'RESTAURANTESDESCUENTOS 2026'!A:B,2,FALSE),"%",""))/100)+I1848),(VLOOKUP(TRIM(D1848), CATALOGO!A:B, 2, FALSE) * C1848+I1848)),""))</f>
        <v>67000</v>
      </c>
      <c r="K1848" s="196">
        <v>10500.0</v>
      </c>
      <c r="L1848" s="87">
        <v>722.0</v>
      </c>
      <c r="M1848" s="197" t="s">
        <v>587</v>
      </c>
      <c r="N1848" s="168"/>
    </row>
    <row r="1849" ht="22.5" hidden="1" customHeight="1">
      <c r="A1849" s="137" t="s">
        <v>1191</v>
      </c>
      <c r="B1849" s="90">
        <v>46100.0</v>
      </c>
      <c r="C1849" s="55">
        <v>1.0</v>
      </c>
      <c r="D1849" s="97" t="s">
        <v>192</v>
      </c>
      <c r="E1849" s="201"/>
      <c r="F1849" s="236" t="s">
        <v>1035</v>
      </c>
      <c r="G1849" s="194" t="s">
        <v>587</v>
      </c>
      <c r="H1849" s="195" t="s">
        <v>588</v>
      </c>
      <c r="I1849" s="196">
        <v>0.0</v>
      </c>
      <c r="J1849" s="179">
        <f>IF(A1849="RAPPI",(VLOOKUP(TRIM(D1849), CATALOGO!F:G, 2, FALSE) * C1849)+I1849,IFERROR(IF(COUNTIF('RESTAURANTESDESCUENTOS 2026'!A:A,TRIM(A1849))&gt;0,((VLOOKUP(TRIM(D1849), CATALOGO!A:B, 2, FALSE) * C1849)*(1-VALUE(SUBSTITUTE(VLOOKUP(TRIM(A1849),'RESTAURANTESDESCUENTOS 2026'!A:B,2,FALSE),"%",""))/100)+I1849),(VLOOKUP(TRIM(D1849), CATALOGO!A:B, 2, FALSE) * C1849+I1849)),""))</f>
        <v>55000</v>
      </c>
      <c r="K1849" s="196"/>
      <c r="L1849" s="87">
        <v>722.0</v>
      </c>
      <c r="M1849" s="197" t="s">
        <v>587</v>
      </c>
      <c r="N1849" s="168"/>
    </row>
    <row r="1850" ht="22.5" hidden="1" customHeight="1">
      <c r="A1850" s="137" t="s">
        <v>1191</v>
      </c>
      <c r="B1850" s="90">
        <v>46100.0</v>
      </c>
      <c r="C1850" s="55">
        <v>1.0</v>
      </c>
      <c r="D1850" s="97" t="s">
        <v>186</v>
      </c>
      <c r="E1850" s="201"/>
      <c r="F1850" s="236" t="s">
        <v>1035</v>
      </c>
      <c r="G1850" s="194" t="s">
        <v>587</v>
      </c>
      <c r="H1850" s="195" t="s">
        <v>588</v>
      </c>
      <c r="I1850" s="196">
        <v>0.0</v>
      </c>
      <c r="J1850" s="179">
        <f>IF(A1850="RAPPI",(VLOOKUP(TRIM(D1850), CATALOGO!F:G, 2, FALSE) * C1850)+I1850,IFERROR(IF(COUNTIF('RESTAURANTESDESCUENTOS 2026'!A:A,TRIM(A1850))&gt;0,((VLOOKUP(TRIM(D1850), CATALOGO!A:B, 2, FALSE) * C1850)*(1-VALUE(SUBSTITUTE(VLOOKUP(TRIM(A1850),'RESTAURANTESDESCUENTOS 2026'!A:B,2,FALSE),"%",""))/100)+I1850),(VLOOKUP(TRIM(D1850), CATALOGO!A:B, 2, FALSE) * C1850+I1850)),""))</f>
        <v>55000</v>
      </c>
      <c r="K1850" s="196"/>
      <c r="L1850" s="87">
        <v>722.0</v>
      </c>
      <c r="M1850" s="197" t="s">
        <v>587</v>
      </c>
      <c r="N1850" s="168"/>
    </row>
    <row r="1851" ht="22.5" hidden="1" customHeight="1">
      <c r="A1851" s="137" t="s">
        <v>1191</v>
      </c>
      <c r="B1851" s="90">
        <v>46100.0</v>
      </c>
      <c r="C1851" s="55">
        <v>1.0</v>
      </c>
      <c r="D1851" s="97" t="s">
        <v>187</v>
      </c>
      <c r="E1851" s="201"/>
      <c r="F1851" s="236" t="s">
        <v>1035</v>
      </c>
      <c r="G1851" s="194" t="s">
        <v>587</v>
      </c>
      <c r="H1851" s="195" t="s">
        <v>588</v>
      </c>
      <c r="I1851" s="196">
        <v>0.0</v>
      </c>
      <c r="J1851" s="179">
        <f>IF(A1851="RAPPI",(VLOOKUP(TRIM(D1851), CATALOGO!F:G, 2, FALSE) * C1851)+I1851,IFERROR(IF(COUNTIF('RESTAURANTESDESCUENTOS 2026'!A:A,TRIM(A1851))&gt;0,((VLOOKUP(TRIM(D1851), CATALOGO!A:B, 2, FALSE) * C1851)*(1-VALUE(SUBSTITUTE(VLOOKUP(TRIM(A1851),'RESTAURANTESDESCUENTOS 2026'!A:B,2,FALSE),"%",""))/100)+I1851),(VLOOKUP(TRIM(D1851), CATALOGO!A:B, 2, FALSE) * C1851+I1851)),""))</f>
        <v>55000</v>
      </c>
      <c r="K1851" s="196"/>
      <c r="L1851" s="87">
        <v>722.0</v>
      </c>
      <c r="M1851" s="197" t="s">
        <v>587</v>
      </c>
      <c r="N1851" s="168"/>
    </row>
    <row r="1852" ht="22.5" hidden="1" customHeight="1">
      <c r="A1852" s="137" t="s">
        <v>1192</v>
      </c>
      <c r="B1852" s="90">
        <v>46100.0</v>
      </c>
      <c r="C1852" s="55">
        <v>1.0</v>
      </c>
      <c r="D1852" s="97" t="s">
        <v>182</v>
      </c>
      <c r="E1852" s="201" t="s">
        <v>1193</v>
      </c>
      <c r="F1852" s="236" t="s">
        <v>1035</v>
      </c>
      <c r="G1852" s="194" t="s">
        <v>587</v>
      </c>
      <c r="H1852" s="195" t="s">
        <v>588</v>
      </c>
      <c r="I1852" s="196">
        <v>15000.0</v>
      </c>
      <c r="J1852" s="179">
        <f>IF(A1852="RAPPI",(VLOOKUP(TRIM(D1852), CATALOGO!F:G, 2, FALSE) * C1852)+I1852,IFERROR(IF(COUNTIF('RESTAURANTESDESCUENTOS 2026'!A:A,TRIM(A1852))&gt;0,((VLOOKUP(TRIM(D1852), CATALOGO!A:B, 2, FALSE) * C1852)*(1-VALUE(SUBSTITUTE(VLOOKUP(TRIM(A1852),'RESTAURANTESDESCUENTOS 2026'!A:B,2,FALSE),"%",""))/100)+I1852),(VLOOKUP(TRIM(D1852), CATALOGO!A:B, 2, FALSE) * C1852+I1852)),""))</f>
        <v>52000</v>
      </c>
      <c r="K1852" s="196"/>
      <c r="L1852" s="87">
        <v>723.0</v>
      </c>
      <c r="M1852" s="197" t="s">
        <v>587</v>
      </c>
      <c r="N1852" s="168"/>
    </row>
    <row r="1853" ht="22.5" hidden="1" customHeight="1">
      <c r="A1853" s="137" t="s">
        <v>1194</v>
      </c>
      <c r="B1853" s="90">
        <v>46100.0</v>
      </c>
      <c r="C1853" s="55">
        <v>1.0</v>
      </c>
      <c r="D1853" s="97" t="s">
        <v>182</v>
      </c>
      <c r="E1853" s="201" t="s">
        <v>1195</v>
      </c>
      <c r="F1853" s="236" t="s">
        <v>1035</v>
      </c>
      <c r="G1853" s="194" t="s">
        <v>587</v>
      </c>
      <c r="H1853" s="195" t="s">
        <v>588</v>
      </c>
      <c r="I1853" s="196">
        <v>15000.0</v>
      </c>
      <c r="J1853" s="179">
        <f>IF(A1853="RAPPI",(VLOOKUP(TRIM(D1853), CATALOGO!F:G, 2, FALSE) * C1853)+I1853,IFERROR(IF(COUNTIF('RESTAURANTESDESCUENTOS 2026'!A:A,TRIM(A1853))&gt;0,((VLOOKUP(TRIM(D1853), CATALOGO!A:B, 2, FALSE) * C1853)*(1-VALUE(SUBSTITUTE(VLOOKUP(TRIM(A1853),'RESTAURANTESDESCUENTOS 2026'!A:B,2,FALSE),"%",""))/100)+I1853),(VLOOKUP(TRIM(D1853), CATALOGO!A:B, 2, FALSE) * C1853+I1853)),""))</f>
        <v>52000</v>
      </c>
      <c r="K1853" s="196"/>
      <c r="L1853" s="87">
        <v>728.0</v>
      </c>
      <c r="M1853" s="197" t="s">
        <v>587</v>
      </c>
      <c r="N1853" s="168"/>
    </row>
    <row r="1854" ht="22.5" hidden="1" customHeight="1">
      <c r="A1854" s="137" t="s">
        <v>1196</v>
      </c>
      <c r="B1854" s="90">
        <v>46100.0</v>
      </c>
      <c r="C1854" s="55">
        <v>1.0</v>
      </c>
      <c r="D1854" s="97" t="s">
        <v>177</v>
      </c>
      <c r="E1854" s="201"/>
      <c r="F1854" s="236" t="s">
        <v>1035</v>
      </c>
      <c r="G1854" s="194" t="s">
        <v>587</v>
      </c>
      <c r="H1854" s="195" t="s">
        <v>588</v>
      </c>
      <c r="I1854" s="196">
        <v>15000.0</v>
      </c>
      <c r="J1854" s="179">
        <f>IF(A1854="RAPPI",(VLOOKUP(TRIM(D1854), CATALOGO!F:G, 2, FALSE) * C1854)+I1854,IFERROR(IF(COUNTIF('RESTAURANTESDESCUENTOS 2026'!A:A,TRIM(A1854))&gt;0,((VLOOKUP(TRIM(D1854), CATALOGO!A:B, 2, FALSE) * C1854)*(1-VALUE(SUBSTITUTE(VLOOKUP(TRIM(A1854),'RESTAURANTESDESCUENTOS 2026'!A:B,2,FALSE),"%",""))/100)+I1854),(VLOOKUP(TRIM(D1854), CATALOGO!A:B, 2, FALSE) * C1854+I1854)),""))</f>
        <v>130000</v>
      </c>
      <c r="K1854" s="196"/>
      <c r="L1854" s="87">
        <v>727.0</v>
      </c>
      <c r="M1854" s="197" t="s">
        <v>587</v>
      </c>
      <c r="N1854" s="168"/>
    </row>
    <row r="1855" ht="22.5" hidden="1" customHeight="1">
      <c r="A1855" s="137" t="s">
        <v>1197</v>
      </c>
      <c r="B1855" s="90">
        <v>46100.0</v>
      </c>
      <c r="C1855" s="55">
        <v>1.0</v>
      </c>
      <c r="D1855" s="97" t="s">
        <v>177</v>
      </c>
      <c r="E1855" s="201"/>
      <c r="F1855" s="236" t="s">
        <v>1035</v>
      </c>
      <c r="G1855" s="194" t="s">
        <v>587</v>
      </c>
      <c r="H1855" s="195" t="s">
        <v>588</v>
      </c>
      <c r="I1855" s="196">
        <v>16000.0</v>
      </c>
      <c r="J1855" s="199">
        <f>86250+I1855</f>
        <v>102250</v>
      </c>
      <c r="K1855" s="196"/>
      <c r="L1855" s="87">
        <v>726.0</v>
      </c>
      <c r="M1855" s="197" t="s">
        <v>587</v>
      </c>
      <c r="N1855" s="168"/>
    </row>
    <row r="1856" ht="22.5" hidden="1" customHeight="1">
      <c r="A1856" s="137" t="s">
        <v>1126</v>
      </c>
      <c r="B1856" s="90">
        <v>46100.0</v>
      </c>
      <c r="C1856" s="55">
        <v>1.0</v>
      </c>
      <c r="D1856" s="97" t="s">
        <v>176</v>
      </c>
      <c r="E1856" s="201"/>
      <c r="F1856" s="236" t="s">
        <v>1036</v>
      </c>
      <c r="G1856" s="194" t="s">
        <v>35</v>
      </c>
      <c r="H1856" s="198"/>
      <c r="I1856" s="196"/>
      <c r="J1856" s="179">
        <f>IF(A1856="RAPPI",(VLOOKUP(TRIM(D1856), CATALOGO!F:G, 2, FALSE) * C1856)+I1856,IFERROR(IF(COUNTIF('RESTAURANTESDESCUENTOS 2026'!A:A,TRIM(A1856))&gt;0,((VLOOKUP(TRIM(D1856), CATALOGO!A:B, 2, FALSE) * C1856)*(1-VALUE(SUBSTITUTE(VLOOKUP(TRIM(A1856),'RESTAURANTESDESCUENTOS 2026'!A:B,2,FALSE),"%",""))/100)+I1856),(VLOOKUP(TRIM(D1856), CATALOGO!A:B, 2, FALSE) * C1856+I1856)),""))</f>
        <v>50000</v>
      </c>
      <c r="K1856" s="196"/>
      <c r="L1856" s="87">
        <v>725.0</v>
      </c>
      <c r="M1856" s="197" t="s">
        <v>587</v>
      </c>
      <c r="N1856" s="168"/>
    </row>
    <row r="1857" ht="22.5" hidden="1" customHeight="1">
      <c r="A1857" s="137" t="s">
        <v>1126</v>
      </c>
      <c r="B1857" s="90">
        <v>46100.0</v>
      </c>
      <c r="C1857" s="55">
        <v>1.0</v>
      </c>
      <c r="D1857" s="97" t="s">
        <v>178</v>
      </c>
      <c r="E1857" s="201"/>
      <c r="F1857" s="236" t="s">
        <v>1035</v>
      </c>
      <c r="G1857" s="194" t="s">
        <v>35</v>
      </c>
      <c r="H1857" s="198"/>
      <c r="I1857" s="196"/>
      <c r="J1857" s="179">
        <f>IF(A1857="RAPPI",(VLOOKUP(TRIM(D1857), CATALOGO!F:G, 2, FALSE) * C1857)+I1857,IFERROR(IF(COUNTIF('RESTAURANTESDESCUENTOS 2026'!A:A,TRIM(A1857))&gt;0,((VLOOKUP(TRIM(D1857), CATALOGO!A:B, 2, FALSE) * C1857)*(1-VALUE(SUBSTITUTE(VLOOKUP(TRIM(A1857),'RESTAURANTESDESCUENTOS 2026'!A:B,2,FALSE),"%",""))/100)+I1857),(VLOOKUP(TRIM(D1857), CATALOGO!A:B, 2, FALSE) * C1857+I1857)),""))</f>
        <v>150000</v>
      </c>
      <c r="K1857" s="196"/>
      <c r="L1857" s="87">
        <v>725.0</v>
      </c>
      <c r="M1857" s="197" t="s">
        <v>587</v>
      </c>
      <c r="N1857" s="168"/>
    </row>
    <row r="1858" ht="22.5" hidden="1" customHeight="1">
      <c r="A1858" s="137" t="s">
        <v>1126</v>
      </c>
      <c r="B1858" s="90">
        <v>46100.0</v>
      </c>
      <c r="C1858" s="55">
        <v>1.0</v>
      </c>
      <c r="D1858" s="97" t="s">
        <v>602</v>
      </c>
      <c r="E1858" s="201"/>
      <c r="F1858" s="236" t="s">
        <v>1036</v>
      </c>
      <c r="G1858" s="194" t="s">
        <v>35</v>
      </c>
      <c r="H1858" s="198"/>
      <c r="I1858" s="196"/>
      <c r="J1858" s="179">
        <f>IF(A1858="RAPPI",(VLOOKUP(TRIM(D1858), CATALOGO!F:G, 2, FALSE) * C1858)+I1858,IFERROR(IF(COUNTIF('RESTAURANTESDESCUENTOS 2026'!A:A,TRIM(A1858))&gt;0,((VLOOKUP(TRIM(D1858), CATALOGO!A:B, 2, FALSE) * C1858)*(1-VALUE(SUBSTITUTE(VLOOKUP(TRIM(A1858),'RESTAURANTESDESCUENTOS 2026'!A:B,2,FALSE),"%",""))/100)+I1858),(VLOOKUP(TRIM(D1858), CATALOGO!A:B, 2, FALSE) * C1858+I1858)),""))</f>
        <v>22000</v>
      </c>
      <c r="K1858" s="196"/>
      <c r="L1858" s="87">
        <v>725.0</v>
      </c>
      <c r="M1858" s="197" t="s">
        <v>587</v>
      </c>
      <c r="N1858" s="168"/>
    </row>
    <row r="1859" ht="22.5" hidden="1" customHeight="1">
      <c r="A1859" s="137" t="s">
        <v>1126</v>
      </c>
      <c r="B1859" s="90">
        <v>46100.0</v>
      </c>
      <c r="C1859" s="55">
        <v>1.0</v>
      </c>
      <c r="D1859" s="97" t="s">
        <v>177</v>
      </c>
      <c r="E1859" s="201"/>
      <c r="F1859" s="236" t="s">
        <v>1036</v>
      </c>
      <c r="G1859" s="194" t="s">
        <v>35</v>
      </c>
      <c r="H1859" s="198"/>
      <c r="I1859" s="196"/>
      <c r="J1859" s="179">
        <f>IF(A1859="RAPPI",(VLOOKUP(TRIM(D1859), CATALOGO!F:G, 2, FALSE) * C1859)+I1859,IFERROR(IF(COUNTIF('RESTAURANTESDESCUENTOS 2026'!A:A,TRIM(A1859))&gt;0,((VLOOKUP(TRIM(D1859), CATALOGO!A:B, 2, FALSE) * C1859)*(1-VALUE(SUBSTITUTE(VLOOKUP(TRIM(A1859),'RESTAURANTESDESCUENTOS 2026'!A:B,2,FALSE),"%",""))/100)+I1859),(VLOOKUP(TRIM(D1859), CATALOGO!A:B, 2, FALSE) * C1859+I1859)),""))</f>
        <v>115000</v>
      </c>
      <c r="K1859" s="196"/>
      <c r="L1859" s="87">
        <v>725.0</v>
      </c>
      <c r="M1859" s="197" t="s">
        <v>587</v>
      </c>
      <c r="N1859" s="168"/>
    </row>
    <row r="1860" ht="22.5" hidden="1" customHeight="1">
      <c r="A1860" s="137" t="s">
        <v>1126</v>
      </c>
      <c r="B1860" s="90">
        <v>46100.0</v>
      </c>
      <c r="C1860" s="55">
        <v>1.0</v>
      </c>
      <c r="D1860" s="97" t="s">
        <v>676</v>
      </c>
      <c r="E1860" s="201"/>
      <c r="F1860" s="236" t="s">
        <v>1036</v>
      </c>
      <c r="G1860" s="194" t="s">
        <v>35</v>
      </c>
      <c r="H1860" s="198"/>
      <c r="I1860" s="196"/>
      <c r="J1860" s="179">
        <f>IF(A1860="RAPPI",(VLOOKUP(TRIM(D1860), CATALOGO!F:G, 2, FALSE) * C1860)+I1860,IFERROR(IF(COUNTIF('RESTAURANTESDESCUENTOS 2026'!A:A,TRIM(A1860))&gt;0,((VLOOKUP(TRIM(D1860), CATALOGO!A:B, 2, FALSE) * C1860)*(1-VALUE(SUBSTITUTE(VLOOKUP(TRIM(A1860),'RESTAURANTESDESCUENTOS 2026'!A:B,2,FALSE),"%",""))/100)+I1860),(VLOOKUP(TRIM(D1860), CATALOGO!A:B, 2, FALSE) * C1860+I1860)),""))</f>
        <v>8000</v>
      </c>
      <c r="K1860" s="196"/>
      <c r="L1860" s="87">
        <v>725.0</v>
      </c>
      <c r="M1860" s="197" t="s">
        <v>587</v>
      </c>
      <c r="N1860" s="168"/>
    </row>
    <row r="1861" ht="22.5" hidden="1" customHeight="1">
      <c r="A1861" s="137" t="s">
        <v>109</v>
      </c>
      <c r="B1861" s="90">
        <v>46101.0</v>
      </c>
      <c r="C1861" s="55">
        <v>24.0</v>
      </c>
      <c r="D1861" s="97" t="s">
        <v>183</v>
      </c>
      <c r="E1861" s="201"/>
      <c r="F1861" s="202"/>
      <c r="G1861" s="194" t="s">
        <v>587</v>
      </c>
      <c r="H1861" s="195" t="s">
        <v>632</v>
      </c>
      <c r="I1861" s="196">
        <v>0.0</v>
      </c>
      <c r="J1861" s="219">
        <f>IF(A1861="RAPPI",(VLOOKUP(TRIM(D1861), CATALOGO!F:G, 2, FALSE) * C1861)+I1861,IFERROR(IF(COUNTIF('RESTAURANTESDESCUENTOS 2026'!A:A,TRIM(A1861))&gt;0,((VLOOKUP(TRIM(D1861), CATALOGO!A:B, 2, FALSE) * C1861)*(1-VALUE(SUBSTITUTE(VLOOKUP(TRIM(A1861),'RESTAURANTESDESCUENTOS 2026'!A:B,2,FALSE),"%",""))/100)+I1861),(VLOOKUP(TRIM(D1861), CATALOGO!A:B, 2, FALSE) * C1861+I1861)),""))</f>
        <v>369600</v>
      </c>
      <c r="K1861" s="196">
        <v>10000.0</v>
      </c>
      <c r="L1861" s="87">
        <v>730.0</v>
      </c>
      <c r="M1861" s="197" t="s">
        <v>587</v>
      </c>
      <c r="N1861" s="168"/>
    </row>
    <row r="1862" ht="22.5" hidden="1" customHeight="1">
      <c r="A1862" s="137" t="s">
        <v>109</v>
      </c>
      <c r="B1862" s="90">
        <v>46101.0</v>
      </c>
      <c r="C1862" s="55">
        <v>15.0</v>
      </c>
      <c r="D1862" s="97" t="s">
        <v>184</v>
      </c>
      <c r="E1862" s="201"/>
      <c r="F1862" s="202"/>
      <c r="G1862" s="194" t="s">
        <v>587</v>
      </c>
      <c r="H1862" s="195" t="s">
        <v>632</v>
      </c>
      <c r="I1862" s="196">
        <v>0.0</v>
      </c>
      <c r="J1862" s="219">
        <f>IF(A1862="RAPPI",(VLOOKUP(TRIM(D1862), CATALOGO!F:G, 2, FALSE) * C1862)+I1862,IFERROR(IF(COUNTIF('RESTAURANTESDESCUENTOS 2026'!A:A,TRIM(A1862))&gt;0,((VLOOKUP(TRIM(D1862), CATALOGO!A:B, 2, FALSE) * C1862)*(1-VALUE(SUBSTITUTE(VLOOKUP(TRIM(A1862),'RESTAURANTESDESCUENTOS 2026'!A:B,2,FALSE),"%",""))/100)+I1862),(VLOOKUP(TRIM(D1862), CATALOGO!A:B, 2, FALSE) * C1862+I1862)),""))</f>
        <v>360000</v>
      </c>
      <c r="K1862" s="196">
        <v>0.0</v>
      </c>
      <c r="L1862" s="87">
        <v>730.0</v>
      </c>
      <c r="M1862" s="197" t="s">
        <v>587</v>
      </c>
      <c r="N1862" s="168"/>
    </row>
    <row r="1863" ht="22.5" hidden="1" customHeight="1">
      <c r="A1863" s="137" t="s">
        <v>109</v>
      </c>
      <c r="B1863" s="90">
        <v>46101.0</v>
      </c>
      <c r="C1863" s="55">
        <v>9.0</v>
      </c>
      <c r="D1863" s="97" t="s">
        <v>185</v>
      </c>
      <c r="E1863" s="201"/>
      <c r="F1863" s="202"/>
      <c r="G1863" s="194" t="s">
        <v>587</v>
      </c>
      <c r="H1863" s="195" t="s">
        <v>632</v>
      </c>
      <c r="I1863" s="196">
        <v>0.0</v>
      </c>
      <c r="J1863" s="219">
        <f>IF(A1863="RAPPI",(VLOOKUP(TRIM(D1863), CATALOGO!F:G, 2, FALSE) * C1863)+I1863,IFERROR(IF(COUNTIF('RESTAURANTESDESCUENTOS 2026'!A:A,TRIM(A1863))&gt;0,((VLOOKUP(TRIM(D1863), CATALOGO!A:B, 2, FALSE) * C1863)*(1-VALUE(SUBSTITUTE(VLOOKUP(TRIM(A1863),'RESTAURANTESDESCUENTOS 2026'!A:B,2,FALSE),"%",""))/100)+I1863),(VLOOKUP(TRIM(D1863), CATALOGO!A:B, 2, FALSE) * C1863+I1863)),""))</f>
        <v>158400</v>
      </c>
      <c r="K1863" s="196">
        <v>0.0</v>
      </c>
      <c r="L1863" s="87">
        <v>730.0</v>
      </c>
      <c r="M1863" s="197" t="s">
        <v>587</v>
      </c>
      <c r="N1863" s="168"/>
    </row>
    <row r="1864" ht="22.5" hidden="1" customHeight="1">
      <c r="A1864" s="137" t="s">
        <v>116</v>
      </c>
      <c r="B1864" s="90">
        <v>46101.0</v>
      </c>
      <c r="C1864" s="55">
        <v>6.0</v>
      </c>
      <c r="D1864" s="97" t="s">
        <v>183</v>
      </c>
      <c r="E1864" s="201" t="s">
        <v>1198</v>
      </c>
      <c r="F1864" s="202"/>
      <c r="G1864" s="194" t="s">
        <v>587</v>
      </c>
      <c r="H1864" s="195" t="s">
        <v>632</v>
      </c>
      <c r="I1864" s="196">
        <v>0.0</v>
      </c>
      <c r="J1864" s="251">
        <v>0.0</v>
      </c>
      <c r="K1864" s="196">
        <v>10000.0</v>
      </c>
      <c r="L1864" s="87">
        <v>677.0</v>
      </c>
      <c r="M1864" s="197" t="s">
        <v>587</v>
      </c>
      <c r="N1864" s="168"/>
    </row>
    <row r="1865" ht="22.5" hidden="1" customHeight="1">
      <c r="A1865" s="137" t="s">
        <v>116</v>
      </c>
      <c r="B1865" s="90">
        <v>46101.0</v>
      </c>
      <c r="C1865" s="55">
        <v>6.0</v>
      </c>
      <c r="D1865" s="97" t="s">
        <v>184</v>
      </c>
      <c r="E1865" s="201" t="s">
        <v>1198</v>
      </c>
      <c r="F1865" s="202"/>
      <c r="G1865" s="194" t="s">
        <v>587</v>
      </c>
      <c r="H1865" s="195" t="s">
        <v>632</v>
      </c>
      <c r="I1865" s="196">
        <v>0.0</v>
      </c>
      <c r="J1865" s="251">
        <v>0.0</v>
      </c>
      <c r="K1865" s="196">
        <v>0.0</v>
      </c>
      <c r="L1865" s="87">
        <v>677.0</v>
      </c>
      <c r="M1865" s="197" t="s">
        <v>587</v>
      </c>
      <c r="N1865" s="168"/>
    </row>
    <row r="1866" ht="22.5" hidden="1" customHeight="1">
      <c r="A1866" s="137" t="s">
        <v>1199</v>
      </c>
      <c r="B1866" s="90">
        <v>46101.0</v>
      </c>
      <c r="C1866" s="55">
        <v>1.0</v>
      </c>
      <c r="D1866" s="97" t="s">
        <v>178</v>
      </c>
      <c r="E1866" s="201"/>
      <c r="F1866" s="236" t="s">
        <v>1035</v>
      </c>
      <c r="G1866" s="194" t="s">
        <v>587</v>
      </c>
      <c r="H1866" s="195" t="s">
        <v>632</v>
      </c>
      <c r="I1866" s="196">
        <v>10000.0</v>
      </c>
      <c r="J1866" s="219">
        <f>IF(A1866="RAPPI",(VLOOKUP(TRIM(D1866), CATALOGO!F:G, 2, FALSE) * C1866)+I1866,IFERROR(IF(COUNTIF('RESTAURANTESDESCUENTOS 2026'!A:A,TRIM(A1866))&gt;0,((VLOOKUP(TRIM(D1866), CATALOGO!A:B, 2, FALSE) * C1866)*(1-VALUE(SUBSTITUTE(VLOOKUP(TRIM(A1866),'RESTAURANTESDESCUENTOS 2026'!A:B,2,FALSE),"%",""))/100)+I1866),(VLOOKUP(TRIM(D1866), CATALOGO!A:B, 2, FALSE) * C1866+I1866)),""))</f>
        <v>160000</v>
      </c>
      <c r="K1866" s="196">
        <v>10000.0</v>
      </c>
      <c r="L1866" s="87">
        <v>733.0</v>
      </c>
      <c r="M1866" s="197" t="s">
        <v>587</v>
      </c>
      <c r="N1866" s="168"/>
    </row>
    <row r="1867" ht="22.5" hidden="1" customHeight="1">
      <c r="A1867" s="137" t="s">
        <v>623</v>
      </c>
      <c r="B1867" s="90">
        <v>46101.0</v>
      </c>
      <c r="C1867" s="55">
        <v>1.0</v>
      </c>
      <c r="D1867" s="97" t="s">
        <v>189</v>
      </c>
      <c r="E1867" s="201"/>
      <c r="F1867" s="236" t="s">
        <v>864</v>
      </c>
      <c r="G1867" s="194" t="s">
        <v>587</v>
      </c>
      <c r="H1867" s="195" t="s">
        <v>632</v>
      </c>
      <c r="I1867" s="196">
        <v>10000.0</v>
      </c>
      <c r="J1867" s="219">
        <f>IF(A1867="RAPPI",(VLOOKUP(TRIM(D1867), CATALOGO!F:G, 2, FALSE) * C1867)+I1867,IFERROR(IF(COUNTIF('RESTAURANTESDESCUENTOS 2026'!A:A,TRIM(A1867))&gt;0,((VLOOKUP(TRIM(D1867), CATALOGO!A:B, 2, FALSE) * C1867)*(1-VALUE(SUBSTITUTE(VLOOKUP(TRIM(A1867),'RESTAURANTESDESCUENTOS 2026'!A:B,2,FALSE),"%",""))/100)+I1867),(VLOOKUP(TRIM(D1867), CATALOGO!A:B, 2, FALSE) * C1867+I1867)),""))</f>
        <v>155000</v>
      </c>
      <c r="K1867" s="196">
        <v>10000.0</v>
      </c>
      <c r="L1867" s="87"/>
      <c r="M1867" s="197" t="s">
        <v>587</v>
      </c>
      <c r="N1867" s="168"/>
    </row>
    <row r="1868" ht="22.5" hidden="1" customHeight="1">
      <c r="A1868" s="137" t="s">
        <v>1200</v>
      </c>
      <c r="B1868" s="90">
        <v>46101.0</v>
      </c>
      <c r="C1868" s="55">
        <v>1.0</v>
      </c>
      <c r="D1868" s="97" t="s">
        <v>739</v>
      </c>
      <c r="E1868" s="201" t="s">
        <v>1201</v>
      </c>
      <c r="F1868" s="236" t="s">
        <v>1035</v>
      </c>
      <c r="G1868" s="194" t="s">
        <v>587</v>
      </c>
      <c r="H1868" s="195" t="s">
        <v>632</v>
      </c>
      <c r="I1868" s="196">
        <v>13000.0</v>
      </c>
      <c r="J1868" s="219">
        <f>IF(A1868="RAPPI",(VLOOKUP(TRIM(D1868), CATALOGO!F:G, 2, FALSE) * C1868)+I1868,IFERROR(IF(COUNTIF('RESTAURANTESDESCUENTOS 2026'!A:A,TRIM(A1868))&gt;0,((VLOOKUP(TRIM(D1868), CATALOGO!A:B, 2, FALSE) * C1868)*(1-VALUE(SUBSTITUTE(VLOOKUP(TRIM(A1868),'RESTAURANTESDESCUENTOS 2026'!A:B,2,FALSE),"%",""))/100)+I1868),(VLOOKUP(TRIM(D1868), CATALOGO!A:B, 2, FALSE) * C1868+I1868)),""))</f>
        <v>176000</v>
      </c>
      <c r="K1868" s="196">
        <v>14000.0</v>
      </c>
      <c r="L1868" s="87">
        <v>734.0</v>
      </c>
      <c r="M1868" s="197" t="s">
        <v>587</v>
      </c>
      <c r="N1868" s="168"/>
    </row>
    <row r="1869" ht="22.5" hidden="1" customHeight="1">
      <c r="A1869" s="137" t="s">
        <v>106</v>
      </c>
      <c r="B1869" s="90">
        <v>46101.0</v>
      </c>
      <c r="C1869" s="55">
        <v>1.0</v>
      </c>
      <c r="D1869" s="97" t="s">
        <v>178</v>
      </c>
      <c r="E1869" s="201"/>
      <c r="F1869" s="202"/>
      <c r="G1869" s="194" t="s">
        <v>587</v>
      </c>
      <c r="H1869" s="195" t="s">
        <v>632</v>
      </c>
      <c r="I1869" s="196">
        <v>8000.0</v>
      </c>
      <c r="J1869" s="219">
        <f>IF(A1869="RAPPI",(VLOOKUP(TRIM(D1869), CATALOGO!F:G, 2, FALSE) * C1869)+I1869,IFERROR(IF(COUNTIF('RESTAURANTESDESCUENTOS 2026'!A:A,TRIM(A1869))&gt;0,((VLOOKUP(TRIM(D1869), CATALOGO!A:B, 2, FALSE) * C1869)*(1-VALUE(SUBSTITUTE(VLOOKUP(TRIM(A1869),'RESTAURANTESDESCUENTOS 2026'!A:B,2,FALSE),"%",""))/100)+I1869),(VLOOKUP(TRIM(D1869), CATALOGO!A:B, 2, FALSE) * C1869+I1869)),""))</f>
        <v>105125</v>
      </c>
      <c r="K1869" s="196">
        <v>10000.0</v>
      </c>
      <c r="L1869" s="87">
        <v>732.0</v>
      </c>
      <c r="M1869" s="197" t="s">
        <v>587</v>
      </c>
      <c r="N1869" s="168"/>
    </row>
    <row r="1870" ht="22.5" hidden="1" customHeight="1">
      <c r="A1870" s="137" t="s">
        <v>55</v>
      </c>
      <c r="B1870" s="90">
        <v>46101.0</v>
      </c>
      <c r="C1870" s="55">
        <v>3.0</v>
      </c>
      <c r="D1870" s="97" t="s">
        <v>178</v>
      </c>
      <c r="E1870" s="201"/>
      <c r="F1870" s="202"/>
      <c r="G1870" s="194" t="s">
        <v>587</v>
      </c>
      <c r="H1870" s="195" t="s">
        <v>632</v>
      </c>
      <c r="I1870" s="196">
        <v>10000.0</v>
      </c>
      <c r="J1870" s="219">
        <f>IF(A1870="RAPPI",(VLOOKUP(TRIM(D1870), CATALOGO!F:G, 2, FALSE) * C1870)+I1870,IFERROR(IF(COUNTIF('RESTAURANTESDESCUENTOS 2026'!A:A,TRIM(A1870))&gt;0,((VLOOKUP(TRIM(D1870), CATALOGO!A:B, 2, FALSE) * C1870)*(1-VALUE(SUBSTITUTE(VLOOKUP(TRIM(A1870),'RESTAURANTESDESCUENTOS 2026'!A:B,2,FALSE),"%",""))/100)+I1870),(VLOOKUP(TRIM(D1870), CATALOGO!A:B, 2, FALSE) * C1870+I1870)),""))</f>
        <v>347500</v>
      </c>
      <c r="K1870" s="196">
        <v>10000.0</v>
      </c>
      <c r="L1870" s="87">
        <v>729.0</v>
      </c>
      <c r="M1870" s="197" t="s">
        <v>587</v>
      </c>
      <c r="N1870" s="168"/>
    </row>
    <row r="1871" ht="22.5" hidden="1" customHeight="1">
      <c r="A1871" s="137" t="s">
        <v>55</v>
      </c>
      <c r="B1871" s="90">
        <v>46101.0</v>
      </c>
      <c r="C1871" s="55">
        <v>8.0</v>
      </c>
      <c r="D1871" s="97" t="s">
        <v>182</v>
      </c>
      <c r="E1871" s="201"/>
      <c r="F1871" s="202"/>
      <c r="G1871" s="194"/>
      <c r="H1871" s="198"/>
      <c r="I1871" s="196"/>
      <c r="J1871" s="219">
        <f>4000*32</f>
        <v>128000</v>
      </c>
      <c r="K1871" s="196"/>
      <c r="L1871" s="87">
        <v>729.0</v>
      </c>
      <c r="M1871" s="197" t="s">
        <v>587</v>
      </c>
      <c r="N1871" s="168"/>
    </row>
    <row r="1872" ht="22.5" hidden="1" customHeight="1">
      <c r="A1872" s="137" t="s">
        <v>1202</v>
      </c>
      <c r="B1872" s="90">
        <v>46101.0</v>
      </c>
      <c r="C1872" s="55">
        <v>1.0</v>
      </c>
      <c r="D1872" s="97" t="s">
        <v>189</v>
      </c>
      <c r="E1872" s="201"/>
      <c r="F1872" s="236" t="s">
        <v>1035</v>
      </c>
      <c r="G1872" s="194" t="s">
        <v>35</v>
      </c>
      <c r="H1872" s="198"/>
      <c r="I1872" s="196"/>
      <c r="J1872" s="219">
        <f>IF(A1872="RAPPI",(VLOOKUP(TRIM(D1872), CATALOGO!F:G, 2, FALSE) * C1872)+I1872,IFERROR(IF(COUNTIF('RESTAURANTESDESCUENTOS 2026'!A:A,TRIM(A1872))&gt;0,((VLOOKUP(TRIM(D1872), CATALOGO!A:B, 2, FALSE) * C1872)*(1-VALUE(SUBSTITUTE(VLOOKUP(TRIM(A1872),'RESTAURANTESDESCUENTOS 2026'!A:B,2,FALSE),"%",""))/100)+I1872),(VLOOKUP(TRIM(D1872), CATALOGO!A:B, 2, FALSE) * C1872+I1872)),""))</f>
        <v>145000</v>
      </c>
      <c r="K1872" s="196"/>
      <c r="L1872" s="87">
        <v>735.0</v>
      </c>
      <c r="M1872" s="197" t="s">
        <v>587</v>
      </c>
      <c r="N1872" s="168"/>
    </row>
    <row r="1873" ht="22.5" hidden="1" customHeight="1">
      <c r="A1873" s="137" t="s">
        <v>1202</v>
      </c>
      <c r="B1873" s="90">
        <v>46101.0</v>
      </c>
      <c r="C1873" s="55">
        <v>1.0</v>
      </c>
      <c r="D1873" s="97" t="s">
        <v>676</v>
      </c>
      <c r="E1873" s="201"/>
      <c r="F1873" s="236" t="s">
        <v>1035</v>
      </c>
      <c r="G1873" s="194" t="s">
        <v>35</v>
      </c>
      <c r="H1873" s="198"/>
      <c r="I1873" s="196"/>
      <c r="J1873" s="219">
        <f>IF(A1873="RAPPI",(VLOOKUP(TRIM(D1873), CATALOGO!F:G, 2, FALSE) * C1873)+I1873,IFERROR(IF(COUNTIF('RESTAURANTESDESCUENTOS 2026'!A:A,TRIM(A1873))&gt;0,((VLOOKUP(TRIM(D1873), CATALOGO!A:B, 2, FALSE) * C1873)*(1-VALUE(SUBSTITUTE(VLOOKUP(TRIM(A1873),'RESTAURANTESDESCUENTOS 2026'!A:B,2,FALSE),"%",""))/100)+I1873),(VLOOKUP(TRIM(D1873), CATALOGO!A:B, 2, FALSE) * C1873+I1873)),""))</f>
        <v>8000</v>
      </c>
      <c r="K1873" s="196"/>
      <c r="L1873" s="87">
        <v>735.0</v>
      </c>
      <c r="M1873" s="197" t="s">
        <v>587</v>
      </c>
      <c r="N1873" s="168"/>
    </row>
    <row r="1874" ht="22.5" hidden="1" customHeight="1">
      <c r="A1874" s="137" t="s">
        <v>1203</v>
      </c>
      <c r="B1874" s="90">
        <v>46101.0</v>
      </c>
      <c r="C1874" s="55">
        <v>1.0</v>
      </c>
      <c r="D1874" s="97" t="s">
        <v>178</v>
      </c>
      <c r="E1874" s="201"/>
      <c r="F1874" s="236" t="s">
        <v>1035</v>
      </c>
      <c r="G1874" s="194" t="s">
        <v>35</v>
      </c>
      <c r="H1874" s="198"/>
      <c r="I1874" s="196"/>
      <c r="J1874" s="219">
        <f>IF(A1874="RAPPI",(VLOOKUP(TRIM(D1874), CATALOGO!F:G, 2, FALSE) * C1874)+I1874,IFERROR(IF(COUNTIF('RESTAURANTESDESCUENTOS 2026'!A:A,TRIM(A1874))&gt;0,((VLOOKUP(TRIM(D1874), CATALOGO!A:B, 2, FALSE) * C1874)*(1-VALUE(SUBSTITUTE(VLOOKUP(TRIM(A1874),'RESTAURANTESDESCUENTOS 2026'!A:B,2,FALSE),"%",""))/100)+I1874),(VLOOKUP(TRIM(D1874), CATALOGO!A:B, 2, FALSE) * C1874+I1874)),""))</f>
        <v>150000</v>
      </c>
      <c r="K1874" s="196"/>
      <c r="L1874" s="87">
        <v>736.0</v>
      </c>
      <c r="M1874" s="197" t="s">
        <v>587</v>
      </c>
      <c r="N1874" s="168"/>
    </row>
    <row r="1875" ht="22.5" hidden="1" customHeight="1">
      <c r="A1875" s="137" t="s">
        <v>1204</v>
      </c>
      <c r="B1875" s="90">
        <v>46101.0</v>
      </c>
      <c r="C1875" s="55">
        <v>1.0</v>
      </c>
      <c r="D1875" s="97" t="s">
        <v>601</v>
      </c>
      <c r="E1875" s="201"/>
      <c r="F1875" s="236" t="s">
        <v>1035</v>
      </c>
      <c r="G1875" s="194" t="s">
        <v>587</v>
      </c>
      <c r="H1875" s="195" t="s">
        <v>632</v>
      </c>
      <c r="I1875" s="196">
        <v>10000.0</v>
      </c>
      <c r="J1875" s="219">
        <f>IF(A1875="RAPPI",(VLOOKUP(TRIM(D1875), CATALOGO!F:G, 2, FALSE) * C1875)+I1875,IFERROR(IF(COUNTIF('RESTAURANTESDESCUENTOS 2026'!A:A,TRIM(A1875))&gt;0,((VLOOKUP(TRIM(D1875), CATALOGO!A:B, 2, FALSE) * C1875)*(1-VALUE(SUBSTITUTE(VLOOKUP(TRIM(A1875),'RESTAURANTESDESCUENTOS 2026'!A:B,2,FALSE),"%",""))/100)+I1875),(VLOOKUP(TRIM(D1875), CATALOGO!A:B, 2, FALSE) * C1875+I1875)),""))</f>
        <v>63000</v>
      </c>
      <c r="K1875" s="196">
        <v>10000.0</v>
      </c>
      <c r="L1875" s="87">
        <v>737.0</v>
      </c>
      <c r="M1875" s="197" t="s">
        <v>587</v>
      </c>
      <c r="N1875" s="168"/>
    </row>
    <row r="1876" ht="22.5" hidden="1" customHeight="1">
      <c r="A1876" s="137" t="s">
        <v>1204</v>
      </c>
      <c r="B1876" s="90">
        <v>46101.0</v>
      </c>
      <c r="C1876" s="55">
        <v>1.0</v>
      </c>
      <c r="D1876" s="97" t="s">
        <v>640</v>
      </c>
      <c r="E1876" s="201"/>
      <c r="F1876" s="236" t="s">
        <v>1035</v>
      </c>
      <c r="G1876" s="194" t="s">
        <v>587</v>
      </c>
      <c r="H1876" s="195" t="s">
        <v>632</v>
      </c>
      <c r="I1876" s="196">
        <v>0.0</v>
      </c>
      <c r="J1876" s="219">
        <f>IF(A1876="RAPPI",(VLOOKUP(TRIM(D1876), CATALOGO!F:G, 2, FALSE) * C1876)+I1876,IFERROR(IF(COUNTIF('RESTAURANTESDESCUENTOS 2026'!A:A,TRIM(A1876))&gt;0,((VLOOKUP(TRIM(D1876), CATALOGO!A:B, 2, FALSE) * C1876)*(1-VALUE(SUBSTITUTE(VLOOKUP(TRIM(A1876),'RESTAURANTESDESCUENTOS 2026'!A:B,2,FALSE),"%",""))/100)+I1876),(VLOOKUP(TRIM(D1876), CATALOGO!A:B, 2, FALSE) * C1876+I1876)),""))</f>
        <v>53000</v>
      </c>
      <c r="K1876" s="196">
        <v>0.0</v>
      </c>
      <c r="L1876" s="87">
        <v>737.0</v>
      </c>
      <c r="M1876" s="197" t="s">
        <v>587</v>
      </c>
      <c r="N1876" s="168"/>
    </row>
    <row r="1877" ht="22.5" hidden="1" customHeight="1">
      <c r="A1877" s="137" t="s">
        <v>128</v>
      </c>
      <c r="B1877" s="90">
        <v>46101.0</v>
      </c>
      <c r="C1877" s="55">
        <v>2.0</v>
      </c>
      <c r="D1877" s="97" t="s">
        <v>178</v>
      </c>
      <c r="E1877" s="201"/>
      <c r="F1877" s="202"/>
      <c r="G1877" s="194" t="s">
        <v>587</v>
      </c>
      <c r="H1877" s="195" t="s">
        <v>632</v>
      </c>
      <c r="I1877" s="196">
        <v>10000.0</v>
      </c>
      <c r="J1877" s="219">
        <f>IF(A1877="RAPPI",(VLOOKUP(TRIM(D1877), CATALOGO!F:G, 2, FALSE) * C1877)+I1877,IFERROR(IF(COUNTIF('RESTAURANTESDESCUENTOS 2026'!A:A,TRIM(A1877))&gt;0,((VLOOKUP(TRIM(D1877), CATALOGO!A:B, 2, FALSE) * C1877)*(1-VALUE(SUBSTITUTE(VLOOKUP(TRIM(A1877),'RESTAURANTESDESCUENTOS 2026'!A:B,2,FALSE),"%",""))/100)+I1877),(VLOOKUP(TRIM(D1877), CATALOGO!A:B, 2, FALSE) * C1877+I1877)),""))</f>
        <v>220000</v>
      </c>
      <c r="K1877" s="196">
        <v>15000.0</v>
      </c>
      <c r="L1877" s="87">
        <v>731.0</v>
      </c>
      <c r="M1877" s="197" t="s">
        <v>587</v>
      </c>
      <c r="N1877" s="168"/>
    </row>
    <row r="1878" ht="22.5" hidden="1" customHeight="1">
      <c r="A1878" s="137" t="s">
        <v>1205</v>
      </c>
      <c r="B1878" s="90">
        <v>46101.0</v>
      </c>
      <c r="C1878" s="55">
        <v>1.0</v>
      </c>
      <c r="D1878" s="97" t="s">
        <v>176</v>
      </c>
      <c r="E1878" s="201"/>
      <c r="F1878" s="236" t="s">
        <v>1035</v>
      </c>
      <c r="G1878" s="194" t="s">
        <v>587</v>
      </c>
      <c r="H1878" s="195" t="s">
        <v>632</v>
      </c>
      <c r="I1878" s="196">
        <v>13000.0</v>
      </c>
      <c r="J1878" s="219">
        <f>IF(A1878="RAPPI",(VLOOKUP(TRIM(D1878), CATALOGO!F:G, 2, FALSE) * C1878)+I1878,IFERROR(IF(COUNTIF('RESTAURANTESDESCUENTOS 2026'!A:A,TRIM(A1878))&gt;0,((VLOOKUP(TRIM(D1878), CATALOGO!A:B, 2, FALSE) * C1878)*(1-VALUE(SUBSTITUTE(VLOOKUP(TRIM(A1878),'RESTAURANTESDESCUENTOS 2026'!A:B,2,FALSE),"%",""))/100)+I1878),(VLOOKUP(TRIM(D1878), CATALOGO!A:B, 2, FALSE) * C1878+I1878)),""))</f>
        <v>63000</v>
      </c>
      <c r="K1878" s="196">
        <v>14000.0</v>
      </c>
      <c r="L1878" s="87">
        <v>738.0</v>
      </c>
      <c r="M1878" s="197" t="s">
        <v>587</v>
      </c>
      <c r="N1878" s="168"/>
    </row>
    <row r="1879" ht="22.5" hidden="1" customHeight="1">
      <c r="A1879" s="137" t="s">
        <v>1206</v>
      </c>
      <c r="B1879" s="90">
        <v>46101.0</v>
      </c>
      <c r="C1879" s="55">
        <v>1.0</v>
      </c>
      <c r="D1879" s="97" t="s">
        <v>182</v>
      </c>
      <c r="E1879" s="201" t="s">
        <v>1207</v>
      </c>
      <c r="F1879" s="236" t="s">
        <v>1035</v>
      </c>
      <c r="G1879" s="194" t="s">
        <v>587</v>
      </c>
      <c r="H1879" s="195" t="s">
        <v>588</v>
      </c>
      <c r="I1879" s="196">
        <v>12000.0</v>
      </c>
      <c r="J1879" s="219">
        <f>IF(A1879="RAPPI",(VLOOKUP(TRIM(D1879), CATALOGO!F:G, 2, FALSE) * C1879)+I1879,IFERROR(IF(COUNTIF('RESTAURANTESDESCUENTOS 2026'!A:A,TRIM(A1879))&gt;0,((VLOOKUP(TRIM(D1879), CATALOGO!A:B, 2, FALSE) * C1879)*(1-VALUE(SUBSTITUTE(VLOOKUP(TRIM(A1879),'RESTAURANTESDESCUENTOS 2026'!A:B,2,FALSE),"%",""))/100)+I1879),(VLOOKUP(TRIM(D1879), CATALOGO!A:B, 2, FALSE) * C1879+I1879)),""))</f>
        <v>49000</v>
      </c>
      <c r="K1879" s="196">
        <v>15700.0</v>
      </c>
      <c r="L1879" s="87">
        <v>739.0</v>
      </c>
      <c r="M1879" s="197" t="s">
        <v>587</v>
      </c>
      <c r="N1879" s="168"/>
    </row>
    <row r="1880" ht="22.5" hidden="1" customHeight="1">
      <c r="A1880" s="137" t="s">
        <v>603</v>
      </c>
      <c r="B1880" s="90">
        <v>46101.0</v>
      </c>
      <c r="C1880" s="55">
        <v>1.0</v>
      </c>
      <c r="D1880" s="97" t="s">
        <v>177</v>
      </c>
      <c r="E1880" s="201"/>
      <c r="F1880" s="236" t="s">
        <v>603</v>
      </c>
      <c r="G1880" s="194" t="s">
        <v>587</v>
      </c>
      <c r="H1880" s="195" t="s">
        <v>603</v>
      </c>
      <c r="I1880" s="196"/>
      <c r="J1880" s="219">
        <f>IF(A1880="RAPPI",(VLOOKUP(TRIM(D1880), CATALOGO!F:G, 2, FALSE) * C1880)+I1880,IFERROR(IF(COUNTIF('RESTAURANTESDESCUENTOS 2026'!A:A,TRIM(A1880))&gt;0,((VLOOKUP(TRIM(D1880), CATALOGO!A:B, 2, FALSE) * C1880)*(1-VALUE(SUBSTITUTE(VLOOKUP(TRIM(A1880),'RESTAURANTESDESCUENTOS 2026'!A:B,2,FALSE),"%",""))/100)+I1880),(VLOOKUP(TRIM(D1880), CATALOGO!A:B, 2, FALSE) * C1880+I1880)),""))</f>
        <v>115000</v>
      </c>
      <c r="K1880" s="196"/>
      <c r="L1880" s="87">
        <v>740.0</v>
      </c>
      <c r="M1880" s="197" t="s">
        <v>587</v>
      </c>
      <c r="N1880" s="168"/>
    </row>
    <row r="1881" ht="22.5" hidden="1" customHeight="1">
      <c r="A1881" s="137" t="s">
        <v>603</v>
      </c>
      <c r="B1881" s="90">
        <v>46101.0</v>
      </c>
      <c r="C1881" s="55">
        <v>1.0</v>
      </c>
      <c r="D1881" s="97" t="s">
        <v>176</v>
      </c>
      <c r="E1881" s="201"/>
      <c r="F1881" s="236" t="s">
        <v>603</v>
      </c>
      <c r="G1881" s="194" t="s">
        <v>587</v>
      </c>
      <c r="H1881" s="195" t="s">
        <v>603</v>
      </c>
      <c r="I1881" s="196"/>
      <c r="J1881" s="219">
        <f>IF(A1881="RAPPI",(VLOOKUP(TRIM(D1881), CATALOGO!F:G, 2, FALSE) * C1881)+I1881,IFERROR(IF(COUNTIF('RESTAURANTESDESCUENTOS 2026'!A:A,TRIM(A1881))&gt;0,((VLOOKUP(TRIM(D1881), CATALOGO!A:B, 2, FALSE) * C1881)*(1-VALUE(SUBSTITUTE(VLOOKUP(TRIM(A1881),'RESTAURANTESDESCUENTOS 2026'!A:B,2,FALSE),"%",""))/100)+I1881),(VLOOKUP(TRIM(D1881), CATALOGO!A:B, 2, FALSE) * C1881+I1881)),""))</f>
        <v>50000</v>
      </c>
      <c r="K1881" s="196"/>
      <c r="L1881" s="87">
        <v>740.0</v>
      </c>
      <c r="M1881" s="197" t="s">
        <v>587</v>
      </c>
      <c r="N1881" s="168"/>
    </row>
    <row r="1882" ht="22.5" hidden="1" customHeight="1">
      <c r="A1882" s="137" t="s">
        <v>603</v>
      </c>
      <c r="B1882" s="90">
        <v>46101.0</v>
      </c>
      <c r="C1882" s="55">
        <v>1.0</v>
      </c>
      <c r="D1882" s="97" t="s">
        <v>177</v>
      </c>
      <c r="E1882" s="201"/>
      <c r="F1882" s="236" t="s">
        <v>603</v>
      </c>
      <c r="G1882" s="194" t="s">
        <v>587</v>
      </c>
      <c r="H1882" s="195" t="s">
        <v>603</v>
      </c>
      <c r="I1882" s="196"/>
      <c r="J1882" s="219">
        <f>IF(A1882="RAPPI",(VLOOKUP(TRIM(D1882), CATALOGO!F:G, 2, FALSE) * C1882)+I1882,IFERROR(IF(COUNTIF('RESTAURANTESDESCUENTOS 2026'!A:A,TRIM(A1882))&gt;0,((VLOOKUP(TRIM(D1882), CATALOGO!A:B, 2, FALSE) * C1882)*(1-VALUE(SUBSTITUTE(VLOOKUP(TRIM(A1882),'RESTAURANTESDESCUENTOS 2026'!A:B,2,FALSE),"%",""))/100)+I1882),(VLOOKUP(TRIM(D1882), CATALOGO!A:B, 2, FALSE) * C1882+I1882)),""))</f>
        <v>115000</v>
      </c>
      <c r="K1882" s="196"/>
      <c r="L1882" s="87">
        <v>740.0</v>
      </c>
      <c r="M1882" s="197" t="s">
        <v>587</v>
      </c>
      <c r="N1882" s="168"/>
    </row>
    <row r="1883" ht="22.5" hidden="1" customHeight="1">
      <c r="A1883" s="137" t="s">
        <v>603</v>
      </c>
      <c r="B1883" s="90">
        <v>46101.0</v>
      </c>
      <c r="C1883" s="55">
        <v>1.0</v>
      </c>
      <c r="D1883" s="97" t="s">
        <v>628</v>
      </c>
      <c r="E1883" s="201"/>
      <c r="F1883" s="236" t="s">
        <v>603</v>
      </c>
      <c r="G1883" s="194" t="s">
        <v>587</v>
      </c>
      <c r="H1883" s="195" t="s">
        <v>603</v>
      </c>
      <c r="I1883" s="196"/>
      <c r="J1883" s="219">
        <f>IF(A1883="RAPPI",(VLOOKUP(TRIM(D1883), CATALOGO!F:G, 2, FALSE) * C1883)+I1883,IFERROR(IF(COUNTIF('RESTAURANTESDESCUENTOS 2026'!A:A,TRIM(A1883))&gt;0,((VLOOKUP(TRIM(D1883), CATALOGO!A:B, 2, FALSE) * C1883)*(1-VALUE(SUBSTITUTE(VLOOKUP(TRIM(A1883),'RESTAURANTESDESCUENTOS 2026'!A:B,2,FALSE),"%",""))/100)+I1883),(VLOOKUP(TRIM(D1883), CATALOGO!A:B, 2, FALSE) * C1883+I1883)),""))</f>
        <v>22000</v>
      </c>
      <c r="K1883" s="196"/>
      <c r="L1883" s="87">
        <v>740.0</v>
      </c>
      <c r="M1883" s="197" t="s">
        <v>587</v>
      </c>
      <c r="N1883" s="168"/>
    </row>
    <row r="1884" ht="22.5" hidden="1" customHeight="1">
      <c r="A1884" s="137" t="s">
        <v>603</v>
      </c>
      <c r="B1884" s="90">
        <v>46101.0</v>
      </c>
      <c r="C1884" s="55">
        <v>1.0</v>
      </c>
      <c r="D1884" s="97" t="s">
        <v>601</v>
      </c>
      <c r="E1884" s="201"/>
      <c r="F1884" s="236" t="s">
        <v>603</v>
      </c>
      <c r="G1884" s="194" t="s">
        <v>587</v>
      </c>
      <c r="H1884" s="195" t="s">
        <v>603</v>
      </c>
      <c r="I1884" s="196"/>
      <c r="J1884" s="219">
        <f>IF(A1884="RAPPI",(VLOOKUP(TRIM(D1884), CATALOGO!F:G, 2, FALSE) * C1884)+I1884,IFERROR(IF(COUNTIF('RESTAURANTESDESCUENTOS 2026'!A:A,TRIM(A1884))&gt;0,((VLOOKUP(TRIM(D1884), CATALOGO!A:B, 2, FALSE) * C1884)*(1-VALUE(SUBSTITUTE(VLOOKUP(TRIM(A1884),'RESTAURANTESDESCUENTOS 2026'!A:B,2,FALSE),"%",""))/100)+I1884),(VLOOKUP(TRIM(D1884), CATALOGO!A:B, 2, FALSE) * C1884+I1884)),""))</f>
        <v>53000</v>
      </c>
      <c r="K1884" s="196"/>
      <c r="L1884" s="87">
        <v>740.0</v>
      </c>
      <c r="M1884" s="197" t="s">
        <v>587</v>
      </c>
      <c r="N1884" s="168"/>
    </row>
    <row r="1885" ht="22.5" hidden="1" customHeight="1">
      <c r="A1885" s="137" t="s">
        <v>603</v>
      </c>
      <c r="B1885" s="90">
        <v>46101.0</v>
      </c>
      <c r="C1885" s="55">
        <v>1.0</v>
      </c>
      <c r="D1885" s="97" t="s">
        <v>176</v>
      </c>
      <c r="E1885" s="201"/>
      <c r="F1885" s="236" t="s">
        <v>603</v>
      </c>
      <c r="G1885" s="194" t="s">
        <v>587</v>
      </c>
      <c r="H1885" s="195" t="s">
        <v>603</v>
      </c>
      <c r="I1885" s="196"/>
      <c r="J1885" s="219">
        <f>IF(A1885="RAPPI",(VLOOKUP(TRIM(D1885), CATALOGO!F:G, 2, FALSE) * C1885)+I1885,IFERROR(IF(COUNTIF('RESTAURANTESDESCUENTOS 2026'!A:A,TRIM(A1885))&gt;0,((VLOOKUP(TRIM(D1885), CATALOGO!A:B, 2, FALSE) * C1885)*(1-VALUE(SUBSTITUTE(VLOOKUP(TRIM(A1885),'RESTAURANTESDESCUENTOS 2026'!A:B,2,FALSE),"%",""))/100)+I1885),(VLOOKUP(TRIM(D1885), CATALOGO!A:B, 2, FALSE) * C1885+I1885)),""))</f>
        <v>50000</v>
      </c>
      <c r="K1885" s="196"/>
      <c r="L1885" s="87">
        <v>740.0</v>
      </c>
      <c r="M1885" s="197" t="s">
        <v>587</v>
      </c>
      <c r="N1885" s="168"/>
    </row>
    <row r="1886" ht="22.5" hidden="1" customHeight="1">
      <c r="A1886" s="137" t="s">
        <v>603</v>
      </c>
      <c r="B1886" s="90">
        <v>46101.0</v>
      </c>
      <c r="C1886" s="55">
        <v>1.0</v>
      </c>
      <c r="D1886" s="97" t="s">
        <v>1208</v>
      </c>
      <c r="E1886" s="201"/>
      <c r="F1886" s="236" t="s">
        <v>603</v>
      </c>
      <c r="G1886" s="194" t="s">
        <v>587</v>
      </c>
      <c r="H1886" s="195" t="s">
        <v>603</v>
      </c>
      <c r="I1886" s="196"/>
      <c r="J1886" s="219">
        <f>IF(A1886="RAPPI",(VLOOKUP(TRIM(D1886), CATALOGO!F:G, 2, FALSE) * C1886)+I1886,IFERROR(IF(COUNTIF('RESTAURANTESDESCUENTOS 2026'!A:A,TRIM(A1886))&gt;0,((VLOOKUP(TRIM(D1886), CATALOGO!A:B, 2, FALSE) * C1886)*(1-VALUE(SUBSTITUTE(VLOOKUP(TRIM(A1886),'RESTAURANTESDESCUENTOS 2026'!A:B,2,FALSE),"%",""))/100)+I1886),(VLOOKUP(TRIM(D1886), CATALOGO!A:B, 2, FALSE) * C1886+I1886)),""))</f>
        <v>22000</v>
      </c>
      <c r="K1886" s="196"/>
      <c r="L1886" s="87">
        <v>740.0</v>
      </c>
      <c r="M1886" s="197" t="s">
        <v>587</v>
      </c>
      <c r="N1886" s="168"/>
    </row>
    <row r="1887" ht="22.5" hidden="1" customHeight="1">
      <c r="A1887" s="137" t="s">
        <v>603</v>
      </c>
      <c r="B1887" s="90">
        <v>46101.0</v>
      </c>
      <c r="C1887" s="55">
        <v>1.0</v>
      </c>
      <c r="D1887" s="97" t="s">
        <v>176</v>
      </c>
      <c r="E1887" s="201"/>
      <c r="F1887" s="236" t="s">
        <v>603</v>
      </c>
      <c r="G1887" s="194" t="s">
        <v>587</v>
      </c>
      <c r="H1887" s="195" t="s">
        <v>603</v>
      </c>
      <c r="I1887" s="196"/>
      <c r="J1887" s="219">
        <f>IF(A1887="RAPPI",(VLOOKUP(TRIM(D1887), CATALOGO!F:G, 2, FALSE) * C1887)+I1887,IFERROR(IF(COUNTIF('RESTAURANTESDESCUENTOS 2026'!A:A,TRIM(A1887))&gt;0,((VLOOKUP(TRIM(D1887), CATALOGO!A:B, 2, FALSE) * C1887)*(1-VALUE(SUBSTITUTE(VLOOKUP(TRIM(A1887),'RESTAURANTESDESCUENTOS 2026'!A:B,2,FALSE),"%",""))/100)+I1887),(VLOOKUP(TRIM(D1887), CATALOGO!A:B, 2, FALSE) * C1887+I1887)),""))</f>
        <v>50000</v>
      </c>
      <c r="K1887" s="196"/>
      <c r="L1887" s="87">
        <v>740.0</v>
      </c>
      <c r="M1887" s="197" t="s">
        <v>587</v>
      </c>
      <c r="N1887" s="168"/>
    </row>
    <row r="1888" ht="22.5" hidden="1" customHeight="1">
      <c r="A1888" s="137" t="s">
        <v>603</v>
      </c>
      <c r="B1888" s="90">
        <v>46101.0</v>
      </c>
      <c r="C1888" s="55">
        <v>1.0</v>
      </c>
      <c r="D1888" s="97" t="s">
        <v>618</v>
      </c>
      <c r="E1888" s="201"/>
      <c r="F1888" s="236" t="s">
        <v>603</v>
      </c>
      <c r="G1888" s="194" t="s">
        <v>587</v>
      </c>
      <c r="H1888" s="195" t="s">
        <v>603</v>
      </c>
      <c r="I1888" s="196"/>
      <c r="J1888" s="219">
        <f>IF(A1888="RAPPI",(VLOOKUP(TRIM(D1888), CATALOGO!F:G, 2, FALSE) * C1888)+I1888,IFERROR(IF(COUNTIF('RESTAURANTESDESCUENTOS 2026'!A:A,TRIM(A1888))&gt;0,((VLOOKUP(TRIM(D1888), CATALOGO!A:B, 2, FALSE) * C1888)*(1-VALUE(SUBSTITUTE(VLOOKUP(TRIM(A1888),'RESTAURANTESDESCUENTOS 2026'!A:B,2,FALSE),"%",""))/100)+I1888),(VLOOKUP(TRIM(D1888), CATALOGO!A:B, 2, FALSE) * C1888+I1888)),""))</f>
        <v>53000</v>
      </c>
      <c r="K1888" s="196"/>
      <c r="L1888" s="87">
        <v>740.0</v>
      </c>
      <c r="M1888" s="197" t="s">
        <v>587</v>
      </c>
      <c r="N1888" s="168"/>
    </row>
    <row r="1889" ht="22.5" hidden="1" customHeight="1">
      <c r="A1889" s="137" t="s">
        <v>1069</v>
      </c>
      <c r="B1889" s="90">
        <v>46101.0</v>
      </c>
      <c r="C1889" s="55">
        <v>1.0</v>
      </c>
      <c r="D1889" s="97" t="s">
        <v>174</v>
      </c>
      <c r="E1889" s="201"/>
      <c r="F1889" s="236" t="s">
        <v>1036</v>
      </c>
      <c r="G1889" s="194" t="s">
        <v>35</v>
      </c>
      <c r="H1889" s="198"/>
      <c r="I1889" s="196"/>
      <c r="J1889" s="219">
        <f>IF(A1889="RAPPI",(VLOOKUP(TRIM(D1889), CATALOGO!F:G, 2, FALSE) * C1889)+I1889,IFERROR(IF(COUNTIF('RESTAURANTESDESCUENTOS 2026'!A:A,TRIM(A1889))&gt;0,((VLOOKUP(TRIM(D1889), CATALOGO!A:B, 2, FALSE) * C1889)*(1-VALUE(SUBSTITUTE(VLOOKUP(TRIM(A1889),'RESTAURANTESDESCUENTOS 2026'!A:B,2,FALSE),"%",""))/100)+I1889),(VLOOKUP(TRIM(D1889), CATALOGO!A:B, 2, FALSE) * C1889+I1889)),""))</f>
        <v>18000</v>
      </c>
      <c r="K1889" s="196"/>
      <c r="L1889" s="87">
        <v>741.0</v>
      </c>
      <c r="M1889" s="197" t="s">
        <v>587</v>
      </c>
      <c r="N1889" s="168"/>
    </row>
    <row r="1890" ht="22.5" hidden="1" customHeight="1">
      <c r="A1890" s="137" t="s">
        <v>1069</v>
      </c>
      <c r="B1890" s="90">
        <v>46101.0</v>
      </c>
      <c r="C1890" s="55">
        <v>1.0</v>
      </c>
      <c r="D1890" s="97" t="s">
        <v>640</v>
      </c>
      <c r="E1890" s="201"/>
      <c r="F1890" s="236" t="s">
        <v>1036</v>
      </c>
      <c r="G1890" s="194" t="s">
        <v>35</v>
      </c>
      <c r="H1890" s="198"/>
      <c r="I1890" s="196"/>
      <c r="J1890" s="219">
        <f>IF(A1890="RAPPI",(VLOOKUP(TRIM(D1890), CATALOGO!F:G, 2, FALSE) * C1890)+I1890,IFERROR(IF(COUNTIF('RESTAURANTESDESCUENTOS 2026'!A:A,TRIM(A1890))&gt;0,((VLOOKUP(TRIM(D1890), CATALOGO!A:B, 2, FALSE) * C1890)*(1-VALUE(SUBSTITUTE(VLOOKUP(TRIM(A1890),'RESTAURANTESDESCUENTOS 2026'!A:B,2,FALSE),"%",""))/100)+I1890),(VLOOKUP(TRIM(D1890), CATALOGO!A:B, 2, FALSE) * C1890+I1890)),""))</f>
        <v>53000</v>
      </c>
      <c r="K1890" s="196"/>
      <c r="L1890" s="87">
        <v>741.0</v>
      </c>
      <c r="M1890" s="197" t="s">
        <v>587</v>
      </c>
      <c r="N1890" s="168"/>
    </row>
    <row r="1891" ht="22.5" hidden="1" customHeight="1">
      <c r="A1891" s="137" t="s">
        <v>1069</v>
      </c>
      <c r="B1891" s="90">
        <v>46101.0</v>
      </c>
      <c r="C1891" s="55">
        <v>1.0</v>
      </c>
      <c r="D1891" s="97" t="s">
        <v>604</v>
      </c>
      <c r="E1891" s="201"/>
      <c r="F1891" s="236" t="s">
        <v>1036</v>
      </c>
      <c r="G1891" s="194" t="s">
        <v>35</v>
      </c>
      <c r="H1891" s="198"/>
      <c r="I1891" s="196"/>
      <c r="J1891" s="219">
        <f>IF(A1891="RAPPI",(VLOOKUP(TRIM(D1891), CATALOGO!F:G, 2, FALSE) * C1891)+I1891,IFERROR(IF(COUNTIF('RESTAURANTESDESCUENTOS 2026'!A:A,TRIM(A1891))&gt;0,((VLOOKUP(TRIM(D1891), CATALOGO!A:B, 2, FALSE) * C1891)*(1-VALUE(SUBSTITUTE(VLOOKUP(TRIM(A1891),'RESTAURANTESDESCUENTOS 2026'!A:B,2,FALSE),"%",""))/100)+I1891),(VLOOKUP(TRIM(D1891), CATALOGO!A:B, 2, FALSE) * C1891+I1891)),""))</f>
        <v>22000</v>
      </c>
      <c r="K1891" s="196"/>
      <c r="L1891" s="87">
        <v>741.0</v>
      </c>
      <c r="M1891" s="197" t="s">
        <v>587</v>
      </c>
      <c r="N1891" s="168"/>
    </row>
    <row r="1892" ht="22.5" hidden="1" customHeight="1">
      <c r="A1892" s="137" t="s">
        <v>1069</v>
      </c>
      <c r="B1892" s="90">
        <v>46101.0</v>
      </c>
      <c r="C1892" s="55">
        <v>1.0</v>
      </c>
      <c r="D1892" s="97" t="s">
        <v>176</v>
      </c>
      <c r="E1892" s="201"/>
      <c r="F1892" s="236" t="s">
        <v>1036</v>
      </c>
      <c r="G1892" s="194" t="s">
        <v>35</v>
      </c>
      <c r="H1892" s="198"/>
      <c r="I1892" s="196"/>
      <c r="J1892" s="219">
        <f>IF(A1892="RAPPI",(VLOOKUP(TRIM(D1892), CATALOGO!F:G, 2, FALSE) * C1892)+I1892,IFERROR(IF(COUNTIF('RESTAURANTESDESCUENTOS 2026'!A:A,TRIM(A1892))&gt;0,((VLOOKUP(TRIM(D1892), CATALOGO!A:B, 2, FALSE) * C1892)*(1-VALUE(SUBSTITUTE(VLOOKUP(TRIM(A1892),'RESTAURANTESDESCUENTOS 2026'!A:B,2,FALSE),"%",""))/100)+I1892),(VLOOKUP(TRIM(D1892), CATALOGO!A:B, 2, FALSE) * C1892+I1892)),""))</f>
        <v>50000</v>
      </c>
      <c r="K1892" s="196"/>
      <c r="L1892" s="87">
        <v>741.0</v>
      </c>
      <c r="M1892" s="197" t="s">
        <v>587</v>
      </c>
      <c r="N1892" s="168"/>
    </row>
    <row r="1893" ht="22.5" hidden="1" customHeight="1">
      <c r="A1893" s="137" t="s">
        <v>1069</v>
      </c>
      <c r="B1893" s="90">
        <v>46101.0</v>
      </c>
      <c r="C1893" s="55">
        <v>1.0</v>
      </c>
      <c r="D1893" s="97" t="s">
        <v>174</v>
      </c>
      <c r="E1893" s="201"/>
      <c r="F1893" s="236" t="s">
        <v>1035</v>
      </c>
      <c r="G1893" s="194" t="s">
        <v>35</v>
      </c>
      <c r="H1893" s="198"/>
      <c r="I1893" s="196"/>
      <c r="J1893" s="219">
        <f>IF(A1893="RAPPI",(VLOOKUP(TRIM(D1893), CATALOGO!F:G, 2, FALSE) * C1893)+I1893,IFERROR(IF(COUNTIF('RESTAURANTESDESCUENTOS 2026'!A:A,TRIM(A1893))&gt;0,((VLOOKUP(TRIM(D1893), CATALOGO!A:B, 2, FALSE) * C1893)*(1-VALUE(SUBSTITUTE(VLOOKUP(TRIM(A1893),'RESTAURANTESDESCUENTOS 2026'!A:B,2,FALSE),"%",""))/100)+I1893),(VLOOKUP(TRIM(D1893), CATALOGO!A:B, 2, FALSE) * C1893+I1893)),""))</f>
        <v>18000</v>
      </c>
      <c r="K1893" s="196"/>
      <c r="L1893" s="87">
        <v>741.0</v>
      </c>
      <c r="M1893" s="197" t="s">
        <v>587</v>
      </c>
      <c r="N1893" s="168"/>
    </row>
    <row r="1894" ht="22.5" hidden="1" customHeight="1">
      <c r="A1894" s="137" t="s">
        <v>1069</v>
      </c>
      <c r="B1894" s="90">
        <v>46101.0</v>
      </c>
      <c r="C1894" s="55">
        <v>1.0</v>
      </c>
      <c r="D1894" s="97" t="s">
        <v>678</v>
      </c>
      <c r="E1894" s="201"/>
      <c r="F1894" s="236" t="s">
        <v>1035</v>
      </c>
      <c r="G1894" s="194" t="s">
        <v>35</v>
      </c>
      <c r="H1894" s="198"/>
      <c r="I1894" s="196"/>
      <c r="J1894" s="219">
        <f>IF(A1894="RAPPI",(VLOOKUP(TRIM(D1894), CATALOGO!F:G, 2, FALSE) * C1894)+I1894,IFERROR(IF(COUNTIF('RESTAURANTESDESCUENTOS 2026'!A:A,TRIM(A1894))&gt;0,((VLOOKUP(TRIM(D1894), CATALOGO!A:B, 2, FALSE) * C1894)*(1-VALUE(SUBSTITUTE(VLOOKUP(TRIM(A1894),'RESTAURANTESDESCUENTOS 2026'!A:B,2,FALSE),"%",""))/100)+I1894),(VLOOKUP(TRIM(D1894), CATALOGO!A:B, 2, FALSE) * C1894+I1894)),""))</f>
        <v>123000</v>
      </c>
      <c r="K1894" s="196"/>
      <c r="L1894" s="87">
        <v>741.0</v>
      </c>
      <c r="M1894" s="197" t="s">
        <v>587</v>
      </c>
      <c r="N1894" s="168"/>
    </row>
    <row r="1895" ht="22.5" hidden="1" customHeight="1">
      <c r="A1895" s="137" t="s">
        <v>1069</v>
      </c>
      <c r="B1895" s="90">
        <v>46101.0</v>
      </c>
      <c r="C1895" s="55">
        <v>1.0</v>
      </c>
      <c r="D1895" s="97" t="s">
        <v>182</v>
      </c>
      <c r="E1895" s="201"/>
      <c r="F1895" s="236" t="s">
        <v>1035</v>
      </c>
      <c r="G1895" s="194" t="s">
        <v>35</v>
      </c>
      <c r="H1895" s="198"/>
      <c r="I1895" s="196"/>
      <c r="J1895" s="219">
        <f>IF(A1895="RAPPI",(VLOOKUP(TRIM(D1895), CATALOGO!F:G, 2, FALSE) * C1895)+I1895,IFERROR(IF(COUNTIF('RESTAURANTESDESCUENTOS 2026'!A:A,TRIM(A1895))&gt;0,((VLOOKUP(TRIM(D1895), CATALOGO!A:B, 2, FALSE) * C1895)*(1-VALUE(SUBSTITUTE(VLOOKUP(TRIM(A1895),'RESTAURANTESDESCUENTOS 2026'!A:B,2,FALSE),"%",""))/100)+I1895),(VLOOKUP(TRIM(D1895), CATALOGO!A:B, 2, FALSE) * C1895+I1895)),""))</f>
        <v>37000</v>
      </c>
      <c r="K1895" s="196"/>
      <c r="L1895" s="87">
        <v>741.0</v>
      </c>
      <c r="M1895" s="197" t="s">
        <v>587</v>
      </c>
      <c r="N1895" s="168"/>
    </row>
    <row r="1896" ht="22.5" hidden="1" customHeight="1">
      <c r="A1896" s="137" t="s">
        <v>689</v>
      </c>
      <c r="B1896" s="90">
        <v>46102.0</v>
      </c>
      <c r="C1896" s="55">
        <v>1.0</v>
      </c>
      <c r="D1896" s="97" t="s">
        <v>678</v>
      </c>
      <c r="E1896" s="201" t="s">
        <v>1209</v>
      </c>
      <c r="F1896" s="236" t="s">
        <v>1035</v>
      </c>
      <c r="G1896" s="194" t="s">
        <v>587</v>
      </c>
      <c r="H1896" s="195" t="s">
        <v>632</v>
      </c>
      <c r="I1896" s="196">
        <v>13000.0</v>
      </c>
      <c r="J1896" s="179">
        <f>IF(A1896="RAPPI",(VLOOKUP(TRIM(D1896), CATALOGO!F:G, 2, FALSE) * C1896)+I1896,IFERROR(IF(COUNTIF('RESTAURANTESDESCUENTOS 2026'!A:A,TRIM(A1896))&gt;0,((VLOOKUP(TRIM(D1896), CATALOGO!A:B, 2, FALSE) * C1896)*(1-VALUE(SUBSTITUTE(VLOOKUP(TRIM(A1896),'RESTAURANTESDESCUENTOS 2026'!A:B,2,FALSE),"%",""))/100)+I1896),(VLOOKUP(TRIM(D1896), CATALOGO!A:B, 2, FALSE) * C1896+I1896)),""))</f>
        <v>136000</v>
      </c>
      <c r="K1896" s="196">
        <v>14000.0</v>
      </c>
      <c r="L1896" s="87">
        <v>748.0</v>
      </c>
      <c r="M1896" s="197" t="s">
        <v>587</v>
      </c>
      <c r="N1896" s="168"/>
    </row>
    <row r="1897" ht="22.5" hidden="1" customHeight="1">
      <c r="A1897" s="137" t="s">
        <v>1210</v>
      </c>
      <c r="B1897" s="90">
        <v>46102.0</v>
      </c>
      <c r="C1897" s="55">
        <v>1.0</v>
      </c>
      <c r="D1897" s="97" t="s">
        <v>182</v>
      </c>
      <c r="E1897" s="201" t="s">
        <v>1211</v>
      </c>
      <c r="F1897" s="236" t="s">
        <v>1035</v>
      </c>
      <c r="G1897" s="194" t="s">
        <v>587</v>
      </c>
      <c r="H1897" s="195" t="s">
        <v>632</v>
      </c>
      <c r="I1897" s="196">
        <v>10000.0</v>
      </c>
      <c r="J1897" s="179">
        <f>IF(A1897="RAPPI",(VLOOKUP(TRIM(D1897), CATALOGO!F:G, 2, FALSE) * C1897)+I1897,IFERROR(IF(COUNTIF('RESTAURANTESDESCUENTOS 2026'!A:A,TRIM(A1897))&gt;0,((VLOOKUP(TRIM(D1897), CATALOGO!A:B, 2, FALSE) * C1897)*(1-VALUE(SUBSTITUTE(VLOOKUP(TRIM(A1897),'RESTAURANTESDESCUENTOS 2026'!A:B,2,FALSE),"%",""))/100)+I1897),(VLOOKUP(TRIM(D1897), CATALOGO!A:B, 2, FALSE) * C1897+I1897)),""))</f>
        <v>47000</v>
      </c>
      <c r="K1897" s="196">
        <v>10000.0</v>
      </c>
      <c r="L1897" s="87">
        <v>749.0</v>
      </c>
      <c r="M1897" s="197" t="s">
        <v>587</v>
      </c>
      <c r="N1897" s="168"/>
    </row>
    <row r="1898" ht="22.5" hidden="1" customHeight="1">
      <c r="A1898" s="137" t="s">
        <v>1210</v>
      </c>
      <c r="B1898" s="90">
        <v>46102.0</v>
      </c>
      <c r="C1898" s="55">
        <v>1.0</v>
      </c>
      <c r="D1898" s="97" t="s">
        <v>182</v>
      </c>
      <c r="E1898" s="201" t="s">
        <v>1212</v>
      </c>
      <c r="F1898" s="236" t="s">
        <v>1035</v>
      </c>
      <c r="G1898" s="194" t="s">
        <v>587</v>
      </c>
      <c r="H1898" s="195" t="s">
        <v>632</v>
      </c>
      <c r="I1898" s="196">
        <v>0.0</v>
      </c>
      <c r="J1898" s="179">
        <f>IF(A1898="RAPPI",(VLOOKUP(TRIM(D1898), CATALOGO!F:G, 2, FALSE) * C1898)+I1898,IFERROR(IF(COUNTIF('RESTAURANTESDESCUENTOS 2026'!A:A,TRIM(A1898))&gt;0,((VLOOKUP(TRIM(D1898), CATALOGO!A:B, 2, FALSE) * C1898)*(1-VALUE(SUBSTITUTE(VLOOKUP(TRIM(A1898),'RESTAURANTESDESCUENTOS 2026'!A:B,2,FALSE),"%",""))/100)+I1898),(VLOOKUP(TRIM(D1898), CATALOGO!A:B, 2, FALSE) * C1898+I1898)),""))</f>
        <v>37000</v>
      </c>
      <c r="K1898" s="196">
        <v>0.0</v>
      </c>
      <c r="L1898" s="87">
        <v>749.0</v>
      </c>
      <c r="M1898" s="197" t="s">
        <v>587</v>
      </c>
      <c r="N1898" s="168"/>
    </row>
    <row r="1899" ht="22.5" hidden="1" customHeight="1">
      <c r="A1899" s="137" t="s">
        <v>1213</v>
      </c>
      <c r="B1899" s="90">
        <v>46102.0</v>
      </c>
      <c r="C1899" s="55">
        <v>1.0</v>
      </c>
      <c r="D1899" s="97" t="s">
        <v>177</v>
      </c>
      <c r="E1899" s="201"/>
      <c r="F1899" s="236" t="s">
        <v>1035</v>
      </c>
      <c r="G1899" s="194" t="s">
        <v>35</v>
      </c>
      <c r="H1899" s="198"/>
      <c r="I1899" s="196">
        <v>0.0</v>
      </c>
      <c r="J1899" s="179">
        <f>IF(A1899="RAPPI",(VLOOKUP(TRIM(D1899), CATALOGO!F:G, 2, FALSE) * C1899)+I1899,IFERROR(IF(COUNTIF('RESTAURANTESDESCUENTOS 2026'!A:A,TRIM(A1899))&gt;0,((VLOOKUP(TRIM(D1899), CATALOGO!A:B, 2, FALSE) * C1899)*(1-VALUE(SUBSTITUTE(VLOOKUP(TRIM(A1899),'RESTAURANTESDESCUENTOS 2026'!A:B,2,FALSE),"%",""))/100)+I1899),(VLOOKUP(TRIM(D1899), CATALOGO!A:B, 2, FALSE) * C1899+I1899)),""))</f>
        <v>115000</v>
      </c>
      <c r="K1899" s="196"/>
      <c r="L1899" s="87">
        <v>750.0</v>
      </c>
      <c r="M1899" s="197" t="s">
        <v>587</v>
      </c>
      <c r="N1899" s="168"/>
    </row>
    <row r="1900" ht="22.5" hidden="1" customHeight="1">
      <c r="A1900" s="137" t="s">
        <v>55</v>
      </c>
      <c r="B1900" s="90">
        <v>46102.0</v>
      </c>
      <c r="C1900" s="55">
        <v>2.0</v>
      </c>
      <c r="D1900" s="97" t="s">
        <v>178</v>
      </c>
      <c r="E1900" s="201"/>
      <c r="F1900" s="202"/>
      <c r="G1900" s="194" t="s">
        <v>587</v>
      </c>
      <c r="H1900" s="195" t="s">
        <v>632</v>
      </c>
      <c r="I1900" s="196">
        <v>10000.0</v>
      </c>
      <c r="J1900" s="179">
        <f>IF(A1900="RAPPI",(VLOOKUP(TRIM(D1900), CATALOGO!F:G, 2, FALSE) * C1900)+I1900,IFERROR(IF(COUNTIF('RESTAURANTESDESCUENTOS 2026'!A:A,TRIM(A1900))&gt;0,((VLOOKUP(TRIM(D1900), CATALOGO!A:B, 2, FALSE) * C1900)*(1-VALUE(SUBSTITUTE(VLOOKUP(TRIM(A1900),'RESTAURANTESDESCUENTOS 2026'!A:B,2,FALSE),"%",""))/100)+I1900),(VLOOKUP(TRIM(D1900), CATALOGO!A:B, 2, FALSE) * C1900+I1900)),""))</f>
        <v>235000</v>
      </c>
      <c r="K1900" s="196">
        <v>10000.0</v>
      </c>
      <c r="L1900" s="87">
        <v>743.0</v>
      </c>
      <c r="M1900" s="197" t="s">
        <v>587</v>
      </c>
      <c r="N1900" s="168"/>
    </row>
    <row r="1901" ht="22.5" hidden="1" customHeight="1">
      <c r="A1901" s="137" t="s">
        <v>1214</v>
      </c>
      <c r="B1901" s="90">
        <v>46102.0</v>
      </c>
      <c r="C1901" s="55">
        <v>1.0</v>
      </c>
      <c r="D1901" s="97" t="s">
        <v>181</v>
      </c>
      <c r="E1901" s="201"/>
      <c r="F1901" s="236" t="s">
        <v>1035</v>
      </c>
      <c r="G1901" s="194" t="s">
        <v>587</v>
      </c>
      <c r="H1901" s="195" t="s">
        <v>632</v>
      </c>
      <c r="I1901" s="196">
        <v>14000.0</v>
      </c>
      <c r="J1901" s="179">
        <f>IF(A1901="RAPPI",(VLOOKUP(TRIM(D1901), CATALOGO!F:G, 2, FALSE) * C1901)+I1901,IFERROR(IF(COUNTIF('RESTAURANTESDESCUENTOS 2026'!A:A,TRIM(A1901))&gt;0,((VLOOKUP(TRIM(D1901), CATALOGO!A:B, 2, FALSE) * C1901)*(1-VALUE(SUBSTITUTE(VLOOKUP(TRIM(A1901),'RESTAURANTESDESCUENTOS 2026'!A:B,2,FALSE),"%",""))/100)+I1901),(VLOOKUP(TRIM(D1901), CATALOGO!A:B, 2, FALSE) * C1901+I1901)),""))</f>
        <v>188000</v>
      </c>
      <c r="K1901" s="196">
        <v>13000.0</v>
      </c>
      <c r="L1901" s="87">
        <v>751.0</v>
      </c>
      <c r="M1901" s="197" t="s">
        <v>587</v>
      </c>
      <c r="N1901" s="168"/>
    </row>
    <row r="1902" ht="22.5" hidden="1" customHeight="1">
      <c r="A1902" s="137" t="s">
        <v>151</v>
      </c>
      <c r="B1902" s="90">
        <v>46102.0</v>
      </c>
      <c r="C1902" s="55">
        <v>1.0</v>
      </c>
      <c r="D1902" s="97" t="s">
        <v>200</v>
      </c>
      <c r="E1902" s="201"/>
      <c r="F1902" s="202"/>
      <c r="G1902" s="194" t="s">
        <v>35</v>
      </c>
      <c r="H1902" s="198"/>
      <c r="I1902" s="196"/>
      <c r="J1902" s="179">
        <f>IF(A1902="RAPPI",(VLOOKUP(TRIM(D1902), CATALOGO!F:G, 2, FALSE) * C1902)+I1902,IFERROR(IF(COUNTIF('RESTAURANTESDESCUENTOS 2026'!A:A,TRIM(A1902))&gt;0,((VLOOKUP(TRIM(D1902), CATALOGO!A:B, 2, FALSE) * C1902)*(1-VALUE(SUBSTITUTE(VLOOKUP(TRIM(A1902),'RESTAURANTESDESCUENTOS 2026'!A:B,2,FALSE),"%",""))/100)+I1902),(VLOOKUP(TRIM(D1902), CATALOGO!A:B, 2, FALSE) * C1902+I1902)),""))</f>
        <v>89250</v>
      </c>
      <c r="K1902" s="196"/>
      <c r="L1902" s="87">
        <v>752.0</v>
      </c>
      <c r="M1902" s="197" t="s">
        <v>587</v>
      </c>
      <c r="N1902" s="168"/>
    </row>
    <row r="1903" ht="22.5" hidden="1" customHeight="1">
      <c r="A1903" s="137" t="s">
        <v>151</v>
      </c>
      <c r="B1903" s="90">
        <v>46102.0</v>
      </c>
      <c r="C1903" s="55">
        <v>1.0</v>
      </c>
      <c r="D1903" s="97" t="s">
        <v>189</v>
      </c>
      <c r="E1903" s="201"/>
      <c r="F1903" s="202"/>
      <c r="G1903" s="194" t="s">
        <v>35</v>
      </c>
      <c r="H1903" s="198"/>
      <c r="I1903" s="196"/>
      <c r="J1903" s="179">
        <f>IF(A1903="RAPPI",(VLOOKUP(TRIM(D1903), CATALOGO!F:G, 2, FALSE) * C1903)+I1903,IFERROR(IF(COUNTIF('RESTAURANTESDESCUENTOS 2026'!A:A,TRIM(A1903))&gt;0,((VLOOKUP(TRIM(D1903), CATALOGO!A:B, 2, FALSE) * C1903)*(1-VALUE(SUBSTITUTE(VLOOKUP(TRIM(A1903),'RESTAURANTESDESCUENTOS 2026'!A:B,2,FALSE),"%",""))/100)+I1903),(VLOOKUP(TRIM(D1903), CATALOGO!A:B, 2, FALSE) * C1903+I1903)),""))</f>
        <v>108750</v>
      </c>
      <c r="K1903" s="196"/>
      <c r="L1903" s="87">
        <v>752.0</v>
      </c>
      <c r="M1903" s="197" t="s">
        <v>587</v>
      </c>
      <c r="N1903" s="168"/>
    </row>
    <row r="1904" ht="22.5" hidden="1" customHeight="1">
      <c r="A1904" s="137" t="s">
        <v>603</v>
      </c>
      <c r="B1904" s="90">
        <v>46102.0</v>
      </c>
      <c r="C1904" s="55">
        <v>1.0</v>
      </c>
      <c r="D1904" s="97" t="s">
        <v>618</v>
      </c>
      <c r="E1904" s="201"/>
      <c r="F1904" s="236" t="s">
        <v>603</v>
      </c>
      <c r="G1904" s="194" t="s">
        <v>587</v>
      </c>
      <c r="H1904" s="195" t="s">
        <v>603</v>
      </c>
      <c r="I1904" s="196"/>
      <c r="J1904" s="179">
        <f>IF(A1904="RAPPI",(VLOOKUP(TRIM(D1904), CATALOGO!F:G, 2, FALSE) * C1904)+I1904,IFERROR(IF(COUNTIF('RESTAURANTESDESCUENTOS 2026'!A:A,TRIM(A1904))&gt;0,((VLOOKUP(TRIM(D1904), CATALOGO!A:B, 2, FALSE) * C1904)*(1-VALUE(SUBSTITUTE(VLOOKUP(TRIM(A1904),'RESTAURANTESDESCUENTOS 2026'!A:B,2,FALSE),"%",""))/100)+I1904),(VLOOKUP(TRIM(D1904), CATALOGO!A:B, 2, FALSE) * C1904+I1904)),""))</f>
        <v>53000</v>
      </c>
      <c r="K1904" s="196"/>
      <c r="L1904" s="87">
        <v>744.0</v>
      </c>
      <c r="M1904" s="197" t="s">
        <v>587</v>
      </c>
      <c r="N1904" s="168"/>
    </row>
    <row r="1905" ht="22.5" hidden="1" customHeight="1">
      <c r="A1905" s="137" t="s">
        <v>603</v>
      </c>
      <c r="B1905" s="90">
        <v>46102.0</v>
      </c>
      <c r="C1905" s="55">
        <v>1.0</v>
      </c>
      <c r="D1905" s="97" t="s">
        <v>601</v>
      </c>
      <c r="E1905" s="201"/>
      <c r="F1905" s="236" t="s">
        <v>603</v>
      </c>
      <c r="G1905" s="194" t="s">
        <v>587</v>
      </c>
      <c r="H1905" s="195" t="s">
        <v>603</v>
      </c>
      <c r="I1905" s="196"/>
      <c r="J1905" s="179">
        <f>IF(A1905="RAPPI",(VLOOKUP(TRIM(D1905), CATALOGO!F:G, 2, FALSE) * C1905)+I1905,IFERROR(IF(COUNTIF('RESTAURANTESDESCUENTOS 2026'!A:A,TRIM(A1905))&gt;0,((VLOOKUP(TRIM(D1905), CATALOGO!A:B, 2, FALSE) * C1905)*(1-VALUE(SUBSTITUTE(VLOOKUP(TRIM(A1905),'RESTAURANTESDESCUENTOS 2026'!A:B,2,FALSE),"%",""))/100)+I1905),(VLOOKUP(TRIM(D1905), CATALOGO!A:B, 2, FALSE) * C1905+I1905)),""))</f>
        <v>53000</v>
      </c>
      <c r="K1905" s="196"/>
      <c r="L1905" s="87">
        <v>744.0</v>
      </c>
      <c r="M1905" s="197" t="s">
        <v>587</v>
      </c>
      <c r="N1905" s="168"/>
    </row>
    <row r="1906" ht="22.5" hidden="1" customHeight="1">
      <c r="A1906" s="137" t="s">
        <v>603</v>
      </c>
      <c r="B1906" s="90">
        <v>46102.0</v>
      </c>
      <c r="C1906" s="55">
        <v>1.0</v>
      </c>
      <c r="D1906" s="97" t="s">
        <v>757</v>
      </c>
      <c r="E1906" s="201"/>
      <c r="F1906" s="236" t="s">
        <v>603</v>
      </c>
      <c r="G1906" s="194" t="s">
        <v>587</v>
      </c>
      <c r="H1906" s="195" t="s">
        <v>603</v>
      </c>
      <c r="I1906" s="196"/>
      <c r="J1906" s="179">
        <f>IF(A1906="RAPPI",(VLOOKUP(TRIM(D1906), CATALOGO!F:G, 2, FALSE) * C1906)+I1906,IFERROR(IF(COUNTIF('RESTAURANTESDESCUENTOS 2026'!A:A,TRIM(A1906))&gt;0,((VLOOKUP(TRIM(D1906), CATALOGO!A:B, 2, FALSE) * C1906)*(1-VALUE(SUBSTITUTE(VLOOKUP(TRIM(A1906),'RESTAURANTESDESCUENTOS 2026'!A:B,2,FALSE),"%",""))/100)+I1906),(VLOOKUP(TRIM(D1906), CATALOGO!A:B, 2, FALSE) * C1906+I1906)),""))</f>
        <v>22000</v>
      </c>
      <c r="K1906" s="196"/>
      <c r="L1906" s="87">
        <v>744.0</v>
      </c>
      <c r="M1906" s="197" t="s">
        <v>587</v>
      </c>
      <c r="N1906" s="168"/>
    </row>
    <row r="1907" ht="22.5" hidden="1" customHeight="1">
      <c r="A1907" s="137" t="s">
        <v>603</v>
      </c>
      <c r="B1907" s="90">
        <v>46102.0</v>
      </c>
      <c r="C1907" s="55">
        <v>1.0</v>
      </c>
      <c r="D1907" s="97" t="s">
        <v>186</v>
      </c>
      <c r="E1907" s="201"/>
      <c r="F1907" s="236" t="s">
        <v>603</v>
      </c>
      <c r="G1907" s="194" t="s">
        <v>587</v>
      </c>
      <c r="H1907" s="195" t="s">
        <v>603</v>
      </c>
      <c r="I1907" s="196"/>
      <c r="J1907" s="179">
        <f>IF(A1907="RAPPI",(VLOOKUP(TRIM(D1907), CATALOGO!F:G, 2, FALSE) * C1907)+I1907,IFERROR(IF(COUNTIF('RESTAURANTESDESCUENTOS 2026'!A:A,TRIM(A1907))&gt;0,((VLOOKUP(TRIM(D1907), CATALOGO!A:B, 2, FALSE) * C1907)*(1-VALUE(SUBSTITUTE(VLOOKUP(TRIM(A1907),'RESTAURANTESDESCUENTOS 2026'!A:B,2,FALSE),"%",""))/100)+I1907),(VLOOKUP(TRIM(D1907), CATALOGO!A:B, 2, FALSE) * C1907+I1907)),""))</f>
        <v>55000</v>
      </c>
      <c r="K1907" s="196"/>
      <c r="L1907" s="87">
        <v>744.0</v>
      </c>
      <c r="M1907" s="197" t="s">
        <v>587</v>
      </c>
      <c r="N1907" s="168"/>
    </row>
    <row r="1908" ht="22.5" hidden="1" customHeight="1">
      <c r="A1908" s="137" t="s">
        <v>603</v>
      </c>
      <c r="B1908" s="90">
        <v>46102.0</v>
      </c>
      <c r="C1908" s="55">
        <v>1.0</v>
      </c>
      <c r="D1908" s="97" t="s">
        <v>696</v>
      </c>
      <c r="E1908" s="201"/>
      <c r="F1908" s="236" t="s">
        <v>603</v>
      </c>
      <c r="G1908" s="194" t="s">
        <v>587</v>
      </c>
      <c r="H1908" s="195" t="s">
        <v>603</v>
      </c>
      <c r="I1908" s="196"/>
      <c r="J1908" s="179">
        <f>IF(A1908="RAPPI",(VLOOKUP(TRIM(D1908), CATALOGO!F:G, 2, FALSE) * C1908)+I1908,IFERROR(IF(COUNTIF('RESTAURANTESDESCUENTOS 2026'!A:A,TRIM(A1908))&gt;0,((VLOOKUP(TRIM(D1908), CATALOGO!A:B, 2, FALSE) * C1908)*(1-VALUE(SUBSTITUTE(VLOOKUP(TRIM(A1908),'RESTAURANTESDESCUENTOS 2026'!A:B,2,FALSE),"%",""))/100)+I1908),(VLOOKUP(TRIM(D1908), CATALOGO!A:B, 2, FALSE) * C1908+I1908)),""))</f>
        <v>4000</v>
      </c>
      <c r="K1908" s="196"/>
      <c r="L1908" s="87">
        <v>744.0</v>
      </c>
      <c r="M1908" s="197" t="s">
        <v>587</v>
      </c>
      <c r="N1908" s="168"/>
    </row>
    <row r="1909" ht="22.5" hidden="1" customHeight="1">
      <c r="A1909" s="137" t="s">
        <v>603</v>
      </c>
      <c r="B1909" s="90">
        <v>46102.0</v>
      </c>
      <c r="C1909" s="55">
        <v>1.0</v>
      </c>
      <c r="D1909" s="97" t="s">
        <v>182</v>
      </c>
      <c r="E1909" s="201"/>
      <c r="F1909" s="236" t="s">
        <v>603</v>
      </c>
      <c r="G1909" s="194" t="s">
        <v>587</v>
      </c>
      <c r="H1909" s="195" t="s">
        <v>603</v>
      </c>
      <c r="I1909" s="196"/>
      <c r="J1909" s="179">
        <f>IF(A1909="RAPPI",(VLOOKUP(TRIM(D1909), CATALOGO!F:G, 2, FALSE) * C1909)+I1909,IFERROR(IF(COUNTIF('RESTAURANTESDESCUENTOS 2026'!A:A,TRIM(A1909))&gt;0,((VLOOKUP(TRIM(D1909), CATALOGO!A:B, 2, FALSE) * C1909)*(1-VALUE(SUBSTITUTE(VLOOKUP(TRIM(A1909),'RESTAURANTESDESCUENTOS 2026'!A:B,2,FALSE),"%",""))/100)+I1909),(VLOOKUP(TRIM(D1909), CATALOGO!A:B, 2, FALSE) * C1909+I1909)),""))</f>
        <v>37000</v>
      </c>
      <c r="K1909" s="196"/>
      <c r="L1909" s="87">
        <v>744.0</v>
      </c>
      <c r="M1909" s="197" t="s">
        <v>587</v>
      </c>
      <c r="N1909" s="168"/>
    </row>
    <row r="1910" ht="22.5" hidden="1" customHeight="1">
      <c r="A1910" s="137" t="s">
        <v>603</v>
      </c>
      <c r="B1910" s="90">
        <v>46102.0</v>
      </c>
      <c r="C1910" s="55">
        <v>1.0</v>
      </c>
      <c r="D1910" s="97" t="s">
        <v>757</v>
      </c>
      <c r="E1910" s="201"/>
      <c r="F1910" s="236" t="s">
        <v>603</v>
      </c>
      <c r="G1910" s="194" t="s">
        <v>587</v>
      </c>
      <c r="H1910" s="195" t="s">
        <v>603</v>
      </c>
      <c r="I1910" s="196"/>
      <c r="J1910" s="179">
        <f>IF(A1910="RAPPI",(VLOOKUP(TRIM(D1910), CATALOGO!F:G, 2, FALSE) * C1910)+I1910,IFERROR(IF(COUNTIF('RESTAURANTESDESCUENTOS 2026'!A:A,TRIM(A1910))&gt;0,((VLOOKUP(TRIM(D1910), CATALOGO!A:B, 2, FALSE) * C1910)*(1-VALUE(SUBSTITUTE(VLOOKUP(TRIM(A1910),'RESTAURANTESDESCUENTOS 2026'!A:B,2,FALSE),"%",""))/100)+I1910),(VLOOKUP(TRIM(D1910), CATALOGO!A:B, 2, FALSE) * C1910+I1910)),""))</f>
        <v>22000</v>
      </c>
      <c r="K1910" s="196"/>
      <c r="L1910" s="87">
        <v>744.0</v>
      </c>
      <c r="M1910" s="197" t="s">
        <v>587</v>
      </c>
      <c r="N1910" s="168"/>
    </row>
    <row r="1911" ht="22.5" hidden="1" customHeight="1">
      <c r="A1911" s="137" t="s">
        <v>603</v>
      </c>
      <c r="B1911" s="90">
        <v>46102.0</v>
      </c>
      <c r="C1911" s="55">
        <v>1.0</v>
      </c>
      <c r="D1911" s="97" t="s">
        <v>628</v>
      </c>
      <c r="E1911" s="201"/>
      <c r="F1911" s="236" t="s">
        <v>603</v>
      </c>
      <c r="G1911" s="194" t="s">
        <v>587</v>
      </c>
      <c r="H1911" s="195" t="s">
        <v>603</v>
      </c>
      <c r="I1911" s="196"/>
      <c r="J1911" s="179">
        <f>IF(A1911="RAPPI",(VLOOKUP(TRIM(D1911), CATALOGO!F:G, 2, FALSE) * C1911)+I1911,IFERROR(IF(COUNTIF('RESTAURANTESDESCUENTOS 2026'!A:A,TRIM(A1911))&gt;0,((VLOOKUP(TRIM(D1911), CATALOGO!A:B, 2, FALSE) * C1911)*(1-VALUE(SUBSTITUTE(VLOOKUP(TRIM(A1911),'RESTAURANTESDESCUENTOS 2026'!A:B,2,FALSE),"%",""))/100)+I1911),(VLOOKUP(TRIM(D1911), CATALOGO!A:B, 2, FALSE) * C1911+I1911)),""))</f>
        <v>22000</v>
      </c>
      <c r="K1911" s="196"/>
      <c r="L1911" s="87">
        <v>744.0</v>
      </c>
      <c r="M1911" s="197" t="s">
        <v>587</v>
      </c>
      <c r="N1911" s="168"/>
    </row>
    <row r="1912" ht="22.5" hidden="1" customHeight="1">
      <c r="A1912" s="137" t="s">
        <v>1069</v>
      </c>
      <c r="B1912" s="90">
        <v>46102.0</v>
      </c>
      <c r="C1912" s="55">
        <v>1.0</v>
      </c>
      <c r="D1912" s="97" t="s">
        <v>653</v>
      </c>
      <c r="E1912" s="201"/>
      <c r="F1912" s="236" t="s">
        <v>1036</v>
      </c>
      <c r="G1912" s="194" t="s">
        <v>35</v>
      </c>
      <c r="H1912" s="198"/>
      <c r="I1912" s="196"/>
      <c r="J1912" s="179">
        <f>IF(A1912="RAPPI",(VLOOKUP(TRIM(D1912), CATALOGO!F:G, 2, FALSE) * C1912)+I1912,IFERROR(IF(COUNTIF('RESTAURANTESDESCUENTOS 2026'!A:A,TRIM(A1912))&gt;0,((VLOOKUP(TRIM(D1912), CATALOGO!A:B, 2, FALSE) * C1912)*(1-VALUE(SUBSTITUTE(VLOOKUP(TRIM(A1912),'RESTAURANTESDESCUENTOS 2026'!A:B,2,FALSE),"%",""))/100)+I1912),(VLOOKUP(TRIM(D1912), CATALOGO!A:B, 2, FALSE) * C1912+I1912)),""))</f>
        <v>123000</v>
      </c>
      <c r="K1912" s="196"/>
      <c r="L1912" s="87">
        <v>745.0</v>
      </c>
      <c r="M1912" s="197" t="s">
        <v>587</v>
      </c>
      <c r="N1912" s="168"/>
    </row>
    <row r="1913" ht="22.5" hidden="1" customHeight="1">
      <c r="A1913" s="137" t="s">
        <v>1069</v>
      </c>
      <c r="B1913" s="90">
        <v>46102.0</v>
      </c>
      <c r="C1913" s="55">
        <v>1.0</v>
      </c>
      <c r="D1913" s="97" t="s">
        <v>182</v>
      </c>
      <c r="E1913" s="201"/>
      <c r="F1913" s="236" t="s">
        <v>1035</v>
      </c>
      <c r="G1913" s="194" t="s">
        <v>35</v>
      </c>
      <c r="H1913" s="198"/>
      <c r="I1913" s="196"/>
      <c r="J1913" s="179">
        <f>IF(A1913="RAPPI",(VLOOKUP(TRIM(D1913), CATALOGO!F:G, 2, FALSE) * C1913)+I1913,IFERROR(IF(COUNTIF('RESTAURANTESDESCUENTOS 2026'!A:A,TRIM(A1913))&gt;0,((VLOOKUP(TRIM(D1913), CATALOGO!A:B, 2, FALSE) * C1913)*(1-VALUE(SUBSTITUTE(VLOOKUP(TRIM(A1913),'RESTAURANTESDESCUENTOS 2026'!A:B,2,FALSE),"%",""))/100)+I1913),(VLOOKUP(TRIM(D1913), CATALOGO!A:B, 2, FALSE) * C1913+I1913)),""))</f>
        <v>37000</v>
      </c>
      <c r="K1913" s="196"/>
      <c r="L1913" s="87">
        <v>745.0</v>
      </c>
      <c r="M1913" s="197" t="s">
        <v>587</v>
      </c>
      <c r="N1913" s="168"/>
    </row>
    <row r="1914" ht="22.5" hidden="1" customHeight="1">
      <c r="A1914" s="137" t="s">
        <v>1069</v>
      </c>
      <c r="B1914" s="90">
        <v>46102.0</v>
      </c>
      <c r="C1914" s="55">
        <v>1.0</v>
      </c>
      <c r="D1914" s="97" t="s">
        <v>192</v>
      </c>
      <c r="E1914" s="201"/>
      <c r="F1914" s="236" t="s">
        <v>1035</v>
      </c>
      <c r="G1914" s="194" t="s">
        <v>35</v>
      </c>
      <c r="H1914" s="198"/>
      <c r="I1914" s="196"/>
      <c r="J1914" s="179">
        <f>IF(A1914="RAPPI",(VLOOKUP(TRIM(D1914), CATALOGO!F:G, 2, FALSE) * C1914)+I1914,IFERROR(IF(COUNTIF('RESTAURANTESDESCUENTOS 2026'!A:A,TRIM(A1914))&gt;0,((VLOOKUP(TRIM(D1914), CATALOGO!A:B, 2, FALSE) * C1914)*(1-VALUE(SUBSTITUTE(VLOOKUP(TRIM(A1914),'RESTAURANTESDESCUENTOS 2026'!A:B,2,FALSE),"%",""))/100)+I1914),(VLOOKUP(TRIM(D1914), CATALOGO!A:B, 2, FALSE) * C1914+I1914)),""))</f>
        <v>55000</v>
      </c>
      <c r="K1914" s="196"/>
      <c r="L1914" s="87">
        <v>745.0</v>
      </c>
      <c r="M1914" s="197" t="s">
        <v>587</v>
      </c>
      <c r="N1914" s="168"/>
    </row>
    <row r="1915" ht="22.5" hidden="1" customHeight="1">
      <c r="A1915" s="137" t="s">
        <v>1069</v>
      </c>
      <c r="B1915" s="90">
        <v>46102.0</v>
      </c>
      <c r="C1915" s="55">
        <v>1.0</v>
      </c>
      <c r="D1915" s="97" t="s">
        <v>177</v>
      </c>
      <c r="E1915" s="201"/>
      <c r="F1915" s="236" t="s">
        <v>1036</v>
      </c>
      <c r="G1915" s="194" t="s">
        <v>35</v>
      </c>
      <c r="H1915" s="198"/>
      <c r="I1915" s="196"/>
      <c r="J1915" s="179">
        <f>IF(A1915="RAPPI",(VLOOKUP(TRIM(D1915), CATALOGO!F:G, 2, FALSE) * C1915)+I1915,IFERROR(IF(COUNTIF('RESTAURANTESDESCUENTOS 2026'!A:A,TRIM(A1915))&gt;0,((VLOOKUP(TRIM(D1915), CATALOGO!A:B, 2, FALSE) * C1915)*(1-VALUE(SUBSTITUTE(VLOOKUP(TRIM(A1915),'RESTAURANTESDESCUENTOS 2026'!A:B,2,FALSE),"%",""))/100)+I1915),(VLOOKUP(TRIM(D1915), CATALOGO!A:B, 2, FALSE) * C1915+I1915)),""))</f>
        <v>115000</v>
      </c>
      <c r="K1915" s="196"/>
      <c r="L1915" s="87">
        <v>745.0</v>
      </c>
      <c r="M1915" s="197" t="s">
        <v>587</v>
      </c>
      <c r="N1915" s="168"/>
    </row>
    <row r="1916" ht="22.5" hidden="1" customHeight="1">
      <c r="A1916" s="137" t="s">
        <v>166</v>
      </c>
      <c r="B1916" s="90">
        <v>46102.0</v>
      </c>
      <c r="C1916" s="55">
        <v>1.0</v>
      </c>
      <c r="D1916" s="97" t="s">
        <v>187</v>
      </c>
      <c r="E1916" s="201"/>
      <c r="F1916" s="236" t="s">
        <v>1035</v>
      </c>
      <c r="G1916" s="194" t="s">
        <v>35</v>
      </c>
      <c r="H1916" s="198"/>
      <c r="I1916" s="196"/>
      <c r="J1916" s="179">
        <f>IF(A1916="RAPPI",(VLOOKUP(TRIM(D1916), CATALOGO!F:G, 2, FALSE) * C1916)+I1916,IFERROR(IF(COUNTIF('RESTAURANTESDESCUENTOS 2026'!A:A,TRIM(A1916))&gt;0,((VLOOKUP(TRIM(D1916), CATALOGO!A:B, 2, FALSE) * C1916)*(1-VALUE(SUBSTITUTE(VLOOKUP(TRIM(A1916),'RESTAURANTESDESCUENTOS 2026'!A:B,2,FALSE),"%",""))/100)+I1916),(VLOOKUP(TRIM(D1916), CATALOGO!A:B, 2, FALSE) * C1916+I1916)),""))</f>
        <v>38500</v>
      </c>
      <c r="K1916" s="196"/>
      <c r="L1916" s="87">
        <v>746.0</v>
      </c>
      <c r="M1916" s="197" t="s">
        <v>587</v>
      </c>
      <c r="N1916" s="168"/>
    </row>
    <row r="1917" ht="22.5" hidden="1" customHeight="1">
      <c r="A1917" s="137" t="s">
        <v>1215</v>
      </c>
      <c r="B1917" s="90">
        <v>46105.0</v>
      </c>
      <c r="C1917" s="55">
        <v>1.0</v>
      </c>
      <c r="D1917" s="97" t="s">
        <v>678</v>
      </c>
      <c r="E1917" s="201" t="s">
        <v>1216</v>
      </c>
      <c r="F1917" s="236" t="s">
        <v>1035</v>
      </c>
      <c r="G1917" s="194" t="s">
        <v>587</v>
      </c>
      <c r="H1917" s="195" t="s">
        <v>588</v>
      </c>
      <c r="I1917" s="196">
        <v>13000.0</v>
      </c>
      <c r="J1917" s="179">
        <f>IF(A1917="RAPPI",(VLOOKUP(TRIM(D1917), CATALOGO!F:G, 2, FALSE) * C1917)+I1917,IFERROR(IF(COUNTIF('RESTAURANTESDESCUENTOS 2026'!A:A,TRIM(A1917))&gt;0,((VLOOKUP(TRIM(D1917), CATALOGO!A:B, 2, FALSE) * C1917)*(1-VALUE(SUBSTITUTE(VLOOKUP(TRIM(A1917),'RESTAURANTESDESCUENTOS 2026'!A:B,2,FALSE),"%",""))/100)+I1917),(VLOOKUP(TRIM(D1917), CATALOGO!A:B, 2, FALSE) * C1917+I1917)),""))</f>
        <v>136000</v>
      </c>
      <c r="K1917" s="196">
        <v>13000.0</v>
      </c>
      <c r="L1917" s="87">
        <v>761.0</v>
      </c>
      <c r="M1917" s="197" t="s">
        <v>587</v>
      </c>
      <c r="N1917" s="168"/>
    </row>
    <row r="1918" ht="22.5" hidden="1" customHeight="1">
      <c r="A1918" s="137" t="s">
        <v>1215</v>
      </c>
      <c r="B1918" s="90">
        <v>46105.0</v>
      </c>
      <c r="C1918" s="55">
        <v>1.0</v>
      </c>
      <c r="D1918" s="97" t="s">
        <v>601</v>
      </c>
      <c r="E1918" s="201"/>
      <c r="F1918" s="236" t="s">
        <v>1035</v>
      </c>
      <c r="G1918" s="194" t="s">
        <v>587</v>
      </c>
      <c r="H1918" s="195" t="s">
        <v>588</v>
      </c>
      <c r="I1918" s="196">
        <v>0.0</v>
      </c>
      <c r="J1918" s="179">
        <f>IF(A1918="RAPPI",(VLOOKUP(TRIM(D1918), CATALOGO!F:G, 2, FALSE) * C1918)+I1918,IFERROR(IF(COUNTIF('RESTAURANTESDESCUENTOS 2026'!A:A,TRIM(A1918))&gt;0,((VLOOKUP(TRIM(D1918), CATALOGO!A:B, 2, FALSE) * C1918)*(1-VALUE(SUBSTITUTE(VLOOKUP(TRIM(A1918),'RESTAURANTESDESCUENTOS 2026'!A:B,2,FALSE),"%",""))/100)+I1918),(VLOOKUP(TRIM(D1918), CATALOGO!A:B, 2, FALSE) * C1918+I1918)),""))</f>
        <v>53000</v>
      </c>
      <c r="K1918" s="196">
        <v>0.0</v>
      </c>
      <c r="L1918" s="87">
        <v>761.0</v>
      </c>
      <c r="M1918" s="197" t="s">
        <v>587</v>
      </c>
      <c r="N1918" s="168"/>
    </row>
    <row r="1919" ht="22.5" hidden="1" customHeight="1">
      <c r="A1919" s="137" t="s">
        <v>1215</v>
      </c>
      <c r="B1919" s="90">
        <v>46105.0</v>
      </c>
      <c r="C1919" s="55">
        <v>1.0</v>
      </c>
      <c r="D1919" s="97" t="s">
        <v>182</v>
      </c>
      <c r="E1919" s="201" t="s">
        <v>1217</v>
      </c>
      <c r="F1919" s="236" t="s">
        <v>1035</v>
      </c>
      <c r="G1919" s="194" t="s">
        <v>587</v>
      </c>
      <c r="H1919" s="195" t="s">
        <v>588</v>
      </c>
      <c r="I1919" s="196">
        <v>0.0</v>
      </c>
      <c r="J1919" s="179">
        <f>IF(A1919="RAPPI",(VLOOKUP(TRIM(D1919), CATALOGO!F:G, 2, FALSE) * C1919)+I1919,IFERROR(IF(COUNTIF('RESTAURANTESDESCUENTOS 2026'!A:A,TRIM(A1919))&gt;0,((VLOOKUP(TRIM(D1919), CATALOGO!A:B, 2, FALSE) * C1919)*(1-VALUE(SUBSTITUTE(VLOOKUP(TRIM(A1919),'RESTAURANTESDESCUENTOS 2026'!A:B,2,FALSE),"%",""))/100)+I1919),(VLOOKUP(TRIM(D1919), CATALOGO!A:B, 2, FALSE) * C1919+I1919)),""))</f>
        <v>37000</v>
      </c>
      <c r="K1919" s="196">
        <v>0.0</v>
      </c>
      <c r="L1919" s="87">
        <v>761.0</v>
      </c>
      <c r="M1919" s="197" t="s">
        <v>587</v>
      </c>
      <c r="N1919" s="168"/>
    </row>
    <row r="1920" ht="22.5" hidden="1" customHeight="1">
      <c r="A1920" s="137" t="s">
        <v>99</v>
      </c>
      <c r="B1920" s="90">
        <v>46105.0</v>
      </c>
      <c r="C1920" s="55">
        <v>3.0</v>
      </c>
      <c r="D1920" s="97" t="s">
        <v>178</v>
      </c>
      <c r="E1920" s="201" t="s">
        <v>1218</v>
      </c>
      <c r="F1920" s="202"/>
      <c r="G1920" s="194" t="s">
        <v>587</v>
      </c>
      <c r="H1920" s="195" t="s">
        <v>632</v>
      </c>
      <c r="I1920" s="196">
        <v>5000.0</v>
      </c>
      <c r="J1920" s="179">
        <f>IF(A1920="RAPPI",(VLOOKUP(TRIM(D1920), CATALOGO!F:G, 2, FALSE) * C1920)+I1920,IFERROR(IF(COUNTIF('RESTAURANTESDESCUENTOS 2026'!A:A,TRIM(A1920))&gt;0,((VLOOKUP(TRIM(D1920), CATALOGO!A:B, 2, FALSE) * C1920)*(1-VALUE(SUBSTITUTE(VLOOKUP(TRIM(A1920),'RESTAURANTESDESCUENTOS 2026'!A:B,2,FALSE),"%",""))/100)+I1920),(VLOOKUP(TRIM(D1920), CATALOGO!A:B, 2, FALSE) * C1920+I1920)),""))</f>
        <v>320000</v>
      </c>
      <c r="K1920" s="196">
        <v>10000.0</v>
      </c>
      <c r="L1920" s="87">
        <v>753.0</v>
      </c>
      <c r="M1920" s="197" t="s">
        <v>587</v>
      </c>
      <c r="N1920" s="168"/>
    </row>
    <row r="1921" ht="22.5" hidden="1" customHeight="1">
      <c r="A1921" s="137" t="s">
        <v>73</v>
      </c>
      <c r="B1921" s="90">
        <v>46105.0</v>
      </c>
      <c r="C1921" s="55">
        <v>1.0</v>
      </c>
      <c r="D1921" s="97" t="s">
        <v>178</v>
      </c>
      <c r="E1921" s="201"/>
      <c r="F1921" s="202"/>
      <c r="G1921" s="194" t="s">
        <v>587</v>
      </c>
      <c r="H1921" s="195" t="s">
        <v>632</v>
      </c>
      <c r="I1921" s="196"/>
      <c r="J1921" s="179">
        <f>IF(A1921="RAPPI",(VLOOKUP(TRIM(D1921), CATALOGO!F:G, 2, FALSE) * C1921)+I1921,IFERROR(IF(COUNTIF('RESTAURANTESDESCUENTOS 2026'!A:A,TRIM(A1921))&gt;0,((VLOOKUP(TRIM(D1921), CATALOGO!A:B, 2, FALSE) * C1921)*(1-VALUE(SUBSTITUTE(VLOOKUP(TRIM(A1921),'RESTAURANTESDESCUENTOS 2026'!A:B,2,FALSE),"%",""))/100)+I1921),(VLOOKUP(TRIM(D1921), CATALOGO!A:B, 2, FALSE) * C1921+I1921)),""))</f>
        <v>112500</v>
      </c>
      <c r="K1921" s="196">
        <v>10000.0</v>
      </c>
      <c r="L1921" s="87">
        <v>754.0</v>
      </c>
      <c r="M1921" s="197" t="s">
        <v>587</v>
      </c>
      <c r="N1921" s="168"/>
    </row>
    <row r="1922" ht="22.5" hidden="1" customHeight="1">
      <c r="A1922" s="137" t="s">
        <v>131</v>
      </c>
      <c r="B1922" s="90">
        <v>46105.0</v>
      </c>
      <c r="C1922" s="55">
        <v>1.0</v>
      </c>
      <c r="D1922" s="97" t="s">
        <v>178</v>
      </c>
      <c r="E1922" s="201" t="s">
        <v>1219</v>
      </c>
      <c r="F1922" s="202"/>
      <c r="G1922" s="194" t="s">
        <v>587</v>
      </c>
      <c r="H1922" s="195" t="s">
        <v>632</v>
      </c>
      <c r="I1922" s="196">
        <v>5000.0</v>
      </c>
      <c r="J1922" s="179">
        <f>IF(A1922="RAPPI",(VLOOKUP(TRIM(D1922), CATALOGO!F:G, 2, FALSE) * C1922)+I1922,IFERROR(IF(COUNTIF('RESTAURANTESDESCUENTOS 2026'!A:A,TRIM(A1922))&gt;0,((VLOOKUP(TRIM(D1922), CATALOGO!A:B, 2, FALSE) * C1922)*(1-VALUE(SUBSTITUTE(VLOOKUP(TRIM(A1922),'RESTAURANTESDESCUENTOS 2026'!A:B,2,FALSE),"%",""))/100)+I1922),(VLOOKUP(TRIM(D1922), CATALOGO!A:B, 2, FALSE) * C1922+I1922)),""))</f>
        <v>110000</v>
      </c>
      <c r="K1922" s="196">
        <v>10000.0</v>
      </c>
      <c r="L1922" s="87">
        <v>755.0</v>
      </c>
      <c r="M1922" s="197" t="s">
        <v>587</v>
      </c>
      <c r="N1922" s="168"/>
    </row>
    <row r="1923" ht="22.5" hidden="1" customHeight="1">
      <c r="A1923" s="137" t="s">
        <v>106</v>
      </c>
      <c r="B1923" s="90">
        <v>46105.0</v>
      </c>
      <c r="C1923" s="55">
        <v>1.0</v>
      </c>
      <c r="D1923" s="97" t="s">
        <v>178</v>
      </c>
      <c r="E1923" s="201" t="s">
        <v>14</v>
      </c>
      <c r="F1923" s="202"/>
      <c r="G1923" s="194" t="s">
        <v>587</v>
      </c>
      <c r="H1923" s="195" t="s">
        <v>632</v>
      </c>
      <c r="I1923" s="196">
        <v>8000.0</v>
      </c>
      <c r="J1923" s="179">
        <f>IF(A1923="RAPPI",(VLOOKUP(TRIM(D1923), CATALOGO!F:G, 2, FALSE) * C1923)+I1923,IFERROR(IF(COUNTIF('RESTAURANTESDESCUENTOS 2026'!A:A,TRIM(A1923))&gt;0,((VLOOKUP(TRIM(D1923), CATALOGO!A:B, 2, FALSE) * C1923)*(1-VALUE(SUBSTITUTE(VLOOKUP(TRIM(A1923),'RESTAURANTESDESCUENTOS 2026'!A:B,2,FALSE),"%",""))/100)+I1923),(VLOOKUP(TRIM(D1923), CATALOGO!A:B, 2, FALSE) * C1923+I1923)),""))</f>
        <v>105125</v>
      </c>
      <c r="K1923" s="196">
        <v>10000.0</v>
      </c>
      <c r="L1923" s="87">
        <v>756.0</v>
      </c>
      <c r="M1923" s="197" t="s">
        <v>587</v>
      </c>
      <c r="N1923" s="168"/>
    </row>
    <row r="1924" ht="22.5" hidden="1" customHeight="1">
      <c r="A1924" s="137" t="s">
        <v>597</v>
      </c>
      <c r="B1924" s="90">
        <v>46105.0</v>
      </c>
      <c r="C1924" s="55">
        <v>5.0</v>
      </c>
      <c r="D1924" s="97" t="s">
        <v>178</v>
      </c>
      <c r="E1924" s="201"/>
      <c r="F1924" s="202"/>
      <c r="G1924" s="194" t="s">
        <v>35</v>
      </c>
      <c r="H1924" s="198"/>
      <c r="I1924" s="196"/>
      <c r="J1924" s="199">
        <v>0.0</v>
      </c>
      <c r="K1924" s="196">
        <v>0.0</v>
      </c>
      <c r="L1924" s="87"/>
      <c r="M1924" s="197" t="s">
        <v>587</v>
      </c>
      <c r="N1924" s="246" t="s">
        <v>587</v>
      </c>
    </row>
    <row r="1925" ht="22.5" hidden="1" customHeight="1">
      <c r="A1925" s="137" t="s">
        <v>597</v>
      </c>
      <c r="B1925" s="90">
        <v>46105.0</v>
      </c>
      <c r="C1925" s="55">
        <v>4.0</v>
      </c>
      <c r="D1925" s="97" t="s">
        <v>177</v>
      </c>
      <c r="E1925" s="201"/>
      <c r="F1925" s="202"/>
      <c r="G1925" s="194" t="s">
        <v>35</v>
      </c>
      <c r="H1925" s="198"/>
      <c r="I1925" s="196"/>
      <c r="J1925" s="199">
        <v>0.0</v>
      </c>
      <c r="K1925" s="196">
        <v>0.0</v>
      </c>
      <c r="L1925" s="87"/>
      <c r="M1925" s="197" t="s">
        <v>587</v>
      </c>
      <c r="N1925" s="246" t="s">
        <v>587</v>
      </c>
    </row>
    <row r="1926" ht="22.5" hidden="1" customHeight="1">
      <c r="A1926" s="137" t="s">
        <v>597</v>
      </c>
      <c r="B1926" s="90">
        <v>46105.0</v>
      </c>
      <c r="C1926" s="55">
        <v>6.0</v>
      </c>
      <c r="D1926" s="97" t="s">
        <v>176</v>
      </c>
      <c r="E1926" s="201"/>
      <c r="F1926" s="202"/>
      <c r="G1926" s="194" t="s">
        <v>35</v>
      </c>
      <c r="H1926" s="198"/>
      <c r="I1926" s="196"/>
      <c r="J1926" s="199">
        <v>0.0</v>
      </c>
      <c r="K1926" s="196">
        <v>0.0</v>
      </c>
      <c r="L1926" s="87"/>
      <c r="M1926" s="197" t="s">
        <v>587</v>
      </c>
      <c r="N1926" s="246" t="s">
        <v>587</v>
      </c>
    </row>
    <row r="1927" ht="22.5" hidden="1" customHeight="1">
      <c r="A1927" s="137" t="s">
        <v>55</v>
      </c>
      <c r="B1927" s="90">
        <v>46105.0</v>
      </c>
      <c r="C1927" s="55">
        <v>2.0</v>
      </c>
      <c r="D1927" s="97" t="s">
        <v>178</v>
      </c>
      <c r="E1927" s="201" t="s">
        <v>28</v>
      </c>
      <c r="F1927" s="202"/>
      <c r="G1927" s="194" t="s">
        <v>587</v>
      </c>
      <c r="H1927" s="195" t="s">
        <v>632</v>
      </c>
      <c r="I1927" s="196">
        <v>10000.0</v>
      </c>
      <c r="J1927" s="179">
        <f>IF(A1927="RAPPI",(VLOOKUP(TRIM(D1927), CATALOGO!F:G, 2, FALSE) * C1927)+I1927,IFERROR(IF(COUNTIF('RESTAURANTESDESCUENTOS 2026'!A:A,TRIM(A1927))&gt;0,((VLOOKUP(TRIM(D1927), CATALOGO!A:B, 2, FALSE) * C1927)*(1-VALUE(SUBSTITUTE(VLOOKUP(TRIM(A1927),'RESTAURANTESDESCUENTOS 2026'!A:B,2,FALSE),"%",""))/100)+I1927),(VLOOKUP(TRIM(D1927), CATALOGO!A:B, 2, FALSE) * C1927+I1927)),""))</f>
        <v>235000</v>
      </c>
      <c r="K1927" s="196">
        <v>10000.0</v>
      </c>
      <c r="L1927" s="87">
        <v>757.0</v>
      </c>
      <c r="M1927" s="197" t="s">
        <v>587</v>
      </c>
      <c r="N1927" s="168"/>
    </row>
    <row r="1928" ht="22.5" hidden="1" customHeight="1">
      <c r="A1928" s="137" t="s">
        <v>103</v>
      </c>
      <c r="B1928" s="90">
        <v>46105.0</v>
      </c>
      <c r="C1928" s="55">
        <v>1.0</v>
      </c>
      <c r="D1928" s="97" t="s">
        <v>178</v>
      </c>
      <c r="E1928" s="201" t="s">
        <v>28</v>
      </c>
      <c r="F1928" s="202"/>
      <c r="G1928" s="194" t="s">
        <v>35</v>
      </c>
      <c r="H1928" s="198"/>
      <c r="I1928" s="196">
        <v>0.0</v>
      </c>
      <c r="J1928" s="179">
        <f>IF(A1928="RAPPI",(VLOOKUP(TRIM(D1928), CATALOGO!F:G, 2, FALSE) * C1928)+I1928,IFERROR(IF(COUNTIF('RESTAURANTESDESCUENTOS 2026'!A:A,TRIM(A1928))&gt;0,((VLOOKUP(TRIM(D1928), CATALOGO!A:B, 2, FALSE) * C1928)*(1-VALUE(SUBSTITUTE(VLOOKUP(TRIM(A1928),'RESTAURANTESDESCUENTOS 2026'!A:B,2,FALSE),"%",""))/100)+I1928),(VLOOKUP(TRIM(D1928), CATALOGO!A:B, 2, FALSE) * C1928+I1928)),""))</f>
        <v>105000</v>
      </c>
      <c r="K1928" s="196"/>
      <c r="L1928" s="87">
        <v>758.0</v>
      </c>
      <c r="M1928" s="197" t="s">
        <v>587</v>
      </c>
      <c r="N1928" s="168"/>
    </row>
    <row r="1929" ht="22.5" hidden="1" customHeight="1">
      <c r="A1929" s="137" t="s">
        <v>1220</v>
      </c>
      <c r="B1929" s="90">
        <v>46105.0</v>
      </c>
      <c r="C1929" s="55">
        <v>1.0</v>
      </c>
      <c r="D1929" s="97" t="s">
        <v>697</v>
      </c>
      <c r="E1929" s="201"/>
      <c r="F1929" s="236" t="s">
        <v>1035</v>
      </c>
      <c r="G1929" s="194" t="s">
        <v>587</v>
      </c>
      <c r="H1929" s="195" t="s">
        <v>632</v>
      </c>
      <c r="I1929" s="196">
        <v>10000.0</v>
      </c>
      <c r="J1929" s="179">
        <f>IF(A1929="RAPPI",(VLOOKUP(TRIM(D1929), CATALOGO!F:G, 2, FALSE) * C1929)+I1929,IFERROR(IF(COUNTIF('RESTAURANTESDESCUENTOS 2026'!A:A,TRIM(A1929))&gt;0,((VLOOKUP(TRIM(D1929), CATALOGO!A:B, 2, FALSE) * C1929)*(1-VALUE(SUBSTITUTE(VLOOKUP(TRIM(A1929),'RESTAURANTESDESCUENTOS 2026'!A:B,2,FALSE),"%",""))/100)+I1929),(VLOOKUP(TRIM(D1929), CATALOGO!A:B, 2, FALSE) * C1929+I1929)),""))</f>
        <v>173000</v>
      </c>
      <c r="K1929" s="196">
        <v>10000.0</v>
      </c>
      <c r="L1929" s="87">
        <v>762.0</v>
      </c>
      <c r="M1929" s="197" t="s">
        <v>587</v>
      </c>
      <c r="N1929" s="168"/>
    </row>
    <row r="1930" ht="22.5" hidden="1" customHeight="1">
      <c r="A1930" s="137" t="s">
        <v>1221</v>
      </c>
      <c r="B1930" s="90">
        <v>46105.0</v>
      </c>
      <c r="C1930" s="55">
        <v>1.0</v>
      </c>
      <c r="D1930" s="97" t="s">
        <v>195</v>
      </c>
      <c r="E1930" s="201"/>
      <c r="F1930" s="236" t="s">
        <v>1035</v>
      </c>
      <c r="G1930" s="194" t="s">
        <v>587</v>
      </c>
      <c r="H1930" s="195" t="s">
        <v>632</v>
      </c>
      <c r="I1930" s="196">
        <v>14000.0</v>
      </c>
      <c r="J1930" s="179">
        <f>IF(A1930="RAPPI",(VLOOKUP(TRIM(D1930), CATALOGO!F:G, 2, FALSE) * C1930)+I1930,IFERROR(IF(COUNTIF('RESTAURANTESDESCUENTOS 2026'!A:A,TRIM(A1930))&gt;0,((VLOOKUP(TRIM(D1930), CATALOGO!A:B, 2, FALSE) * C1930)*(1-VALUE(SUBSTITUTE(VLOOKUP(TRIM(A1930),'RESTAURANTESDESCUENTOS 2026'!A:B,2,FALSE),"%",""))/100)+I1930),(VLOOKUP(TRIM(D1930), CATALOGO!A:B, 2, FALSE) * C1930+I1930)),""))</f>
        <v>51000</v>
      </c>
      <c r="K1930" s="196">
        <v>13000.0</v>
      </c>
      <c r="L1930" s="87">
        <v>763.0</v>
      </c>
      <c r="M1930" s="197" t="s">
        <v>587</v>
      </c>
      <c r="N1930" s="168"/>
    </row>
    <row r="1931" ht="22.5" hidden="1" customHeight="1">
      <c r="A1931" s="137" t="s">
        <v>603</v>
      </c>
      <c r="B1931" s="90">
        <v>46105.0</v>
      </c>
      <c r="C1931" s="55">
        <v>1.0</v>
      </c>
      <c r="D1931" s="97" t="s">
        <v>678</v>
      </c>
      <c r="E1931" s="201"/>
      <c r="F1931" s="236" t="s">
        <v>603</v>
      </c>
      <c r="G1931" s="194" t="s">
        <v>587</v>
      </c>
      <c r="H1931" s="195" t="s">
        <v>603</v>
      </c>
      <c r="I1931" s="196"/>
      <c r="J1931" s="179">
        <f>IF(A1931="RAPPI",(VLOOKUP(TRIM(D1931), CATALOGO!F:G, 2, FALSE) * C1931)+I1931,IFERROR(IF(COUNTIF('RESTAURANTESDESCUENTOS 2026'!A:A,TRIM(A1931))&gt;0,((VLOOKUP(TRIM(D1931), CATALOGO!A:B, 2, FALSE) * C1931)*(1-VALUE(SUBSTITUTE(VLOOKUP(TRIM(A1931),'RESTAURANTESDESCUENTOS 2026'!A:B,2,FALSE),"%",""))/100)+I1931),(VLOOKUP(TRIM(D1931), CATALOGO!A:B, 2, FALSE) * C1931+I1931)),""))</f>
        <v>123000</v>
      </c>
      <c r="K1931" s="196"/>
      <c r="L1931" s="87">
        <v>764.0</v>
      </c>
      <c r="M1931" s="197" t="s">
        <v>587</v>
      </c>
      <c r="N1931" s="168"/>
    </row>
    <row r="1932" ht="22.5" hidden="1" customHeight="1">
      <c r="A1932" s="137" t="s">
        <v>603</v>
      </c>
      <c r="B1932" s="90">
        <v>46105.0</v>
      </c>
      <c r="C1932" s="55">
        <v>1.0</v>
      </c>
      <c r="D1932" s="97" t="s">
        <v>177</v>
      </c>
      <c r="E1932" s="201"/>
      <c r="F1932" s="236" t="s">
        <v>603</v>
      </c>
      <c r="G1932" s="194" t="s">
        <v>587</v>
      </c>
      <c r="H1932" s="195" t="s">
        <v>603</v>
      </c>
      <c r="I1932" s="196"/>
      <c r="J1932" s="179">
        <f>IF(A1932="RAPPI",(VLOOKUP(TRIM(D1932), CATALOGO!F:G, 2, FALSE) * C1932)+I1932,IFERROR(IF(COUNTIF('RESTAURANTESDESCUENTOS 2026'!A:A,TRIM(A1932))&gt;0,((VLOOKUP(TRIM(D1932), CATALOGO!A:B, 2, FALSE) * C1932)*(1-VALUE(SUBSTITUTE(VLOOKUP(TRIM(A1932),'RESTAURANTESDESCUENTOS 2026'!A:B,2,FALSE),"%",""))/100)+I1932),(VLOOKUP(TRIM(D1932), CATALOGO!A:B, 2, FALSE) * C1932+I1932)),""))</f>
        <v>115000</v>
      </c>
      <c r="K1932" s="196"/>
      <c r="L1932" s="87">
        <v>764.0</v>
      </c>
      <c r="M1932" s="197" t="s">
        <v>587</v>
      </c>
      <c r="N1932" s="168"/>
    </row>
    <row r="1933" ht="22.5" hidden="1" customHeight="1">
      <c r="A1933" s="137" t="s">
        <v>592</v>
      </c>
      <c r="B1933" s="90">
        <v>46105.0</v>
      </c>
      <c r="C1933" s="55">
        <v>1.0</v>
      </c>
      <c r="D1933" s="97" t="s">
        <v>177</v>
      </c>
      <c r="E1933" s="201"/>
      <c r="F1933" s="236" t="s">
        <v>1035</v>
      </c>
      <c r="G1933" s="194" t="s">
        <v>587</v>
      </c>
      <c r="H1933" s="195" t="s">
        <v>632</v>
      </c>
      <c r="I1933" s="196">
        <v>12000.0</v>
      </c>
      <c r="J1933" s="179">
        <f>IF(A1933="RAPPI",(VLOOKUP(TRIM(D1933), CATALOGO!F:G, 2, FALSE) * C1933)+I1933,IFERROR(IF(COUNTIF('RESTAURANTESDESCUENTOS 2026'!A:A,TRIM(A1933))&gt;0,((VLOOKUP(TRIM(D1933), CATALOGO!A:B, 2, FALSE) * C1933)*(1-VALUE(SUBSTITUTE(VLOOKUP(TRIM(A1933),'RESTAURANTESDESCUENTOS 2026'!A:B,2,FALSE),"%",""))/100)+I1933),(VLOOKUP(TRIM(D1933), CATALOGO!A:B, 2, FALSE) * C1933+I1933)),""))</f>
        <v>127000</v>
      </c>
      <c r="K1933" s="196">
        <v>12000.0</v>
      </c>
      <c r="L1933" s="87">
        <v>766.0</v>
      </c>
      <c r="M1933" s="197" t="s">
        <v>587</v>
      </c>
      <c r="N1933" s="168"/>
    </row>
    <row r="1934" ht="22.5" hidden="1" customHeight="1">
      <c r="A1934" s="137" t="s">
        <v>1222</v>
      </c>
      <c r="B1934" s="90">
        <v>46105.0</v>
      </c>
      <c r="C1934" s="55">
        <v>2.0</v>
      </c>
      <c r="D1934" s="97" t="s">
        <v>174</v>
      </c>
      <c r="E1934" s="201"/>
      <c r="F1934" s="236" t="s">
        <v>1035</v>
      </c>
      <c r="G1934" s="194" t="s">
        <v>587</v>
      </c>
      <c r="H1934" s="195" t="s">
        <v>632</v>
      </c>
      <c r="I1934" s="196">
        <v>10000.0</v>
      </c>
      <c r="J1934" s="179">
        <f>IF(A1934="RAPPI",(VLOOKUP(TRIM(D1934), CATALOGO!F:G, 2, FALSE) * C1934)+I1934,IFERROR(IF(COUNTIF('RESTAURANTESDESCUENTOS 2026'!A:A,TRIM(A1934))&gt;0,((VLOOKUP(TRIM(D1934), CATALOGO!A:B, 2, FALSE) * C1934)*(1-VALUE(SUBSTITUTE(VLOOKUP(TRIM(A1934),'RESTAURANTESDESCUENTOS 2026'!A:B,2,FALSE),"%",""))/100)+I1934),(VLOOKUP(TRIM(D1934), CATALOGO!A:B, 2, FALSE) * C1934+I1934)),""))</f>
        <v>46000</v>
      </c>
      <c r="K1934" s="196">
        <v>12000.0</v>
      </c>
      <c r="L1934" s="87">
        <v>767.0</v>
      </c>
      <c r="M1934" s="197" t="s">
        <v>587</v>
      </c>
      <c r="N1934" s="168"/>
    </row>
    <row r="1935" ht="22.5" hidden="1" customHeight="1">
      <c r="A1935" s="137" t="s">
        <v>1223</v>
      </c>
      <c r="B1935" s="90">
        <v>46105.0</v>
      </c>
      <c r="C1935" s="55">
        <v>1.0</v>
      </c>
      <c r="D1935" s="97" t="s">
        <v>187</v>
      </c>
      <c r="E1935" s="201"/>
      <c r="F1935" s="236" t="s">
        <v>1035</v>
      </c>
      <c r="G1935" s="194" t="s">
        <v>587</v>
      </c>
      <c r="H1935" s="195" t="s">
        <v>632</v>
      </c>
      <c r="I1935" s="196">
        <v>10000.0</v>
      </c>
      <c r="J1935" s="179">
        <f>IF(A1935="RAPPI",(VLOOKUP(TRIM(D1935), CATALOGO!F:G, 2, FALSE) * C1935)+I1935,IFERROR(IF(COUNTIF('RESTAURANTESDESCUENTOS 2026'!A:A,TRIM(A1935))&gt;0,((VLOOKUP(TRIM(D1935), CATALOGO!A:B, 2, FALSE) * C1935)*(1-VALUE(SUBSTITUTE(VLOOKUP(TRIM(A1935),'RESTAURANTESDESCUENTOS 2026'!A:B,2,FALSE),"%",""))/100)+I1935),(VLOOKUP(TRIM(D1935), CATALOGO!A:B, 2, FALSE) * C1935+I1935)),""))</f>
        <v>65000</v>
      </c>
      <c r="K1935" s="196">
        <v>10000.0</v>
      </c>
      <c r="L1935" s="87">
        <v>768.0</v>
      </c>
      <c r="M1935" s="197" t="s">
        <v>587</v>
      </c>
      <c r="N1935" s="168"/>
    </row>
    <row r="1936" ht="22.5" hidden="1" customHeight="1">
      <c r="A1936" s="137" t="s">
        <v>1224</v>
      </c>
      <c r="B1936" s="90">
        <v>46105.0</v>
      </c>
      <c r="C1936" s="55">
        <v>1.0</v>
      </c>
      <c r="D1936" s="97" t="s">
        <v>177</v>
      </c>
      <c r="E1936" s="201"/>
      <c r="F1936" s="236" t="s">
        <v>1035</v>
      </c>
      <c r="G1936" s="194" t="s">
        <v>587</v>
      </c>
      <c r="H1936" s="195" t="s">
        <v>588</v>
      </c>
      <c r="I1936" s="196">
        <v>10000.0</v>
      </c>
      <c r="J1936" s="179">
        <f>IF(A1936="RAPPI",(VLOOKUP(TRIM(D1936), CATALOGO!F:G, 2, FALSE) * C1936)+I1936,IFERROR(IF(COUNTIF('RESTAURANTESDESCUENTOS 2026'!A:A,TRIM(A1936))&gt;0,((VLOOKUP(TRIM(D1936), CATALOGO!A:B, 2, FALSE) * C1936)*(1-VALUE(SUBSTITUTE(VLOOKUP(TRIM(A1936),'RESTAURANTESDESCUENTOS 2026'!A:B,2,FALSE),"%",""))/100)+I1936),(VLOOKUP(TRIM(D1936), CATALOGO!A:B, 2, FALSE) * C1936+I1936)),""))</f>
        <v>125000</v>
      </c>
      <c r="K1936" s="196">
        <v>8400.0</v>
      </c>
      <c r="L1936" s="87">
        <v>769.0</v>
      </c>
      <c r="M1936" s="197" t="s">
        <v>587</v>
      </c>
      <c r="N1936" s="168"/>
    </row>
    <row r="1937" ht="22.5" hidden="1" customHeight="1">
      <c r="A1937" s="137" t="s">
        <v>1225</v>
      </c>
      <c r="B1937" s="90">
        <v>46105.0</v>
      </c>
      <c r="C1937" s="55">
        <v>1.0</v>
      </c>
      <c r="D1937" s="97" t="s">
        <v>618</v>
      </c>
      <c r="E1937" s="201"/>
      <c r="F1937" s="236" t="s">
        <v>1035</v>
      </c>
      <c r="G1937" s="194" t="s">
        <v>587</v>
      </c>
      <c r="H1937" s="195" t="s">
        <v>588</v>
      </c>
      <c r="I1937" s="196">
        <v>13000.0</v>
      </c>
      <c r="J1937" s="179">
        <f>IF(A1937="RAPPI",(VLOOKUP(TRIM(D1937), CATALOGO!F:G, 2, FALSE) * C1937)+I1937,IFERROR(IF(COUNTIF('RESTAURANTESDESCUENTOS 2026'!A:A,TRIM(A1937))&gt;0,((VLOOKUP(TRIM(D1937), CATALOGO!A:B, 2, FALSE) * C1937)*(1-VALUE(SUBSTITUTE(VLOOKUP(TRIM(A1937),'RESTAURANTESDESCUENTOS 2026'!A:B,2,FALSE),"%",""))/100)+I1937),(VLOOKUP(TRIM(D1937), CATALOGO!A:B, 2, FALSE) * C1937+I1937)),""))</f>
        <v>66000</v>
      </c>
      <c r="K1937" s="196">
        <v>17000.0</v>
      </c>
      <c r="L1937" s="87">
        <v>770.0</v>
      </c>
      <c r="M1937" s="197" t="s">
        <v>587</v>
      </c>
      <c r="N1937" s="168"/>
    </row>
    <row r="1938" ht="22.5" hidden="1" customHeight="1">
      <c r="A1938" s="137" t="s">
        <v>1226</v>
      </c>
      <c r="B1938" s="90">
        <v>46105.0</v>
      </c>
      <c r="C1938" s="55">
        <v>1.0</v>
      </c>
      <c r="D1938" s="97" t="s">
        <v>192</v>
      </c>
      <c r="E1938" s="201"/>
      <c r="F1938" s="236" t="s">
        <v>1035</v>
      </c>
      <c r="G1938" s="194" t="s">
        <v>587</v>
      </c>
      <c r="H1938" s="195" t="s">
        <v>588</v>
      </c>
      <c r="I1938" s="196">
        <v>13000.0</v>
      </c>
      <c r="J1938" s="179">
        <f>IF(A1938="RAPPI",(VLOOKUP(TRIM(D1938), CATALOGO!F:G, 2, FALSE) * C1938)+I1938,IFERROR(IF(COUNTIF('RESTAURANTESDESCUENTOS 2026'!A:A,TRIM(A1938))&gt;0,((VLOOKUP(TRIM(D1938), CATALOGO!A:B, 2, FALSE) * C1938)*(1-VALUE(SUBSTITUTE(VLOOKUP(TRIM(A1938),'RESTAURANTESDESCUENTOS 2026'!A:B,2,FALSE),"%",""))/100)+I1938),(VLOOKUP(TRIM(D1938), CATALOGO!A:B, 2, FALSE) * C1938+I1938)),""))</f>
        <v>68000</v>
      </c>
      <c r="K1938" s="196">
        <v>12000.0</v>
      </c>
      <c r="L1938" s="87">
        <v>771.0</v>
      </c>
      <c r="M1938" s="197" t="s">
        <v>587</v>
      </c>
      <c r="N1938" s="168"/>
    </row>
    <row r="1939" ht="22.5" hidden="1" customHeight="1">
      <c r="A1939" s="137" t="s">
        <v>1126</v>
      </c>
      <c r="B1939" s="90">
        <v>46105.0</v>
      </c>
      <c r="C1939" s="55">
        <v>1.0</v>
      </c>
      <c r="D1939" s="97" t="s">
        <v>174</v>
      </c>
      <c r="E1939" s="201"/>
      <c r="F1939" s="236" t="s">
        <v>1035</v>
      </c>
      <c r="G1939" s="194" t="s">
        <v>35</v>
      </c>
      <c r="H1939" s="198"/>
      <c r="I1939" s="196"/>
      <c r="J1939" s="179">
        <f>IF(A1939="RAPPI",(VLOOKUP(TRIM(D1939), CATALOGO!F:G, 2, FALSE) * C1939)+I1939,IFERROR(IF(COUNTIF('RESTAURANTESDESCUENTOS 2026'!A:A,TRIM(A1939))&gt;0,((VLOOKUP(TRIM(D1939), CATALOGO!A:B, 2, FALSE) * C1939)*(1-VALUE(SUBSTITUTE(VLOOKUP(TRIM(A1939),'RESTAURANTESDESCUENTOS 2026'!A:B,2,FALSE),"%",""))/100)+I1939),(VLOOKUP(TRIM(D1939), CATALOGO!A:B, 2, FALSE) * C1939+I1939)),""))</f>
        <v>18000</v>
      </c>
      <c r="K1939" s="196"/>
      <c r="L1939" s="87">
        <v>765.0</v>
      </c>
      <c r="M1939" s="197" t="s">
        <v>587</v>
      </c>
      <c r="N1939" s="168"/>
    </row>
    <row r="1940" ht="22.5" hidden="1" customHeight="1">
      <c r="A1940" s="137" t="s">
        <v>1126</v>
      </c>
      <c r="B1940" s="90">
        <v>46105.0</v>
      </c>
      <c r="C1940" s="55">
        <v>1.0</v>
      </c>
      <c r="D1940" s="97" t="s">
        <v>678</v>
      </c>
      <c r="E1940" s="201"/>
      <c r="F1940" s="236" t="s">
        <v>1035</v>
      </c>
      <c r="G1940" s="194" t="s">
        <v>35</v>
      </c>
      <c r="H1940" s="198"/>
      <c r="I1940" s="196"/>
      <c r="J1940" s="179">
        <f>IF(A1940="RAPPI",(VLOOKUP(TRIM(D1940), CATALOGO!F:G, 2, FALSE) * C1940)+I1940,IFERROR(IF(COUNTIF('RESTAURANTESDESCUENTOS 2026'!A:A,TRIM(A1940))&gt;0,((VLOOKUP(TRIM(D1940), CATALOGO!A:B, 2, FALSE) * C1940)*(1-VALUE(SUBSTITUTE(VLOOKUP(TRIM(A1940),'RESTAURANTESDESCUENTOS 2026'!A:B,2,FALSE),"%",""))/100)+I1940),(VLOOKUP(TRIM(D1940), CATALOGO!A:B, 2, FALSE) * C1940+I1940)),""))</f>
        <v>123000</v>
      </c>
      <c r="K1940" s="196"/>
      <c r="L1940" s="87">
        <v>765.0</v>
      </c>
      <c r="M1940" s="197" t="s">
        <v>587</v>
      </c>
      <c r="N1940" s="168"/>
    </row>
    <row r="1941" ht="22.5" hidden="1" customHeight="1">
      <c r="A1941" s="137" t="s">
        <v>1126</v>
      </c>
      <c r="B1941" s="90">
        <v>46105.0</v>
      </c>
      <c r="C1941" s="55">
        <v>2.0</v>
      </c>
      <c r="D1941" s="97" t="s">
        <v>174</v>
      </c>
      <c r="E1941" s="201"/>
      <c r="F1941" s="236" t="s">
        <v>1036</v>
      </c>
      <c r="G1941" s="194" t="s">
        <v>35</v>
      </c>
      <c r="H1941" s="198"/>
      <c r="I1941" s="196"/>
      <c r="J1941" s="179">
        <f>IF(A1941="RAPPI",(VLOOKUP(TRIM(D1941), CATALOGO!F:G, 2, FALSE) * C1941)+I1941,IFERROR(IF(COUNTIF('RESTAURANTESDESCUENTOS 2026'!A:A,TRIM(A1941))&gt;0,((VLOOKUP(TRIM(D1941), CATALOGO!A:B, 2, FALSE) * C1941)*(1-VALUE(SUBSTITUTE(VLOOKUP(TRIM(A1941),'RESTAURANTESDESCUENTOS 2026'!A:B,2,FALSE),"%",""))/100)+I1941),(VLOOKUP(TRIM(D1941), CATALOGO!A:B, 2, FALSE) * C1941+I1941)),""))</f>
        <v>36000</v>
      </c>
      <c r="K1941" s="196"/>
      <c r="L1941" s="87">
        <v>765.0</v>
      </c>
      <c r="M1941" s="197" t="s">
        <v>587</v>
      </c>
      <c r="N1941" s="168"/>
    </row>
    <row r="1942" ht="22.5" hidden="1" customHeight="1">
      <c r="A1942" s="137" t="s">
        <v>623</v>
      </c>
      <c r="B1942" s="90">
        <v>46106.0</v>
      </c>
      <c r="C1942" s="55">
        <v>1.0</v>
      </c>
      <c r="D1942" s="97" t="s">
        <v>189</v>
      </c>
      <c r="E1942" s="201"/>
      <c r="F1942" s="236" t="s">
        <v>1035</v>
      </c>
      <c r="G1942" s="194" t="s">
        <v>35</v>
      </c>
      <c r="H1942" s="198"/>
      <c r="I1942" s="196"/>
      <c r="J1942" s="179">
        <f>IF(A1942="RAPPI",(VLOOKUP(TRIM(D1942), CATALOGO!F:G, 2, FALSE) * C1942)+I1942,IFERROR(IF(COUNTIF('RESTAURANTESDESCUENTOS 2026'!A:A,TRIM(A1942))&gt;0,((VLOOKUP(TRIM(D1942), CATALOGO!A:B, 2, FALSE) * C1942)*(1-VALUE(SUBSTITUTE(VLOOKUP(TRIM(A1942),'RESTAURANTESDESCUENTOS 2026'!A:B,2,FALSE),"%",""))/100)+I1942),(VLOOKUP(TRIM(D1942), CATALOGO!A:B, 2, FALSE) * C1942+I1942)),""))</f>
        <v>145000</v>
      </c>
      <c r="K1942" s="196">
        <v>12000.0</v>
      </c>
      <c r="L1942" s="87">
        <v>775.0</v>
      </c>
      <c r="M1942" s="197" t="s">
        <v>587</v>
      </c>
      <c r="N1942" s="168"/>
    </row>
    <row r="1943" ht="22.5" hidden="1" customHeight="1">
      <c r="A1943" s="137" t="s">
        <v>17</v>
      </c>
      <c r="B1943" s="90">
        <v>46106.0</v>
      </c>
      <c r="C1943" s="55">
        <v>1.0</v>
      </c>
      <c r="D1943" s="97" t="s">
        <v>178</v>
      </c>
      <c r="E1943" s="201" t="s">
        <v>14</v>
      </c>
      <c r="F1943" s="202"/>
      <c r="G1943" s="194" t="s">
        <v>587</v>
      </c>
      <c r="H1943" s="195" t="s">
        <v>588</v>
      </c>
      <c r="I1943" s="196">
        <v>10000.0</v>
      </c>
      <c r="J1943" s="179">
        <f>IF(A1943="RAPPI",(VLOOKUP(TRIM(D1943), CATALOGO!F:G, 2, FALSE) * C1943)+I1943,IFERROR(IF(COUNTIF('RESTAURANTESDESCUENTOS 2026'!A:A,TRIM(A1943))&gt;0,((VLOOKUP(TRIM(D1943), CATALOGO!A:B, 2, FALSE) * C1943)*(1-VALUE(SUBSTITUTE(VLOOKUP(TRIM(A1943),'RESTAURANTESDESCUENTOS 2026'!A:B,2,FALSE),"%",""))/100)+I1943),(VLOOKUP(TRIM(D1943), CATALOGO!A:B, 2, FALSE) * C1943+I1943)),""))</f>
        <v>122500</v>
      </c>
      <c r="K1943" s="196">
        <v>8200.0</v>
      </c>
      <c r="L1943" s="87">
        <v>772.0</v>
      </c>
      <c r="M1943" s="197" t="s">
        <v>587</v>
      </c>
      <c r="N1943" s="168"/>
    </row>
    <row r="1944" ht="22.5" hidden="1" customHeight="1">
      <c r="A1944" s="137" t="s">
        <v>1227</v>
      </c>
      <c r="B1944" s="90">
        <v>46106.0</v>
      </c>
      <c r="C1944" s="55">
        <v>1.0</v>
      </c>
      <c r="D1944" s="97" t="s">
        <v>182</v>
      </c>
      <c r="E1944" s="201" t="s">
        <v>1228</v>
      </c>
      <c r="F1944" s="236" t="s">
        <v>1035</v>
      </c>
      <c r="G1944" s="194" t="s">
        <v>587</v>
      </c>
      <c r="H1944" s="195" t="s">
        <v>588</v>
      </c>
      <c r="I1944" s="196">
        <v>16000.0</v>
      </c>
      <c r="J1944" s="179">
        <f>IF(A1944="RAPPI",(VLOOKUP(TRIM(D1944), CATALOGO!F:G, 2, FALSE) * C1944)+I1944,IFERROR(IF(COUNTIF('RESTAURANTESDESCUENTOS 2026'!A:A,TRIM(A1944))&gt;0,((VLOOKUP(TRIM(D1944), CATALOGO!A:B, 2, FALSE) * C1944)*(1-VALUE(SUBSTITUTE(VLOOKUP(TRIM(A1944),'RESTAURANTESDESCUENTOS 2026'!A:B,2,FALSE),"%",""))/100)+I1944),(VLOOKUP(TRIM(D1944), CATALOGO!A:B, 2, FALSE) * C1944+I1944)),""))</f>
        <v>53000</v>
      </c>
      <c r="K1944" s="196">
        <v>21000.0</v>
      </c>
      <c r="L1944" s="87">
        <v>776.0</v>
      </c>
      <c r="M1944" s="197" t="s">
        <v>587</v>
      </c>
      <c r="N1944" s="168"/>
    </row>
    <row r="1945" ht="22.5" hidden="1" customHeight="1">
      <c r="A1945" s="137" t="s">
        <v>86</v>
      </c>
      <c r="B1945" s="90">
        <v>46106.0</v>
      </c>
      <c r="C1945" s="55">
        <v>1.0</v>
      </c>
      <c r="D1945" s="97" t="s">
        <v>177</v>
      </c>
      <c r="E1945" s="201" t="s">
        <v>610</v>
      </c>
      <c r="F1945" s="202"/>
      <c r="G1945" s="194" t="s">
        <v>587</v>
      </c>
      <c r="H1945" s="195" t="s">
        <v>588</v>
      </c>
      <c r="I1945" s="196">
        <v>0.0</v>
      </c>
      <c r="J1945" s="179">
        <f>IF(A1945="RAPPI",(VLOOKUP(TRIM(D1945), CATALOGO!F:G, 2, FALSE) * C1945)+I1945,IFERROR(IF(COUNTIF('RESTAURANTESDESCUENTOS 2026'!A:A,TRIM(A1945))&gt;0,((VLOOKUP(TRIM(D1945), CATALOGO!A:B, 2, FALSE) * C1945)*(1-VALUE(SUBSTITUTE(VLOOKUP(TRIM(A1945),'RESTAURANTESDESCUENTOS 2026'!A:B,2,FALSE),"%",""))/100)+I1945),(VLOOKUP(TRIM(D1945), CATALOGO!A:B, 2, FALSE) * C1945+I1945)),""))</f>
        <v>86250</v>
      </c>
      <c r="K1945" s="196">
        <v>8200.0</v>
      </c>
      <c r="L1945" s="87">
        <v>773.0</v>
      </c>
      <c r="M1945" s="197" t="s">
        <v>587</v>
      </c>
      <c r="N1945" s="168"/>
    </row>
    <row r="1946" ht="22.5" hidden="1" customHeight="1">
      <c r="A1946" s="137" t="s">
        <v>603</v>
      </c>
      <c r="B1946" s="90">
        <v>46106.0</v>
      </c>
      <c r="C1946" s="55">
        <v>1.0</v>
      </c>
      <c r="D1946" s="97" t="s">
        <v>177</v>
      </c>
      <c r="E1946" s="201"/>
      <c r="F1946" s="236" t="s">
        <v>603</v>
      </c>
      <c r="G1946" s="194" t="s">
        <v>587</v>
      </c>
      <c r="H1946" s="195" t="s">
        <v>603</v>
      </c>
      <c r="I1946" s="196"/>
      <c r="J1946" s="179">
        <f>IF(A1946="RAPPI",(VLOOKUP(TRIM(D1946), CATALOGO!F:G, 2, FALSE) * C1946)+I1946,IFERROR(IF(COUNTIF('RESTAURANTESDESCUENTOS 2026'!A:A,TRIM(A1946))&gt;0,((VLOOKUP(TRIM(D1946), CATALOGO!A:B, 2, FALSE) * C1946)*(1-VALUE(SUBSTITUTE(VLOOKUP(TRIM(A1946),'RESTAURANTESDESCUENTOS 2026'!A:B,2,FALSE),"%",""))/100)+I1946),(VLOOKUP(TRIM(D1946), CATALOGO!A:B, 2, FALSE) * C1946+I1946)),""))</f>
        <v>115000</v>
      </c>
      <c r="K1946" s="196"/>
      <c r="L1946" s="87">
        <v>774.0</v>
      </c>
      <c r="M1946" s="197" t="s">
        <v>587</v>
      </c>
      <c r="N1946" s="168"/>
    </row>
    <row r="1947" ht="22.5" hidden="1" customHeight="1">
      <c r="A1947" s="137" t="s">
        <v>603</v>
      </c>
      <c r="B1947" s="90">
        <v>46106.0</v>
      </c>
      <c r="C1947" s="55">
        <v>1.0</v>
      </c>
      <c r="D1947" s="97" t="s">
        <v>177</v>
      </c>
      <c r="E1947" s="201"/>
      <c r="F1947" s="236" t="s">
        <v>603</v>
      </c>
      <c r="G1947" s="194" t="s">
        <v>587</v>
      </c>
      <c r="H1947" s="195" t="s">
        <v>603</v>
      </c>
      <c r="I1947" s="196"/>
      <c r="J1947" s="179">
        <f>IF(A1947="RAPPI",(VLOOKUP(TRIM(D1947), CATALOGO!F:G, 2, FALSE) * C1947)+I1947,IFERROR(IF(COUNTIF('RESTAURANTESDESCUENTOS 2026'!A:A,TRIM(A1947))&gt;0,((VLOOKUP(TRIM(D1947), CATALOGO!A:B, 2, FALSE) * C1947)*(1-VALUE(SUBSTITUTE(VLOOKUP(TRIM(A1947),'RESTAURANTESDESCUENTOS 2026'!A:B,2,FALSE),"%",""))/100)+I1947),(VLOOKUP(TRIM(D1947), CATALOGO!A:B, 2, FALSE) * C1947+I1947)),""))</f>
        <v>115000</v>
      </c>
      <c r="K1947" s="196"/>
      <c r="L1947" s="87">
        <v>774.0</v>
      </c>
      <c r="M1947" s="197" t="s">
        <v>587</v>
      </c>
      <c r="N1947" s="168"/>
    </row>
    <row r="1948" ht="22.5" hidden="1" customHeight="1">
      <c r="A1948" s="137" t="s">
        <v>1069</v>
      </c>
      <c r="B1948" s="90">
        <v>46106.0</v>
      </c>
      <c r="C1948" s="55">
        <v>1.0</v>
      </c>
      <c r="D1948" s="97" t="s">
        <v>176</v>
      </c>
      <c r="E1948" s="201"/>
      <c r="F1948" s="236" t="s">
        <v>1035</v>
      </c>
      <c r="G1948" s="194" t="s">
        <v>35</v>
      </c>
      <c r="H1948" s="198"/>
      <c r="I1948" s="196"/>
      <c r="J1948" s="179">
        <f>IF(A1948="RAPPI",(VLOOKUP(TRIM(D1948), CATALOGO!F:G, 2, FALSE) * C1948)+I1948,IFERROR(IF(COUNTIF('RESTAURANTESDESCUENTOS 2026'!A:A,TRIM(A1948))&gt;0,((VLOOKUP(TRIM(D1948), CATALOGO!A:B, 2, FALSE) * C1948)*(1-VALUE(SUBSTITUTE(VLOOKUP(TRIM(A1948),'RESTAURANTESDESCUENTOS 2026'!A:B,2,FALSE),"%",""))/100)+I1948),(VLOOKUP(TRIM(D1948), CATALOGO!A:B, 2, FALSE) * C1948+I1948)),""))</f>
        <v>50000</v>
      </c>
      <c r="K1948" s="196"/>
      <c r="L1948" s="87">
        <v>777.0</v>
      </c>
      <c r="M1948" s="197" t="s">
        <v>587</v>
      </c>
      <c r="N1948" s="168"/>
    </row>
    <row r="1949" ht="22.5" hidden="1" customHeight="1">
      <c r="A1949" s="137" t="s">
        <v>23</v>
      </c>
      <c r="B1949" s="90">
        <v>46107.0</v>
      </c>
      <c r="C1949" s="55">
        <v>3.0</v>
      </c>
      <c r="D1949" s="97" t="s">
        <v>178</v>
      </c>
      <c r="E1949" s="201"/>
      <c r="F1949" s="202"/>
      <c r="G1949" s="194" t="s">
        <v>587</v>
      </c>
      <c r="H1949" s="198"/>
      <c r="I1949" s="196">
        <v>25000.0</v>
      </c>
      <c r="J1949" s="179">
        <f>IF(A1949="RAPPI",(VLOOKUP(TRIM(D1949), CATALOGO!F:G, 2, FALSE) * C1949)+I1949,IFERROR(IF(COUNTIF('RESTAURANTESDESCUENTOS 2026'!A:A,TRIM(A1949))&gt;0,((VLOOKUP(TRIM(D1949), CATALOGO!A:B, 2, FALSE) * C1949)*(1-VALUE(SUBSTITUTE(VLOOKUP(TRIM(A1949),'RESTAURANTESDESCUENTOS 2026'!A:B,2,FALSE),"%",""))/100)+I1949),(VLOOKUP(TRIM(D1949), CATALOGO!A:B, 2, FALSE) * C1949+I1949)),""))</f>
        <v>362500</v>
      </c>
      <c r="K1949" s="196">
        <v>20000.0</v>
      </c>
      <c r="L1949" s="87">
        <v>778.0</v>
      </c>
      <c r="M1949" s="197" t="s">
        <v>587</v>
      </c>
      <c r="N1949" s="168"/>
    </row>
    <row r="1950" ht="22.5" hidden="1" customHeight="1">
      <c r="A1950" s="137" t="s">
        <v>30</v>
      </c>
      <c r="B1950" s="90">
        <v>46107.0</v>
      </c>
      <c r="C1950" s="55">
        <v>2.0</v>
      </c>
      <c r="D1950" s="97" t="s">
        <v>178</v>
      </c>
      <c r="E1950" s="201" t="s">
        <v>747</v>
      </c>
      <c r="F1950" s="202"/>
      <c r="G1950" s="194" t="s">
        <v>587</v>
      </c>
      <c r="H1950" s="198"/>
      <c r="I1950" s="196">
        <v>25000.0</v>
      </c>
      <c r="J1950" s="179">
        <f>IF(A1950="RAPPI",(VLOOKUP(TRIM(D1950), CATALOGO!F:G, 2, FALSE) * C1950)+I1950,IFERROR(IF(COUNTIF('RESTAURANTESDESCUENTOS 2026'!A:A,TRIM(A1950))&gt;0,((VLOOKUP(TRIM(D1950), CATALOGO!A:B, 2, FALSE) * C1950)*(1-VALUE(SUBSTITUTE(VLOOKUP(TRIM(A1950),'RESTAURANTESDESCUENTOS 2026'!A:B,2,FALSE),"%",""))/100)+I1950),(VLOOKUP(TRIM(D1950), CATALOGO!A:B, 2, FALSE) * C1950+I1950)),""))</f>
        <v>250000</v>
      </c>
      <c r="K1950" s="196">
        <v>20000.0</v>
      </c>
      <c r="L1950" s="87">
        <v>781.0</v>
      </c>
      <c r="M1950" s="197" t="s">
        <v>587</v>
      </c>
      <c r="N1950" s="168"/>
    </row>
    <row r="1951" ht="22.5" hidden="1" customHeight="1">
      <c r="A1951" s="137" t="s">
        <v>69</v>
      </c>
      <c r="B1951" s="90">
        <v>46107.0</v>
      </c>
      <c r="C1951" s="55">
        <v>1.0</v>
      </c>
      <c r="D1951" s="97" t="s">
        <v>178</v>
      </c>
      <c r="E1951" s="201"/>
      <c r="F1951" s="202"/>
      <c r="G1951" s="194" t="s">
        <v>587</v>
      </c>
      <c r="H1951" s="195" t="s">
        <v>632</v>
      </c>
      <c r="I1951" s="196">
        <v>0.0</v>
      </c>
      <c r="J1951" s="179">
        <f>IF(A1951="RAPPI",(VLOOKUP(TRIM(D1951), CATALOGO!F:G, 2, FALSE) * C1951)+I1951,IFERROR(IF(COUNTIF('RESTAURANTESDESCUENTOS 2026'!A:A,TRIM(A1951))&gt;0,((VLOOKUP(TRIM(D1951), CATALOGO!A:B, 2, FALSE) * C1951)*(1-VALUE(SUBSTITUTE(VLOOKUP(TRIM(A1951),'RESTAURANTESDESCUENTOS 2026'!A:B,2,FALSE),"%",""))/100)+I1951),(VLOOKUP(TRIM(D1951), CATALOGO!A:B, 2, FALSE) * C1951+I1951)),""))</f>
        <v>112500</v>
      </c>
      <c r="K1951" s="196">
        <v>10000.0</v>
      </c>
      <c r="L1951" s="87">
        <v>780.0</v>
      </c>
      <c r="M1951" s="197" t="s">
        <v>587</v>
      </c>
      <c r="N1951" s="168"/>
    </row>
    <row r="1952" ht="22.5" hidden="1" customHeight="1">
      <c r="A1952" s="137" t="s">
        <v>69</v>
      </c>
      <c r="B1952" s="90">
        <v>46107.0</v>
      </c>
      <c r="C1952" s="55">
        <v>200.0</v>
      </c>
      <c r="D1952" s="97" t="s">
        <v>620</v>
      </c>
      <c r="E1952" s="201"/>
      <c r="F1952" s="202"/>
      <c r="G1952" s="194" t="s">
        <v>587</v>
      </c>
      <c r="H1952" s="195" t="s">
        <v>632</v>
      </c>
      <c r="I1952" s="196">
        <v>0.0</v>
      </c>
      <c r="J1952" s="179">
        <f>110*200</f>
        <v>22000</v>
      </c>
      <c r="K1952" s="196">
        <v>0.0</v>
      </c>
      <c r="L1952" s="87">
        <v>780.0</v>
      </c>
      <c r="M1952" s="197" t="s">
        <v>587</v>
      </c>
      <c r="N1952" s="168"/>
    </row>
    <row r="1953" ht="22.5" hidden="1" customHeight="1">
      <c r="A1953" s="137" t="s">
        <v>650</v>
      </c>
      <c r="B1953" s="90">
        <v>46107.0</v>
      </c>
      <c r="C1953" s="55">
        <v>1.0</v>
      </c>
      <c r="D1953" s="97" t="s">
        <v>178</v>
      </c>
      <c r="E1953" s="201" t="s">
        <v>28</v>
      </c>
      <c r="F1953" s="202"/>
      <c r="G1953" s="194"/>
      <c r="H1953" s="198"/>
      <c r="I1953" s="196"/>
      <c r="J1953" s="179">
        <f>IF(A1953="RAPPI",(VLOOKUP(TRIM(D1953), CATALOGO!F:G, 2, FALSE) * C1953)+I1953,IFERROR(IF(COUNTIF('RESTAURANTESDESCUENTOS 2026'!A:A,TRIM(A1953))&gt;0,((VLOOKUP(TRIM(D1953), CATALOGO!A:B, 2, FALSE) * C1953)*(1-VALUE(SUBSTITUTE(VLOOKUP(TRIM(A1953),'RESTAURANTESDESCUENTOS 2026'!A:B,2,FALSE),"%",""))/100)+I1953),(VLOOKUP(TRIM(D1953), CATALOGO!A:B, 2, FALSE) * C1953+I1953)),""))</f>
        <v>112500</v>
      </c>
      <c r="K1953" s="196"/>
      <c r="L1953" s="87">
        <v>782.0</v>
      </c>
      <c r="M1953" s="197" t="s">
        <v>587</v>
      </c>
      <c r="N1953" s="168"/>
    </row>
    <row r="1954" ht="22.5" hidden="1" customHeight="1">
      <c r="A1954" s="137" t="s">
        <v>153</v>
      </c>
      <c r="B1954" s="90">
        <v>46107.0</v>
      </c>
      <c r="C1954" s="55">
        <v>1.0</v>
      </c>
      <c r="D1954" s="97" t="s">
        <v>174</v>
      </c>
      <c r="E1954" s="201" t="s">
        <v>1229</v>
      </c>
      <c r="F1954" s="202"/>
      <c r="G1954" s="194" t="s">
        <v>35</v>
      </c>
      <c r="H1954" s="198"/>
      <c r="I1954" s="196">
        <v>0.0</v>
      </c>
      <c r="J1954" s="179">
        <f>IF(A1954="RAPPI",(VLOOKUP(TRIM(D1954), CATALOGO!F:G, 2, FALSE) * C1954)+I1954,IFERROR(IF(COUNTIF('RESTAURANTESDESCUENTOS 2026'!A:A,TRIM(A1954))&gt;0,((VLOOKUP(TRIM(D1954), CATALOGO!A:B, 2, FALSE) * C1954)*(1-VALUE(SUBSTITUTE(VLOOKUP(TRIM(A1954),'RESTAURANTESDESCUENTOS 2026'!A:B,2,FALSE),"%",""))/100)+I1954),(VLOOKUP(TRIM(D1954), CATALOGO!A:B, 2, FALSE) * C1954+I1954)),""))</f>
        <v>13500</v>
      </c>
      <c r="K1954" s="196">
        <v>0.0</v>
      </c>
      <c r="L1954" s="87">
        <v>785.0</v>
      </c>
      <c r="M1954" s="197" t="s">
        <v>587</v>
      </c>
      <c r="N1954" s="168"/>
    </row>
    <row r="1955" ht="22.5" hidden="1" customHeight="1">
      <c r="A1955" s="137" t="s">
        <v>55</v>
      </c>
      <c r="B1955" s="90">
        <v>46107.0</v>
      </c>
      <c r="C1955" s="55">
        <v>15.0</v>
      </c>
      <c r="D1955" s="97" t="s">
        <v>182</v>
      </c>
      <c r="E1955" s="201" t="s">
        <v>1230</v>
      </c>
      <c r="F1955" s="202"/>
      <c r="G1955" s="194" t="s">
        <v>587</v>
      </c>
      <c r="H1955" s="195" t="s">
        <v>632</v>
      </c>
      <c r="I1955" s="196">
        <v>10000.0</v>
      </c>
      <c r="J1955" s="179">
        <f>(4000*60)+I1955</f>
        <v>250000</v>
      </c>
      <c r="K1955" s="196">
        <v>10000.0</v>
      </c>
      <c r="L1955" s="87">
        <v>783.0</v>
      </c>
      <c r="M1955" s="197" t="s">
        <v>587</v>
      </c>
      <c r="N1955" s="168"/>
    </row>
    <row r="1956" ht="22.5" hidden="1" customHeight="1">
      <c r="A1956" s="137" t="s">
        <v>10</v>
      </c>
      <c r="B1956" s="90">
        <v>46107.0</v>
      </c>
      <c r="C1956" s="55">
        <v>1.0</v>
      </c>
      <c r="D1956" s="97" t="s">
        <v>178</v>
      </c>
      <c r="E1956" s="201" t="s">
        <v>747</v>
      </c>
      <c r="F1956" s="202"/>
      <c r="G1956" s="194" t="s">
        <v>587</v>
      </c>
      <c r="H1956" s="195" t="s">
        <v>632</v>
      </c>
      <c r="I1956" s="196">
        <v>0.0</v>
      </c>
      <c r="J1956" s="179">
        <f>IF(A1956="RAPPI",(VLOOKUP(TRIM(D1956), CATALOGO!F:G, 2, FALSE) * C1956)+I1956,IFERROR(IF(COUNTIF('RESTAURANTESDESCUENTOS 2026'!A:A,TRIM(A1956))&gt;0,((VLOOKUP(TRIM(D1956), CATALOGO!A:B, 2, FALSE) * C1956)*(1-VALUE(SUBSTITUTE(VLOOKUP(TRIM(A1956),'RESTAURANTESDESCUENTOS 2026'!A:B,2,FALSE),"%",""))/100)+I1956),(VLOOKUP(TRIM(D1956), CATALOGO!A:B, 2, FALSE) * C1956+I1956)),""))</f>
        <v>112500</v>
      </c>
      <c r="K1956" s="196">
        <v>10000.0</v>
      </c>
      <c r="L1956" s="87">
        <v>784.0</v>
      </c>
      <c r="M1956" s="197" t="s">
        <v>587</v>
      </c>
      <c r="N1956" s="168"/>
    </row>
    <row r="1957" ht="22.5" hidden="1" customHeight="1">
      <c r="A1957" s="137" t="s">
        <v>1231</v>
      </c>
      <c r="B1957" s="90">
        <v>46107.0</v>
      </c>
      <c r="C1957" s="55">
        <v>1.0</v>
      </c>
      <c r="D1957" s="97" t="s">
        <v>192</v>
      </c>
      <c r="E1957" s="201"/>
      <c r="F1957" s="236" t="s">
        <v>1035</v>
      </c>
      <c r="G1957" s="194" t="s">
        <v>587</v>
      </c>
      <c r="H1957" s="195" t="s">
        <v>632</v>
      </c>
      <c r="I1957" s="196">
        <v>15000.0</v>
      </c>
      <c r="J1957" s="179">
        <f>IF(A1957="RAPPI",(VLOOKUP(TRIM(D1957), CATALOGO!F:G, 2, FALSE) * C1957)+I1957,IFERROR(IF(COUNTIF('RESTAURANTESDESCUENTOS 2026'!A:A,TRIM(A1957))&gt;0,((VLOOKUP(TRIM(D1957), CATALOGO!A:B, 2, FALSE) * C1957)*(1-VALUE(SUBSTITUTE(VLOOKUP(TRIM(A1957),'RESTAURANTESDESCUENTOS 2026'!A:B,2,FALSE),"%",""))/100)+I1957),(VLOOKUP(TRIM(D1957), CATALOGO!A:B, 2, FALSE) * C1957+I1957)),""))</f>
        <v>70000</v>
      </c>
      <c r="K1957" s="196">
        <v>14000.0</v>
      </c>
      <c r="L1957" s="87">
        <v>786.0</v>
      </c>
      <c r="M1957" s="197" t="s">
        <v>587</v>
      </c>
      <c r="N1957" s="168"/>
    </row>
    <row r="1958" ht="22.5" hidden="1" customHeight="1">
      <c r="A1958" s="137" t="s">
        <v>1232</v>
      </c>
      <c r="B1958" s="90">
        <v>46107.0</v>
      </c>
      <c r="C1958" s="55">
        <v>2.0</v>
      </c>
      <c r="D1958" s="97" t="s">
        <v>174</v>
      </c>
      <c r="E1958" s="201"/>
      <c r="F1958" s="236" t="s">
        <v>1035</v>
      </c>
      <c r="G1958" s="194" t="s">
        <v>587</v>
      </c>
      <c r="H1958" s="195" t="s">
        <v>632</v>
      </c>
      <c r="I1958" s="196">
        <v>13000.0</v>
      </c>
      <c r="J1958" s="179">
        <f>IF(A1958="RAPPI",(VLOOKUP(TRIM(D1958), CATALOGO!F:G, 2, FALSE) * C1958)+I1958,IFERROR(IF(COUNTIF('RESTAURANTESDESCUENTOS 2026'!A:A,TRIM(A1958))&gt;0,((VLOOKUP(TRIM(D1958), CATALOGO!A:B, 2, FALSE) * C1958)*(1-VALUE(SUBSTITUTE(VLOOKUP(TRIM(A1958),'RESTAURANTESDESCUENTOS 2026'!A:B,2,FALSE),"%",""))/100)+I1958),(VLOOKUP(TRIM(D1958), CATALOGO!A:B, 2, FALSE) * C1958+I1958)),""))</f>
        <v>49000</v>
      </c>
      <c r="K1958" s="196">
        <v>13000.0</v>
      </c>
      <c r="L1958" s="87">
        <v>787.0</v>
      </c>
      <c r="M1958" s="197" t="s">
        <v>587</v>
      </c>
      <c r="N1958" s="168"/>
    </row>
    <row r="1959" ht="22.5" hidden="1" customHeight="1">
      <c r="A1959" s="137" t="s">
        <v>167</v>
      </c>
      <c r="B1959" s="90">
        <v>46107.0</v>
      </c>
      <c r="C1959" s="55">
        <v>2.0</v>
      </c>
      <c r="D1959" s="97" t="s">
        <v>174</v>
      </c>
      <c r="E1959" s="201"/>
      <c r="F1959" s="202"/>
      <c r="G1959" s="194" t="s">
        <v>35</v>
      </c>
      <c r="H1959" s="198"/>
      <c r="I1959" s="196"/>
      <c r="J1959" s="179">
        <f>IF(A1959="RAPPI",(VLOOKUP(TRIM(D1959), CATALOGO!F:G, 2, FALSE) * C1959)+I1959,IFERROR(IF(COUNTIF('RESTAURANTESDESCUENTOS 2026'!A:A,TRIM(A1959))&gt;0,((VLOOKUP(TRIM(D1959), CATALOGO!A:B, 2, FALSE) * C1959)*(1-VALUE(SUBSTITUTE(VLOOKUP(TRIM(A1959),'RESTAURANTESDESCUENTOS 2026'!A:B,2,FALSE),"%",""))/100)+I1959),(VLOOKUP(TRIM(D1959), CATALOGO!A:B, 2, FALSE) * C1959+I1959)),""))</f>
        <v>0</v>
      </c>
      <c r="K1959" s="196"/>
      <c r="L1959" s="87">
        <v>788.0</v>
      </c>
      <c r="M1959" s="197" t="s">
        <v>587</v>
      </c>
      <c r="N1959" s="168"/>
    </row>
    <row r="1960" ht="22.5" hidden="1" customHeight="1">
      <c r="A1960" s="137" t="s">
        <v>1233</v>
      </c>
      <c r="B1960" s="90">
        <v>46107.0</v>
      </c>
      <c r="C1960" s="55">
        <v>1.0</v>
      </c>
      <c r="D1960" s="97" t="s">
        <v>176</v>
      </c>
      <c r="E1960" s="201"/>
      <c r="F1960" s="236" t="s">
        <v>1035</v>
      </c>
      <c r="G1960" s="194" t="s">
        <v>587</v>
      </c>
      <c r="H1960" s="195" t="s">
        <v>588</v>
      </c>
      <c r="I1960" s="196">
        <v>10000.0</v>
      </c>
      <c r="J1960" s="179">
        <f>IF(A1960="RAPPI",(VLOOKUP(TRIM(D1960), CATALOGO!F:G, 2, FALSE) * C1960)+I1960,IFERROR(IF(COUNTIF('RESTAURANTESDESCUENTOS 2026'!A:A,TRIM(A1960))&gt;0,((VLOOKUP(TRIM(D1960), CATALOGO!A:B, 2, FALSE) * C1960)*(1-VALUE(SUBSTITUTE(VLOOKUP(TRIM(A1960),'RESTAURANTESDESCUENTOS 2026'!A:B,2,FALSE),"%",""))/100)+I1960),(VLOOKUP(TRIM(D1960), CATALOGO!A:B, 2, FALSE) * C1960+I1960)),""))</f>
        <v>60000</v>
      </c>
      <c r="K1960" s="196">
        <v>7900.0</v>
      </c>
      <c r="L1960" s="87">
        <v>789.0</v>
      </c>
      <c r="M1960" s="197" t="s">
        <v>587</v>
      </c>
      <c r="N1960" s="168"/>
    </row>
    <row r="1961" ht="22.5" hidden="1" customHeight="1">
      <c r="A1961" s="137" t="s">
        <v>1234</v>
      </c>
      <c r="B1961" s="90">
        <v>46107.0</v>
      </c>
      <c r="C1961" s="55">
        <v>2.0</v>
      </c>
      <c r="D1961" s="97" t="s">
        <v>174</v>
      </c>
      <c r="E1961" s="201"/>
      <c r="F1961" s="236" t="s">
        <v>1035</v>
      </c>
      <c r="G1961" s="194" t="s">
        <v>587</v>
      </c>
      <c r="H1961" s="195" t="s">
        <v>588</v>
      </c>
      <c r="I1961" s="196">
        <v>13000.0</v>
      </c>
      <c r="J1961" s="179">
        <f>IF(A1961="RAPPI",(VLOOKUP(TRIM(D1961), CATALOGO!F:G, 2, FALSE) * C1961)+I1961,IFERROR(IF(COUNTIF('RESTAURANTESDESCUENTOS 2026'!A:A,TRIM(A1961))&gt;0,((VLOOKUP(TRIM(D1961), CATALOGO!A:B, 2, FALSE) * C1961)*(1-VALUE(SUBSTITUTE(VLOOKUP(TRIM(A1961),'RESTAURANTESDESCUENTOS 2026'!A:B,2,FALSE),"%",""))/100)+I1961),(VLOOKUP(TRIM(D1961), CATALOGO!A:B, 2, FALSE) * C1961+I1961)),""))</f>
        <v>49000</v>
      </c>
      <c r="K1961" s="196">
        <v>10100.0</v>
      </c>
      <c r="L1961" s="87">
        <v>790.0</v>
      </c>
      <c r="M1961" s="197" t="s">
        <v>587</v>
      </c>
      <c r="N1961" s="168"/>
    </row>
    <row r="1962" ht="22.5" hidden="1" customHeight="1">
      <c r="A1962" s="137" t="s">
        <v>1235</v>
      </c>
      <c r="B1962" s="90">
        <v>46107.0</v>
      </c>
      <c r="C1962" s="55">
        <v>1.0</v>
      </c>
      <c r="D1962" s="97" t="s">
        <v>697</v>
      </c>
      <c r="E1962" s="201"/>
      <c r="F1962" s="236" t="s">
        <v>1035</v>
      </c>
      <c r="G1962" s="194" t="s">
        <v>587</v>
      </c>
      <c r="H1962" s="195" t="s">
        <v>588</v>
      </c>
      <c r="I1962" s="196">
        <v>10000.0</v>
      </c>
      <c r="J1962" s="179">
        <f>IF(A1962="RAPPI",(VLOOKUP(TRIM(D1962), CATALOGO!F:G, 2, FALSE) * C1962)+I1962,IFERROR(IF(COUNTIF('RESTAURANTESDESCUENTOS 2026'!A:A,TRIM(A1962))&gt;0,((VLOOKUP(TRIM(D1962), CATALOGO!A:B, 2, FALSE) * C1962)*(1-VALUE(SUBSTITUTE(VLOOKUP(TRIM(A1962),'RESTAURANTESDESCUENTOS 2026'!A:B,2,FALSE),"%",""))/100)+I1962),(VLOOKUP(TRIM(D1962), CATALOGO!A:B, 2, FALSE) * C1962+I1962)),""))</f>
        <v>173000</v>
      </c>
      <c r="K1962" s="196">
        <v>0.0</v>
      </c>
      <c r="L1962" s="87">
        <v>791.0</v>
      </c>
      <c r="M1962" s="197" t="s">
        <v>587</v>
      </c>
      <c r="N1962" s="168"/>
    </row>
    <row r="1963" ht="22.5" hidden="1" customHeight="1">
      <c r="A1963" s="137" t="s">
        <v>1236</v>
      </c>
      <c r="B1963" s="90">
        <v>46108.0</v>
      </c>
      <c r="C1963" s="55">
        <v>30.0</v>
      </c>
      <c r="D1963" s="97" t="s">
        <v>183</v>
      </c>
      <c r="E1963" s="201"/>
      <c r="F1963" s="202"/>
      <c r="G1963" s="194" t="s">
        <v>587</v>
      </c>
      <c r="H1963" s="195" t="s">
        <v>632</v>
      </c>
      <c r="I1963" s="196">
        <v>0.0</v>
      </c>
      <c r="J1963" s="179">
        <f>IF(A1963="RAPPI",(VLOOKUP(TRIM(D1963), CATALOGO!F:G, 2, FALSE) * C1963)+I1963,IFERROR(IF(COUNTIF('RESTAURANTESDESCUENTOS 2026'!A:A,TRIM(A1963))&gt;0,((VLOOKUP(TRIM(D1963), CATALOGO!A:B, 2, FALSE) * C1963)*(1-VALUE(SUBSTITUTE(VLOOKUP(TRIM(A1963),'RESTAURANTESDESCUENTOS 2026'!A:B,2,FALSE),"%",""))/100)+I1963),(VLOOKUP(TRIM(D1963), CATALOGO!A:B, 2, FALSE) * C1963+I1963)),""))</f>
        <v>462000</v>
      </c>
      <c r="K1963" s="218">
        <v>10000.0</v>
      </c>
      <c r="L1963" s="87">
        <v>793.0</v>
      </c>
      <c r="M1963" s="197" t="s">
        <v>587</v>
      </c>
      <c r="N1963" s="168"/>
    </row>
    <row r="1964" ht="22.5" hidden="1" customHeight="1">
      <c r="A1964" s="137" t="s">
        <v>1236</v>
      </c>
      <c r="B1964" s="90">
        <v>46108.0</v>
      </c>
      <c r="C1964" s="55">
        <v>6.0</v>
      </c>
      <c r="D1964" s="97" t="s">
        <v>184</v>
      </c>
      <c r="E1964" s="201"/>
      <c r="F1964" s="202"/>
      <c r="G1964" s="194" t="s">
        <v>587</v>
      </c>
      <c r="H1964" s="195" t="s">
        <v>632</v>
      </c>
      <c r="I1964" s="196">
        <v>0.0</v>
      </c>
      <c r="J1964" s="179">
        <f>IF(A1964="RAPPI",(VLOOKUP(TRIM(D1964), CATALOGO!F:G, 2, FALSE) * C1964)+I1964,IFERROR(IF(COUNTIF('RESTAURANTESDESCUENTOS 2026'!A:A,TRIM(A1964))&gt;0,((VLOOKUP(TRIM(D1964), CATALOGO!A:B, 2, FALSE) * C1964)*(1-VALUE(SUBSTITUTE(VLOOKUP(TRIM(A1964),'RESTAURANTESDESCUENTOS 2026'!A:B,2,FALSE),"%",""))/100)+I1964),(VLOOKUP(TRIM(D1964), CATALOGO!A:B, 2, FALSE) * C1964+I1964)),""))</f>
        <v>144000</v>
      </c>
      <c r="K1964" s="196">
        <v>0.0</v>
      </c>
      <c r="L1964" s="87">
        <v>793.0</v>
      </c>
      <c r="M1964" s="197" t="s">
        <v>587</v>
      </c>
      <c r="N1964" s="168"/>
    </row>
    <row r="1965" ht="22.5" hidden="1" customHeight="1">
      <c r="A1965" s="137" t="s">
        <v>1237</v>
      </c>
      <c r="B1965" s="90">
        <v>46108.0</v>
      </c>
      <c r="C1965" s="55">
        <v>12.0</v>
      </c>
      <c r="D1965" s="97" t="s">
        <v>183</v>
      </c>
      <c r="E1965" s="201"/>
      <c r="F1965" s="202"/>
      <c r="G1965" s="194" t="s">
        <v>587</v>
      </c>
      <c r="H1965" s="195" t="s">
        <v>632</v>
      </c>
      <c r="I1965" s="196">
        <v>0.0</v>
      </c>
      <c r="J1965" s="179">
        <f>IF(A1965="RAPPI",(VLOOKUP(TRIM(D1965), CATALOGO!F:G, 2, FALSE) * C1965)+I1965,IFERROR(IF(COUNTIF('RESTAURANTESDESCUENTOS 2026'!A:A,TRIM(A1965))&gt;0,((VLOOKUP(TRIM(D1965), CATALOGO!A:B, 2, FALSE) * C1965)*(1-VALUE(SUBSTITUTE(VLOOKUP(TRIM(A1965),'RESTAURANTESDESCUENTOS 2026'!A:B,2,FALSE),"%",""))/100)+I1965),(VLOOKUP(TRIM(D1965), CATALOGO!A:B, 2, FALSE) * C1965+I1965)),""))</f>
        <v>184800</v>
      </c>
      <c r="K1965" s="218">
        <v>10000.0</v>
      </c>
      <c r="L1965" s="87">
        <v>794.0</v>
      </c>
      <c r="M1965" s="197" t="s">
        <v>587</v>
      </c>
      <c r="N1965" s="168"/>
    </row>
    <row r="1966" ht="22.5" hidden="1" customHeight="1">
      <c r="A1966" s="137" t="s">
        <v>1238</v>
      </c>
      <c r="B1966" s="90">
        <v>46108.0</v>
      </c>
      <c r="C1966" s="55">
        <v>1.0</v>
      </c>
      <c r="D1966" s="97" t="s">
        <v>176</v>
      </c>
      <c r="E1966" s="201" t="s">
        <v>1239</v>
      </c>
      <c r="F1966" s="236" t="s">
        <v>1035</v>
      </c>
      <c r="G1966" s="194" t="s">
        <v>587</v>
      </c>
      <c r="H1966" s="195" t="s">
        <v>632</v>
      </c>
      <c r="I1966" s="196">
        <v>10000.0</v>
      </c>
      <c r="J1966" s="179">
        <f>IF(A1966="RAPPI",(VLOOKUP(TRIM(D1966), CATALOGO!F:G, 2, FALSE) * C1966)+I1966,IFERROR(IF(COUNTIF('RESTAURANTESDESCUENTOS 2026'!A:A,TRIM(A1966))&gt;0,((VLOOKUP(TRIM(D1966), CATALOGO!A:B, 2, FALSE) * C1966)*(1-VALUE(SUBSTITUTE(VLOOKUP(TRIM(A1966),'RESTAURANTESDESCUENTOS 2026'!A:B,2,FALSE),"%",""))/100)+I1966),(VLOOKUP(TRIM(D1966), CATALOGO!A:B, 2, FALSE) * C1966+I1966)),""))</f>
        <v>60000</v>
      </c>
      <c r="K1966" s="196">
        <v>10000.0</v>
      </c>
      <c r="L1966" s="87">
        <v>797.0</v>
      </c>
      <c r="M1966" s="197" t="s">
        <v>587</v>
      </c>
      <c r="N1966" s="168"/>
    </row>
    <row r="1967" ht="22.5" hidden="1" customHeight="1">
      <c r="A1967" s="137" t="s">
        <v>1240</v>
      </c>
      <c r="B1967" s="90">
        <v>46108.0</v>
      </c>
      <c r="C1967" s="55">
        <v>4.0</v>
      </c>
      <c r="D1967" s="97" t="s">
        <v>182</v>
      </c>
      <c r="E1967" s="201" t="s">
        <v>1241</v>
      </c>
      <c r="F1967" s="236" t="s">
        <v>1035</v>
      </c>
      <c r="G1967" s="194" t="s">
        <v>35</v>
      </c>
      <c r="H1967" s="198"/>
      <c r="I1967" s="196">
        <v>0.0</v>
      </c>
      <c r="J1967" s="199">
        <v>80000.0</v>
      </c>
      <c r="K1967" s="196"/>
      <c r="L1967" s="87">
        <v>798.0</v>
      </c>
      <c r="M1967" s="197" t="s">
        <v>587</v>
      </c>
      <c r="N1967" s="168"/>
    </row>
    <row r="1968" ht="22.5" hidden="1" customHeight="1">
      <c r="A1968" s="137" t="s">
        <v>1240</v>
      </c>
      <c r="B1968" s="90">
        <v>46108.0</v>
      </c>
      <c r="C1968" s="55">
        <v>1.0</v>
      </c>
      <c r="D1968" s="97" t="s">
        <v>462</v>
      </c>
      <c r="E1968" s="201"/>
      <c r="F1968" s="236" t="s">
        <v>1035</v>
      </c>
      <c r="G1968" s="194" t="s">
        <v>35</v>
      </c>
      <c r="H1968" s="198"/>
      <c r="I1968" s="196">
        <v>0.0</v>
      </c>
      <c r="J1968" s="199">
        <v>122500.0</v>
      </c>
      <c r="K1968" s="196"/>
      <c r="L1968" s="87">
        <v>798.0</v>
      </c>
      <c r="M1968" s="197" t="s">
        <v>587</v>
      </c>
      <c r="N1968" s="168"/>
    </row>
    <row r="1969" ht="22.5" hidden="1" customHeight="1">
      <c r="A1969" s="137" t="s">
        <v>1242</v>
      </c>
      <c r="B1969" s="90">
        <v>46108.0</v>
      </c>
      <c r="C1969" s="55">
        <v>1.0</v>
      </c>
      <c r="D1969" s="97" t="s">
        <v>178</v>
      </c>
      <c r="E1969" s="201" t="s">
        <v>721</v>
      </c>
      <c r="F1969" s="236" t="s">
        <v>1035</v>
      </c>
      <c r="G1969" s="194" t="s">
        <v>587</v>
      </c>
      <c r="H1969" s="195" t="s">
        <v>632</v>
      </c>
      <c r="I1969" s="196">
        <v>14000.0</v>
      </c>
      <c r="J1969" s="179">
        <f>IF(A1969="RAPPI",(VLOOKUP(TRIM(D1969), CATALOGO!F:G, 2, FALSE) * C1969)+I1969,IFERROR(IF(COUNTIF('RESTAURANTESDESCUENTOS 2026'!A:A,TRIM(A1969))&gt;0,((VLOOKUP(TRIM(D1969), CATALOGO!A:B, 2, FALSE) * C1969)*(1-VALUE(SUBSTITUTE(VLOOKUP(TRIM(A1969),'RESTAURANTESDESCUENTOS 2026'!A:B,2,FALSE),"%",""))/100)+I1969),(VLOOKUP(TRIM(D1969), CATALOGO!A:B, 2, FALSE) * C1969+I1969)),""))</f>
        <v>164000</v>
      </c>
      <c r="K1969" s="196">
        <v>13000.0</v>
      </c>
      <c r="L1969" s="87">
        <v>799.0</v>
      </c>
      <c r="M1969" s="197" t="s">
        <v>587</v>
      </c>
      <c r="N1969" s="168"/>
    </row>
    <row r="1970" ht="22.5" hidden="1" customHeight="1">
      <c r="A1970" s="137" t="s">
        <v>1243</v>
      </c>
      <c r="B1970" s="90">
        <v>46108.0</v>
      </c>
      <c r="C1970" s="55">
        <v>1.0</v>
      </c>
      <c r="D1970" s="97" t="s">
        <v>640</v>
      </c>
      <c r="E1970" s="201"/>
      <c r="F1970" s="236" t="s">
        <v>1035</v>
      </c>
      <c r="G1970" s="194" t="s">
        <v>587</v>
      </c>
      <c r="H1970" s="195" t="s">
        <v>632</v>
      </c>
      <c r="I1970" s="196">
        <v>14000.0</v>
      </c>
      <c r="J1970" s="179">
        <f>IF(A1970="RAPPI",(VLOOKUP(TRIM(D1970), CATALOGO!F:G, 2, FALSE) * C1970)+I1970,IFERROR(IF(COUNTIF('RESTAURANTESDESCUENTOS 2026'!A:A,TRIM(A1970))&gt;0,((VLOOKUP(TRIM(D1970), CATALOGO!A:B, 2, FALSE) * C1970)*(1-VALUE(SUBSTITUTE(VLOOKUP(TRIM(A1970),'RESTAURANTESDESCUENTOS 2026'!A:B,2,FALSE),"%",""))/100)+I1970),(VLOOKUP(TRIM(D1970), CATALOGO!A:B, 2, FALSE) * C1970+I1970)),""))</f>
        <v>67000</v>
      </c>
      <c r="K1970" s="196">
        <v>14000.0</v>
      </c>
      <c r="L1970" s="87">
        <v>800.0</v>
      </c>
      <c r="M1970" s="197" t="s">
        <v>587</v>
      </c>
      <c r="N1970" s="168"/>
    </row>
    <row r="1971" ht="22.5" hidden="1" customHeight="1">
      <c r="A1971" s="137" t="s">
        <v>1244</v>
      </c>
      <c r="B1971" s="90">
        <v>46108.0</v>
      </c>
      <c r="C1971" s="55">
        <v>2.0</v>
      </c>
      <c r="D1971" s="97" t="s">
        <v>176</v>
      </c>
      <c r="E1971" s="201"/>
      <c r="F1971" s="236" t="s">
        <v>1035</v>
      </c>
      <c r="G1971" s="194" t="s">
        <v>587</v>
      </c>
      <c r="H1971" s="195" t="s">
        <v>588</v>
      </c>
      <c r="I1971" s="196">
        <v>12000.0</v>
      </c>
      <c r="J1971" s="179">
        <f>IF(A1971="RAPPI",(VLOOKUP(TRIM(D1971), CATALOGO!F:G, 2, FALSE) * C1971)+I1971,IFERROR(IF(COUNTIF('RESTAURANTESDESCUENTOS 2026'!A:A,TRIM(A1971))&gt;0,((VLOOKUP(TRIM(D1971), CATALOGO!A:B, 2, FALSE) * C1971)*(1-VALUE(SUBSTITUTE(VLOOKUP(TRIM(A1971),'RESTAURANTESDESCUENTOS 2026'!A:B,2,FALSE),"%",""))/100)+I1971),(VLOOKUP(TRIM(D1971), CATALOGO!A:B, 2, FALSE) * C1971+I1971)),""))</f>
        <v>112000</v>
      </c>
      <c r="K1971" s="196">
        <v>8300.0</v>
      </c>
      <c r="L1971" s="87">
        <v>801.0</v>
      </c>
      <c r="M1971" s="197" t="s">
        <v>587</v>
      </c>
      <c r="N1971" s="168"/>
    </row>
    <row r="1972" ht="22.5" hidden="1" customHeight="1">
      <c r="A1972" s="137" t="s">
        <v>1245</v>
      </c>
      <c r="B1972" s="90">
        <v>46108.0</v>
      </c>
      <c r="C1972" s="55">
        <v>1.0</v>
      </c>
      <c r="D1972" s="97" t="s">
        <v>189</v>
      </c>
      <c r="E1972" s="201"/>
      <c r="F1972" s="236" t="s">
        <v>1035</v>
      </c>
      <c r="G1972" s="194" t="s">
        <v>35</v>
      </c>
      <c r="H1972" s="198"/>
      <c r="I1972" s="196">
        <v>0.0</v>
      </c>
      <c r="J1972" s="179">
        <f>IF(A1972="RAPPI",(VLOOKUP(TRIM(D1972), CATALOGO!F:G, 2, FALSE) * C1972)+I1972,IFERROR(IF(COUNTIF('RESTAURANTESDESCUENTOS 2026'!A:A,TRIM(A1972))&gt;0,((VLOOKUP(TRIM(D1972), CATALOGO!A:B, 2, FALSE) * C1972)*(1-VALUE(SUBSTITUTE(VLOOKUP(TRIM(A1972),'RESTAURANTESDESCUENTOS 2026'!A:B,2,FALSE),"%",""))/100)+I1972),(VLOOKUP(TRIM(D1972), CATALOGO!A:B, 2, FALSE) * C1972+I1972)),""))</f>
        <v>145000</v>
      </c>
      <c r="K1972" s="196"/>
      <c r="L1972" s="87">
        <v>802.0</v>
      </c>
      <c r="M1972" s="197" t="s">
        <v>587</v>
      </c>
      <c r="N1972" s="168"/>
    </row>
    <row r="1973" ht="22.5" hidden="1" customHeight="1">
      <c r="A1973" s="137" t="s">
        <v>1246</v>
      </c>
      <c r="B1973" s="90">
        <v>46108.0</v>
      </c>
      <c r="C1973" s="55">
        <v>1.0</v>
      </c>
      <c r="D1973" s="97" t="s">
        <v>708</v>
      </c>
      <c r="E1973" s="201"/>
      <c r="F1973" s="236" t="s">
        <v>1035</v>
      </c>
      <c r="G1973" s="194" t="s">
        <v>587</v>
      </c>
      <c r="H1973" s="195" t="s">
        <v>632</v>
      </c>
      <c r="I1973" s="196">
        <v>14000.0</v>
      </c>
      <c r="J1973" s="179">
        <f>IF(A1973="RAPPI",(VLOOKUP(TRIM(D1973), CATALOGO!F:G, 2, FALSE) * C1973)+I1973,IFERROR(IF(COUNTIF('RESTAURANTESDESCUENTOS 2026'!A:A,TRIM(A1973))&gt;0,((VLOOKUP(TRIM(D1973), CATALOGO!A:B, 2, FALSE) * C1973)*(1-VALUE(SUBSTITUTE(VLOOKUP(TRIM(A1973),'RESTAURANTESDESCUENTOS 2026'!A:B,2,FALSE),"%",""))/100)+I1973),(VLOOKUP(TRIM(D1973), CATALOGO!A:B, 2, FALSE) * C1973+I1973)),""))</f>
        <v>67000</v>
      </c>
      <c r="K1973" s="196">
        <v>14000.0</v>
      </c>
      <c r="L1973" s="87">
        <v>803.0</v>
      </c>
      <c r="M1973" s="197" t="s">
        <v>587</v>
      </c>
      <c r="N1973" s="168"/>
    </row>
    <row r="1974" ht="22.5" hidden="1" customHeight="1">
      <c r="A1974" s="137" t="s">
        <v>1246</v>
      </c>
      <c r="B1974" s="90">
        <v>46108.0</v>
      </c>
      <c r="C1974" s="55">
        <v>1.0</v>
      </c>
      <c r="D1974" s="97" t="s">
        <v>186</v>
      </c>
      <c r="E1974" s="201"/>
      <c r="F1974" s="236" t="s">
        <v>1035</v>
      </c>
      <c r="G1974" s="194" t="s">
        <v>587</v>
      </c>
      <c r="H1974" s="195" t="s">
        <v>632</v>
      </c>
      <c r="I1974" s="196">
        <v>0.0</v>
      </c>
      <c r="J1974" s="179">
        <f>IF(A1974="RAPPI",(VLOOKUP(TRIM(D1974), CATALOGO!F:G, 2, FALSE) * C1974)+I1974,IFERROR(IF(COUNTIF('RESTAURANTESDESCUENTOS 2026'!A:A,TRIM(A1974))&gt;0,((VLOOKUP(TRIM(D1974), CATALOGO!A:B, 2, FALSE) * C1974)*(1-VALUE(SUBSTITUTE(VLOOKUP(TRIM(A1974),'RESTAURANTESDESCUENTOS 2026'!A:B,2,FALSE),"%",""))/100)+I1974),(VLOOKUP(TRIM(D1974), CATALOGO!A:B, 2, FALSE) * C1974+I1974)),""))</f>
        <v>55000</v>
      </c>
      <c r="K1974" s="196">
        <v>0.0</v>
      </c>
      <c r="L1974" s="87">
        <v>803.0</v>
      </c>
      <c r="M1974" s="197" t="s">
        <v>587</v>
      </c>
      <c r="N1974" s="168"/>
    </row>
    <row r="1975" ht="22.5" hidden="1" customHeight="1">
      <c r="A1975" s="137" t="s">
        <v>1247</v>
      </c>
      <c r="B1975" s="90">
        <v>46108.0</v>
      </c>
      <c r="C1975" s="55">
        <v>1.0</v>
      </c>
      <c r="D1975" s="97" t="s">
        <v>176</v>
      </c>
      <c r="E1975" s="201"/>
      <c r="F1975" s="236" t="s">
        <v>1035</v>
      </c>
      <c r="G1975" s="194" t="s">
        <v>587</v>
      </c>
      <c r="H1975" s="195" t="s">
        <v>632</v>
      </c>
      <c r="I1975" s="196">
        <v>13000.0</v>
      </c>
      <c r="J1975" s="179">
        <f>IF(A1975="RAPPI",(VLOOKUP(TRIM(D1975), CATALOGO!F:G, 2, FALSE) * C1975)+I1975,IFERROR(IF(COUNTIF('RESTAURANTESDESCUENTOS 2026'!A:A,TRIM(A1975))&gt;0,((VLOOKUP(TRIM(D1975), CATALOGO!A:B, 2, FALSE) * C1975)*(1-VALUE(SUBSTITUTE(VLOOKUP(TRIM(A1975),'RESTAURANTESDESCUENTOS 2026'!A:B,2,FALSE),"%",""))/100)+I1975),(VLOOKUP(TRIM(D1975), CATALOGO!A:B, 2, FALSE) * C1975+I1975)),""))</f>
        <v>63000</v>
      </c>
      <c r="K1975" s="196">
        <v>10000.0</v>
      </c>
      <c r="L1975" s="87">
        <v>804.0</v>
      </c>
      <c r="M1975" s="197" t="s">
        <v>587</v>
      </c>
      <c r="N1975" s="168"/>
    </row>
    <row r="1976" ht="22.5" hidden="1" customHeight="1">
      <c r="A1976" s="137" t="s">
        <v>1247</v>
      </c>
      <c r="B1976" s="90">
        <v>46108.0</v>
      </c>
      <c r="C1976" s="55">
        <v>1.0</v>
      </c>
      <c r="D1976" s="97" t="s">
        <v>187</v>
      </c>
      <c r="E1976" s="201"/>
      <c r="F1976" s="236" t="s">
        <v>1035</v>
      </c>
      <c r="G1976" s="194" t="s">
        <v>587</v>
      </c>
      <c r="H1976" s="195" t="s">
        <v>632</v>
      </c>
      <c r="I1976" s="196"/>
      <c r="J1976" s="179">
        <f>IF(A1976="RAPPI",(VLOOKUP(TRIM(D1976), CATALOGO!F:G, 2, FALSE) * C1976)+I1976,IFERROR(IF(COUNTIF('RESTAURANTESDESCUENTOS 2026'!A:A,TRIM(A1976))&gt;0,((VLOOKUP(TRIM(D1976), CATALOGO!A:B, 2, FALSE) * C1976)*(1-VALUE(SUBSTITUTE(VLOOKUP(TRIM(A1976),'RESTAURANTESDESCUENTOS 2026'!A:B,2,FALSE),"%",""))/100)+I1976),(VLOOKUP(TRIM(D1976), CATALOGO!A:B, 2, FALSE) * C1976+I1976)),""))</f>
        <v>55000</v>
      </c>
      <c r="K1976" s="196">
        <v>0.0</v>
      </c>
      <c r="L1976" s="87">
        <v>804.0</v>
      </c>
      <c r="M1976" s="197" t="s">
        <v>587</v>
      </c>
      <c r="N1976" s="168"/>
    </row>
    <row r="1977" ht="22.5" hidden="1" customHeight="1">
      <c r="A1977" s="137" t="s">
        <v>1248</v>
      </c>
      <c r="B1977" s="90">
        <v>46108.0</v>
      </c>
      <c r="C1977" s="55">
        <v>1.0</v>
      </c>
      <c r="D1977" s="97" t="s">
        <v>640</v>
      </c>
      <c r="E1977" s="201"/>
      <c r="F1977" s="236" t="s">
        <v>1035</v>
      </c>
      <c r="G1977" s="194" t="s">
        <v>587</v>
      </c>
      <c r="H1977" s="195" t="s">
        <v>632</v>
      </c>
      <c r="I1977" s="196">
        <v>18000.0</v>
      </c>
      <c r="J1977" s="179">
        <f>IF(A1977="RAPPI",(VLOOKUP(TRIM(D1977), CATALOGO!F:G, 2, FALSE) * C1977)+I1977,IFERROR(IF(COUNTIF('RESTAURANTESDESCUENTOS 2026'!A:A,TRIM(A1977))&gt;0,((VLOOKUP(TRIM(D1977), CATALOGO!A:B, 2, FALSE) * C1977)*(1-VALUE(SUBSTITUTE(VLOOKUP(TRIM(A1977),'RESTAURANTESDESCUENTOS 2026'!A:B,2,FALSE),"%",""))/100)+I1977),(VLOOKUP(TRIM(D1977), CATALOGO!A:B, 2, FALSE) * C1977+I1977)),""))</f>
        <v>71000</v>
      </c>
      <c r="K1977" s="196">
        <v>18000.0</v>
      </c>
      <c r="L1977" s="87">
        <v>805.0</v>
      </c>
      <c r="M1977" s="197" t="s">
        <v>587</v>
      </c>
      <c r="N1977" s="168"/>
    </row>
    <row r="1978" ht="22.5" hidden="1" customHeight="1">
      <c r="A1978" s="137" t="s">
        <v>1249</v>
      </c>
      <c r="B1978" s="90">
        <v>46108.0</v>
      </c>
      <c r="C1978" s="55">
        <v>1.0</v>
      </c>
      <c r="D1978" s="97" t="s">
        <v>697</v>
      </c>
      <c r="E1978" s="201" t="s">
        <v>1250</v>
      </c>
      <c r="F1978" s="202"/>
      <c r="G1978" s="194" t="s">
        <v>587</v>
      </c>
      <c r="H1978" s="195" t="s">
        <v>632</v>
      </c>
      <c r="I1978" s="196">
        <v>10000.0</v>
      </c>
      <c r="J1978" s="179">
        <f>IF(A1978="RAPPI",(VLOOKUP(TRIM(D1978), CATALOGO!F:G, 2, FALSE) * C1978)+I1978,IFERROR(IF(COUNTIF('RESTAURANTESDESCUENTOS 2026'!A:A,TRIM(A1978))&gt;0,((VLOOKUP(TRIM(D1978), CATALOGO!A:B, 2, FALSE) * C1978)*(1-VALUE(SUBSTITUTE(VLOOKUP(TRIM(A1978),'RESTAURANTESDESCUENTOS 2026'!A:B,2,FALSE),"%",""))/100)+I1978),(VLOOKUP(TRIM(D1978), CATALOGO!A:B, 2, FALSE) * C1978+I1978)),""))</f>
        <v>173000</v>
      </c>
      <c r="K1978" s="196">
        <v>10000.0</v>
      </c>
      <c r="L1978" s="87">
        <v>806.0</v>
      </c>
      <c r="M1978" s="197" t="s">
        <v>587</v>
      </c>
      <c r="N1978" s="168"/>
    </row>
    <row r="1979" ht="22.5" hidden="1" customHeight="1">
      <c r="A1979" s="137" t="s">
        <v>1251</v>
      </c>
      <c r="B1979" s="90">
        <v>46108.0</v>
      </c>
      <c r="C1979" s="55">
        <v>1.0</v>
      </c>
      <c r="D1979" s="97" t="s">
        <v>177</v>
      </c>
      <c r="E1979" s="201" t="s">
        <v>1252</v>
      </c>
      <c r="F1979" s="202"/>
      <c r="G1979" s="194" t="s">
        <v>587</v>
      </c>
      <c r="H1979" s="195" t="s">
        <v>588</v>
      </c>
      <c r="I1979" s="196">
        <v>13000.0</v>
      </c>
      <c r="J1979" s="199">
        <v>35000.0</v>
      </c>
      <c r="K1979" s="196">
        <v>14300.0</v>
      </c>
      <c r="L1979" s="87">
        <v>810.0</v>
      </c>
      <c r="M1979" s="197" t="s">
        <v>587</v>
      </c>
      <c r="N1979" s="168"/>
    </row>
    <row r="1980" ht="22.5" hidden="1" customHeight="1">
      <c r="A1980" s="137" t="s">
        <v>1253</v>
      </c>
      <c r="B1980" s="90">
        <v>46108.0</v>
      </c>
      <c r="C1980" s="55">
        <v>1.0</v>
      </c>
      <c r="D1980" s="97" t="s">
        <v>176</v>
      </c>
      <c r="E1980" s="201"/>
      <c r="F1980" s="236" t="s">
        <v>1035</v>
      </c>
      <c r="G1980" s="194" t="s">
        <v>35</v>
      </c>
      <c r="H1980" s="198"/>
      <c r="I1980" s="196"/>
      <c r="J1980" s="179">
        <f>IF(A1980="RAPPI",(VLOOKUP(TRIM(D1980), CATALOGO!F:G, 2, FALSE) * C1980)+I1980,IFERROR(IF(COUNTIF('RESTAURANTESDESCUENTOS 2026'!A:A,TRIM(A1980))&gt;0,((VLOOKUP(TRIM(D1980), CATALOGO!A:B, 2, FALSE) * C1980)*(1-VALUE(SUBSTITUTE(VLOOKUP(TRIM(A1980),'RESTAURANTESDESCUENTOS 2026'!A:B,2,FALSE),"%",""))/100)+I1980),(VLOOKUP(TRIM(D1980), CATALOGO!A:B, 2, FALSE) * C1980+I1980)),""))</f>
        <v>50000</v>
      </c>
      <c r="K1980" s="196"/>
      <c r="L1980" s="87">
        <v>809.0</v>
      </c>
      <c r="M1980" s="197" t="s">
        <v>587</v>
      </c>
      <c r="N1980" s="168"/>
    </row>
    <row r="1981" ht="22.5" hidden="1" customHeight="1">
      <c r="A1981" s="137" t="s">
        <v>1254</v>
      </c>
      <c r="B1981" s="90">
        <v>46108.0</v>
      </c>
      <c r="C1981" s="55">
        <v>1.0</v>
      </c>
      <c r="D1981" s="97" t="s">
        <v>186</v>
      </c>
      <c r="E1981" s="201"/>
      <c r="F1981" s="236" t="s">
        <v>1035</v>
      </c>
      <c r="G1981" s="194" t="s">
        <v>587</v>
      </c>
      <c r="H1981" s="195" t="s">
        <v>588</v>
      </c>
      <c r="I1981" s="196">
        <v>14000.0</v>
      </c>
      <c r="J1981" s="179">
        <f>IF(A1981="RAPPI",(VLOOKUP(TRIM(D1981), CATALOGO!F:G, 2, FALSE) * C1981)+I1981,IFERROR(IF(COUNTIF('RESTAURANTESDESCUENTOS 2026'!A:A,TRIM(A1981))&gt;0,((VLOOKUP(TRIM(D1981), CATALOGO!A:B, 2, FALSE) * C1981)*(1-VALUE(SUBSTITUTE(VLOOKUP(TRIM(A1981),'RESTAURANTESDESCUENTOS 2026'!A:B,2,FALSE),"%",""))/100)+I1981),(VLOOKUP(TRIM(D1981), CATALOGO!A:B, 2, FALSE) * C1981+I1981)),""))</f>
        <v>69000</v>
      </c>
      <c r="K1981" s="196">
        <v>19200.0</v>
      </c>
      <c r="L1981" s="87">
        <v>808.0</v>
      </c>
      <c r="M1981" s="197" t="s">
        <v>587</v>
      </c>
      <c r="N1981" s="168"/>
    </row>
    <row r="1982" ht="22.5" hidden="1" customHeight="1">
      <c r="A1982" s="137" t="s">
        <v>1161</v>
      </c>
      <c r="B1982" s="90">
        <v>46108.0</v>
      </c>
      <c r="C1982" s="55">
        <v>1.0</v>
      </c>
      <c r="D1982" s="97" t="s">
        <v>176</v>
      </c>
      <c r="E1982" s="201"/>
      <c r="F1982" s="236" t="s">
        <v>1035</v>
      </c>
      <c r="G1982" s="194" t="s">
        <v>587</v>
      </c>
      <c r="H1982" s="195" t="s">
        <v>588</v>
      </c>
      <c r="I1982" s="196">
        <v>14000.0</v>
      </c>
      <c r="J1982" s="179">
        <f>IF(A1982="RAPPI",(VLOOKUP(TRIM(D1982), CATALOGO!F:G, 2, FALSE) * C1982)+I1982,IFERROR(IF(COUNTIF('RESTAURANTESDESCUENTOS 2026'!A:A,TRIM(A1982))&gt;0,((VLOOKUP(TRIM(D1982), CATALOGO!A:B, 2, FALSE) * C1982)*(1-VALUE(SUBSTITUTE(VLOOKUP(TRIM(A1982),'RESTAURANTESDESCUENTOS 2026'!A:B,2,FALSE),"%",""))/100)+I1982),(VLOOKUP(TRIM(D1982), CATALOGO!A:B, 2, FALSE) * C1982+I1982)),""))</f>
        <v>64000</v>
      </c>
      <c r="K1982" s="196">
        <v>16500.0</v>
      </c>
      <c r="L1982" s="87">
        <v>807.0</v>
      </c>
      <c r="M1982" s="197" t="s">
        <v>587</v>
      </c>
      <c r="N1982" s="168"/>
    </row>
    <row r="1983" ht="22.5" hidden="1" customHeight="1">
      <c r="A1983" s="137" t="s">
        <v>603</v>
      </c>
      <c r="B1983" s="90">
        <v>46108.0</v>
      </c>
      <c r="C1983" s="55">
        <v>1.0</v>
      </c>
      <c r="D1983" s="97" t="s">
        <v>176</v>
      </c>
      <c r="E1983" s="201"/>
      <c r="F1983" s="236" t="s">
        <v>603</v>
      </c>
      <c r="G1983" s="194" t="s">
        <v>587</v>
      </c>
      <c r="H1983" s="195" t="s">
        <v>603</v>
      </c>
      <c r="I1983" s="196"/>
      <c r="J1983" s="179">
        <f>IF(A1983="RAPPI",(VLOOKUP(TRIM(D1983), CATALOGO!F:G, 2, FALSE) * C1983)+I1983,IFERROR(IF(COUNTIF('RESTAURANTESDESCUENTOS 2026'!A:A,TRIM(A1983))&gt;0,((VLOOKUP(TRIM(D1983), CATALOGO!A:B, 2, FALSE) * C1983)*(1-VALUE(SUBSTITUTE(VLOOKUP(TRIM(A1983),'RESTAURANTESDESCUENTOS 2026'!A:B,2,FALSE),"%",""))/100)+I1983),(VLOOKUP(TRIM(D1983), CATALOGO!A:B, 2, FALSE) * C1983+I1983)),""))</f>
        <v>50000</v>
      </c>
      <c r="K1983" s="196"/>
      <c r="L1983" s="87">
        <v>795.0</v>
      </c>
      <c r="M1983" s="197" t="s">
        <v>587</v>
      </c>
      <c r="N1983" s="168"/>
    </row>
    <row r="1984" ht="22.5" hidden="1" customHeight="1">
      <c r="A1984" s="137" t="s">
        <v>603</v>
      </c>
      <c r="B1984" s="90">
        <v>46108.0</v>
      </c>
      <c r="C1984" s="55">
        <v>1.0</v>
      </c>
      <c r="D1984" s="97" t="s">
        <v>176</v>
      </c>
      <c r="E1984" s="201"/>
      <c r="F1984" s="236" t="s">
        <v>603</v>
      </c>
      <c r="G1984" s="194" t="s">
        <v>587</v>
      </c>
      <c r="H1984" s="195" t="s">
        <v>603</v>
      </c>
      <c r="I1984" s="196"/>
      <c r="J1984" s="179">
        <f>IF(A1984="RAPPI",(VLOOKUP(TRIM(D1984), CATALOGO!F:G, 2, FALSE) * C1984)+I1984,IFERROR(IF(COUNTIF('RESTAURANTESDESCUENTOS 2026'!A:A,TRIM(A1984))&gt;0,((VLOOKUP(TRIM(D1984), CATALOGO!A:B, 2, FALSE) * C1984)*(1-VALUE(SUBSTITUTE(VLOOKUP(TRIM(A1984),'RESTAURANTESDESCUENTOS 2026'!A:B,2,FALSE),"%",""))/100)+I1984),(VLOOKUP(TRIM(D1984), CATALOGO!A:B, 2, FALSE) * C1984+I1984)),""))</f>
        <v>50000</v>
      </c>
      <c r="K1984" s="196"/>
      <c r="L1984" s="87">
        <v>795.0</v>
      </c>
      <c r="M1984" s="197" t="s">
        <v>587</v>
      </c>
      <c r="N1984" s="168"/>
    </row>
    <row r="1985" ht="22.5" hidden="1" customHeight="1">
      <c r="A1985" s="137" t="s">
        <v>603</v>
      </c>
      <c r="B1985" s="90">
        <v>46108.0</v>
      </c>
      <c r="C1985" s="55">
        <v>1.0</v>
      </c>
      <c r="D1985" s="97" t="s">
        <v>602</v>
      </c>
      <c r="E1985" s="201"/>
      <c r="F1985" s="236" t="s">
        <v>603</v>
      </c>
      <c r="G1985" s="194" t="s">
        <v>587</v>
      </c>
      <c r="H1985" s="195" t="s">
        <v>603</v>
      </c>
      <c r="I1985" s="196"/>
      <c r="J1985" s="179">
        <f>IF(A1985="RAPPI",(VLOOKUP(TRIM(D1985), CATALOGO!F:G, 2, FALSE) * C1985)+I1985,IFERROR(IF(COUNTIF('RESTAURANTESDESCUENTOS 2026'!A:A,TRIM(A1985))&gt;0,((VLOOKUP(TRIM(D1985), CATALOGO!A:B, 2, FALSE) * C1985)*(1-VALUE(SUBSTITUTE(VLOOKUP(TRIM(A1985),'RESTAURANTESDESCUENTOS 2026'!A:B,2,FALSE),"%",""))/100)+I1985),(VLOOKUP(TRIM(D1985), CATALOGO!A:B, 2, FALSE) * C1985+I1985)),""))</f>
        <v>22000</v>
      </c>
      <c r="K1985" s="196"/>
      <c r="L1985" s="87">
        <v>795.0</v>
      </c>
      <c r="M1985" s="197" t="s">
        <v>587</v>
      </c>
      <c r="N1985" s="168"/>
    </row>
    <row r="1986" ht="22.5" hidden="1" customHeight="1">
      <c r="A1986" s="137" t="s">
        <v>603</v>
      </c>
      <c r="B1986" s="90">
        <v>46108.0</v>
      </c>
      <c r="C1986" s="55">
        <v>1.0</v>
      </c>
      <c r="D1986" s="97" t="s">
        <v>174</v>
      </c>
      <c r="E1986" s="201"/>
      <c r="F1986" s="236" t="s">
        <v>603</v>
      </c>
      <c r="G1986" s="194" t="s">
        <v>587</v>
      </c>
      <c r="H1986" s="195" t="s">
        <v>603</v>
      </c>
      <c r="I1986" s="196"/>
      <c r="J1986" s="179">
        <f>IF(A1986="RAPPI",(VLOOKUP(TRIM(D1986), CATALOGO!F:G, 2, FALSE) * C1986)+I1986,IFERROR(IF(COUNTIF('RESTAURANTESDESCUENTOS 2026'!A:A,TRIM(A1986))&gt;0,((VLOOKUP(TRIM(D1986), CATALOGO!A:B, 2, FALSE) * C1986)*(1-VALUE(SUBSTITUTE(VLOOKUP(TRIM(A1986),'RESTAURANTESDESCUENTOS 2026'!A:B,2,FALSE),"%",""))/100)+I1986),(VLOOKUP(TRIM(D1986), CATALOGO!A:B, 2, FALSE) * C1986+I1986)),""))</f>
        <v>18000</v>
      </c>
      <c r="K1986" s="196"/>
      <c r="L1986" s="87">
        <v>795.0</v>
      </c>
      <c r="M1986" s="197" t="s">
        <v>587</v>
      </c>
      <c r="N1986" s="168"/>
    </row>
    <row r="1987" ht="22.5" hidden="1" customHeight="1">
      <c r="A1987" s="137" t="s">
        <v>1126</v>
      </c>
      <c r="B1987" s="90">
        <v>46108.0</v>
      </c>
      <c r="C1987" s="55">
        <v>1.0</v>
      </c>
      <c r="D1987" s="97" t="s">
        <v>176</v>
      </c>
      <c r="E1987" s="201"/>
      <c r="F1987" s="236" t="s">
        <v>1036</v>
      </c>
      <c r="G1987" s="194" t="s">
        <v>35</v>
      </c>
      <c r="H1987" s="198"/>
      <c r="I1987" s="196"/>
      <c r="J1987" s="179">
        <f>IF(A1987="RAPPI",(VLOOKUP(TRIM(D1987), CATALOGO!F:G, 2, FALSE) * C1987)+I1987,IFERROR(IF(COUNTIF('RESTAURANTESDESCUENTOS 2026'!A:A,TRIM(A1987))&gt;0,((VLOOKUP(TRIM(D1987), CATALOGO!A:B, 2, FALSE) * C1987)*(1-VALUE(SUBSTITUTE(VLOOKUP(TRIM(A1987),'RESTAURANTESDESCUENTOS 2026'!A:B,2,FALSE),"%",""))/100)+I1987),(VLOOKUP(TRIM(D1987), CATALOGO!A:B, 2, FALSE) * C1987+I1987)),""))</f>
        <v>50000</v>
      </c>
      <c r="K1987" s="196"/>
      <c r="L1987" s="87">
        <v>796.0</v>
      </c>
      <c r="M1987" s="197" t="s">
        <v>587</v>
      </c>
      <c r="N1987" s="168"/>
    </row>
    <row r="1988" ht="22.5" hidden="1" customHeight="1">
      <c r="A1988" s="137" t="s">
        <v>1126</v>
      </c>
      <c r="B1988" s="90">
        <v>46108.0</v>
      </c>
      <c r="C1988" s="55">
        <v>1.0</v>
      </c>
      <c r="D1988" s="97" t="s">
        <v>176</v>
      </c>
      <c r="E1988" s="201"/>
      <c r="F1988" s="236" t="s">
        <v>1036</v>
      </c>
      <c r="G1988" s="194" t="s">
        <v>35</v>
      </c>
      <c r="H1988" s="198"/>
      <c r="I1988" s="196"/>
      <c r="J1988" s="179">
        <f>IF(A1988="RAPPI",(VLOOKUP(TRIM(D1988), CATALOGO!F:G, 2, FALSE) * C1988)+I1988,IFERROR(IF(COUNTIF('RESTAURANTESDESCUENTOS 2026'!A:A,TRIM(A1988))&gt;0,((VLOOKUP(TRIM(D1988), CATALOGO!A:B, 2, FALSE) * C1988)*(1-VALUE(SUBSTITUTE(VLOOKUP(TRIM(A1988),'RESTAURANTESDESCUENTOS 2026'!A:B,2,FALSE),"%",""))/100)+I1988),(VLOOKUP(TRIM(D1988), CATALOGO!A:B, 2, FALSE) * C1988+I1988)),""))</f>
        <v>50000</v>
      </c>
      <c r="K1988" s="196"/>
      <c r="L1988" s="87">
        <v>796.0</v>
      </c>
      <c r="M1988" s="197" t="s">
        <v>587</v>
      </c>
      <c r="N1988" s="168"/>
    </row>
    <row r="1989" ht="22.5" hidden="1" customHeight="1">
      <c r="A1989" s="137" t="s">
        <v>1126</v>
      </c>
      <c r="B1989" s="90">
        <v>46108.0</v>
      </c>
      <c r="C1989" s="55">
        <v>1.0</v>
      </c>
      <c r="D1989" s="97" t="s">
        <v>176</v>
      </c>
      <c r="E1989" s="201"/>
      <c r="F1989" s="236" t="s">
        <v>864</v>
      </c>
      <c r="G1989" s="194" t="s">
        <v>35</v>
      </c>
      <c r="H1989" s="198"/>
      <c r="I1989" s="196"/>
      <c r="J1989" s="179">
        <f>IF(A1989="RAPPI",(VLOOKUP(TRIM(D1989), CATALOGO!F:G, 2, FALSE) * C1989)+I1989,IFERROR(IF(COUNTIF('RESTAURANTESDESCUENTOS 2026'!A:A,TRIM(A1989))&gt;0,((VLOOKUP(TRIM(D1989), CATALOGO!A:B, 2, FALSE) * C1989)*(1-VALUE(SUBSTITUTE(VLOOKUP(TRIM(A1989),'RESTAURANTESDESCUENTOS 2026'!A:B,2,FALSE),"%",""))/100)+I1989),(VLOOKUP(TRIM(D1989), CATALOGO!A:B, 2, FALSE) * C1989+I1989)),""))</f>
        <v>50000</v>
      </c>
      <c r="K1989" s="196"/>
      <c r="L1989" s="87">
        <v>796.0</v>
      </c>
      <c r="M1989" s="197" t="s">
        <v>587</v>
      </c>
      <c r="N1989" s="168"/>
    </row>
    <row r="1990" ht="22.5" hidden="1" customHeight="1">
      <c r="A1990" s="137" t="s">
        <v>597</v>
      </c>
      <c r="B1990" s="90">
        <v>46109.0</v>
      </c>
      <c r="C1990" s="55">
        <v>8.0</v>
      </c>
      <c r="D1990" s="97" t="s">
        <v>178</v>
      </c>
      <c r="E1990" s="201"/>
      <c r="F1990" s="202"/>
      <c r="G1990" s="194"/>
      <c r="H1990" s="198"/>
      <c r="I1990" s="196"/>
      <c r="J1990" s="179"/>
      <c r="K1990" s="196"/>
      <c r="L1990" s="87"/>
      <c r="M1990" s="197" t="s">
        <v>587</v>
      </c>
      <c r="N1990" s="246" t="s">
        <v>587</v>
      </c>
    </row>
    <row r="1991" ht="22.5" hidden="1" customHeight="1">
      <c r="A1991" s="137" t="s">
        <v>597</v>
      </c>
      <c r="B1991" s="90">
        <v>46109.0</v>
      </c>
      <c r="C1991" s="55">
        <v>4.0</v>
      </c>
      <c r="D1991" s="97" t="s">
        <v>177</v>
      </c>
      <c r="E1991" s="201"/>
      <c r="F1991" s="202"/>
      <c r="G1991" s="194"/>
      <c r="H1991" s="198"/>
      <c r="I1991" s="196"/>
      <c r="J1991" s="179"/>
      <c r="K1991" s="196"/>
      <c r="L1991" s="87"/>
      <c r="M1991" s="197" t="s">
        <v>587</v>
      </c>
      <c r="N1991" s="246" t="s">
        <v>587</v>
      </c>
    </row>
    <row r="1992" ht="23.25" hidden="1" customHeight="1">
      <c r="A1992" s="137" t="s">
        <v>597</v>
      </c>
      <c r="B1992" s="90">
        <v>46109.0</v>
      </c>
      <c r="C1992" s="55">
        <v>5.0</v>
      </c>
      <c r="D1992" s="97" t="s">
        <v>176</v>
      </c>
      <c r="E1992" s="201"/>
      <c r="F1992" s="202"/>
      <c r="G1992" s="194"/>
      <c r="H1992" s="198"/>
      <c r="I1992" s="196"/>
      <c r="J1992" s="179"/>
      <c r="K1992" s="196"/>
      <c r="L1992" s="87"/>
      <c r="M1992" s="197" t="s">
        <v>587</v>
      </c>
      <c r="N1992" s="246" t="s">
        <v>587</v>
      </c>
    </row>
    <row r="1993" ht="22.5" hidden="1" customHeight="1">
      <c r="A1993" s="230" t="s">
        <v>623</v>
      </c>
      <c r="B1993" s="214">
        <v>46109.0</v>
      </c>
      <c r="C1993" s="70">
        <v>1.0</v>
      </c>
      <c r="D1993" s="215" t="s">
        <v>189</v>
      </c>
      <c r="E1993" s="70"/>
      <c r="F1993" s="215" t="s">
        <v>864</v>
      </c>
      <c r="G1993" s="216" t="s">
        <v>587</v>
      </c>
      <c r="H1993" s="217" t="s">
        <v>632</v>
      </c>
      <c r="I1993" s="218">
        <v>10000.0</v>
      </c>
      <c r="J1993" s="219">
        <f>IF(A1993="RAPPI",(VLOOKUP(TRIM(D1993), CATALOGO!F:G, 2, FALSE) * C1993)+I1993,IFERROR(IF(COUNTIF('RESTAURANTESDESCUENTOS 2026'!A:A,TRIM(A1993))&gt;0,((VLOOKUP(TRIM(D1993), CATALOGO!A:B, 2, FALSE) * C1993)*(1-VALUE(SUBSTITUTE(VLOOKUP(TRIM(A1993),'RESTAURANTESDESCUENTOS 2026'!A:B,2,FALSE),"%",""))/100)+I1993),(VLOOKUP(TRIM(D1993), CATALOGO!A:B, 2, FALSE) * C1993+I1993)),""))</f>
        <v>155000</v>
      </c>
      <c r="K1993" s="218">
        <v>10000.0</v>
      </c>
      <c r="L1993" s="220">
        <v>825.0</v>
      </c>
      <c r="M1993" s="197" t="s">
        <v>587</v>
      </c>
      <c r="N1993" s="168"/>
    </row>
    <row r="1994" ht="22.5" hidden="1" customHeight="1">
      <c r="A1994" s="137" t="s">
        <v>131</v>
      </c>
      <c r="B1994" s="90">
        <v>46109.0</v>
      </c>
      <c r="C1994" s="55">
        <v>1.0</v>
      </c>
      <c r="D1994" s="97" t="s">
        <v>178</v>
      </c>
      <c r="E1994" s="201" t="s">
        <v>1255</v>
      </c>
      <c r="F1994" s="202"/>
      <c r="G1994" s="194" t="s">
        <v>587</v>
      </c>
      <c r="H1994" s="195" t="s">
        <v>632</v>
      </c>
      <c r="I1994" s="196">
        <v>5000.0</v>
      </c>
      <c r="J1994" s="179">
        <f>IF(A1994="RAPPI",(VLOOKUP(TRIM(D1994), CATALOGO!F:G, 2, FALSE) * C1994)+I1994,IFERROR(IF(COUNTIF('RESTAURANTESDESCUENTOS 2026'!A:A,TRIM(A1994))&gt;0,((VLOOKUP(TRIM(D1994), CATALOGO!A:B, 2, FALSE) * C1994)*(1-VALUE(SUBSTITUTE(VLOOKUP(TRIM(A1994),'RESTAURANTESDESCUENTOS 2026'!A:B,2,FALSE),"%",""))/100)+I1994),(VLOOKUP(TRIM(D1994), CATALOGO!A:B, 2, FALSE) * C1994+I1994)),""))</f>
        <v>110000</v>
      </c>
      <c r="K1994" s="218">
        <v>10000.0</v>
      </c>
      <c r="L1994" s="87">
        <v>811.0</v>
      </c>
      <c r="M1994" s="197" t="s">
        <v>587</v>
      </c>
      <c r="N1994" s="168"/>
    </row>
    <row r="1995" ht="22.5" hidden="1" customHeight="1">
      <c r="A1995" s="137" t="s">
        <v>55</v>
      </c>
      <c r="B1995" s="90">
        <v>46109.0</v>
      </c>
      <c r="C1995" s="55">
        <v>4.0</v>
      </c>
      <c r="D1995" s="97" t="s">
        <v>178</v>
      </c>
      <c r="E1995" s="201"/>
      <c r="F1995" s="202"/>
      <c r="G1995" s="194" t="s">
        <v>587</v>
      </c>
      <c r="H1995" s="195" t="s">
        <v>632</v>
      </c>
      <c r="I1995" s="196">
        <v>10000.0</v>
      </c>
      <c r="J1995" s="179">
        <f>IF(A1995="RAPPI",(VLOOKUP(TRIM(D1995), CATALOGO!F:G, 2, FALSE) * C1995)+I1995,IFERROR(IF(COUNTIF('RESTAURANTESDESCUENTOS 2026'!A:A,TRIM(A1995))&gt;0,((VLOOKUP(TRIM(D1995), CATALOGO!A:B, 2, FALSE) * C1995)*(1-VALUE(SUBSTITUTE(VLOOKUP(TRIM(A1995),'RESTAURANTESDESCUENTOS 2026'!A:B,2,FALSE),"%",""))/100)+I1995),(VLOOKUP(TRIM(D1995), CATALOGO!A:B, 2, FALSE) * C1995+I1995)),""))</f>
        <v>460000</v>
      </c>
      <c r="K1995" s="218">
        <v>10000.0</v>
      </c>
      <c r="L1995" s="87">
        <v>812.0</v>
      </c>
      <c r="M1995" s="197" t="s">
        <v>587</v>
      </c>
      <c r="N1995" s="168"/>
    </row>
    <row r="1996" ht="22.5" hidden="1" customHeight="1">
      <c r="A1996" s="137" t="s">
        <v>106</v>
      </c>
      <c r="B1996" s="90">
        <v>46109.0</v>
      </c>
      <c r="C1996" s="55">
        <v>1.0</v>
      </c>
      <c r="D1996" s="97" t="s">
        <v>178</v>
      </c>
      <c r="E1996" s="201"/>
      <c r="F1996" s="202"/>
      <c r="G1996" s="194" t="s">
        <v>587</v>
      </c>
      <c r="H1996" s="195" t="s">
        <v>632</v>
      </c>
      <c r="I1996" s="196">
        <v>8000.0</v>
      </c>
      <c r="J1996" s="179">
        <f>IF(A1996="RAPPI",(VLOOKUP(TRIM(D1996), CATALOGO!F:G, 2, FALSE) * C1996)+I1996,IFERROR(IF(COUNTIF('RESTAURANTESDESCUENTOS 2026'!A:A,TRIM(A1996))&gt;0,((VLOOKUP(TRIM(D1996), CATALOGO!A:B, 2, FALSE) * C1996)*(1-VALUE(SUBSTITUTE(VLOOKUP(TRIM(A1996),'RESTAURANTESDESCUENTOS 2026'!A:B,2,FALSE),"%",""))/100)+I1996),(VLOOKUP(TRIM(D1996), CATALOGO!A:B, 2, FALSE) * C1996+I1996)),""))</f>
        <v>105125</v>
      </c>
      <c r="K1996" s="218">
        <v>10000.0</v>
      </c>
      <c r="L1996" s="87">
        <v>813.0</v>
      </c>
      <c r="M1996" s="197" t="s">
        <v>587</v>
      </c>
      <c r="N1996" s="168"/>
    </row>
    <row r="1997" ht="22.5" hidden="1" customHeight="1">
      <c r="A1997" s="230" t="s">
        <v>1256</v>
      </c>
      <c r="B1997" s="214">
        <v>46109.0</v>
      </c>
      <c r="C1997" s="70">
        <v>2.0</v>
      </c>
      <c r="D1997" s="215" t="s">
        <v>186</v>
      </c>
      <c r="E1997" s="201"/>
      <c r="F1997" s="236" t="s">
        <v>1035</v>
      </c>
      <c r="G1997" s="194" t="s">
        <v>587</v>
      </c>
      <c r="H1997" s="195" t="s">
        <v>632</v>
      </c>
      <c r="I1997" s="196">
        <v>15000.0</v>
      </c>
      <c r="J1997" s="179">
        <f>IF(A1997="RAPPI",(VLOOKUP(TRIM(D1997), CATALOGO!F:G, 2, FALSE) * C1997)+I1997,IFERROR(IF(COUNTIF('RESTAURANTESDESCUENTOS 2026'!A:A,TRIM(A1997))&gt;0,((VLOOKUP(TRIM(D1997), CATALOGO!A:B, 2, FALSE) * C1997)*(1-VALUE(SUBSTITUTE(VLOOKUP(TRIM(A1997),'RESTAURANTESDESCUENTOS 2026'!A:B,2,FALSE),"%",""))/100)+I1997),(VLOOKUP(TRIM(D1997), CATALOGO!A:B, 2, FALSE) * C1997+I1997)),""))</f>
        <v>125000</v>
      </c>
      <c r="K1997" s="196">
        <v>20000.0</v>
      </c>
      <c r="L1997" s="87">
        <v>817.0</v>
      </c>
      <c r="M1997" s="197" t="s">
        <v>587</v>
      </c>
      <c r="N1997" s="168"/>
    </row>
    <row r="1998" ht="22.5" hidden="1" customHeight="1">
      <c r="A1998" s="230" t="s">
        <v>1257</v>
      </c>
      <c r="B1998" s="214">
        <v>46109.0</v>
      </c>
      <c r="C1998" s="70">
        <v>1.0</v>
      </c>
      <c r="D1998" s="215" t="s">
        <v>177</v>
      </c>
      <c r="E1998" s="201"/>
      <c r="F1998" s="236" t="s">
        <v>1035</v>
      </c>
      <c r="G1998" s="194" t="s">
        <v>587</v>
      </c>
      <c r="H1998" s="195" t="s">
        <v>632</v>
      </c>
      <c r="I1998" s="196">
        <v>10000.0</v>
      </c>
      <c r="J1998" s="179">
        <f>IF(A1998="RAPPI",(VLOOKUP(TRIM(D1998), CATALOGO!F:G, 2, FALSE) * C1998)+I1998,IFERROR(IF(COUNTIF('RESTAURANTESDESCUENTOS 2026'!A:A,TRIM(A1998))&gt;0,((VLOOKUP(TRIM(D1998), CATALOGO!A:B, 2, FALSE) * C1998)*(1-VALUE(SUBSTITUTE(VLOOKUP(TRIM(A1998),'RESTAURANTESDESCUENTOS 2026'!A:B,2,FALSE),"%",""))/100)+I1998),(VLOOKUP(TRIM(D1998), CATALOGO!A:B, 2, FALSE) * C1998+I1998)),""))</f>
        <v>125000</v>
      </c>
      <c r="K1998" s="218">
        <v>10000.0</v>
      </c>
      <c r="L1998" s="87">
        <v>818.0</v>
      </c>
      <c r="M1998" s="197" t="s">
        <v>587</v>
      </c>
      <c r="N1998" s="168"/>
    </row>
    <row r="1999" ht="22.5" hidden="1" customHeight="1">
      <c r="A1999" s="230" t="s">
        <v>1258</v>
      </c>
      <c r="B1999" s="214">
        <v>46109.0</v>
      </c>
      <c r="C1999" s="70">
        <v>1.0</v>
      </c>
      <c r="D1999" s="215" t="s">
        <v>177</v>
      </c>
      <c r="E1999" s="201"/>
      <c r="F1999" s="236" t="s">
        <v>1035</v>
      </c>
      <c r="G1999" s="194" t="s">
        <v>35</v>
      </c>
      <c r="H1999" s="198"/>
      <c r="I1999" s="196"/>
      <c r="J1999" s="179">
        <f>IF(A1999="RAPPI",(VLOOKUP(TRIM(D1999), CATALOGO!F:G, 2, FALSE) * C1999)+I1999,IFERROR(IF(COUNTIF('RESTAURANTESDESCUENTOS 2026'!A:A,TRIM(A1999))&gt;0,((VLOOKUP(TRIM(D1999), CATALOGO!A:B, 2, FALSE) * C1999)*(1-VALUE(SUBSTITUTE(VLOOKUP(TRIM(A1999),'RESTAURANTESDESCUENTOS 2026'!A:B,2,FALSE),"%",""))/100)+I1999),(VLOOKUP(TRIM(D1999), CATALOGO!A:B, 2, FALSE) * C1999+I1999)),""))</f>
        <v>115000</v>
      </c>
      <c r="K1999" s="196"/>
      <c r="L1999" s="87">
        <v>819.0</v>
      </c>
      <c r="M1999" s="197" t="s">
        <v>587</v>
      </c>
      <c r="N1999" s="168"/>
    </row>
    <row r="2000" ht="22.5" hidden="1" customHeight="1">
      <c r="A2000" s="230" t="s">
        <v>1259</v>
      </c>
      <c r="B2000" s="214">
        <v>46109.0</v>
      </c>
      <c r="C2000" s="70">
        <v>1.0</v>
      </c>
      <c r="D2000" s="215" t="s">
        <v>176</v>
      </c>
      <c r="E2000" s="201"/>
      <c r="F2000" s="236" t="s">
        <v>1035</v>
      </c>
      <c r="G2000" s="194" t="s">
        <v>587</v>
      </c>
      <c r="H2000" s="195" t="s">
        <v>632</v>
      </c>
      <c r="I2000" s="196">
        <v>13000.0</v>
      </c>
      <c r="J2000" s="179">
        <f>IF(A2000="RAPPI",(VLOOKUP(TRIM(D2000), CATALOGO!F:G, 2, FALSE) * C2000)+I2000,IFERROR(IF(COUNTIF('RESTAURANTESDESCUENTOS 2026'!A:A,TRIM(A2000))&gt;0,((VLOOKUP(TRIM(D2000), CATALOGO!A:B, 2, FALSE) * C2000)*(1-VALUE(SUBSTITUTE(VLOOKUP(TRIM(A2000),'RESTAURANTESDESCUENTOS 2026'!A:B,2,FALSE),"%",""))/100)+I2000),(VLOOKUP(TRIM(D2000), CATALOGO!A:B, 2, FALSE) * C2000+I2000)),""))</f>
        <v>63000</v>
      </c>
      <c r="K2000" s="196">
        <v>12000.0</v>
      </c>
      <c r="L2000" s="87">
        <v>820.0</v>
      </c>
      <c r="M2000" s="197" t="s">
        <v>587</v>
      </c>
      <c r="N2000" s="168"/>
    </row>
    <row r="2001" ht="22.5" hidden="1" customHeight="1">
      <c r="A2001" s="230" t="s">
        <v>884</v>
      </c>
      <c r="B2001" s="214">
        <v>46109.0</v>
      </c>
      <c r="C2001" s="70">
        <v>1.0</v>
      </c>
      <c r="D2001" s="215" t="s">
        <v>178</v>
      </c>
      <c r="E2001" s="201"/>
      <c r="F2001" s="236" t="s">
        <v>1035</v>
      </c>
      <c r="G2001" s="194" t="s">
        <v>35</v>
      </c>
      <c r="H2001" s="198"/>
      <c r="I2001" s="196"/>
      <c r="J2001" s="179">
        <f>IF(A2001="RAPPI",(VLOOKUP(TRIM(D2001), CATALOGO!F:G, 2, FALSE) * C2001)+I2001,IFERROR(IF(COUNTIF('RESTAURANTESDESCUENTOS 2026'!A:A,TRIM(A2001))&gt;0,((VLOOKUP(TRIM(D2001), CATALOGO!A:B, 2, FALSE) * C2001)*(1-VALUE(SUBSTITUTE(VLOOKUP(TRIM(A2001),'RESTAURANTESDESCUENTOS 2026'!A:B,2,FALSE),"%",""))/100)+I2001),(VLOOKUP(TRIM(D2001), CATALOGO!A:B, 2, FALSE) * C2001+I2001)),""))</f>
        <v>150000</v>
      </c>
      <c r="K2001" s="196"/>
      <c r="L2001" s="87">
        <v>821.0</v>
      </c>
      <c r="M2001" s="197" t="s">
        <v>587</v>
      </c>
      <c r="N2001" s="168"/>
    </row>
    <row r="2002" ht="22.5" hidden="1" customHeight="1">
      <c r="A2002" s="230" t="s">
        <v>1260</v>
      </c>
      <c r="B2002" s="214">
        <v>46109.0</v>
      </c>
      <c r="C2002" s="70">
        <v>1.0</v>
      </c>
      <c r="D2002" s="215" t="s">
        <v>177</v>
      </c>
      <c r="E2002" s="201"/>
      <c r="F2002" s="236" t="s">
        <v>1035</v>
      </c>
      <c r="G2002" s="194" t="s">
        <v>587</v>
      </c>
      <c r="H2002" s="195" t="s">
        <v>632</v>
      </c>
      <c r="I2002" s="196">
        <v>14000.0</v>
      </c>
      <c r="J2002" s="179">
        <f>IF(A2002="RAPPI",(VLOOKUP(TRIM(D2002), CATALOGO!F:G, 2, FALSE) * C2002)+I2002,IFERROR(IF(COUNTIF('RESTAURANTESDESCUENTOS 2026'!A:A,TRIM(A2002))&gt;0,((VLOOKUP(TRIM(D2002), CATALOGO!A:B, 2, FALSE) * C2002)*(1-VALUE(SUBSTITUTE(VLOOKUP(TRIM(A2002),'RESTAURANTESDESCUENTOS 2026'!A:B,2,FALSE),"%",""))/100)+I2002),(VLOOKUP(TRIM(D2002), CATALOGO!A:B, 2, FALSE) * C2002+I2002)),""))</f>
        <v>129000</v>
      </c>
      <c r="K2002" s="196">
        <v>13000.0</v>
      </c>
      <c r="L2002" s="87">
        <v>822.0</v>
      </c>
      <c r="M2002" s="197" t="s">
        <v>587</v>
      </c>
      <c r="N2002" s="168"/>
    </row>
    <row r="2003" ht="22.5" hidden="1" customHeight="1">
      <c r="A2003" s="230" t="s">
        <v>1261</v>
      </c>
      <c r="B2003" s="214">
        <v>46109.0</v>
      </c>
      <c r="C2003" s="70">
        <v>1.0</v>
      </c>
      <c r="D2003" s="215" t="s">
        <v>177</v>
      </c>
      <c r="E2003" s="201"/>
      <c r="F2003" s="236" t="s">
        <v>1035</v>
      </c>
      <c r="G2003" s="194" t="s">
        <v>587</v>
      </c>
      <c r="H2003" s="195" t="s">
        <v>588</v>
      </c>
      <c r="I2003" s="196">
        <v>12000.0</v>
      </c>
      <c r="J2003" s="179">
        <f>IF(A2003="RAPPI",(VLOOKUP(TRIM(D2003), CATALOGO!F:G, 2, FALSE) * C2003)+I2003,IFERROR(IF(COUNTIF('RESTAURANTESDESCUENTOS 2026'!A:A,TRIM(A2003))&gt;0,((VLOOKUP(TRIM(D2003), CATALOGO!A:B, 2, FALSE) * C2003)*(1-VALUE(SUBSTITUTE(VLOOKUP(TRIM(A2003),'RESTAURANTESDESCUENTOS 2026'!A:B,2,FALSE),"%",""))/100)+I2003),(VLOOKUP(TRIM(D2003), CATALOGO!A:B, 2, FALSE) * C2003+I2003)),""))</f>
        <v>127000</v>
      </c>
      <c r="K2003" s="196"/>
      <c r="L2003" s="87">
        <v>823.0</v>
      </c>
      <c r="M2003" s="197" t="s">
        <v>587</v>
      </c>
      <c r="N2003" s="168"/>
    </row>
    <row r="2004" ht="22.5" hidden="1" customHeight="1">
      <c r="A2004" s="230" t="s">
        <v>738</v>
      </c>
      <c r="B2004" s="214">
        <v>46109.0</v>
      </c>
      <c r="C2004" s="70">
        <v>1.0</v>
      </c>
      <c r="D2004" s="215" t="s">
        <v>178</v>
      </c>
      <c r="E2004" s="201"/>
      <c r="F2004" s="236" t="s">
        <v>1035</v>
      </c>
      <c r="G2004" s="194" t="s">
        <v>587</v>
      </c>
      <c r="H2004" s="195" t="s">
        <v>588</v>
      </c>
      <c r="I2004" s="196">
        <v>14000.0</v>
      </c>
      <c r="J2004" s="179">
        <f>IF(A2004="RAPPI",(VLOOKUP(TRIM(D2004), CATALOGO!F:G, 2, FALSE) * C2004)+I2004,IFERROR(IF(COUNTIF('RESTAURANTESDESCUENTOS 2026'!A:A,TRIM(A2004))&gt;0,((VLOOKUP(TRIM(D2004), CATALOGO!A:B, 2, FALSE) * C2004)*(1-VALUE(SUBSTITUTE(VLOOKUP(TRIM(A2004),'RESTAURANTESDESCUENTOS 2026'!A:B,2,FALSE),"%",""))/100)+I2004),(VLOOKUP(TRIM(D2004), CATALOGO!A:B, 2, FALSE) * C2004+I2004)),""))</f>
        <v>164000</v>
      </c>
      <c r="K2004" s="196"/>
      <c r="L2004" s="87">
        <v>824.0</v>
      </c>
      <c r="M2004" s="197" t="s">
        <v>587</v>
      </c>
      <c r="N2004" s="168"/>
    </row>
    <row r="2005" ht="22.5" hidden="1" customHeight="1">
      <c r="A2005" s="230" t="s">
        <v>1126</v>
      </c>
      <c r="B2005" s="214">
        <v>46109.0</v>
      </c>
      <c r="C2005" s="70">
        <v>1.0</v>
      </c>
      <c r="D2005" s="215" t="s">
        <v>174</v>
      </c>
      <c r="E2005" s="201"/>
      <c r="F2005" s="236" t="s">
        <v>1036</v>
      </c>
      <c r="G2005" s="194" t="s">
        <v>35</v>
      </c>
      <c r="H2005" s="198"/>
      <c r="I2005" s="196"/>
      <c r="J2005" s="179">
        <f>IF(A2005="RAPPI",(VLOOKUP(TRIM(D2005), CATALOGO!F:G, 2, FALSE) * C2005)+I2005,IFERROR(IF(COUNTIF('RESTAURANTESDESCUENTOS 2026'!A:A,TRIM(A2005))&gt;0,((VLOOKUP(TRIM(D2005), CATALOGO!A:B, 2, FALSE) * C2005)*(1-VALUE(SUBSTITUTE(VLOOKUP(TRIM(A2005),'RESTAURANTESDESCUENTOS 2026'!A:B,2,FALSE),"%",""))/100)+I2005),(VLOOKUP(TRIM(D2005), CATALOGO!A:B, 2, FALSE) * C2005+I2005)),""))</f>
        <v>18000</v>
      </c>
      <c r="K2005" s="196"/>
      <c r="L2005" s="87">
        <v>816.0</v>
      </c>
      <c r="M2005" s="197" t="s">
        <v>587</v>
      </c>
      <c r="N2005" s="168"/>
    </row>
    <row r="2006" ht="22.5" hidden="1" customHeight="1">
      <c r="A2006" s="230" t="s">
        <v>1126</v>
      </c>
      <c r="B2006" s="214">
        <v>46109.0</v>
      </c>
      <c r="C2006" s="70">
        <v>1.0</v>
      </c>
      <c r="D2006" s="215" t="s">
        <v>174</v>
      </c>
      <c r="E2006" s="201"/>
      <c r="F2006" s="236" t="s">
        <v>1036</v>
      </c>
      <c r="G2006" s="194" t="s">
        <v>35</v>
      </c>
      <c r="H2006" s="198"/>
      <c r="I2006" s="196"/>
      <c r="J2006" s="179">
        <f>IF(A2006="RAPPI",(VLOOKUP(TRIM(D2006), CATALOGO!F:G, 2, FALSE) * C2006)+I2006,IFERROR(IF(COUNTIF('RESTAURANTESDESCUENTOS 2026'!A:A,TRIM(A2006))&gt;0,((VLOOKUP(TRIM(D2006), CATALOGO!A:B, 2, FALSE) * C2006)*(1-VALUE(SUBSTITUTE(VLOOKUP(TRIM(A2006),'RESTAURANTESDESCUENTOS 2026'!A:B,2,FALSE),"%",""))/100)+I2006),(VLOOKUP(TRIM(D2006), CATALOGO!A:B, 2, FALSE) * C2006+I2006)),""))</f>
        <v>18000</v>
      </c>
      <c r="K2006" s="196"/>
      <c r="L2006" s="87">
        <v>816.0</v>
      </c>
      <c r="M2006" s="197" t="s">
        <v>587</v>
      </c>
      <c r="N2006" s="168"/>
    </row>
    <row r="2007" ht="22.5" hidden="1" customHeight="1">
      <c r="A2007" s="230" t="s">
        <v>1126</v>
      </c>
      <c r="B2007" s="214">
        <v>46109.0</v>
      </c>
      <c r="C2007" s="70">
        <v>1.0</v>
      </c>
      <c r="D2007" s="215" t="s">
        <v>176</v>
      </c>
      <c r="E2007" s="201"/>
      <c r="F2007" s="236" t="s">
        <v>1036</v>
      </c>
      <c r="G2007" s="194" t="s">
        <v>35</v>
      </c>
      <c r="H2007" s="198"/>
      <c r="I2007" s="196"/>
      <c r="J2007" s="179">
        <f>IF(A2007="RAPPI",(VLOOKUP(TRIM(D2007), CATALOGO!F:G, 2, FALSE) * C2007)+I2007,IFERROR(IF(COUNTIF('RESTAURANTESDESCUENTOS 2026'!A:A,TRIM(A2007))&gt;0,((VLOOKUP(TRIM(D2007), CATALOGO!A:B, 2, FALSE) * C2007)*(1-VALUE(SUBSTITUTE(VLOOKUP(TRIM(A2007),'RESTAURANTESDESCUENTOS 2026'!A:B,2,FALSE),"%",""))/100)+I2007),(VLOOKUP(TRIM(D2007), CATALOGO!A:B, 2, FALSE) * C2007+I2007)),""))</f>
        <v>50000</v>
      </c>
      <c r="K2007" s="196"/>
      <c r="L2007" s="87">
        <v>816.0</v>
      </c>
      <c r="M2007" s="197" t="s">
        <v>587</v>
      </c>
      <c r="N2007" s="168"/>
    </row>
    <row r="2008" ht="22.5" hidden="1" customHeight="1">
      <c r="A2008" s="230" t="s">
        <v>1126</v>
      </c>
      <c r="B2008" s="214">
        <v>46109.0</v>
      </c>
      <c r="C2008" s="70">
        <v>1.0</v>
      </c>
      <c r="D2008" s="215" t="s">
        <v>182</v>
      </c>
      <c r="E2008" s="201"/>
      <c r="F2008" s="236" t="s">
        <v>1036</v>
      </c>
      <c r="G2008" s="194" t="s">
        <v>35</v>
      </c>
      <c r="H2008" s="198"/>
      <c r="I2008" s="196"/>
      <c r="J2008" s="179">
        <f>IF(A2008="RAPPI",(VLOOKUP(TRIM(D2008), CATALOGO!F:G, 2, FALSE) * C2008)+I2008,IFERROR(IF(COUNTIF('RESTAURANTESDESCUENTOS 2026'!A:A,TRIM(A2008))&gt;0,((VLOOKUP(TRIM(D2008), CATALOGO!A:B, 2, FALSE) * C2008)*(1-VALUE(SUBSTITUTE(VLOOKUP(TRIM(A2008),'RESTAURANTESDESCUENTOS 2026'!A:B,2,FALSE),"%",""))/100)+I2008),(VLOOKUP(TRIM(D2008), CATALOGO!A:B, 2, FALSE) * C2008+I2008)),""))</f>
        <v>37000</v>
      </c>
      <c r="K2008" s="196"/>
      <c r="L2008" s="87">
        <v>816.0</v>
      </c>
      <c r="M2008" s="197" t="s">
        <v>587</v>
      </c>
      <c r="N2008" s="168"/>
    </row>
    <row r="2009" ht="22.5" hidden="1" customHeight="1">
      <c r="A2009" s="230" t="s">
        <v>1069</v>
      </c>
      <c r="B2009" s="214">
        <v>46109.0</v>
      </c>
      <c r="C2009" s="70">
        <v>1.0</v>
      </c>
      <c r="D2009" s="215" t="s">
        <v>176</v>
      </c>
      <c r="E2009" s="201"/>
      <c r="F2009" s="236" t="s">
        <v>1036</v>
      </c>
      <c r="G2009" s="194" t="s">
        <v>35</v>
      </c>
      <c r="H2009" s="198"/>
      <c r="I2009" s="196"/>
      <c r="J2009" s="179">
        <f>IF(A2009="RAPPI",(VLOOKUP(TRIM(D2009), CATALOGO!F:G, 2, FALSE) * C2009)+I2009,IFERROR(IF(COUNTIF('RESTAURANTESDESCUENTOS 2026'!A:A,TRIM(A2009))&gt;0,((VLOOKUP(TRIM(D2009), CATALOGO!A:B, 2, FALSE) * C2009)*(1-VALUE(SUBSTITUTE(VLOOKUP(TRIM(A2009),'RESTAURANTESDESCUENTOS 2026'!A:B,2,FALSE),"%",""))/100)+I2009),(VLOOKUP(TRIM(D2009), CATALOGO!A:B, 2, FALSE) * C2009+I2009)),""))</f>
        <v>50000</v>
      </c>
      <c r="K2009" s="196"/>
      <c r="L2009" s="87">
        <v>816.0</v>
      </c>
      <c r="M2009" s="197" t="s">
        <v>587</v>
      </c>
      <c r="N2009" s="168"/>
    </row>
    <row r="2010" ht="22.5" hidden="1" customHeight="1">
      <c r="A2010" s="230" t="s">
        <v>1069</v>
      </c>
      <c r="B2010" s="214">
        <v>46109.0</v>
      </c>
      <c r="C2010" s="70">
        <v>2.0</v>
      </c>
      <c r="D2010" s="215" t="s">
        <v>174</v>
      </c>
      <c r="E2010" s="201"/>
      <c r="F2010" s="236" t="s">
        <v>1036</v>
      </c>
      <c r="G2010" s="194" t="s">
        <v>35</v>
      </c>
      <c r="H2010" s="198"/>
      <c r="I2010" s="196"/>
      <c r="J2010" s="179">
        <f>IF(A2010="RAPPI",(VLOOKUP(TRIM(D2010), CATALOGO!F:G, 2, FALSE) * C2010)+I2010,IFERROR(IF(COUNTIF('RESTAURANTESDESCUENTOS 2026'!A:A,TRIM(A2010))&gt;0,((VLOOKUP(TRIM(D2010), CATALOGO!A:B, 2, FALSE) * C2010)*(1-VALUE(SUBSTITUTE(VLOOKUP(TRIM(A2010),'RESTAURANTESDESCUENTOS 2026'!A:B,2,FALSE),"%",""))/100)+I2010),(VLOOKUP(TRIM(D2010), CATALOGO!A:B, 2, FALSE) * C2010+I2010)),""))</f>
        <v>36000</v>
      </c>
      <c r="K2010" s="196"/>
      <c r="L2010" s="87">
        <v>816.0</v>
      </c>
      <c r="M2010" s="197" t="s">
        <v>587</v>
      </c>
      <c r="N2010" s="168"/>
    </row>
    <row r="2011" ht="22.5" hidden="1" customHeight="1">
      <c r="A2011" s="137" t="s">
        <v>603</v>
      </c>
      <c r="B2011" s="90">
        <v>46109.0</v>
      </c>
      <c r="C2011" s="55">
        <v>1.0</v>
      </c>
      <c r="D2011" s="97" t="s">
        <v>757</v>
      </c>
      <c r="E2011" s="201"/>
      <c r="F2011" s="236" t="s">
        <v>603</v>
      </c>
      <c r="G2011" s="194" t="s">
        <v>587</v>
      </c>
      <c r="H2011" s="195" t="s">
        <v>603</v>
      </c>
      <c r="I2011" s="196"/>
      <c r="J2011" s="179">
        <f>IF(A2011="RAPPI",(VLOOKUP(TRIM(D2011), CATALOGO!F:G, 2, FALSE) * C2011)+I2011,IFERROR(IF(COUNTIF('RESTAURANTESDESCUENTOS 2026'!A:A,TRIM(A2011))&gt;0,((VLOOKUP(TRIM(D2011), CATALOGO!A:B, 2, FALSE) * C2011)*(1-VALUE(SUBSTITUTE(VLOOKUP(TRIM(A2011),'RESTAURANTESDESCUENTOS 2026'!A:B,2,FALSE),"%",""))/100)+I2011),(VLOOKUP(TRIM(D2011), CATALOGO!A:B, 2, FALSE) * C2011+I2011)),""))</f>
        <v>22000</v>
      </c>
      <c r="K2011" s="196"/>
      <c r="L2011" s="87">
        <v>815.0</v>
      </c>
      <c r="M2011" s="197" t="s">
        <v>587</v>
      </c>
      <c r="N2011" s="168"/>
    </row>
    <row r="2012" ht="22.5" hidden="1" customHeight="1">
      <c r="A2012" s="137" t="s">
        <v>603</v>
      </c>
      <c r="B2012" s="90">
        <v>46109.0</v>
      </c>
      <c r="C2012" s="55">
        <v>1.0</v>
      </c>
      <c r="D2012" s="97" t="s">
        <v>617</v>
      </c>
      <c r="E2012" s="201"/>
      <c r="F2012" s="236" t="s">
        <v>603</v>
      </c>
      <c r="G2012" s="194" t="s">
        <v>587</v>
      </c>
      <c r="H2012" s="195" t="s">
        <v>603</v>
      </c>
      <c r="I2012" s="196"/>
      <c r="J2012" s="179">
        <f>IF(A2012="RAPPI",(VLOOKUP(TRIM(D2012), CATALOGO!F:G, 2, FALSE) * C2012)+I2012,IFERROR(IF(COUNTIF('RESTAURANTESDESCUENTOS 2026'!A:A,TRIM(A2012))&gt;0,((VLOOKUP(TRIM(D2012), CATALOGO!A:B, 2, FALSE) * C2012)*(1-VALUE(SUBSTITUTE(VLOOKUP(TRIM(A2012),'RESTAURANTESDESCUENTOS 2026'!A:B,2,FALSE),"%",""))/100)+I2012),(VLOOKUP(TRIM(D2012), CATALOGO!A:B, 2, FALSE) * C2012+I2012)),""))</f>
        <v>123000</v>
      </c>
      <c r="K2012" s="196"/>
      <c r="L2012" s="87">
        <v>815.0</v>
      </c>
      <c r="M2012" s="197" t="s">
        <v>587</v>
      </c>
      <c r="N2012" s="168"/>
    </row>
    <row r="2013" ht="22.5" hidden="1" customHeight="1">
      <c r="A2013" s="137" t="s">
        <v>603</v>
      </c>
      <c r="B2013" s="90">
        <v>46109.0</v>
      </c>
      <c r="C2013" s="55">
        <v>1.0</v>
      </c>
      <c r="D2013" s="97" t="s">
        <v>177</v>
      </c>
      <c r="E2013" s="201"/>
      <c r="F2013" s="236" t="s">
        <v>603</v>
      </c>
      <c r="G2013" s="194" t="s">
        <v>587</v>
      </c>
      <c r="H2013" s="195" t="s">
        <v>603</v>
      </c>
      <c r="I2013" s="196"/>
      <c r="J2013" s="179">
        <f>IF(A2013="RAPPI",(VLOOKUP(TRIM(D2013), CATALOGO!F:G, 2, FALSE) * C2013)+I2013,IFERROR(IF(COUNTIF('RESTAURANTESDESCUENTOS 2026'!A:A,TRIM(A2013))&gt;0,((VLOOKUP(TRIM(D2013), CATALOGO!A:B, 2, FALSE) * C2013)*(1-VALUE(SUBSTITUTE(VLOOKUP(TRIM(A2013),'RESTAURANTESDESCUENTOS 2026'!A:B,2,FALSE),"%",""))/100)+I2013),(VLOOKUP(TRIM(D2013), CATALOGO!A:B, 2, FALSE) * C2013+I2013)),""))</f>
        <v>115000</v>
      </c>
      <c r="K2013" s="196"/>
      <c r="L2013" s="87">
        <v>815.0</v>
      </c>
      <c r="M2013" s="197" t="s">
        <v>587</v>
      </c>
      <c r="N2013" s="168"/>
    </row>
    <row r="2014" ht="22.5" hidden="1" customHeight="1">
      <c r="A2014" s="137" t="s">
        <v>603</v>
      </c>
      <c r="B2014" s="90">
        <v>46109.0</v>
      </c>
      <c r="C2014" s="55">
        <v>1.0</v>
      </c>
      <c r="D2014" s="97" t="s">
        <v>640</v>
      </c>
      <c r="E2014" s="201"/>
      <c r="F2014" s="236" t="s">
        <v>603</v>
      </c>
      <c r="G2014" s="194" t="s">
        <v>587</v>
      </c>
      <c r="H2014" s="195" t="s">
        <v>603</v>
      </c>
      <c r="I2014" s="196"/>
      <c r="J2014" s="179">
        <f>IF(A2014="RAPPI",(VLOOKUP(TRIM(D2014), CATALOGO!F:G, 2, FALSE) * C2014)+I2014,IFERROR(IF(COUNTIF('RESTAURANTESDESCUENTOS 2026'!A:A,TRIM(A2014))&gt;0,((VLOOKUP(TRIM(D2014), CATALOGO!A:B, 2, FALSE) * C2014)*(1-VALUE(SUBSTITUTE(VLOOKUP(TRIM(A2014),'RESTAURANTESDESCUENTOS 2026'!A:B,2,FALSE),"%",""))/100)+I2014),(VLOOKUP(TRIM(D2014), CATALOGO!A:B, 2, FALSE) * C2014+I2014)),""))</f>
        <v>53000</v>
      </c>
      <c r="K2014" s="196"/>
      <c r="L2014" s="87">
        <v>815.0</v>
      </c>
      <c r="M2014" s="197" t="s">
        <v>587</v>
      </c>
      <c r="N2014" s="168"/>
    </row>
    <row r="2015" ht="22.5" hidden="1" customHeight="1">
      <c r="A2015" s="137" t="s">
        <v>603</v>
      </c>
      <c r="B2015" s="90">
        <v>46109.0</v>
      </c>
      <c r="C2015" s="55">
        <v>1.0</v>
      </c>
      <c r="D2015" s="97" t="s">
        <v>178</v>
      </c>
      <c r="E2015" s="201"/>
      <c r="F2015" s="236" t="s">
        <v>603</v>
      </c>
      <c r="G2015" s="194" t="s">
        <v>587</v>
      </c>
      <c r="H2015" s="195" t="s">
        <v>603</v>
      </c>
      <c r="I2015" s="196"/>
      <c r="J2015" s="179">
        <f>IF(A2015="RAPPI",(VLOOKUP(TRIM(D2015), CATALOGO!F:G, 2, FALSE) * C2015)+I2015,IFERROR(IF(COUNTIF('RESTAURANTESDESCUENTOS 2026'!A:A,TRIM(A2015))&gt;0,((VLOOKUP(TRIM(D2015), CATALOGO!A:B, 2, FALSE) * C2015)*(1-VALUE(SUBSTITUTE(VLOOKUP(TRIM(A2015),'RESTAURANTESDESCUENTOS 2026'!A:B,2,FALSE),"%",""))/100)+I2015),(VLOOKUP(TRIM(D2015), CATALOGO!A:B, 2, FALSE) * C2015+I2015)),""))</f>
        <v>150000</v>
      </c>
      <c r="K2015" s="196"/>
      <c r="L2015" s="87">
        <v>815.0</v>
      </c>
      <c r="M2015" s="197" t="s">
        <v>587</v>
      </c>
      <c r="N2015" s="168"/>
    </row>
    <row r="2016" ht="22.5" hidden="1" customHeight="1">
      <c r="A2016" s="137" t="s">
        <v>603</v>
      </c>
      <c r="B2016" s="90">
        <v>46109.0</v>
      </c>
      <c r="C2016" s="55">
        <v>1.0</v>
      </c>
      <c r="D2016" s="97" t="s">
        <v>176</v>
      </c>
      <c r="E2016" s="201"/>
      <c r="F2016" s="236" t="s">
        <v>603</v>
      </c>
      <c r="G2016" s="194" t="s">
        <v>587</v>
      </c>
      <c r="H2016" s="195" t="s">
        <v>603</v>
      </c>
      <c r="I2016" s="196"/>
      <c r="J2016" s="179">
        <f>IF(A2016="RAPPI",(VLOOKUP(TRIM(D2016), CATALOGO!F:G, 2, FALSE) * C2016)+I2016,IFERROR(IF(COUNTIF('RESTAURANTESDESCUENTOS 2026'!A:A,TRIM(A2016))&gt;0,((VLOOKUP(TRIM(D2016), CATALOGO!A:B, 2, FALSE) * C2016)*(1-VALUE(SUBSTITUTE(VLOOKUP(TRIM(A2016),'RESTAURANTESDESCUENTOS 2026'!A:B,2,FALSE),"%",""))/100)+I2016),(VLOOKUP(TRIM(D2016), CATALOGO!A:B, 2, FALSE) * C2016+I2016)),""))</f>
        <v>50000</v>
      </c>
      <c r="K2016" s="196"/>
      <c r="L2016" s="87">
        <v>815.0</v>
      </c>
      <c r="M2016" s="197" t="s">
        <v>587</v>
      </c>
      <c r="N2016" s="168"/>
    </row>
    <row r="2017" ht="22.5" hidden="1" customHeight="1">
      <c r="A2017" s="137" t="s">
        <v>603</v>
      </c>
      <c r="B2017" s="90">
        <v>46109.0</v>
      </c>
      <c r="C2017" s="55">
        <v>1.0</v>
      </c>
      <c r="D2017" s="97" t="s">
        <v>177</v>
      </c>
      <c r="E2017" s="201"/>
      <c r="F2017" s="236" t="s">
        <v>603</v>
      </c>
      <c r="G2017" s="194" t="s">
        <v>587</v>
      </c>
      <c r="H2017" s="195" t="s">
        <v>603</v>
      </c>
      <c r="I2017" s="196"/>
      <c r="J2017" s="179">
        <f>IF(A2017="RAPPI",(VLOOKUP(TRIM(D2017), CATALOGO!F:G, 2, FALSE) * C2017)+I2017,IFERROR(IF(COUNTIF('RESTAURANTESDESCUENTOS 2026'!A:A,TRIM(A2017))&gt;0,((VLOOKUP(TRIM(D2017), CATALOGO!A:B, 2, FALSE) * C2017)*(1-VALUE(SUBSTITUTE(VLOOKUP(TRIM(A2017),'RESTAURANTESDESCUENTOS 2026'!A:B,2,FALSE),"%",""))/100)+I2017),(VLOOKUP(TRIM(D2017), CATALOGO!A:B, 2, FALSE) * C2017+I2017)),""))</f>
        <v>115000</v>
      </c>
      <c r="K2017" s="196"/>
      <c r="L2017" s="87">
        <v>815.0</v>
      </c>
      <c r="M2017" s="197" t="s">
        <v>587</v>
      </c>
      <c r="N2017" s="168"/>
    </row>
    <row r="2018" ht="22.5" hidden="1" customHeight="1">
      <c r="A2018" s="137" t="s">
        <v>603</v>
      </c>
      <c r="B2018" s="90">
        <v>46109.0</v>
      </c>
      <c r="C2018" s="55">
        <v>1.0</v>
      </c>
      <c r="D2018" s="97" t="s">
        <v>757</v>
      </c>
      <c r="E2018" s="201"/>
      <c r="F2018" s="236" t="s">
        <v>603</v>
      </c>
      <c r="G2018" s="194" t="s">
        <v>587</v>
      </c>
      <c r="H2018" s="195" t="s">
        <v>603</v>
      </c>
      <c r="I2018" s="196"/>
      <c r="J2018" s="179">
        <f>IF(A2018="RAPPI",(VLOOKUP(TRIM(D2018), CATALOGO!F:G, 2, FALSE) * C2018)+I2018,IFERROR(IF(COUNTIF('RESTAURANTESDESCUENTOS 2026'!A:A,TRIM(A2018))&gt;0,((VLOOKUP(TRIM(D2018), CATALOGO!A:B, 2, FALSE) * C2018)*(1-VALUE(SUBSTITUTE(VLOOKUP(TRIM(A2018),'RESTAURANTESDESCUENTOS 2026'!A:B,2,FALSE),"%",""))/100)+I2018),(VLOOKUP(TRIM(D2018), CATALOGO!A:B, 2, FALSE) * C2018+I2018)),""))</f>
        <v>22000</v>
      </c>
      <c r="K2018" s="196"/>
      <c r="L2018" s="87">
        <v>815.0</v>
      </c>
      <c r="M2018" s="197" t="s">
        <v>587</v>
      </c>
      <c r="N2018" s="168"/>
    </row>
    <row r="2019" ht="22.5" hidden="1" customHeight="1">
      <c r="A2019" s="137" t="s">
        <v>603</v>
      </c>
      <c r="B2019" s="90">
        <v>46109.0</v>
      </c>
      <c r="C2019" s="55">
        <v>1.0</v>
      </c>
      <c r="D2019" s="97" t="s">
        <v>678</v>
      </c>
      <c r="E2019" s="201"/>
      <c r="F2019" s="236" t="s">
        <v>603</v>
      </c>
      <c r="G2019" s="194" t="s">
        <v>587</v>
      </c>
      <c r="H2019" s="195" t="s">
        <v>603</v>
      </c>
      <c r="I2019" s="196"/>
      <c r="J2019" s="179">
        <f>IF(A2019="RAPPI",(VLOOKUP(TRIM(D2019), CATALOGO!F:G, 2, FALSE) * C2019)+I2019,IFERROR(IF(COUNTIF('RESTAURANTESDESCUENTOS 2026'!A:A,TRIM(A2019))&gt;0,((VLOOKUP(TRIM(D2019), CATALOGO!A:B, 2, FALSE) * C2019)*(1-VALUE(SUBSTITUTE(VLOOKUP(TRIM(A2019),'RESTAURANTESDESCUENTOS 2026'!A:B,2,FALSE),"%",""))/100)+I2019),(VLOOKUP(TRIM(D2019), CATALOGO!A:B, 2, FALSE) * C2019+I2019)),""))</f>
        <v>123000</v>
      </c>
      <c r="K2019" s="196"/>
      <c r="L2019" s="87">
        <v>815.0</v>
      </c>
      <c r="M2019" s="197" t="s">
        <v>587</v>
      </c>
      <c r="N2019" s="168"/>
    </row>
    <row r="2020" ht="22.5" hidden="1" customHeight="1">
      <c r="A2020" s="137" t="s">
        <v>603</v>
      </c>
      <c r="B2020" s="90">
        <v>46109.0</v>
      </c>
      <c r="C2020" s="55">
        <v>1.0</v>
      </c>
      <c r="D2020" s="97" t="s">
        <v>678</v>
      </c>
      <c r="E2020" s="201"/>
      <c r="F2020" s="236" t="s">
        <v>603</v>
      </c>
      <c r="G2020" s="194" t="s">
        <v>587</v>
      </c>
      <c r="H2020" s="195" t="s">
        <v>603</v>
      </c>
      <c r="I2020" s="196"/>
      <c r="J2020" s="179">
        <f>IF(A2020="RAPPI",(VLOOKUP(TRIM(D2020), CATALOGO!F:G, 2, FALSE) * C2020)+I2020,IFERROR(IF(COUNTIF('RESTAURANTESDESCUENTOS 2026'!A:A,TRIM(A2020))&gt;0,((VLOOKUP(TRIM(D2020), CATALOGO!A:B, 2, FALSE) * C2020)*(1-VALUE(SUBSTITUTE(VLOOKUP(TRIM(A2020),'RESTAURANTESDESCUENTOS 2026'!A:B,2,FALSE),"%",""))/100)+I2020),(VLOOKUP(TRIM(D2020), CATALOGO!A:B, 2, FALSE) * C2020+I2020)),""))</f>
        <v>123000</v>
      </c>
      <c r="K2020" s="196"/>
      <c r="L2020" s="87">
        <v>815.0</v>
      </c>
      <c r="M2020" s="197" t="s">
        <v>587</v>
      </c>
      <c r="N2020" s="168"/>
    </row>
    <row r="2021" ht="22.5" hidden="1" customHeight="1">
      <c r="A2021" s="137" t="s">
        <v>603</v>
      </c>
      <c r="B2021" s="90">
        <v>46109.0</v>
      </c>
      <c r="C2021" s="55">
        <v>1.0</v>
      </c>
      <c r="D2021" s="97" t="s">
        <v>176</v>
      </c>
      <c r="E2021" s="201"/>
      <c r="F2021" s="236" t="s">
        <v>603</v>
      </c>
      <c r="G2021" s="194" t="s">
        <v>587</v>
      </c>
      <c r="H2021" s="195" t="s">
        <v>603</v>
      </c>
      <c r="I2021" s="196"/>
      <c r="J2021" s="179">
        <f>IF(A2021="RAPPI",(VLOOKUP(TRIM(D2021), CATALOGO!F:G, 2, FALSE) * C2021)+I2021,IFERROR(IF(COUNTIF('RESTAURANTESDESCUENTOS 2026'!A:A,TRIM(A2021))&gt;0,((VLOOKUP(TRIM(D2021), CATALOGO!A:B, 2, FALSE) * C2021)*(1-VALUE(SUBSTITUTE(VLOOKUP(TRIM(A2021),'RESTAURANTESDESCUENTOS 2026'!A:B,2,FALSE),"%",""))/100)+I2021),(VLOOKUP(TRIM(D2021), CATALOGO!A:B, 2, FALSE) * C2021+I2021)),""))</f>
        <v>50000</v>
      </c>
      <c r="K2021" s="196"/>
      <c r="L2021" s="87">
        <v>815.0</v>
      </c>
      <c r="M2021" s="197" t="s">
        <v>587</v>
      </c>
      <c r="N2021" s="168"/>
    </row>
    <row r="2022" ht="22.5" hidden="1" customHeight="1">
      <c r="A2022" s="137" t="s">
        <v>603</v>
      </c>
      <c r="B2022" s="90">
        <v>46109.0</v>
      </c>
      <c r="C2022" s="55">
        <v>1.0</v>
      </c>
      <c r="D2022" s="97" t="s">
        <v>653</v>
      </c>
      <c r="E2022" s="201"/>
      <c r="F2022" s="236" t="s">
        <v>603</v>
      </c>
      <c r="G2022" s="194" t="s">
        <v>587</v>
      </c>
      <c r="H2022" s="195" t="s">
        <v>603</v>
      </c>
      <c r="I2022" s="196"/>
      <c r="J2022" s="179">
        <f>IF(A2022="RAPPI",(VLOOKUP(TRIM(D2022), CATALOGO!F:G, 2, FALSE) * C2022)+I2022,IFERROR(IF(COUNTIF('RESTAURANTESDESCUENTOS 2026'!A:A,TRIM(A2022))&gt;0,((VLOOKUP(TRIM(D2022), CATALOGO!A:B, 2, FALSE) * C2022)*(1-VALUE(SUBSTITUTE(VLOOKUP(TRIM(A2022),'RESTAURANTESDESCUENTOS 2026'!A:B,2,FALSE),"%",""))/100)+I2022),(VLOOKUP(TRIM(D2022), CATALOGO!A:B, 2, FALSE) * C2022+I2022)),""))</f>
        <v>123000</v>
      </c>
      <c r="K2022" s="196"/>
      <c r="L2022" s="87">
        <v>815.0</v>
      </c>
      <c r="M2022" s="197" t="s">
        <v>587</v>
      </c>
      <c r="N2022" s="168"/>
    </row>
    <row r="2023" ht="22.5" hidden="1" customHeight="1">
      <c r="A2023" s="137" t="s">
        <v>603</v>
      </c>
      <c r="B2023" s="90">
        <v>46109.0</v>
      </c>
      <c r="C2023" s="55">
        <v>1.0</v>
      </c>
      <c r="D2023" s="97" t="s">
        <v>189</v>
      </c>
      <c r="E2023" s="201"/>
      <c r="F2023" s="236" t="s">
        <v>603</v>
      </c>
      <c r="G2023" s="194" t="s">
        <v>587</v>
      </c>
      <c r="H2023" s="195" t="s">
        <v>603</v>
      </c>
      <c r="I2023" s="196"/>
      <c r="J2023" s="179">
        <f>IF(A2023="RAPPI",(VLOOKUP(TRIM(D2023), CATALOGO!F:G, 2, FALSE) * C2023)+I2023,IFERROR(IF(COUNTIF('RESTAURANTESDESCUENTOS 2026'!A:A,TRIM(A2023))&gt;0,((VLOOKUP(TRIM(D2023), CATALOGO!A:B, 2, FALSE) * C2023)*(1-VALUE(SUBSTITUTE(VLOOKUP(TRIM(A2023),'RESTAURANTESDESCUENTOS 2026'!A:B,2,FALSE),"%",""))/100)+I2023),(VLOOKUP(TRIM(D2023), CATALOGO!A:B, 2, FALSE) * C2023+I2023)),""))</f>
        <v>145000</v>
      </c>
      <c r="K2023" s="196"/>
      <c r="L2023" s="87">
        <v>815.0</v>
      </c>
      <c r="M2023" s="197" t="s">
        <v>587</v>
      </c>
      <c r="N2023" s="168"/>
    </row>
    <row r="2024" ht="22.5" hidden="1" customHeight="1">
      <c r="A2024" s="137" t="s">
        <v>603</v>
      </c>
      <c r="B2024" s="90">
        <v>46109.0</v>
      </c>
      <c r="C2024" s="55">
        <v>1.0</v>
      </c>
      <c r="D2024" s="97" t="s">
        <v>678</v>
      </c>
      <c r="E2024" s="201"/>
      <c r="F2024" s="236" t="s">
        <v>603</v>
      </c>
      <c r="G2024" s="194" t="s">
        <v>587</v>
      </c>
      <c r="H2024" s="195" t="s">
        <v>603</v>
      </c>
      <c r="I2024" s="196"/>
      <c r="J2024" s="179">
        <f>IF(A2024="RAPPI",(VLOOKUP(TRIM(D2024), CATALOGO!F:G, 2, FALSE) * C2024)+I2024,IFERROR(IF(COUNTIF('RESTAURANTESDESCUENTOS 2026'!A:A,TRIM(A2024))&gt;0,((VLOOKUP(TRIM(D2024), CATALOGO!A:B, 2, FALSE) * C2024)*(1-VALUE(SUBSTITUTE(VLOOKUP(TRIM(A2024),'RESTAURANTESDESCUENTOS 2026'!A:B,2,FALSE),"%",""))/100)+I2024),(VLOOKUP(TRIM(D2024), CATALOGO!A:B, 2, FALSE) * C2024+I2024)),""))</f>
        <v>123000</v>
      </c>
      <c r="K2024" s="196"/>
      <c r="L2024" s="87">
        <v>815.0</v>
      </c>
      <c r="M2024" s="197" t="s">
        <v>587</v>
      </c>
      <c r="N2024" s="168"/>
    </row>
    <row r="2025" ht="22.5" hidden="1" customHeight="1">
      <c r="A2025" s="137" t="s">
        <v>603</v>
      </c>
      <c r="B2025" s="90">
        <v>46109.0</v>
      </c>
      <c r="C2025" s="55">
        <v>1.0</v>
      </c>
      <c r="D2025" s="97" t="s">
        <v>618</v>
      </c>
      <c r="E2025" s="201"/>
      <c r="F2025" s="236" t="s">
        <v>603</v>
      </c>
      <c r="G2025" s="194" t="s">
        <v>587</v>
      </c>
      <c r="H2025" s="195" t="s">
        <v>603</v>
      </c>
      <c r="I2025" s="196"/>
      <c r="J2025" s="179">
        <f>IF(A2025="RAPPI",(VLOOKUP(TRIM(D2025), CATALOGO!F:G, 2, FALSE) * C2025)+I2025,IFERROR(IF(COUNTIF('RESTAURANTESDESCUENTOS 2026'!A:A,TRIM(A2025))&gt;0,((VLOOKUP(TRIM(D2025), CATALOGO!A:B, 2, FALSE) * C2025)*(1-VALUE(SUBSTITUTE(VLOOKUP(TRIM(A2025),'RESTAURANTESDESCUENTOS 2026'!A:B,2,FALSE),"%",""))/100)+I2025),(VLOOKUP(TRIM(D2025), CATALOGO!A:B, 2, FALSE) * C2025+I2025)),""))</f>
        <v>53000</v>
      </c>
      <c r="K2025" s="196"/>
      <c r="L2025" s="87">
        <v>815.0</v>
      </c>
      <c r="M2025" s="197" t="s">
        <v>587</v>
      </c>
      <c r="N2025" s="168"/>
    </row>
    <row r="2026" ht="22.5" hidden="1" customHeight="1">
      <c r="A2026" s="137" t="s">
        <v>603</v>
      </c>
      <c r="B2026" s="90">
        <v>46109.0</v>
      </c>
      <c r="C2026" s="55">
        <v>1.0</v>
      </c>
      <c r="D2026" s="97" t="s">
        <v>174</v>
      </c>
      <c r="E2026" s="201"/>
      <c r="F2026" s="236" t="s">
        <v>603</v>
      </c>
      <c r="G2026" s="194" t="s">
        <v>587</v>
      </c>
      <c r="H2026" s="195" t="s">
        <v>603</v>
      </c>
      <c r="I2026" s="196"/>
      <c r="J2026" s="179">
        <f>IF(A2026="RAPPI",(VLOOKUP(TRIM(D2026), CATALOGO!F:G, 2, FALSE) * C2026)+I2026,IFERROR(IF(COUNTIF('RESTAURANTESDESCUENTOS 2026'!A:A,TRIM(A2026))&gt;0,((VLOOKUP(TRIM(D2026), CATALOGO!A:B, 2, FALSE) * C2026)*(1-VALUE(SUBSTITUTE(VLOOKUP(TRIM(A2026),'RESTAURANTESDESCUENTOS 2026'!A:B,2,FALSE),"%",""))/100)+I2026),(VLOOKUP(TRIM(D2026), CATALOGO!A:B, 2, FALSE) * C2026+I2026)),""))</f>
        <v>18000</v>
      </c>
      <c r="K2026" s="196"/>
      <c r="L2026" s="87">
        <v>815.0</v>
      </c>
      <c r="M2026" s="197" t="s">
        <v>587</v>
      </c>
      <c r="N2026" s="168"/>
    </row>
    <row r="2027" ht="22.5" hidden="1" customHeight="1">
      <c r="A2027" s="137" t="s">
        <v>1082</v>
      </c>
      <c r="B2027" s="90">
        <v>46111.0</v>
      </c>
      <c r="C2027" s="55">
        <v>54.0</v>
      </c>
      <c r="D2027" s="97" t="s">
        <v>183</v>
      </c>
      <c r="E2027" s="201"/>
      <c r="F2027" s="202"/>
      <c r="G2027" s="194" t="s">
        <v>587</v>
      </c>
      <c r="H2027" s="198"/>
      <c r="I2027" s="196">
        <v>298000.0</v>
      </c>
      <c r="J2027" s="219">
        <f>IF(A2027="RAPPI",(VLOOKUP(TRIM(D2027), CATALOGO!F:G, 2, FALSE) * C2027)+I2027,IFERROR(IF(COUNTIF('RESTAURANTESDESCUENTOS 2026'!A:A,TRIM(A2027))&gt;0,((VLOOKUP(TRIM(D2027), CATALOGO!A:B, 2, FALSE) * C2027)*(1-VALUE(SUBSTITUTE(VLOOKUP(TRIM(A2027),'RESTAURANTESDESCUENTOS 2026'!A:B,2,FALSE),"%",""))/100)+I2027),(VLOOKUP(TRIM(D2027), CATALOGO!A:B, 2, FALSE) * C2027+I2027)),""))</f>
        <v>1129600</v>
      </c>
      <c r="K2027" s="196"/>
      <c r="L2027" s="87">
        <v>829.0</v>
      </c>
      <c r="M2027" s="197" t="s">
        <v>587</v>
      </c>
      <c r="N2027" s="168"/>
    </row>
    <row r="2028" ht="22.5" hidden="1" customHeight="1">
      <c r="A2028" s="137" t="s">
        <v>1082</v>
      </c>
      <c r="B2028" s="90">
        <v>46111.0</v>
      </c>
      <c r="C2028" s="55">
        <v>12.0</v>
      </c>
      <c r="D2028" s="97" t="s">
        <v>184</v>
      </c>
      <c r="E2028" s="201"/>
      <c r="F2028" s="202"/>
      <c r="G2028" s="194" t="s">
        <v>587</v>
      </c>
      <c r="H2028" s="198"/>
      <c r="I2028" s="196"/>
      <c r="J2028" s="219">
        <f>IF(A2028="RAPPI",(VLOOKUP(TRIM(D2028), CATALOGO!F:G, 2, FALSE) * C2028)+I2028,IFERROR(IF(COUNTIF('RESTAURANTESDESCUENTOS 2026'!A:A,TRIM(A2028))&gt;0,((VLOOKUP(TRIM(D2028), CATALOGO!A:B, 2, FALSE) * C2028)*(1-VALUE(SUBSTITUTE(VLOOKUP(TRIM(A2028),'RESTAURANTESDESCUENTOS 2026'!A:B,2,FALSE),"%",""))/100)+I2028),(VLOOKUP(TRIM(D2028), CATALOGO!A:B, 2, FALSE) * C2028+I2028)),""))</f>
        <v>288000</v>
      </c>
      <c r="K2028" s="196"/>
      <c r="L2028" s="87">
        <v>829.0</v>
      </c>
      <c r="M2028" s="197" t="s">
        <v>587</v>
      </c>
      <c r="N2028" s="168"/>
    </row>
    <row r="2029" ht="21.75" hidden="1" customHeight="1">
      <c r="A2029" s="137" t="s">
        <v>1082</v>
      </c>
      <c r="B2029" s="90">
        <v>46111.0</v>
      </c>
      <c r="C2029" s="55">
        <v>12.0</v>
      </c>
      <c r="D2029" s="97" t="s">
        <v>185</v>
      </c>
      <c r="E2029" s="201"/>
      <c r="F2029" s="202"/>
      <c r="G2029" s="194" t="s">
        <v>587</v>
      </c>
      <c r="H2029" s="198"/>
      <c r="I2029" s="196"/>
      <c r="J2029" s="219">
        <f>IF(A2029="RAPPI",(VLOOKUP(TRIM(D2029), CATALOGO!F:G, 2, FALSE) * C2029)+I2029,IFERROR(IF(COUNTIF('RESTAURANTESDESCUENTOS 2026'!A:A,TRIM(A2029))&gt;0,((VLOOKUP(TRIM(D2029), CATALOGO!A:B, 2, FALSE) * C2029)*(1-VALUE(SUBSTITUTE(VLOOKUP(TRIM(A2029),'RESTAURANTESDESCUENTOS 2026'!A:B,2,FALSE),"%",""))/100)+I2029),(VLOOKUP(TRIM(D2029), CATALOGO!A:B, 2, FALSE) * C2029+I2029)),""))</f>
        <v>211200</v>
      </c>
      <c r="K2029" s="196"/>
      <c r="L2029" s="87">
        <v>829.0</v>
      </c>
      <c r="M2029" s="197" t="s">
        <v>587</v>
      </c>
      <c r="N2029" s="168"/>
    </row>
    <row r="2030" ht="22.5" hidden="1" customHeight="1">
      <c r="A2030" s="137" t="s">
        <v>96</v>
      </c>
      <c r="B2030" s="90">
        <v>46111.0</v>
      </c>
      <c r="C2030" s="55">
        <v>1.0</v>
      </c>
      <c r="D2030" s="97" t="s">
        <v>178</v>
      </c>
      <c r="E2030" s="201" t="s">
        <v>14</v>
      </c>
      <c r="F2030" s="202"/>
      <c r="G2030" s="194" t="s">
        <v>587</v>
      </c>
      <c r="H2030" s="195" t="s">
        <v>632</v>
      </c>
      <c r="I2030" s="196">
        <v>5000.0</v>
      </c>
      <c r="J2030" s="219">
        <f>IF(A2030="RAPPI",(VLOOKUP(TRIM(D2030), CATALOGO!F:G, 2, FALSE) * C2030)+I2030,IFERROR(IF(COUNTIF('RESTAURANTESDESCUENTOS 2026'!A:A,TRIM(A2030))&gt;0,((VLOOKUP(TRIM(D2030), CATALOGO!A:B, 2, FALSE) * C2030)*(1-VALUE(SUBSTITUTE(VLOOKUP(TRIM(A2030),'RESTAURANTESDESCUENTOS 2026'!A:B,2,FALSE),"%",""))/100)+I2030),(VLOOKUP(TRIM(D2030), CATALOGO!A:B, 2, FALSE) * C2030+I2030)),""))</f>
        <v>110000</v>
      </c>
      <c r="K2030" s="196">
        <v>10000.0</v>
      </c>
      <c r="L2030" s="87">
        <v>826.0</v>
      </c>
      <c r="M2030" s="197" t="s">
        <v>587</v>
      </c>
      <c r="N2030" s="168"/>
    </row>
    <row r="2031" ht="22.5" hidden="1" customHeight="1">
      <c r="A2031" s="137" t="s">
        <v>86</v>
      </c>
      <c r="B2031" s="90">
        <v>46111.0</v>
      </c>
      <c r="C2031" s="55">
        <v>1.0</v>
      </c>
      <c r="D2031" s="97" t="s">
        <v>177</v>
      </c>
      <c r="E2031" s="201" t="s">
        <v>610</v>
      </c>
      <c r="F2031" s="202"/>
      <c r="G2031" s="194" t="s">
        <v>587</v>
      </c>
      <c r="H2031" s="195" t="s">
        <v>632</v>
      </c>
      <c r="I2031" s="196"/>
      <c r="J2031" s="219">
        <f>IF(A2031="RAPPI",(VLOOKUP(TRIM(D2031), CATALOGO!F:G, 2, FALSE) * C2031)+I2031,IFERROR(IF(COUNTIF('RESTAURANTESDESCUENTOS 2026'!A:A,TRIM(A2031))&gt;0,((VLOOKUP(TRIM(D2031), CATALOGO!A:B, 2, FALSE) * C2031)*(1-VALUE(SUBSTITUTE(VLOOKUP(TRIM(A2031),'RESTAURANTESDESCUENTOS 2026'!A:B,2,FALSE),"%",""))/100)+I2031),(VLOOKUP(TRIM(D2031), CATALOGO!A:B, 2, FALSE) * C2031+I2031)),""))</f>
        <v>86250</v>
      </c>
      <c r="K2031" s="196">
        <v>15000.0</v>
      </c>
      <c r="L2031" s="87">
        <v>827.0</v>
      </c>
      <c r="M2031" s="197" t="s">
        <v>587</v>
      </c>
      <c r="N2031" s="168"/>
    </row>
    <row r="2032" ht="22.5" hidden="1" customHeight="1">
      <c r="A2032" s="137" t="s">
        <v>73</v>
      </c>
      <c r="B2032" s="90">
        <v>46111.0</v>
      </c>
      <c r="C2032" s="55">
        <v>1.0</v>
      </c>
      <c r="D2032" s="97" t="s">
        <v>178</v>
      </c>
      <c r="E2032" s="201" t="s">
        <v>28</v>
      </c>
      <c r="F2032" s="202"/>
      <c r="G2032" s="194" t="s">
        <v>587</v>
      </c>
      <c r="H2032" s="195" t="s">
        <v>632</v>
      </c>
      <c r="I2032" s="196"/>
      <c r="J2032" s="219">
        <f>IF(A2032="RAPPI",(VLOOKUP(TRIM(D2032), CATALOGO!F:G, 2, FALSE) * C2032)+I2032,IFERROR(IF(COUNTIF('RESTAURANTESDESCUENTOS 2026'!A:A,TRIM(A2032))&gt;0,((VLOOKUP(TRIM(D2032), CATALOGO!A:B, 2, FALSE) * C2032)*(1-VALUE(SUBSTITUTE(VLOOKUP(TRIM(A2032),'RESTAURANTESDESCUENTOS 2026'!A:B,2,FALSE),"%",""))/100)+I2032),(VLOOKUP(TRIM(D2032), CATALOGO!A:B, 2, FALSE) * C2032+I2032)),""))</f>
        <v>112500</v>
      </c>
      <c r="K2032" s="196">
        <v>10000.0</v>
      </c>
      <c r="L2032" s="87">
        <v>828.0</v>
      </c>
      <c r="M2032" s="197" t="s">
        <v>587</v>
      </c>
      <c r="N2032" s="168"/>
    </row>
    <row r="2033" ht="22.5" hidden="1" customHeight="1">
      <c r="A2033" s="137" t="s">
        <v>55</v>
      </c>
      <c r="B2033" s="90">
        <v>46111.0</v>
      </c>
      <c r="C2033" s="55">
        <v>2.0</v>
      </c>
      <c r="D2033" s="97" t="s">
        <v>178</v>
      </c>
      <c r="E2033" s="201" t="s">
        <v>28</v>
      </c>
      <c r="F2033" s="202"/>
      <c r="G2033" s="194" t="s">
        <v>587</v>
      </c>
      <c r="H2033" s="195" t="s">
        <v>632</v>
      </c>
      <c r="I2033" s="196">
        <v>10000.0</v>
      </c>
      <c r="J2033" s="219">
        <f>IF(A2033="RAPPI",(VLOOKUP(TRIM(D2033), CATALOGO!F:G, 2, FALSE) * C2033)+I2033,IFERROR(IF(COUNTIF('RESTAURANTESDESCUENTOS 2026'!A:A,TRIM(A2033))&gt;0,((VLOOKUP(TRIM(D2033), CATALOGO!A:B, 2, FALSE) * C2033)*(1-VALUE(SUBSTITUTE(VLOOKUP(TRIM(A2033),'RESTAURANTESDESCUENTOS 2026'!A:B,2,FALSE),"%",""))/100)+I2033),(VLOOKUP(TRIM(D2033), CATALOGO!A:B, 2, FALSE) * C2033+I2033)),""))</f>
        <v>235000</v>
      </c>
      <c r="K2033" s="196">
        <v>10000.0</v>
      </c>
      <c r="L2033" s="87">
        <v>831.0</v>
      </c>
      <c r="M2033" s="197" t="s">
        <v>587</v>
      </c>
      <c r="N2033" s="168"/>
    </row>
    <row r="2034" ht="22.5" hidden="1" customHeight="1">
      <c r="A2034" s="137" t="s">
        <v>10</v>
      </c>
      <c r="B2034" s="90">
        <v>46111.0</v>
      </c>
      <c r="C2034" s="55">
        <v>1.0</v>
      </c>
      <c r="D2034" s="97" t="s">
        <v>178</v>
      </c>
      <c r="E2034" s="201" t="s">
        <v>28</v>
      </c>
      <c r="F2034" s="202"/>
      <c r="G2034" s="194" t="s">
        <v>587</v>
      </c>
      <c r="H2034" s="195" t="s">
        <v>632</v>
      </c>
      <c r="I2034" s="196"/>
      <c r="J2034" s="219">
        <f>IF(A2034="RAPPI",(VLOOKUP(TRIM(D2034), CATALOGO!F:G, 2, FALSE) * C2034)+I2034,IFERROR(IF(COUNTIF('RESTAURANTESDESCUENTOS 2026'!A:A,TRIM(A2034))&gt;0,((VLOOKUP(TRIM(D2034), CATALOGO!A:B, 2, FALSE) * C2034)*(1-VALUE(SUBSTITUTE(VLOOKUP(TRIM(A2034),'RESTAURANTESDESCUENTOS 2026'!A:B,2,FALSE),"%",""))/100)+I2034),(VLOOKUP(TRIM(D2034), CATALOGO!A:B, 2, FALSE) * C2034+I2034)),""))</f>
        <v>112500</v>
      </c>
      <c r="K2034" s="196">
        <v>10000.0</v>
      </c>
      <c r="L2034" s="87">
        <v>830.0</v>
      </c>
      <c r="M2034" s="197" t="s">
        <v>587</v>
      </c>
      <c r="N2034" s="168"/>
    </row>
    <row r="2035" ht="22.5" hidden="1" customHeight="1">
      <c r="A2035" s="137" t="s">
        <v>1262</v>
      </c>
      <c r="B2035" s="90">
        <v>46111.0</v>
      </c>
      <c r="C2035" s="55">
        <v>1.0</v>
      </c>
      <c r="D2035" s="97" t="s">
        <v>186</v>
      </c>
      <c r="E2035" s="201"/>
      <c r="F2035" s="236" t="s">
        <v>1035</v>
      </c>
      <c r="G2035" s="194" t="s">
        <v>587</v>
      </c>
      <c r="H2035" s="195" t="s">
        <v>588</v>
      </c>
      <c r="I2035" s="196">
        <v>14000.0</v>
      </c>
      <c r="J2035" s="179">
        <f>IF(A2035="RAPPI",(VLOOKUP(TRIM(D2035), CATALOGO!F:G, 2, FALSE) * C2035)+I2035,IFERROR(IF(COUNTIF('RESTAURANTESDESCUENTOS 2026'!A:A,TRIM(A2035))&gt;0,((VLOOKUP(TRIM(D2035), CATALOGO!A:B, 2, FALSE) * C2035)*(1-VALUE(SUBSTITUTE(VLOOKUP(TRIM(A2035),'RESTAURANTESDESCUENTOS 2026'!A:B,2,FALSE),"%",""))/100)+I2035),(VLOOKUP(TRIM(D2035), CATALOGO!A:B, 2, FALSE) * C2035+I2035)),""))</f>
        <v>69000</v>
      </c>
      <c r="K2035" s="196">
        <v>14000.0</v>
      </c>
      <c r="L2035" s="87">
        <v>834.0</v>
      </c>
      <c r="M2035" s="197" t="s">
        <v>587</v>
      </c>
      <c r="N2035" s="168"/>
    </row>
    <row r="2036" ht="22.5" hidden="1" customHeight="1">
      <c r="A2036" s="137" t="s">
        <v>1262</v>
      </c>
      <c r="B2036" s="90">
        <v>46111.0</v>
      </c>
      <c r="C2036" s="55">
        <v>1.0</v>
      </c>
      <c r="D2036" s="97" t="s">
        <v>187</v>
      </c>
      <c r="E2036" s="201"/>
      <c r="F2036" s="236" t="s">
        <v>1035</v>
      </c>
      <c r="G2036" s="194" t="s">
        <v>587</v>
      </c>
      <c r="H2036" s="195" t="s">
        <v>588</v>
      </c>
      <c r="I2036" s="196">
        <v>0.0</v>
      </c>
      <c r="J2036" s="179">
        <f>IF(A2036="RAPPI",(VLOOKUP(TRIM(D2036), CATALOGO!F:G, 2, FALSE) * C2036)+I2036,IFERROR(IF(COUNTIF('RESTAURANTESDESCUENTOS 2026'!A:A,TRIM(A2036))&gt;0,((VLOOKUP(TRIM(D2036), CATALOGO!A:B, 2, FALSE) * C2036)*(1-VALUE(SUBSTITUTE(VLOOKUP(TRIM(A2036),'RESTAURANTESDESCUENTOS 2026'!A:B,2,FALSE),"%",""))/100)+I2036),(VLOOKUP(TRIM(D2036), CATALOGO!A:B, 2, FALSE) * C2036+I2036)),""))</f>
        <v>55000</v>
      </c>
      <c r="K2036" s="196">
        <v>0.0</v>
      </c>
      <c r="L2036" s="87">
        <v>834.0</v>
      </c>
      <c r="M2036" s="197" t="s">
        <v>587</v>
      </c>
      <c r="N2036" s="168"/>
    </row>
    <row r="2037" ht="22.5" hidden="1" customHeight="1">
      <c r="A2037" s="137" t="s">
        <v>1238</v>
      </c>
      <c r="B2037" s="90">
        <v>46111.0</v>
      </c>
      <c r="C2037" s="55">
        <v>1.0</v>
      </c>
      <c r="D2037" s="97" t="s">
        <v>176</v>
      </c>
      <c r="E2037" s="201"/>
      <c r="F2037" s="236" t="s">
        <v>1035</v>
      </c>
      <c r="G2037" s="194" t="s">
        <v>587</v>
      </c>
      <c r="H2037" s="195" t="s">
        <v>632</v>
      </c>
      <c r="I2037" s="196">
        <v>10000.0</v>
      </c>
      <c r="J2037" s="179">
        <f>IF(A2037="RAPPI",(VLOOKUP(TRIM(D2037), CATALOGO!F:G, 2, FALSE) * C2037)+I2037,IFERROR(IF(COUNTIF('RESTAURANTESDESCUENTOS 2026'!A:A,TRIM(A2037))&gt;0,((VLOOKUP(TRIM(D2037), CATALOGO!A:B, 2, FALSE) * C2037)*(1-VALUE(SUBSTITUTE(VLOOKUP(TRIM(A2037),'RESTAURANTESDESCUENTOS 2026'!A:B,2,FALSE),"%",""))/100)+I2037),(VLOOKUP(TRIM(D2037), CATALOGO!A:B, 2, FALSE) * C2037+I2037)),""))</f>
        <v>60000</v>
      </c>
      <c r="K2037" s="196">
        <v>10000.0</v>
      </c>
      <c r="L2037" s="87">
        <v>835.0</v>
      </c>
      <c r="M2037" s="197" t="s">
        <v>587</v>
      </c>
      <c r="N2037" s="168"/>
    </row>
    <row r="2038" ht="22.5" hidden="1" customHeight="1">
      <c r="A2038" s="137" t="s">
        <v>1263</v>
      </c>
      <c r="B2038" s="90">
        <v>46111.0</v>
      </c>
      <c r="C2038" s="55">
        <v>1.0</v>
      </c>
      <c r="D2038" s="97" t="s">
        <v>178</v>
      </c>
      <c r="E2038" s="201"/>
      <c r="F2038" s="236" t="s">
        <v>1035</v>
      </c>
      <c r="G2038" s="194" t="s">
        <v>587</v>
      </c>
      <c r="H2038" s="195" t="s">
        <v>632</v>
      </c>
      <c r="I2038" s="196">
        <v>14000.0</v>
      </c>
      <c r="J2038" s="179">
        <f>IF(A2038="RAPPI",(VLOOKUP(TRIM(D2038), CATALOGO!F:G, 2, FALSE) * C2038)+I2038,IFERROR(IF(COUNTIF('RESTAURANTESDESCUENTOS 2026'!A:A,TRIM(A2038))&gt;0,((VLOOKUP(TRIM(D2038), CATALOGO!A:B, 2, FALSE) * C2038)*(1-VALUE(SUBSTITUTE(VLOOKUP(TRIM(A2038),'RESTAURANTESDESCUENTOS 2026'!A:B,2,FALSE),"%",""))/100)+I2038),(VLOOKUP(TRIM(D2038), CATALOGO!A:B, 2, FALSE) * C2038+I2038)),""))</f>
        <v>164000</v>
      </c>
      <c r="K2038" s="196">
        <v>14000.0</v>
      </c>
      <c r="L2038" s="87">
        <v>836.0</v>
      </c>
      <c r="M2038" s="197" t="s">
        <v>587</v>
      </c>
      <c r="N2038" s="168"/>
    </row>
    <row r="2039" ht="22.5" hidden="1" customHeight="1">
      <c r="A2039" s="137" t="s">
        <v>1264</v>
      </c>
      <c r="B2039" s="90">
        <v>46111.0</v>
      </c>
      <c r="C2039" s="55">
        <v>1.0</v>
      </c>
      <c r="D2039" s="97" t="s">
        <v>757</v>
      </c>
      <c r="E2039" s="201"/>
      <c r="F2039" s="236" t="s">
        <v>1035</v>
      </c>
      <c r="G2039" s="194" t="s">
        <v>587</v>
      </c>
      <c r="H2039" s="195" t="s">
        <v>632</v>
      </c>
      <c r="I2039" s="196">
        <v>10000.0</v>
      </c>
      <c r="J2039" s="179">
        <f>IF(A2039="RAPPI",(VLOOKUP(TRIM(D2039), CATALOGO!F:G, 2, FALSE) * C2039)+I2039,IFERROR(IF(COUNTIF('RESTAURANTESDESCUENTOS 2026'!A:A,TRIM(A2039))&gt;0,((VLOOKUP(TRIM(D2039), CATALOGO!A:B, 2, FALSE) * C2039)*(1-VALUE(SUBSTITUTE(VLOOKUP(TRIM(A2039),'RESTAURANTESDESCUENTOS 2026'!A:B,2,FALSE),"%",""))/100)+I2039),(VLOOKUP(TRIM(D2039), CATALOGO!A:B, 2, FALSE) * C2039+I2039)),""))</f>
        <v>32000</v>
      </c>
      <c r="K2039" s="196">
        <v>10000.0</v>
      </c>
      <c r="L2039" s="87">
        <v>837.0</v>
      </c>
      <c r="M2039" s="197" t="s">
        <v>587</v>
      </c>
      <c r="N2039" s="168"/>
    </row>
    <row r="2040" ht="22.5" hidden="1" customHeight="1">
      <c r="A2040" s="137" t="s">
        <v>1265</v>
      </c>
      <c r="B2040" s="90">
        <v>46111.0</v>
      </c>
      <c r="C2040" s="55">
        <v>1.0</v>
      </c>
      <c r="D2040" s="97" t="s">
        <v>678</v>
      </c>
      <c r="E2040" s="201" t="s">
        <v>1266</v>
      </c>
      <c r="F2040" s="236" t="s">
        <v>1035</v>
      </c>
      <c r="G2040" s="194" t="s">
        <v>35</v>
      </c>
      <c r="H2040" s="198"/>
      <c r="I2040" s="196"/>
      <c r="J2040" s="179">
        <f>IF(A2040="RAPPI",(VLOOKUP(TRIM(D2040), CATALOGO!F:G, 2, FALSE) * C2040)+I2040,IFERROR(IF(COUNTIF('RESTAURANTESDESCUENTOS 2026'!A:A,TRIM(A2040))&gt;0,((VLOOKUP(TRIM(D2040), CATALOGO!A:B, 2, FALSE) * C2040)*(1-VALUE(SUBSTITUTE(VLOOKUP(TRIM(A2040),'RESTAURANTESDESCUENTOS 2026'!A:B,2,FALSE),"%",""))/100)+I2040),(VLOOKUP(TRIM(D2040), CATALOGO!A:B, 2, FALSE) * C2040+I2040)),""))</f>
        <v>123000</v>
      </c>
      <c r="K2040" s="196"/>
      <c r="L2040" s="87">
        <v>839.0</v>
      </c>
      <c r="M2040" s="197" t="s">
        <v>587</v>
      </c>
      <c r="N2040" s="168"/>
    </row>
    <row r="2041" ht="22.5" hidden="1" customHeight="1">
      <c r="A2041" s="137" t="s">
        <v>603</v>
      </c>
      <c r="B2041" s="90">
        <v>46111.0</v>
      </c>
      <c r="C2041" s="55">
        <v>1.0</v>
      </c>
      <c r="D2041" s="97" t="s">
        <v>174</v>
      </c>
      <c r="E2041" s="201"/>
      <c r="F2041" s="236" t="s">
        <v>603</v>
      </c>
      <c r="G2041" s="194" t="s">
        <v>587</v>
      </c>
      <c r="H2041" s="195" t="s">
        <v>603</v>
      </c>
      <c r="I2041" s="196"/>
      <c r="J2041" s="179">
        <f>IF(A2041="RAPPI",(VLOOKUP(TRIM(D2041), CATALOGO!F:G, 2, FALSE) * C2041)+I2041,IFERROR(IF(COUNTIF('RESTAURANTESDESCUENTOS 2026'!A:A,TRIM(A2041))&gt;0,((VLOOKUP(TRIM(D2041), CATALOGO!A:B, 2, FALSE) * C2041)*(1-VALUE(SUBSTITUTE(VLOOKUP(TRIM(A2041),'RESTAURANTESDESCUENTOS 2026'!A:B,2,FALSE),"%",""))/100)+I2041),(VLOOKUP(TRIM(D2041), CATALOGO!A:B, 2, FALSE) * C2041+I2041)),""))</f>
        <v>18000</v>
      </c>
      <c r="K2041" s="196"/>
      <c r="L2041" s="87">
        <v>833.0</v>
      </c>
      <c r="M2041" s="197" t="s">
        <v>587</v>
      </c>
      <c r="N2041" s="168"/>
    </row>
    <row r="2042" ht="22.5" hidden="1" customHeight="1">
      <c r="A2042" s="137" t="s">
        <v>603</v>
      </c>
      <c r="B2042" s="90">
        <v>46111.0</v>
      </c>
      <c r="C2042" s="55">
        <v>1.0</v>
      </c>
      <c r="D2042" s="97" t="s">
        <v>178</v>
      </c>
      <c r="E2042" s="201"/>
      <c r="F2042" s="236" t="s">
        <v>603</v>
      </c>
      <c r="G2042" s="194" t="s">
        <v>587</v>
      </c>
      <c r="H2042" s="195" t="s">
        <v>603</v>
      </c>
      <c r="I2042" s="196"/>
      <c r="J2042" s="179">
        <f>IF(A2042="RAPPI",(VLOOKUP(TRIM(D2042), CATALOGO!F:G, 2, FALSE) * C2042)+I2042,IFERROR(IF(COUNTIF('RESTAURANTESDESCUENTOS 2026'!A:A,TRIM(A2042))&gt;0,((VLOOKUP(TRIM(D2042), CATALOGO!A:B, 2, FALSE) * C2042)*(1-VALUE(SUBSTITUTE(VLOOKUP(TRIM(A2042),'RESTAURANTESDESCUENTOS 2026'!A:B,2,FALSE),"%",""))/100)+I2042),(VLOOKUP(TRIM(D2042), CATALOGO!A:B, 2, FALSE) * C2042+I2042)),""))</f>
        <v>150000</v>
      </c>
      <c r="K2042" s="196"/>
      <c r="L2042" s="87">
        <v>833.0</v>
      </c>
      <c r="M2042" s="197" t="s">
        <v>587</v>
      </c>
      <c r="N2042" s="168"/>
    </row>
    <row r="2043" ht="22.5" hidden="1" customHeight="1">
      <c r="A2043" s="137" t="s">
        <v>603</v>
      </c>
      <c r="B2043" s="90">
        <v>46111.0</v>
      </c>
      <c r="C2043" s="55">
        <v>1.0</v>
      </c>
      <c r="D2043" s="97" t="s">
        <v>678</v>
      </c>
      <c r="E2043" s="201"/>
      <c r="F2043" s="236" t="s">
        <v>603</v>
      </c>
      <c r="G2043" s="194" t="s">
        <v>587</v>
      </c>
      <c r="H2043" s="195" t="s">
        <v>603</v>
      </c>
      <c r="I2043" s="196"/>
      <c r="J2043" s="179">
        <f>IF(A2043="RAPPI",(VLOOKUP(TRIM(D2043), CATALOGO!F:G, 2, FALSE) * C2043)+I2043,IFERROR(IF(COUNTIF('RESTAURANTESDESCUENTOS 2026'!A:A,TRIM(A2043))&gt;0,((VLOOKUP(TRIM(D2043), CATALOGO!A:B, 2, FALSE) * C2043)*(1-VALUE(SUBSTITUTE(VLOOKUP(TRIM(A2043),'RESTAURANTESDESCUENTOS 2026'!A:B,2,FALSE),"%",""))/100)+I2043),(VLOOKUP(TRIM(D2043), CATALOGO!A:B, 2, FALSE) * C2043+I2043)),""))</f>
        <v>123000</v>
      </c>
      <c r="K2043" s="196"/>
      <c r="L2043" s="87">
        <v>833.0</v>
      </c>
      <c r="M2043" s="197" t="s">
        <v>587</v>
      </c>
      <c r="N2043" s="168"/>
    </row>
    <row r="2044" ht="22.5" hidden="1" customHeight="1">
      <c r="A2044" s="137" t="s">
        <v>603</v>
      </c>
      <c r="B2044" s="90">
        <v>46111.0</v>
      </c>
      <c r="C2044" s="55">
        <v>1.0</v>
      </c>
      <c r="D2044" s="97" t="s">
        <v>176</v>
      </c>
      <c r="E2044" s="201"/>
      <c r="F2044" s="236" t="s">
        <v>603</v>
      </c>
      <c r="G2044" s="194" t="s">
        <v>587</v>
      </c>
      <c r="H2044" s="195" t="s">
        <v>603</v>
      </c>
      <c r="I2044" s="196"/>
      <c r="J2044" s="179">
        <f>IF(A2044="RAPPI",(VLOOKUP(TRIM(D2044), CATALOGO!F:G, 2, FALSE) * C2044)+I2044,IFERROR(IF(COUNTIF('RESTAURANTESDESCUENTOS 2026'!A:A,TRIM(A2044))&gt;0,((VLOOKUP(TRIM(D2044), CATALOGO!A:B, 2, FALSE) * C2044)*(1-VALUE(SUBSTITUTE(VLOOKUP(TRIM(A2044),'RESTAURANTESDESCUENTOS 2026'!A:B,2,FALSE),"%",""))/100)+I2044),(VLOOKUP(TRIM(D2044), CATALOGO!A:B, 2, FALSE) * C2044+I2044)),""))</f>
        <v>50000</v>
      </c>
      <c r="K2044" s="196"/>
      <c r="L2044" s="87">
        <v>833.0</v>
      </c>
      <c r="M2044" s="197" t="s">
        <v>587</v>
      </c>
      <c r="N2044" s="168"/>
    </row>
    <row r="2045" ht="22.5" hidden="1" customHeight="1">
      <c r="A2045" s="137" t="s">
        <v>603</v>
      </c>
      <c r="B2045" s="90">
        <v>46111.0</v>
      </c>
      <c r="C2045" s="55">
        <v>1.0</v>
      </c>
      <c r="D2045" s="97" t="s">
        <v>657</v>
      </c>
      <c r="E2045" s="201"/>
      <c r="F2045" s="236" t="s">
        <v>603</v>
      </c>
      <c r="G2045" s="194" t="s">
        <v>587</v>
      </c>
      <c r="H2045" s="195" t="s">
        <v>603</v>
      </c>
      <c r="I2045" s="196"/>
      <c r="J2045" s="179">
        <f>IF(A2045="RAPPI",(VLOOKUP(TRIM(D2045), CATALOGO!F:G, 2, FALSE) * C2045)+I2045,IFERROR(IF(COUNTIF('RESTAURANTESDESCUENTOS 2026'!A:A,TRIM(A2045))&gt;0,((VLOOKUP(TRIM(D2045), CATALOGO!A:B, 2, FALSE) * C2045)*(1-VALUE(SUBSTITUTE(VLOOKUP(TRIM(A2045),'RESTAURANTESDESCUENTOS 2026'!A:B,2,FALSE),"%",""))/100)+I2045),(VLOOKUP(TRIM(D2045), CATALOGO!A:B, 2, FALSE) * C2045+I2045)),""))</f>
        <v>8000</v>
      </c>
      <c r="K2045" s="196"/>
      <c r="L2045" s="87">
        <v>833.0</v>
      </c>
      <c r="M2045" s="197" t="s">
        <v>587</v>
      </c>
      <c r="N2045" s="168"/>
    </row>
    <row r="2046" ht="22.5" hidden="1" customHeight="1">
      <c r="A2046" s="137" t="s">
        <v>1126</v>
      </c>
      <c r="B2046" s="90">
        <v>46111.0</v>
      </c>
      <c r="C2046" s="55">
        <v>1.0</v>
      </c>
      <c r="D2046" s="97" t="s">
        <v>174</v>
      </c>
      <c r="E2046" s="201"/>
      <c r="F2046" s="236" t="s">
        <v>1036</v>
      </c>
      <c r="G2046" s="194" t="s">
        <v>35</v>
      </c>
      <c r="H2046" s="198"/>
      <c r="I2046" s="196"/>
      <c r="J2046" s="179">
        <f>IF(A2046="RAPPI",(VLOOKUP(TRIM(D2046), CATALOGO!F:G, 2, FALSE) * C2046)+I2046,IFERROR(IF(COUNTIF('RESTAURANTESDESCUENTOS 2026'!A:A,TRIM(A2046))&gt;0,((VLOOKUP(TRIM(D2046), CATALOGO!A:B, 2, FALSE) * C2046)*(1-VALUE(SUBSTITUTE(VLOOKUP(TRIM(A2046),'RESTAURANTESDESCUENTOS 2026'!A:B,2,FALSE),"%",""))/100)+I2046),(VLOOKUP(TRIM(D2046), CATALOGO!A:B, 2, FALSE) * C2046+I2046)),""))</f>
        <v>18000</v>
      </c>
      <c r="K2046" s="196"/>
      <c r="L2046" s="87">
        <v>838.0</v>
      </c>
      <c r="M2046" s="197" t="s">
        <v>587</v>
      </c>
      <c r="N2046" s="168"/>
    </row>
    <row r="2047" ht="22.5" hidden="1" customHeight="1">
      <c r="A2047" s="137" t="s">
        <v>88</v>
      </c>
      <c r="B2047" s="90">
        <v>46112.0</v>
      </c>
      <c r="C2047" s="55">
        <v>1.0</v>
      </c>
      <c r="D2047" s="97" t="s">
        <v>177</v>
      </c>
      <c r="E2047" s="201" t="s">
        <v>14</v>
      </c>
      <c r="F2047" s="202"/>
      <c r="G2047" s="194" t="s">
        <v>587</v>
      </c>
      <c r="H2047" s="195" t="s">
        <v>632</v>
      </c>
      <c r="I2047" s="196">
        <v>10000.0</v>
      </c>
      <c r="J2047" s="179">
        <f>IF(A2047="RAPPI",(VLOOKUP(TRIM(D2047), CATALOGO!F:G, 2, FALSE) * C2047)+I2047,IFERROR(IF(COUNTIF('RESTAURANTESDESCUENTOS 2026'!A:A,TRIM(A2047))&gt;0,((VLOOKUP(TRIM(D2047), CATALOGO!A:B, 2, FALSE) * C2047)*(1-VALUE(SUBSTITUTE(VLOOKUP(TRIM(A2047),'RESTAURANTESDESCUENTOS 2026'!A:B,2,FALSE),"%",""))/100)+I2047),(VLOOKUP(TRIM(D2047), CATALOGO!A:B, 2, FALSE) * C2047+I2047)),""))</f>
        <v>96250</v>
      </c>
      <c r="K2047" s="196">
        <v>24000.0</v>
      </c>
      <c r="L2047" s="87">
        <v>841.0</v>
      </c>
      <c r="M2047" s="197" t="s">
        <v>587</v>
      </c>
      <c r="N2047" s="168"/>
    </row>
    <row r="2048" ht="22.5" hidden="1" customHeight="1">
      <c r="A2048" s="137" t="s">
        <v>1267</v>
      </c>
      <c r="B2048" s="90">
        <v>46112.0</v>
      </c>
      <c r="C2048" s="55">
        <v>1.0</v>
      </c>
      <c r="D2048" s="97" t="s">
        <v>178</v>
      </c>
      <c r="E2048" s="201"/>
      <c r="F2048" s="236" t="s">
        <v>1035</v>
      </c>
      <c r="G2048" s="194" t="s">
        <v>587</v>
      </c>
      <c r="H2048" s="195" t="s">
        <v>632</v>
      </c>
      <c r="I2048" s="196">
        <v>10000.0</v>
      </c>
      <c r="J2048" s="179">
        <f>IF(A2048="RAPPI",(VLOOKUP(TRIM(D2048), CATALOGO!F:G, 2, FALSE) * C2048)+I2048,IFERROR(IF(COUNTIF('RESTAURANTESDESCUENTOS 2026'!A:A,TRIM(A2048))&gt;0,((VLOOKUP(TRIM(D2048), CATALOGO!A:B, 2, FALSE) * C2048)*(1-VALUE(SUBSTITUTE(VLOOKUP(TRIM(A2048),'RESTAURANTESDESCUENTOS 2026'!A:B,2,FALSE),"%",""))/100)+I2048),(VLOOKUP(TRIM(D2048), CATALOGO!A:B, 2, FALSE) * C2048+I2048)),""))</f>
        <v>160000</v>
      </c>
      <c r="K2048" s="196"/>
      <c r="L2048" s="87">
        <v>861.0</v>
      </c>
      <c r="M2048" s="197" t="s">
        <v>587</v>
      </c>
      <c r="N2048" s="168"/>
    </row>
    <row r="2049" ht="22.5" hidden="1" customHeight="1">
      <c r="A2049" s="137" t="s">
        <v>650</v>
      </c>
      <c r="B2049" s="90">
        <v>46112.0</v>
      </c>
      <c r="C2049" s="55">
        <v>2.0</v>
      </c>
      <c r="D2049" s="97" t="s">
        <v>178</v>
      </c>
      <c r="E2049" s="201" t="s">
        <v>1268</v>
      </c>
      <c r="F2049" s="202"/>
      <c r="G2049" s="194" t="s">
        <v>587</v>
      </c>
      <c r="H2049" s="195" t="s">
        <v>632</v>
      </c>
      <c r="I2049" s="196">
        <v>0.0</v>
      </c>
      <c r="J2049" s="179">
        <f>IF(A2049="RAPPI",(VLOOKUP(TRIM(D2049), CATALOGO!F:G, 2, FALSE) * C2049)+I2049,IFERROR(IF(COUNTIF('RESTAURANTESDESCUENTOS 2026'!A:A,TRIM(A2049))&gt;0,((VLOOKUP(TRIM(D2049), CATALOGO!A:B, 2, FALSE) * C2049)*(1-VALUE(SUBSTITUTE(VLOOKUP(TRIM(A2049),'RESTAURANTESDESCUENTOS 2026'!A:B,2,FALSE),"%",""))/100)+I2049),(VLOOKUP(TRIM(D2049), CATALOGO!A:B, 2, FALSE) * C2049+I2049)),""))</f>
        <v>225000</v>
      </c>
      <c r="K2049" s="196">
        <v>24000.0</v>
      </c>
      <c r="L2049" s="87">
        <v>842.0</v>
      </c>
      <c r="M2049" s="197" t="s">
        <v>587</v>
      </c>
      <c r="N2049" s="168"/>
    </row>
    <row r="2050" ht="22.5" hidden="1" customHeight="1">
      <c r="A2050" s="137" t="s">
        <v>1269</v>
      </c>
      <c r="B2050" s="90">
        <v>46112.0</v>
      </c>
      <c r="C2050" s="55">
        <v>2.0</v>
      </c>
      <c r="D2050" s="97" t="s">
        <v>177</v>
      </c>
      <c r="E2050" s="201"/>
      <c r="F2050" s="236" t="s">
        <v>1035</v>
      </c>
      <c r="G2050" s="194" t="s">
        <v>35</v>
      </c>
      <c r="H2050" s="198"/>
      <c r="I2050" s="196"/>
      <c r="J2050" s="179">
        <f>IF(A2050="RAPPI",(VLOOKUP(TRIM(D2050), CATALOGO!F:G, 2, FALSE) * C2050)+I2050,IFERROR(IF(COUNTIF('RESTAURANTESDESCUENTOS 2026'!A:A,TRIM(A2050))&gt;0,((VLOOKUP(TRIM(D2050), CATALOGO!A:B, 2, FALSE) * C2050)*(1-VALUE(SUBSTITUTE(VLOOKUP(TRIM(A2050),'RESTAURANTESDESCUENTOS 2026'!A:B,2,FALSE),"%",""))/100)+I2050),(VLOOKUP(TRIM(D2050), CATALOGO!A:B, 2, FALSE) * C2050+I2050)),""))</f>
        <v>230000</v>
      </c>
      <c r="K2050" s="196"/>
      <c r="L2050" s="87">
        <v>862.0</v>
      </c>
      <c r="M2050" s="197" t="s">
        <v>587</v>
      </c>
      <c r="N2050" s="168"/>
    </row>
    <row r="2051" ht="22.5" hidden="1" customHeight="1">
      <c r="A2051" s="137" t="s">
        <v>103</v>
      </c>
      <c r="B2051" s="90">
        <v>46112.0</v>
      </c>
      <c r="C2051" s="55">
        <v>2.0</v>
      </c>
      <c r="D2051" s="97" t="s">
        <v>178</v>
      </c>
      <c r="E2051" s="201" t="s">
        <v>28</v>
      </c>
      <c r="F2051" s="202"/>
      <c r="G2051" s="194" t="s">
        <v>587</v>
      </c>
      <c r="H2051" s="195" t="s">
        <v>632</v>
      </c>
      <c r="I2051" s="196">
        <v>20000.0</v>
      </c>
      <c r="J2051" s="179">
        <f>IF(A2051="RAPPI",(VLOOKUP(TRIM(D2051), CATALOGO!F:G, 2, FALSE) * C2051)+I2051,IFERROR(IF(COUNTIF('RESTAURANTESDESCUENTOS 2026'!A:A,TRIM(A2051))&gt;0,((VLOOKUP(TRIM(D2051), CATALOGO!A:B, 2, FALSE) * C2051)*(1-VALUE(SUBSTITUTE(VLOOKUP(TRIM(A2051),'RESTAURANTESDESCUENTOS 2026'!A:B,2,FALSE),"%",""))/100)+I2051),(VLOOKUP(TRIM(D2051), CATALOGO!A:B, 2, FALSE) * C2051+I2051)),""))</f>
        <v>230000</v>
      </c>
      <c r="K2051" s="196">
        <v>24000.0</v>
      </c>
      <c r="L2051" s="87">
        <v>843.0</v>
      </c>
      <c r="M2051" s="197" t="s">
        <v>587</v>
      </c>
      <c r="N2051" s="168"/>
    </row>
    <row r="2052" ht="22.5" hidden="1" customHeight="1">
      <c r="A2052" s="137" t="s">
        <v>10</v>
      </c>
      <c r="B2052" s="90">
        <v>46112.0</v>
      </c>
      <c r="C2052" s="55">
        <v>1.0</v>
      </c>
      <c r="D2052" s="97" t="s">
        <v>178</v>
      </c>
      <c r="E2052" s="201" t="s">
        <v>14</v>
      </c>
      <c r="F2052" s="202"/>
      <c r="G2052" s="194" t="s">
        <v>587</v>
      </c>
      <c r="H2052" s="195" t="s">
        <v>632</v>
      </c>
      <c r="I2052" s="196">
        <v>10000.0</v>
      </c>
      <c r="J2052" s="179">
        <f>IF(A2052="RAPPI",(VLOOKUP(TRIM(D2052), CATALOGO!F:G, 2, FALSE) * C2052)+I2052,IFERROR(IF(COUNTIF('RESTAURANTESDESCUENTOS 2026'!A:A,TRIM(A2052))&gt;0,((VLOOKUP(TRIM(D2052), CATALOGO!A:B, 2, FALSE) * C2052)*(1-VALUE(SUBSTITUTE(VLOOKUP(TRIM(A2052),'RESTAURANTESDESCUENTOS 2026'!A:B,2,FALSE),"%",""))/100)+I2052),(VLOOKUP(TRIM(D2052), CATALOGO!A:B, 2, FALSE) * C2052+I2052)),""))</f>
        <v>122500</v>
      </c>
      <c r="K2052" s="196">
        <v>10000.0</v>
      </c>
      <c r="L2052" s="87">
        <v>851.0</v>
      </c>
      <c r="M2052" s="197" t="s">
        <v>587</v>
      </c>
      <c r="N2052" s="168"/>
    </row>
    <row r="2053" ht="22.5" hidden="1" customHeight="1">
      <c r="A2053" s="137" t="s">
        <v>1270</v>
      </c>
      <c r="B2053" s="90">
        <v>46112.0</v>
      </c>
      <c r="C2053" s="55">
        <v>1.0</v>
      </c>
      <c r="D2053" s="97" t="s">
        <v>200</v>
      </c>
      <c r="E2053" s="201" t="s">
        <v>1271</v>
      </c>
      <c r="F2053" s="236" t="s">
        <v>1035</v>
      </c>
      <c r="G2053" s="194" t="s">
        <v>587</v>
      </c>
      <c r="H2053" s="195" t="s">
        <v>632</v>
      </c>
      <c r="I2053" s="196">
        <v>13000.0</v>
      </c>
      <c r="J2053" s="179">
        <f>IF(A2053="RAPPI",(VLOOKUP(TRIM(D2053), CATALOGO!F:G, 2, FALSE) * C2053)+I2053,IFERROR(IF(COUNTIF('RESTAURANTESDESCUENTOS 2026'!A:A,TRIM(A2053))&gt;0,((VLOOKUP(TRIM(D2053), CATALOGO!A:B, 2, FALSE) * C2053)*(1-VALUE(SUBSTITUTE(VLOOKUP(TRIM(A2053),'RESTAURANTESDESCUENTOS 2026'!A:B,2,FALSE),"%",""))/100)+I2053),(VLOOKUP(TRIM(D2053), CATALOGO!A:B, 2, FALSE) * C2053+I2053)),""))</f>
        <v>132000</v>
      </c>
      <c r="K2053" s="196">
        <v>13000.0</v>
      </c>
      <c r="L2053" s="87">
        <v>863.0</v>
      </c>
      <c r="M2053" s="197" t="s">
        <v>587</v>
      </c>
      <c r="N2053" s="168"/>
    </row>
    <row r="2054" ht="22.5" hidden="1" customHeight="1">
      <c r="A2054" s="137" t="s">
        <v>59</v>
      </c>
      <c r="B2054" s="90">
        <v>46112.0</v>
      </c>
      <c r="C2054" s="55">
        <v>1.0</v>
      </c>
      <c r="D2054" s="97" t="s">
        <v>178</v>
      </c>
      <c r="E2054" s="201" t="s">
        <v>14</v>
      </c>
      <c r="F2054" s="202"/>
      <c r="G2054" s="194" t="s">
        <v>587</v>
      </c>
      <c r="H2054" s="195" t="s">
        <v>632</v>
      </c>
      <c r="I2054" s="196">
        <v>0.0</v>
      </c>
      <c r="J2054" s="179">
        <f>IF(A2054="RAPPI",(VLOOKUP(TRIM(D2054), CATALOGO!F:G, 2, FALSE) * C2054)+I2054,IFERROR(IF(COUNTIF('RESTAURANTESDESCUENTOS 2026'!A:A,TRIM(A2054))&gt;0,((VLOOKUP(TRIM(D2054), CATALOGO!A:B, 2, FALSE) * C2054)*(1-VALUE(SUBSTITUTE(VLOOKUP(TRIM(A2054),'RESTAURANTESDESCUENTOS 2026'!A:B,2,FALSE),"%",""))/100)+I2054),(VLOOKUP(TRIM(D2054), CATALOGO!A:B, 2, FALSE) * C2054+I2054)),""))</f>
        <v>112500</v>
      </c>
      <c r="K2054" s="196">
        <v>10000.0</v>
      </c>
      <c r="L2054" s="87">
        <v>845.0</v>
      </c>
      <c r="M2054" s="197" t="s">
        <v>587</v>
      </c>
      <c r="N2054" s="168"/>
    </row>
    <row r="2055" ht="22.5" hidden="1" customHeight="1">
      <c r="A2055" s="137" t="s">
        <v>59</v>
      </c>
      <c r="B2055" s="90">
        <v>46112.0</v>
      </c>
      <c r="C2055" s="55">
        <v>200.0</v>
      </c>
      <c r="D2055" s="97" t="s">
        <v>620</v>
      </c>
      <c r="E2055" s="201"/>
      <c r="F2055" s="202"/>
      <c r="G2055" s="194" t="s">
        <v>587</v>
      </c>
      <c r="H2055" s="195" t="s">
        <v>632</v>
      </c>
      <c r="I2055" s="196">
        <v>0.0</v>
      </c>
      <c r="J2055" s="199">
        <f>110*200</f>
        <v>22000</v>
      </c>
      <c r="K2055" s="196"/>
      <c r="L2055" s="87">
        <v>845.0</v>
      </c>
      <c r="M2055" s="197" t="s">
        <v>587</v>
      </c>
      <c r="N2055" s="168"/>
    </row>
    <row r="2056" ht="22.5" hidden="1" customHeight="1">
      <c r="A2056" s="137" t="s">
        <v>63</v>
      </c>
      <c r="B2056" s="90">
        <v>46112.0</v>
      </c>
      <c r="C2056" s="55">
        <v>1.0</v>
      </c>
      <c r="D2056" s="97" t="s">
        <v>178</v>
      </c>
      <c r="E2056" s="201" t="s">
        <v>14</v>
      </c>
      <c r="F2056" s="202"/>
      <c r="G2056" s="194" t="s">
        <v>587</v>
      </c>
      <c r="H2056" s="195" t="s">
        <v>632</v>
      </c>
      <c r="I2056" s="196">
        <v>0.0</v>
      </c>
      <c r="J2056" s="179">
        <f>IF(A2056="RAPPI",(VLOOKUP(TRIM(D2056), CATALOGO!F:G, 2, FALSE) * C2056)+I2056,IFERROR(IF(COUNTIF('RESTAURANTESDESCUENTOS 2026'!A:A,TRIM(A2056))&gt;0,((VLOOKUP(TRIM(D2056), CATALOGO!A:B, 2, FALSE) * C2056)*(1-VALUE(SUBSTITUTE(VLOOKUP(TRIM(A2056),'RESTAURANTESDESCUENTOS 2026'!A:B,2,FALSE),"%",""))/100)+I2056),(VLOOKUP(TRIM(D2056), CATALOGO!A:B, 2, FALSE) * C2056+I2056)),""))</f>
        <v>112500</v>
      </c>
      <c r="K2056" s="196">
        <v>13000.0</v>
      </c>
      <c r="L2056" s="87">
        <v>849.0</v>
      </c>
      <c r="M2056" s="197" t="s">
        <v>587</v>
      </c>
      <c r="N2056" s="168"/>
    </row>
    <row r="2057" ht="22.5" hidden="1" customHeight="1">
      <c r="A2057" s="137" t="s">
        <v>63</v>
      </c>
      <c r="B2057" s="90">
        <v>46112.0</v>
      </c>
      <c r="C2057" s="55">
        <v>200.0</v>
      </c>
      <c r="D2057" s="97" t="s">
        <v>620</v>
      </c>
      <c r="E2057" s="201"/>
      <c r="F2057" s="202"/>
      <c r="G2057" s="194" t="s">
        <v>587</v>
      </c>
      <c r="H2057" s="195" t="s">
        <v>632</v>
      </c>
      <c r="I2057" s="196">
        <v>0.0</v>
      </c>
      <c r="J2057" s="199">
        <f>110*200</f>
        <v>22000</v>
      </c>
      <c r="K2057" s="196"/>
      <c r="L2057" s="87">
        <v>849.0</v>
      </c>
      <c r="M2057" s="197" t="s">
        <v>587</v>
      </c>
      <c r="N2057" s="168"/>
    </row>
    <row r="2058" ht="22.5" hidden="1" customHeight="1">
      <c r="A2058" s="137" t="s">
        <v>21</v>
      </c>
      <c r="B2058" s="90">
        <v>46112.0</v>
      </c>
      <c r="C2058" s="55">
        <v>1.0</v>
      </c>
      <c r="D2058" s="97" t="s">
        <v>178</v>
      </c>
      <c r="E2058" s="201" t="s">
        <v>14</v>
      </c>
      <c r="F2058" s="202"/>
      <c r="G2058" s="194" t="s">
        <v>587</v>
      </c>
      <c r="H2058" s="195" t="s">
        <v>632</v>
      </c>
      <c r="I2058" s="196">
        <v>15000.0</v>
      </c>
      <c r="J2058" s="179">
        <f>IF(A2058="RAPPI",(VLOOKUP(TRIM(D2058), CATALOGO!F:G, 2, FALSE) * C2058)+I2058,IFERROR(IF(COUNTIF('RESTAURANTESDESCUENTOS 2026'!A:A,TRIM(A2058))&gt;0,((VLOOKUP(TRIM(D2058), CATALOGO!A:B, 2, FALSE) * C2058)*(1-VALUE(SUBSTITUTE(VLOOKUP(TRIM(A2058),'RESTAURANTESDESCUENTOS 2026'!A:B,2,FALSE),"%",""))/100)+I2058),(VLOOKUP(TRIM(D2058), CATALOGO!A:B, 2, FALSE) * C2058+I2058)),""))</f>
        <v>127500</v>
      </c>
      <c r="K2058" s="196">
        <v>24000.0</v>
      </c>
      <c r="L2058" s="87">
        <v>846.0</v>
      </c>
      <c r="M2058" s="197" t="s">
        <v>587</v>
      </c>
      <c r="N2058" s="168"/>
    </row>
    <row r="2059" ht="22.5" hidden="1" customHeight="1">
      <c r="A2059" s="137" t="s">
        <v>30</v>
      </c>
      <c r="B2059" s="90">
        <v>46112.0</v>
      </c>
      <c r="C2059" s="55">
        <v>1.0</v>
      </c>
      <c r="D2059" s="97" t="s">
        <v>178</v>
      </c>
      <c r="E2059" s="201" t="s">
        <v>14</v>
      </c>
      <c r="F2059" s="202"/>
      <c r="G2059" s="194" t="s">
        <v>587</v>
      </c>
      <c r="H2059" s="195" t="s">
        <v>632</v>
      </c>
      <c r="I2059" s="196">
        <v>25000.0</v>
      </c>
      <c r="J2059" s="179">
        <f>IF(A2059="RAPPI",(VLOOKUP(TRIM(D2059), CATALOGO!F:G, 2, FALSE) * C2059)+I2059,IFERROR(IF(COUNTIF('RESTAURANTESDESCUENTOS 2026'!A:A,TRIM(A2059))&gt;0,((VLOOKUP(TRIM(D2059), CATALOGO!A:B, 2, FALSE) * C2059)*(1-VALUE(SUBSTITUTE(VLOOKUP(TRIM(A2059),'RESTAURANTESDESCUENTOS 2026'!A:B,2,FALSE),"%",""))/100)+I2059),(VLOOKUP(TRIM(D2059), CATALOGO!A:B, 2, FALSE) * C2059+I2059)),""))</f>
        <v>137500</v>
      </c>
      <c r="K2059" s="196">
        <v>24000.0</v>
      </c>
      <c r="L2059" s="87">
        <v>847.0</v>
      </c>
      <c r="M2059" s="197" t="s">
        <v>587</v>
      </c>
      <c r="N2059" s="168"/>
    </row>
    <row r="2060" ht="22.5" hidden="1" customHeight="1">
      <c r="A2060" s="137" t="s">
        <v>92</v>
      </c>
      <c r="B2060" s="90">
        <v>46112.0</v>
      </c>
      <c r="C2060" s="55">
        <v>1.0</v>
      </c>
      <c r="D2060" s="97" t="s">
        <v>178</v>
      </c>
      <c r="E2060" s="201" t="s">
        <v>747</v>
      </c>
      <c r="F2060" s="202"/>
      <c r="G2060" s="194" t="s">
        <v>587</v>
      </c>
      <c r="H2060" s="195" t="s">
        <v>632</v>
      </c>
      <c r="I2060" s="196">
        <v>5000.0</v>
      </c>
      <c r="J2060" s="179">
        <f>IF(A2060="RAPPI",(VLOOKUP(TRIM(D2060), CATALOGO!F:G, 2, FALSE) * C2060)+I2060,IFERROR(IF(COUNTIF('RESTAURANTESDESCUENTOS 2026'!A:A,TRIM(A2060))&gt;0,((VLOOKUP(TRIM(D2060), CATALOGO!A:B, 2, FALSE) * C2060)*(1-VALUE(SUBSTITUTE(VLOOKUP(TRIM(A2060),'RESTAURANTESDESCUENTOS 2026'!A:B,2,FALSE),"%",""))/100)+I2060),(VLOOKUP(TRIM(D2060), CATALOGO!A:B, 2, FALSE) * C2060+I2060)),""))</f>
        <v>110000</v>
      </c>
      <c r="K2060" s="196">
        <v>10000.0</v>
      </c>
      <c r="L2060" s="87">
        <v>848.0</v>
      </c>
      <c r="M2060" s="197" t="s">
        <v>587</v>
      </c>
      <c r="N2060" s="168"/>
    </row>
    <row r="2061" ht="22.5" hidden="1" customHeight="1">
      <c r="A2061" s="137" t="s">
        <v>92</v>
      </c>
      <c r="B2061" s="90">
        <v>46112.0</v>
      </c>
      <c r="C2061" s="55">
        <v>150.0</v>
      </c>
      <c r="D2061" s="97" t="s">
        <v>236</v>
      </c>
      <c r="E2061" s="201"/>
      <c r="F2061" s="202"/>
      <c r="G2061" s="194" t="s">
        <v>587</v>
      </c>
      <c r="H2061" s="195" t="s">
        <v>632</v>
      </c>
      <c r="I2061" s="196"/>
      <c r="J2061" s="179">
        <f>110*150</f>
        <v>16500</v>
      </c>
      <c r="K2061" s="196"/>
      <c r="L2061" s="87">
        <v>850.0</v>
      </c>
      <c r="M2061" s="197" t="s">
        <v>587</v>
      </c>
      <c r="N2061" s="168"/>
    </row>
    <row r="2062" ht="22.5" hidden="1" customHeight="1">
      <c r="A2062" s="137" t="s">
        <v>1272</v>
      </c>
      <c r="B2062" s="90">
        <v>46112.0</v>
      </c>
      <c r="C2062" s="55">
        <v>1.0</v>
      </c>
      <c r="D2062" s="97" t="s">
        <v>653</v>
      </c>
      <c r="E2062" s="201"/>
      <c r="F2062" s="236" t="s">
        <v>1035</v>
      </c>
      <c r="G2062" s="194" t="s">
        <v>587</v>
      </c>
      <c r="H2062" s="195" t="s">
        <v>588</v>
      </c>
      <c r="I2062" s="196">
        <v>14000.0</v>
      </c>
      <c r="J2062" s="179">
        <f>IF(A2062="RAPPI",(VLOOKUP(TRIM(D2062), CATALOGO!F:G, 2, FALSE) * C2062)+I2062,IFERROR(IF(COUNTIF('RESTAURANTESDESCUENTOS 2026'!A:A,TRIM(A2062))&gt;0,((VLOOKUP(TRIM(D2062), CATALOGO!A:B, 2, FALSE) * C2062)*(1-VALUE(SUBSTITUTE(VLOOKUP(TRIM(A2062),'RESTAURANTESDESCUENTOS 2026'!A:B,2,FALSE),"%",""))/100)+I2062),(VLOOKUP(TRIM(D2062), CATALOGO!A:B, 2, FALSE) * C2062+I2062)),""))</f>
        <v>137000</v>
      </c>
      <c r="K2062" s="196">
        <v>13200.0</v>
      </c>
      <c r="L2062" s="87">
        <v>864.0</v>
      </c>
      <c r="M2062" s="197" t="s">
        <v>587</v>
      </c>
      <c r="N2062" s="168"/>
    </row>
    <row r="2063" ht="22.5" hidden="1" customHeight="1">
      <c r="A2063" s="137" t="s">
        <v>1273</v>
      </c>
      <c r="B2063" s="90">
        <v>46112.0</v>
      </c>
      <c r="C2063" s="55">
        <v>1.0</v>
      </c>
      <c r="D2063" s="97" t="s">
        <v>176</v>
      </c>
      <c r="E2063" s="201"/>
      <c r="F2063" s="236" t="s">
        <v>1035</v>
      </c>
      <c r="G2063" s="194" t="s">
        <v>35</v>
      </c>
      <c r="H2063" s="198"/>
      <c r="I2063" s="196"/>
      <c r="J2063" s="179">
        <f>IF(A2063="RAPPI",(VLOOKUP(TRIM(D2063), CATALOGO!F:G, 2, FALSE) * C2063)+I2063,IFERROR(IF(COUNTIF('RESTAURANTESDESCUENTOS 2026'!A:A,TRIM(A2063))&gt;0,((VLOOKUP(TRIM(D2063), CATALOGO!A:B, 2, FALSE) * C2063)*(1-VALUE(SUBSTITUTE(VLOOKUP(TRIM(A2063),'RESTAURANTESDESCUENTOS 2026'!A:B,2,FALSE),"%",""))/100)+I2063),(VLOOKUP(TRIM(D2063), CATALOGO!A:B, 2, FALSE) * C2063+I2063)),""))</f>
        <v>50000</v>
      </c>
      <c r="K2063" s="196"/>
      <c r="L2063" s="87">
        <v>865.0</v>
      </c>
      <c r="M2063" s="197" t="s">
        <v>587</v>
      </c>
      <c r="N2063" s="168"/>
    </row>
    <row r="2064" ht="22.5" hidden="1" customHeight="1">
      <c r="A2064" s="137" t="s">
        <v>1274</v>
      </c>
      <c r="B2064" s="90">
        <v>46112.0</v>
      </c>
      <c r="C2064" s="55">
        <v>1.0</v>
      </c>
      <c r="D2064" s="97" t="s">
        <v>177</v>
      </c>
      <c r="E2064" s="201"/>
      <c r="F2064" s="236" t="s">
        <v>1035</v>
      </c>
      <c r="G2064" s="194" t="s">
        <v>35</v>
      </c>
      <c r="H2064" s="198"/>
      <c r="I2064" s="196"/>
      <c r="J2064" s="179">
        <f>IF(A2064="RAPPI",(VLOOKUP(TRIM(D2064), CATALOGO!F:G, 2, FALSE) * C2064)+I2064,IFERROR(IF(COUNTIF('RESTAURANTESDESCUENTOS 2026'!A:A,TRIM(A2064))&gt;0,((VLOOKUP(TRIM(D2064), CATALOGO!A:B, 2, FALSE) * C2064)*(1-VALUE(SUBSTITUTE(VLOOKUP(TRIM(A2064),'RESTAURANTESDESCUENTOS 2026'!A:B,2,FALSE),"%",""))/100)+I2064),(VLOOKUP(TRIM(D2064), CATALOGO!A:B, 2, FALSE) * C2064+I2064)),""))</f>
        <v>115000</v>
      </c>
      <c r="K2064" s="196"/>
      <c r="L2064" s="87">
        <v>866.0</v>
      </c>
      <c r="M2064" s="197" t="s">
        <v>587</v>
      </c>
      <c r="N2064" s="168"/>
    </row>
    <row r="2065" ht="22.5" hidden="1" customHeight="1">
      <c r="A2065" s="137" t="s">
        <v>1275</v>
      </c>
      <c r="B2065" s="90">
        <v>46112.0</v>
      </c>
      <c r="C2065" s="55">
        <v>1.0</v>
      </c>
      <c r="D2065" s="97" t="s">
        <v>182</v>
      </c>
      <c r="E2065" s="201" t="s">
        <v>1276</v>
      </c>
      <c r="F2065" s="202"/>
      <c r="G2065" s="194" t="s">
        <v>587</v>
      </c>
      <c r="H2065" s="195" t="s">
        <v>588</v>
      </c>
      <c r="I2065" s="196">
        <v>14000.0</v>
      </c>
      <c r="J2065" s="179">
        <f>IF(A2065="RAPPI",(VLOOKUP(TRIM(D2065), CATALOGO!F:G, 2, FALSE) * C2065)+I2065,IFERROR(IF(COUNTIF('RESTAURANTESDESCUENTOS 2026'!A:A,TRIM(A2065))&gt;0,((VLOOKUP(TRIM(D2065), CATALOGO!A:B, 2, FALSE) * C2065)*(1-VALUE(SUBSTITUTE(VLOOKUP(TRIM(A2065),'RESTAURANTESDESCUENTOS 2026'!A:B,2,FALSE),"%",""))/100)+I2065),(VLOOKUP(TRIM(D2065), CATALOGO!A:B, 2, FALSE) * C2065+I2065)),""))</f>
        <v>51000</v>
      </c>
      <c r="K2065" s="196"/>
      <c r="L2065" s="87">
        <v>867.0</v>
      </c>
      <c r="M2065" s="197" t="s">
        <v>587</v>
      </c>
      <c r="N2065" s="168"/>
    </row>
    <row r="2066" ht="22.5" hidden="1" customHeight="1">
      <c r="A2066" s="137" t="s">
        <v>597</v>
      </c>
      <c r="B2066" s="90">
        <v>46112.0</v>
      </c>
      <c r="C2066" s="55">
        <v>4.0</v>
      </c>
      <c r="D2066" s="97" t="s">
        <v>178</v>
      </c>
      <c r="E2066" s="201"/>
      <c r="F2066" s="202"/>
      <c r="G2066" s="194" t="s">
        <v>587</v>
      </c>
      <c r="H2066" s="195" t="s">
        <v>632</v>
      </c>
      <c r="I2066" s="196"/>
      <c r="J2066" s="179"/>
      <c r="K2066" s="196"/>
      <c r="L2066" s="87"/>
      <c r="M2066" s="197" t="s">
        <v>587</v>
      </c>
      <c r="N2066" s="168"/>
    </row>
    <row r="2067" ht="22.5" hidden="1" customHeight="1">
      <c r="A2067" s="137" t="s">
        <v>597</v>
      </c>
      <c r="B2067" s="90">
        <v>46112.0</v>
      </c>
      <c r="C2067" s="55">
        <v>4.0</v>
      </c>
      <c r="D2067" s="97" t="s">
        <v>177</v>
      </c>
      <c r="E2067" s="201"/>
      <c r="F2067" s="202"/>
      <c r="G2067" s="194" t="s">
        <v>587</v>
      </c>
      <c r="H2067" s="195" t="s">
        <v>632</v>
      </c>
      <c r="I2067" s="196"/>
      <c r="J2067" s="179"/>
      <c r="K2067" s="196">
        <v>24000.0</v>
      </c>
      <c r="L2067" s="87"/>
      <c r="M2067" s="197" t="s">
        <v>587</v>
      </c>
      <c r="N2067" s="168"/>
    </row>
    <row r="2068" ht="22.5" hidden="1" customHeight="1">
      <c r="A2068" s="137" t="s">
        <v>597</v>
      </c>
      <c r="B2068" s="90">
        <v>46112.0</v>
      </c>
      <c r="C2068" s="55">
        <v>8.0</v>
      </c>
      <c r="D2068" s="97" t="s">
        <v>176</v>
      </c>
      <c r="E2068" s="201"/>
      <c r="F2068" s="202"/>
      <c r="G2068" s="194" t="s">
        <v>587</v>
      </c>
      <c r="H2068" s="195" t="s">
        <v>632</v>
      </c>
      <c r="I2068" s="196"/>
      <c r="J2068" s="179"/>
      <c r="K2068" s="196"/>
      <c r="L2068" s="87"/>
      <c r="M2068" s="197" t="s">
        <v>587</v>
      </c>
      <c r="N2068" s="168"/>
    </row>
    <row r="2069" ht="22.5" hidden="1" customHeight="1">
      <c r="A2069" s="137" t="s">
        <v>1126</v>
      </c>
      <c r="B2069" s="90">
        <v>46112.0</v>
      </c>
      <c r="C2069" s="55">
        <v>1.0</v>
      </c>
      <c r="D2069" s="97" t="s">
        <v>176</v>
      </c>
      <c r="E2069" s="201"/>
      <c r="F2069" s="236" t="s">
        <v>1036</v>
      </c>
      <c r="G2069" s="194" t="s">
        <v>35</v>
      </c>
      <c r="H2069" s="198"/>
      <c r="I2069" s="196"/>
      <c r="J2069" s="179">
        <f>IF(A2069="RAPPI",(VLOOKUP(TRIM(D2069), CATALOGO!F:G, 2, FALSE) * C2069)+I2069,IFERROR(IF(COUNTIF('RESTAURANTESDESCUENTOS 2026'!A:A,TRIM(A2069))&gt;0,((VLOOKUP(TRIM(D2069), CATALOGO!A:B, 2, FALSE) * C2069)*(1-VALUE(SUBSTITUTE(VLOOKUP(TRIM(A2069),'RESTAURANTESDESCUENTOS 2026'!A:B,2,FALSE),"%",""))/100)+I2069),(VLOOKUP(TRIM(D2069), CATALOGO!A:B, 2, FALSE) * C2069+I2069)),""))</f>
        <v>50000</v>
      </c>
      <c r="K2069" s="196"/>
      <c r="L2069" s="87">
        <v>853.0</v>
      </c>
      <c r="M2069" s="197" t="s">
        <v>587</v>
      </c>
      <c r="N2069" s="168"/>
    </row>
    <row r="2070" ht="22.5" hidden="1" customHeight="1">
      <c r="A2070" s="137" t="s">
        <v>1126</v>
      </c>
      <c r="B2070" s="90">
        <v>46112.0</v>
      </c>
      <c r="C2070" s="55">
        <v>1.0</v>
      </c>
      <c r="D2070" s="97" t="s">
        <v>174</v>
      </c>
      <c r="E2070" s="201"/>
      <c r="F2070" s="236" t="s">
        <v>1036</v>
      </c>
      <c r="G2070" s="194" t="s">
        <v>35</v>
      </c>
      <c r="H2070" s="198"/>
      <c r="I2070" s="196"/>
      <c r="J2070" s="179">
        <f>IF(A2070="RAPPI",(VLOOKUP(TRIM(D2070), CATALOGO!F:G, 2, FALSE) * C2070)+I2070,IFERROR(IF(COUNTIF('RESTAURANTESDESCUENTOS 2026'!A:A,TRIM(A2070))&gt;0,((VLOOKUP(TRIM(D2070), CATALOGO!A:B, 2, FALSE) * C2070)*(1-VALUE(SUBSTITUTE(VLOOKUP(TRIM(A2070),'RESTAURANTESDESCUENTOS 2026'!A:B,2,FALSE),"%",""))/100)+I2070),(VLOOKUP(TRIM(D2070), CATALOGO!A:B, 2, FALSE) * C2070+I2070)),""))</f>
        <v>18000</v>
      </c>
      <c r="K2070" s="196"/>
      <c r="L2070" s="87">
        <v>852.0</v>
      </c>
      <c r="M2070" s="197" t="s">
        <v>587</v>
      </c>
      <c r="N2070" s="168"/>
    </row>
    <row r="2071" ht="22.5" hidden="1" customHeight="1">
      <c r="A2071" s="137" t="s">
        <v>1126</v>
      </c>
      <c r="B2071" s="90">
        <v>46112.0</v>
      </c>
      <c r="C2071" s="55">
        <v>1.0</v>
      </c>
      <c r="D2071" s="97" t="s">
        <v>657</v>
      </c>
      <c r="E2071" s="201"/>
      <c r="F2071" s="236" t="s">
        <v>1036</v>
      </c>
      <c r="G2071" s="194" t="s">
        <v>35</v>
      </c>
      <c r="H2071" s="198"/>
      <c r="I2071" s="196"/>
      <c r="J2071" s="179">
        <f>IF(A2071="RAPPI",(VLOOKUP(TRIM(D2071), CATALOGO!F:G, 2, FALSE) * C2071)+I2071,IFERROR(IF(COUNTIF('RESTAURANTESDESCUENTOS 2026'!A:A,TRIM(A2071))&gt;0,((VLOOKUP(TRIM(D2071), CATALOGO!A:B, 2, FALSE) * C2071)*(1-VALUE(SUBSTITUTE(VLOOKUP(TRIM(A2071),'RESTAURANTESDESCUENTOS 2026'!A:B,2,FALSE),"%",""))/100)+I2071),(VLOOKUP(TRIM(D2071), CATALOGO!A:B, 2, FALSE) * C2071+I2071)),""))</f>
        <v>8000</v>
      </c>
      <c r="K2071" s="196"/>
      <c r="L2071" s="87">
        <v>852.0</v>
      </c>
      <c r="M2071" s="197" t="s">
        <v>587</v>
      </c>
      <c r="N2071" s="168"/>
    </row>
    <row r="2072" ht="22.5" hidden="1" customHeight="1">
      <c r="A2072" s="137" t="s">
        <v>1069</v>
      </c>
      <c r="B2072" s="90">
        <v>46112.0</v>
      </c>
      <c r="C2072" s="55">
        <v>1.0</v>
      </c>
      <c r="D2072" s="97" t="s">
        <v>174</v>
      </c>
      <c r="E2072" s="201"/>
      <c r="F2072" s="236" t="s">
        <v>1036</v>
      </c>
      <c r="G2072" s="194" t="s">
        <v>35</v>
      </c>
      <c r="H2072" s="198"/>
      <c r="I2072" s="196"/>
      <c r="J2072" s="179">
        <f>IF(A2072="RAPPI",(VLOOKUP(TRIM(D2072), CATALOGO!F:G, 2, FALSE) * C2072)+I2072,IFERROR(IF(COUNTIF('RESTAURANTESDESCUENTOS 2026'!A:A,TRIM(A2072))&gt;0,((VLOOKUP(TRIM(D2072), CATALOGO!A:B, 2, FALSE) * C2072)*(1-VALUE(SUBSTITUTE(VLOOKUP(TRIM(A2072),'RESTAURANTESDESCUENTOS 2026'!A:B,2,FALSE),"%",""))/100)+I2072),(VLOOKUP(TRIM(D2072), CATALOGO!A:B, 2, FALSE) * C2072+I2072)),""))</f>
        <v>18000</v>
      </c>
      <c r="K2072" s="196"/>
      <c r="L2072" s="87">
        <v>852.0</v>
      </c>
      <c r="M2072" s="197" t="s">
        <v>587</v>
      </c>
      <c r="N2072" s="168"/>
    </row>
    <row r="2073" ht="22.5" hidden="1" customHeight="1">
      <c r="A2073" s="137" t="s">
        <v>603</v>
      </c>
      <c r="B2073" s="90">
        <v>46112.0</v>
      </c>
      <c r="C2073" s="55">
        <v>1.0</v>
      </c>
      <c r="D2073" s="97" t="s">
        <v>182</v>
      </c>
      <c r="E2073" s="201" t="s">
        <v>1277</v>
      </c>
      <c r="F2073" s="236" t="s">
        <v>603</v>
      </c>
      <c r="G2073" s="194" t="s">
        <v>35</v>
      </c>
      <c r="H2073" s="198"/>
      <c r="I2073" s="196"/>
      <c r="J2073" s="179">
        <f>IF(A2073="RAPPI",(VLOOKUP(TRIM(D2073), CATALOGO!F:G, 2, FALSE) * C2073)+I2073,IFERROR(IF(COUNTIF('RESTAURANTESDESCUENTOS 2026'!A:A,TRIM(A2073))&gt;0,((VLOOKUP(TRIM(D2073), CATALOGO!A:B, 2, FALSE) * C2073)*(1-VALUE(SUBSTITUTE(VLOOKUP(TRIM(A2073),'RESTAURANTESDESCUENTOS 2026'!A:B,2,FALSE),"%",""))/100)+I2073),(VLOOKUP(TRIM(D2073), CATALOGO!A:B, 2, FALSE) * C2073+I2073)),""))</f>
        <v>37000</v>
      </c>
      <c r="K2073" s="196"/>
      <c r="L2073" s="87">
        <v>855.0</v>
      </c>
      <c r="M2073" s="197" t="s">
        <v>587</v>
      </c>
      <c r="N2073" s="252"/>
    </row>
    <row r="2074" ht="22.5" hidden="1" customHeight="1">
      <c r="A2074" s="137" t="s">
        <v>603</v>
      </c>
      <c r="B2074" s="90">
        <v>46112.0</v>
      </c>
      <c r="C2074" s="55">
        <v>1.0</v>
      </c>
      <c r="D2074" s="97" t="s">
        <v>628</v>
      </c>
      <c r="E2074" s="201"/>
      <c r="F2074" s="236" t="s">
        <v>603</v>
      </c>
      <c r="G2074" s="194" t="s">
        <v>35</v>
      </c>
      <c r="H2074" s="198"/>
      <c r="I2074" s="196"/>
      <c r="J2074" s="179">
        <f>IF(A2074="RAPPI",(VLOOKUP(TRIM(D2074), CATALOGO!F:G, 2, FALSE) * C2074)+I2074,IFERROR(IF(COUNTIF('RESTAURANTESDESCUENTOS 2026'!A:A,TRIM(A2074))&gt;0,((VLOOKUP(TRIM(D2074), CATALOGO!A:B, 2, FALSE) * C2074)*(1-VALUE(SUBSTITUTE(VLOOKUP(TRIM(A2074),'RESTAURANTESDESCUENTOS 2026'!A:B,2,FALSE),"%",""))/100)+I2074),(VLOOKUP(TRIM(D2074), CATALOGO!A:B, 2, FALSE) * C2074+I2074)),""))</f>
        <v>22000</v>
      </c>
      <c r="K2074" s="196"/>
      <c r="L2074" s="87">
        <v>855.0</v>
      </c>
      <c r="M2074" s="197" t="s">
        <v>587</v>
      </c>
      <c r="N2074" s="168"/>
    </row>
    <row r="2075" ht="22.5" hidden="1" customHeight="1">
      <c r="A2075" s="137" t="s">
        <v>603</v>
      </c>
      <c r="B2075" s="90">
        <v>46112.0</v>
      </c>
      <c r="C2075" s="55">
        <v>1.0</v>
      </c>
      <c r="D2075" s="97" t="s">
        <v>174</v>
      </c>
      <c r="E2075" s="201"/>
      <c r="F2075" s="236" t="s">
        <v>603</v>
      </c>
      <c r="G2075" s="194" t="s">
        <v>35</v>
      </c>
      <c r="H2075" s="198"/>
      <c r="I2075" s="196"/>
      <c r="J2075" s="179">
        <f>IF(A2075="RAPPI",(VLOOKUP(TRIM(D2075), CATALOGO!F:G, 2, FALSE) * C2075)+I2075,IFERROR(IF(COUNTIF('RESTAURANTESDESCUENTOS 2026'!A:A,TRIM(A2075))&gt;0,((VLOOKUP(TRIM(D2075), CATALOGO!A:B, 2, FALSE) * C2075)*(1-VALUE(SUBSTITUTE(VLOOKUP(TRIM(A2075),'RESTAURANTESDESCUENTOS 2026'!A:B,2,FALSE),"%",""))/100)+I2075),(VLOOKUP(TRIM(D2075), CATALOGO!A:B, 2, FALSE) * C2075+I2075)),""))</f>
        <v>18000</v>
      </c>
      <c r="K2075" s="196"/>
      <c r="L2075" s="87">
        <v>855.0</v>
      </c>
      <c r="M2075" s="197" t="s">
        <v>587</v>
      </c>
      <c r="N2075" s="168"/>
    </row>
    <row r="2076" ht="22.5" hidden="1" customHeight="1">
      <c r="A2076" s="137" t="s">
        <v>603</v>
      </c>
      <c r="B2076" s="90">
        <v>46112.0</v>
      </c>
      <c r="C2076" s="55">
        <v>1.0</v>
      </c>
      <c r="D2076" s="97" t="s">
        <v>708</v>
      </c>
      <c r="E2076" s="201"/>
      <c r="F2076" s="236" t="s">
        <v>603</v>
      </c>
      <c r="G2076" s="194" t="s">
        <v>35</v>
      </c>
      <c r="H2076" s="198"/>
      <c r="I2076" s="196"/>
      <c r="J2076" s="179">
        <f>IF(A2076="RAPPI",(VLOOKUP(TRIM(D2076), CATALOGO!F:G, 2, FALSE) * C2076)+I2076,IFERROR(IF(COUNTIF('RESTAURANTESDESCUENTOS 2026'!A:A,TRIM(A2076))&gt;0,((VLOOKUP(TRIM(D2076), CATALOGO!A:B, 2, FALSE) * C2076)*(1-VALUE(SUBSTITUTE(VLOOKUP(TRIM(A2076),'RESTAURANTESDESCUENTOS 2026'!A:B,2,FALSE),"%",""))/100)+I2076),(VLOOKUP(TRIM(D2076), CATALOGO!A:B, 2, FALSE) * C2076+I2076)),""))</f>
        <v>53000</v>
      </c>
      <c r="K2076" s="196"/>
      <c r="L2076" s="87">
        <v>855.0</v>
      </c>
      <c r="M2076" s="197" t="s">
        <v>587</v>
      </c>
      <c r="N2076" s="168"/>
    </row>
    <row r="2077" ht="22.5" hidden="1" customHeight="1">
      <c r="A2077" s="137" t="s">
        <v>603</v>
      </c>
      <c r="B2077" s="90">
        <v>46112.0</v>
      </c>
      <c r="C2077" s="55">
        <v>1.0</v>
      </c>
      <c r="D2077" s="97" t="s">
        <v>602</v>
      </c>
      <c r="E2077" s="201"/>
      <c r="F2077" s="236" t="s">
        <v>603</v>
      </c>
      <c r="G2077" s="194" t="s">
        <v>35</v>
      </c>
      <c r="H2077" s="198"/>
      <c r="I2077" s="196"/>
      <c r="J2077" s="179">
        <f>IF(A2077="RAPPI",(VLOOKUP(TRIM(D2077), CATALOGO!F:G, 2, FALSE) * C2077)+I2077,IFERROR(IF(COUNTIF('RESTAURANTESDESCUENTOS 2026'!A:A,TRIM(A2077))&gt;0,((VLOOKUP(TRIM(D2077), CATALOGO!A:B, 2, FALSE) * C2077)*(1-VALUE(SUBSTITUTE(VLOOKUP(TRIM(A2077),'RESTAURANTESDESCUENTOS 2026'!A:B,2,FALSE),"%",""))/100)+I2077),(VLOOKUP(TRIM(D2077), CATALOGO!A:B, 2, FALSE) * C2077+I2077)),""))</f>
        <v>22000</v>
      </c>
      <c r="K2077" s="196"/>
      <c r="L2077" s="87">
        <v>855.0</v>
      </c>
      <c r="M2077" s="197" t="s">
        <v>587</v>
      </c>
      <c r="N2077" s="168"/>
    </row>
    <row r="2078" ht="22.5" hidden="1" customHeight="1">
      <c r="A2078" s="137" t="s">
        <v>1237</v>
      </c>
      <c r="B2078" s="90">
        <v>46113.0</v>
      </c>
      <c r="C2078" s="55">
        <v>9.0</v>
      </c>
      <c r="D2078" s="97" t="s">
        <v>183</v>
      </c>
      <c r="E2078" s="201"/>
      <c r="F2078" s="202"/>
      <c r="G2078" s="194" t="s">
        <v>587</v>
      </c>
      <c r="H2078" s="195" t="s">
        <v>1278</v>
      </c>
      <c r="I2078" s="196"/>
      <c r="J2078" s="179">
        <f>IF(A2078="RAPPI",(VLOOKUP(TRIM(D2078), CATALOGO!F:G, 2, FALSE) * C2078)+I2078,IFERROR(IF(COUNTIF('RESTAURANTESDESCUENTOS 2026'!A:A,TRIM(A2078))&gt;0,((VLOOKUP(TRIM(D2078), CATALOGO!A:B, 2, FALSE) * C2078)*(1-VALUE(SUBSTITUTE(VLOOKUP(TRIM(A2078),'RESTAURANTESDESCUENTOS 2026'!A:B,2,FALSE),"%",""))/100)+I2078),(VLOOKUP(TRIM(D2078), CATALOGO!A:B, 2, FALSE) * C2078+I2078)),""))</f>
        <v>138600</v>
      </c>
      <c r="K2078" s="196"/>
      <c r="L2078" s="87">
        <v>868.0</v>
      </c>
      <c r="M2078" s="197" t="s">
        <v>587</v>
      </c>
      <c r="N2078" s="168"/>
    </row>
    <row r="2079" ht="22.5" hidden="1" customHeight="1">
      <c r="A2079" s="137" t="s">
        <v>1237</v>
      </c>
      <c r="B2079" s="90">
        <v>46113.0</v>
      </c>
      <c r="C2079" s="55">
        <v>3.0</v>
      </c>
      <c r="D2079" s="97" t="s">
        <v>184</v>
      </c>
      <c r="E2079" s="201"/>
      <c r="F2079" s="202"/>
      <c r="G2079" s="194" t="s">
        <v>587</v>
      </c>
      <c r="H2079" s="195" t="s">
        <v>1278</v>
      </c>
      <c r="I2079" s="196"/>
      <c r="J2079" s="179">
        <f>IF(A2079="RAPPI",(VLOOKUP(TRIM(D2079), CATALOGO!F:G, 2, FALSE) * C2079)+I2079,IFERROR(IF(COUNTIF('RESTAURANTESDESCUENTOS 2026'!A:A,TRIM(A2079))&gt;0,((VLOOKUP(TRIM(D2079), CATALOGO!A:B, 2, FALSE) * C2079)*(1-VALUE(SUBSTITUTE(VLOOKUP(TRIM(A2079),'RESTAURANTESDESCUENTOS 2026'!A:B,2,FALSE),"%",""))/100)+I2079),(VLOOKUP(TRIM(D2079), CATALOGO!A:B, 2, FALSE) * C2079+I2079)),""))</f>
        <v>72000</v>
      </c>
      <c r="K2079" s="196"/>
      <c r="L2079" s="87">
        <v>868.0</v>
      </c>
      <c r="M2079" s="197" t="s">
        <v>587</v>
      </c>
      <c r="N2079" s="168"/>
    </row>
    <row r="2080" ht="22.5" hidden="1" customHeight="1">
      <c r="A2080" s="137" t="s">
        <v>1237</v>
      </c>
      <c r="B2080" s="90">
        <v>46113.0</v>
      </c>
      <c r="C2080" s="55">
        <v>3.0</v>
      </c>
      <c r="D2080" s="97" t="s">
        <v>185</v>
      </c>
      <c r="E2080" s="201"/>
      <c r="F2080" s="202"/>
      <c r="G2080" s="194" t="s">
        <v>587</v>
      </c>
      <c r="H2080" s="195" t="s">
        <v>1278</v>
      </c>
      <c r="I2080" s="196"/>
      <c r="J2080" s="179">
        <f>IF(A2080="RAPPI",(VLOOKUP(TRIM(D2080), CATALOGO!F:G, 2, FALSE) * C2080)+I2080,IFERROR(IF(COUNTIF('RESTAURANTESDESCUENTOS 2026'!A:A,TRIM(A2080))&gt;0,((VLOOKUP(TRIM(D2080), CATALOGO!A:B, 2, FALSE) * C2080)*(1-VALUE(SUBSTITUTE(VLOOKUP(TRIM(A2080),'RESTAURANTESDESCUENTOS 2026'!A:B,2,FALSE),"%",""))/100)+I2080),(VLOOKUP(TRIM(D2080), CATALOGO!A:B, 2, FALSE) * C2080+I2080)),""))</f>
        <v>52800</v>
      </c>
      <c r="K2080" s="196"/>
      <c r="L2080" s="87">
        <v>868.0</v>
      </c>
      <c r="M2080" s="197" t="s">
        <v>587</v>
      </c>
      <c r="N2080" s="168"/>
    </row>
    <row r="2081" ht="22.5" hidden="1" customHeight="1">
      <c r="A2081" s="137" t="s">
        <v>55</v>
      </c>
      <c r="B2081" s="90">
        <v>46113.0</v>
      </c>
      <c r="C2081" s="55">
        <v>5.0</v>
      </c>
      <c r="D2081" s="97" t="s">
        <v>178</v>
      </c>
      <c r="E2081" s="201" t="s">
        <v>28</v>
      </c>
      <c r="F2081" s="202"/>
      <c r="G2081" s="194" t="s">
        <v>587</v>
      </c>
      <c r="H2081" s="195" t="s">
        <v>1278</v>
      </c>
      <c r="I2081" s="196">
        <v>10000.0</v>
      </c>
      <c r="J2081" s="179">
        <f>IF(A2081="RAPPI",(VLOOKUP(TRIM(D2081), CATALOGO!F:G, 2, FALSE) * C2081)+I2081,IFERROR(IF(COUNTIF('RESTAURANTESDESCUENTOS 2026'!A:A,TRIM(A2081))&gt;0,((VLOOKUP(TRIM(D2081), CATALOGO!A:B, 2, FALSE) * C2081)*(1-VALUE(SUBSTITUTE(VLOOKUP(TRIM(A2081),'RESTAURANTESDESCUENTOS 2026'!A:B,2,FALSE),"%",""))/100)+I2081),(VLOOKUP(TRIM(D2081), CATALOGO!A:B, 2, FALSE) * C2081+I2081)),""))</f>
        <v>572500</v>
      </c>
      <c r="K2081" s="196"/>
      <c r="L2081" s="87">
        <v>870.0</v>
      </c>
      <c r="M2081" s="197" t="s">
        <v>587</v>
      </c>
      <c r="N2081" s="168"/>
    </row>
    <row r="2082" ht="22.5" hidden="1" customHeight="1">
      <c r="A2082" s="137" t="s">
        <v>55</v>
      </c>
      <c r="B2082" s="90">
        <v>46113.0</v>
      </c>
      <c r="C2082" s="55">
        <v>8.0</v>
      </c>
      <c r="D2082" s="97" t="s">
        <v>182</v>
      </c>
      <c r="E2082" s="201" t="s">
        <v>1279</v>
      </c>
      <c r="F2082" s="202"/>
      <c r="G2082" s="194" t="s">
        <v>587</v>
      </c>
      <c r="H2082" s="195" t="s">
        <v>1278</v>
      </c>
      <c r="I2082" s="196">
        <v>0.0</v>
      </c>
      <c r="J2082" s="199">
        <v>128000.0</v>
      </c>
      <c r="K2082" s="196"/>
      <c r="L2082" s="87">
        <v>870.0</v>
      </c>
      <c r="M2082" s="197" t="s">
        <v>587</v>
      </c>
      <c r="N2082" s="168"/>
    </row>
    <row r="2083" ht="22.5" hidden="1" customHeight="1">
      <c r="A2083" s="137" t="s">
        <v>1236</v>
      </c>
      <c r="B2083" s="90">
        <v>46113.0</v>
      </c>
      <c r="C2083" s="55">
        <v>40.0</v>
      </c>
      <c r="D2083" s="97" t="s">
        <v>183</v>
      </c>
      <c r="E2083" s="98" t="s">
        <v>1280</v>
      </c>
      <c r="F2083" s="202"/>
      <c r="G2083" s="194" t="s">
        <v>587</v>
      </c>
      <c r="H2083" s="195" t="s">
        <v>1278</v>
      </c>
      <c r="I2083" s="196"/>
      <c r="J2083" s="179">
        <f>IF(A2083="RAPPI",(VLOOKUP(TRIM(D2083), CATALOGO!F:G, 2, FALSE) * C2083)+I2083,IFERROR(IF(COUNTIF('RESTAURANTESDESCUENTOS 2026'!A:A,TRIM(A2083))&gt;0,((VLOOKUP(TRIM(D2083), CATALOGO!A:B, 2, FALSE) * C2083)*(1-VALUE(SUBSTITUTE(VLOOKUP(TRIM(A2083),'RESTAURANTESDESCUENTOS 2026'!A:B,2,FALSE),"%",""))/100)+I2083),(VLOOKUP(TRIM(D2083), CATALOGO!A:B, 2, FALSE) * C2083+I2083)),""))</f>
        <v>616000</v>
      </c>
      <c r="K2083" s="196"/>
      <c r="L2083" s="87" t="s">
        <v>1281</v>
      </c>
      <c r="M2083" s="197" t="s">
        <v>587</v>
      </c>
      <c r="N2083" s="168"/>
    </row>
    <row r="2084" ht="22.5" hidden="1" customHeight="1">
      <c r="A2084" s="137" t="s">
        <v>1236</v>
      </c>
      <c r="B2084" s="90">
        <v>46113.0</v>
      </c>
      <c r="C2084" s="55">
        <v>24.0</v>
      </c>
      <c r="D2084" s="97" t="s">
        <v>184</v>
      </c>
      <c r="E2084" s="201"/>
      <c r="F2084" s="202"/>
      <c r="G2084" s="194" t="s">
        <v>587</v>
      </c>
      <c r="H2084" s="195" t="s">
        <v>1278</v>
      </c>
      <c r="I2084" s="196"/>
      <c r="J2084" s="179">
        <f>IF(A2084="RAPPI",(VLOOKUP(TRIM(D2084), CATALOGO!F:G, 2, FALSE) * C2084)+I2084,IFERROR(IF(COUNTIF('RESTAURANTESDESCUENTOS 2026'!A:A,TRIM(A2084))&gt;0,((VLOOKUP(TRIM(D2084), CATALOGO!A:B, 2, FALSE) * C2084)*(1-VALUE(SUBSTITUTE(VLOOKUP(TRIM(A2084),'RESTAURANTESDESCUENTOS 2026'!A:B,2,FALSE),"%",""))/100)+I2084),(VLOOKUP(TRIM(D2084), CATALOGO!A:B, 2, FALSE) * C2084+I2084)),""))</f>
        <v>576000</v>
      </c>
      <c r="K2084" s="196"/>
      <c r="L2084" s="87">
        <v>869.0</v>
      </c>
      <c r="M2084" s="197" t="s">
        <v>587</v>
      </c>
      <c r="N2084" s="168"/>
    </row>
    <row r="2085" ht="22.5" hidden="1" customHeight="1">
      <c r="A2085" s="137" t="s">
        <v>1236</v>
      </c>
      <c r="B2085" s="90">
        <v>46113.0</v>
      </c>
      <c r="C2085" s="55">
        <v>18.0</v>
      </c>
      <c r="D2085" s="97" t="s">
        <v>185</v>
      </c>
      <c r="E2085" s="201"/>
      <c r="F2085" s="202"/>
      <c r="G2085" s="194" t="s">
        <v>587</v>
      </c>
      <c r="H2085" s="195" t="s">
        <v>1278</v>
      </c>
      <c r="I2085" s="196"/>
      <c r="J2085" s="179">
        <f>IF(A2085="RAPPI",(VLOOKUP(TRIM(D2085), CATALOGO!F:G, 2, FALSE) * C2085)+I2085,IFERROR(IF(COUNTIF('RESTAURANTESDESCUENTOS 2026'!A:A,TRIM(A2085))&gt;0,((VLOOKUP(TRIM(D2085), CATALOGO!A:B, 2, FALSE) * C2085)*(1-VALUE(SUBSTITUTE(VLOOKUP(TRIM(A2085),'RESTAURANTESDESCUENTOS 2026'!A:B,2,FALSE),"%",""))/100)+I2085),(VLOOKUP(TRIM(D2085), CATALOGO!A:B, 2, FALSE) * C2085+I2085)),""))</f>
        <v>316800</v>
      </c>
      <c r="K2085" s="196"/>
      <c r="L2085" s="87">
        <v>869.0</v>
      </c>
      <c r="M2085" s="197" t="s">
        <v>587</v>
      </c>
      <c r="N2085" s="168"/>
    </row>
    <row r="2086" ht="22.5" hidden="1" customHeight="1">
      <c r="A2086" s="137" t="s">
        <v>1157</v>
      </c>
      <c r="B2086" s="90">
        <v>46113.0</v>
      </c>
      <c r="C2086" s="55">
        <v>1.0</v>
      </c>
      <c r="D2086" s="97" t="s">
        <v>176</v>
      </c>
      <c r="E2086" s="201"/>
      <c r="F2086" s="236" t="s">
        <v>1035</v>
      </c>
      <c r="G2086" s="194" t="s">
        <v>587</v>
      </c>
      <c r="H2086" s="195" t="s">
        <v>588</v>
      </c>
      <c r="I2086" s="196">
        <v>10000.0</v>
      </c>
      <c r="J2086" s="179">
        <f>IF(A2086="RAPPI",(VLOOKUP(TRIM(D2086), CATALOGO!F:G, 2, FALSE) * C2086)+I2086,IFERROR(IF(COUNTIF('RESTAURANTESDESCUENTOS 2026'!A:A,TRIM(A2086))&gt;0,((VLOOKUP(TRIM(D2086), CATALOGO!A:B, 2, FALSE) * C2086)*(1-VALUE(SUBSTITUTE(VLOOKUP(TRIM(A2086),'RESTAURANTESDESCUENTOS 2026'!A:B,2,FALSE),"%",""))/100)+I2086),(VLOOKUP(TRIM(D2086), CATALOGO!A:B, 2, FALSE) * C2086+I2086)),""))</f>
        <v>60000</v>
      </c>
      <c r="K2086" s="196">
        <v>9500.0</v>
      </c>
      <c r="L2086" s="87">
        <v>875.0</v>
      </c>
      <c r="M2086" s="197" t="s">
        <v>587</v>
      </c>
      <c r="N2086" s="168"/>
    </row>
    <row r="2087" ht="22.5" hidden="1" customHeight="1">
      <c r="A2087" s="137" t="s">
        <v>1157</v>
      </c>
      <c r="B2087" s="90">
        <v>46113.0</v>
      </c>
      <c r="C2087" s="55">
        <v>1.0</v>
      </c>
      <c r="D2087" s="97" t="s">
        <v>197</v>
      </c>
      <c r="E2087" s="201"/>
      <c r="F2087" s="236" t="s">
        <v>1035</v>
      </c>
      <c r="G2087" s="194" t="s">
        <v>587</v>
      </c>
      <c r="H2087" s="195" t="s">
        <v>588</v>
      </c>
      <c r="I2087" s="196">
        <v>0.0</v>
      </c>
      <c r="J2087" s="179">
        <f>IF(A2087="RAPPI",(VLOOKUP(TRIM(D2087), CATALOGO!F:G, 2, FALSE) * C2087)+I2087,IFERROR(IF(COUNTIF('RESTAURANTESDESCUENTOS 2026'!A:A,TRIM(A2087))&gt;0,((VLOOKUP(TRIM(D2087), CATALOGO!A:B, 2, FALSE) * C2087)*(1-VALUE(SUBSTITUTE(VLOOKUP(TRIM(A2087),'RESTAURANTESDESCUENTOS 2026'!A:B,2,FALSE),"%",""))/100)+I2087),(VLOOKUP(TRIM(D2087), CATALOGO!A:B, 2, FALSE) * C2087+I2087)),""))</f>
        <v>55000</v>
      </c>
      <c r="K2087" s="196">
        <v>0.0</v>
      </c>
      <c r="L2087" s="87">
        <v>875.0</v>
      </c>
      <c r="M2087" s="197" t="s">
        <v>587</v>
      </c>
      <c r="N2087" s="168"/>
    </row>
    <row r="2088" ht="22.5" hidden="1" customHeight="1">
      <c r="A2088" s="137" t="s">
        <v>1157</v>
      </c>
      <c r="B2088" s="90">
        <v>46113.0</v>
      </c>
      <c r="C2088" s="55">
        <v>1.0</v>
      </c>
      <c r="D2088" s="97" t="s">
        <v>203</v>
      </c>
      <c r="E2088" s="201"/>
      <c r="F2088" s="236" t="s">
        <v>1035</v>
      </c>
      <c r="G2088" s="194" t="s">
        <v>587</v>
      </c>
      <c r="H2088" s="195" t="s">
        <v>588</v>
      </c>
      <c r="I2088" s="196">
        <v>0.0</v>
      </c>
      <c r="J2088" s="179">
        <f>IF(A2088="RAPPI",(VLOOKUP(TRIM(D2088), CATALOGO!F:G, 2, FALSE) * C2088)+I2088,IFERROR(IF(COUNTIF('RESTAURANTESDESCUENTOS 2026'!A:A,TRIM(A2088))&gt;0,((VLOOKUP(TRIM(D2088), CATALOGO!A:B, 2, FALSE) * C2088)*(1-VALUE(SUBSTITUTE(VLOOKUP(TRIM(A2088),'RESTAURANTESDESCUENTOS 2026'!A:B,2,FALSE),"%",""))/100)+I2088),(VLOOKUP(TRIM(D2088), CATALOGO!A:B, 2, FALSE) * C2088+I2088)),""))</f>
        <v>154000</v>
      </c>
      <c r="K2088" s="196">
        <v>0.0</v>
      </c>
      <c r="L2088" s="87">
        <v>875.0</v>
      </c>
      <c r="M2088" s="197" t="s">
        <v>587</v>
      </c>
      <c r="N2088" s="168"/>
    </row>
    <row r="2089" ht="22.5" hidden="1" customHeight="1">
      <c r="A2089" s="137" t="s">
        <v>1282</v>
      </c>
      <c r="B2089" s="90">
        <v>46113.0</v>
      </c>
      <c r="C2089" s="55">
        <v>1.0</v>
      </c>
      <c r="D2089" s="97" t="s">
        <v>653</v>
      </c>
      <c r="E2089" s="201" t="s">
        <v>1283</v>
      </c>
      <c r="F2089" s="236" t="s">
        <v>1035</v>
      </c>
      <c r="G2089" s="194" t="s">
        <v>587</v>
      </c>
      <c r="H2089" s="195" t="s">
        <v>588</v>
      </c>
      <c r="I2089" s="196">
        <v>14000.0</v>
      </c>
      <c r="J2089" s="179">
        <f>IF(A2089="RAPPI",(VLOOKUP(TRIM(D2089), CATALOGO!F:G, 2, FALSE) * C2089)+I2089,IFERROR(IF(COUNTIF('RESTAURANTESDESCUENTOS 2026'!A:A,TRIM(A2089))&gt;0,((VLOOKUP(TRIM(D2089), CATALOGO!A:B, 2, FALSE) * C2089)*(1-VALUE(SUBSTITUTE(VLOOKUP(TRIM(A2089),'RESTAURANTESDESCUENTOS 2026'!A:B,2,FALSE),"%",""))/100)+I2089),(VLOOKUP(TRIM(D2089), CATALOGO!A:B, 2, FALSE) * C2089+I2089)),""))</f>
        <v>137000</v>
      </c>
      <c r="K2089" s="196">
        <v>11700.0</v>
      </c>
      <c r="L2089" s="87">
        <v>876.0</v>
      </c>
      <c r="M2089" s="197" t="s">
        <v>587</v>
      </c>
      <c r="N2089" s="168"/>
    </row>
    <row r="2090" ht="22.5" hidden="1" customHeight="1">
      <c r="A2090" s="137" t="s">
        <v>1282</v>
      </c>
      <c r="B2090" s="90">
        <v>46113.0</v>
      </c>
      <c r="C2090" s="55">
        <v>1.0</v>
      </c>
      <c r="D2090" s="97" t="s">
        <v>696</v>
      </c>
      <c r="E2090" s="201"/>
      <c r="F2090" s="236" t="s">
        <v>1035</v>
      </c>
      <c r="G2090" s="194" t="s">
        <v>587</v>
      </c>
      <c r="H2090" s="195" t="s">
        <v>588</v>
      </c>
      <c r="I2090" s="196">
        <v>0.0</v>
      </c>
      <c r="J2090" s="179">
        <f>IF(A2090="RAPPI",(VLOOKUP(TRIM(D2090), CATALOGO!F:G, 2, FALSE) * C2090)+I2090,IFERROR(IF(COUNTIF('RESTAURANTESDESCUENTOS 2026'!A:A,TRIM(A2090))&gt;0,((VLOOKUP(TRIM(D2090), CATALOGO!A:B, 2, FALSE) * C2090)*(1-VALUE(SUBSTITUTE(VLOOKUP(TRIM(A2090),'RESTAURANTESDESCUENTOS 2026'!A:B,2,FALSE),"%",""))/100)+I2090),(VLOOKUP(TRIM(D2090), CATALOGO!A:B, 2, FALSE) * C2090+I2090)),""))</f>
        <v>4000</v>
      </c>
      <c r="K2090" s="196">
        <v>0.0</v>
      </c>
      <c r="L2090" s="87">
        <v>876.0</v>
      </c>
      <c r="M2090" s="197" t="s">
        <v>587</v>
      </c>
      <c r="N2090" s="168"/>
    </row>
    <row r="2091" ht="22.5" hidden="1" customHeight="1">
      <c r="A2091" s="137" t="s">
        <v>151</v>
      </c>
      <c r="B2091" s="90">
        <v>46113.0</v>
      </c>
      <c r="C2091" s="55">
        <v>2.0</v>
      </c>
      <c r="D2091" s="97" t="s">
        <v>697</v>
      </c>
      <c r="E2091" s="201"/>
      <c r="F2091" s="236" t="s">
        <v>1035</v>
      </c>
      <c r="G2091" s="194" t="s">
        <v>587</v>
      </c>
      <c r="H2091" s="195" t="s">
        <v>588</v>
      </c>
      <c r="I2091" s="196">
        <v>10000.0</v>
      </c>
      <c r="J2091" s="179">
        <f>112500*2+I2091</f>
        <v>235000</v>
      </c>
      <c r="K2091" s="196">
        <v>9000.0</v>
      </c>
      <c r="L2091" s="87">
        <v>877.0</v>
      </c>
      <c r="M2091" s="197" t="s">
        <v>587</v>
      </c>
      <c r="N2091" s="168"/>
    </row>
    <row r="2092" ht="22.5" hidden="1" customHeight="1">
      <c r="A2092" s="137" t="s">
        <v>167</v>
      </c>
      <c r="B2092" s="90">
        <v>46113.0</v>
      </c>
      <c r="C2092" s="55">
        <v>1.0</v>
      </c>
      <c r="D2092" s="97" t="s">
        <v>189</v>
      </c>
      <c r="E2092" s="201"/>
      <c r="F2092" s="236" t="s">
        <v>1035</v>
      </c>
      <c r="G2092" s="194" t="s">
        <v>35</v>
      </c>
      <c r="H2092" s="198"/>
      <c r="I2092" s="196">
        <v>0.0</v>
      </c>
      <c r="J2092" s="179">
        <f>IF(A2092="RAPPI",(VLOOKUP(TRIM(D2092), CATALOGO!F:G, 2, FALSE) * C2092)+I2092,IFERROR(IF(COUNTIF('RESTAURANTESDESCUENTOS 2026'!A:A,TRIM(A2092))&gt;0,((VLOOKUP(TRIM(D2092), CATALOGO!A:B, 2, FALSE) * C2092)*(1-VALUE(SUBSTITUTE(VLOOKUP(TRIM(A2092),'RESTAURANTESDESCUENTOS 2026'!A:B,2,FALSE),"%",""))/100)+I2092),(VLOOKUP(TRIM(D2092), CATALOGO!A:B, 2, FALSE) * C2092+I2092)),""))</f>
        <v>0</v>
      </c>
      <c r="K2092" s="196"/>
      <c r="L2092" s="87">
        <v>878.0</v>
      </c>
      <c r="M2092" s="197" t="s">
        <v>587</v>
      </c>
      <c r="N2092" s="168"/>
    </row>
    <row r="2093" ht="22.5" hidden="1" customHeight="1">
      <c r="A2093" s="137" t="s">
        <v>167</v>
      </c>
      <c r="B2093" s="90">
        <v>46113.0</v>
      </c>
      <c r="C2093" s="55">
        <v>1.0</v>
      </c>
      <c r="D2093" s="97" t="s">
        <v>177</v>
      </c>
      <c r="E2093" s="201"/>
      <c r="F2093" s="236" t="s">
        <v>1035</v>
      </c>
      <c r="G2093" s="194" t="s">
        <v>35</v>
      </c>
      <c r="H2093" s="198"/>
      <c r="I2093" s="196">
        <v>0.0</v>
      </c>
      <c r="J2093" s="179">
        <f>IF(A2093="RAPPI",(VLOOKUP(TRIM(D2093), CATALOGO!F:G, 2, FALSE) * C2093)+I2093,IFERROR(IF(COUNTIF('RESTAURANTESDESCUENTOS 2026'!A:A,TRIM(A2093))&gt;0,((VLOOKUP(TRIM(D2093), CATALOGO!A:B, 2, FALSE) * C2093)*(1-VALUE(SUBSTITUTE(VLOOKUP(TRIM(A2093),'RESTAURANTESDESCUENTOS 2026'!A:B,2,FALSE),"%",""))/100)+I2093),(VLOOKUP(TRIM(D2093), CATALOGO!A:B, 2, FALSE) * C2093+I2093)),""))</f>
        <v>0</v>
      </c>
      <c r="K2093" s="196"/>
      <c r="L2093" s="87">
        <v>878.0</v>
      </c>
      <c r="M2093" s="197" t="s">
        <v>587</v>
      </c>
      <c r="N2093" s="168"/>
    </row>
    <row r="2094" ht="22.5" hidden="1" customHeight="1">
      <c r="A2094" s="137" t="s">
        <v>143</v>
      </c>
      <c r="B2094" s="90">
        <v>46113.0</v>
      </c>
      <c r="C2094" s="55">
        <v>1.0</v>
      </c>
      <c r="D2094" s="97" t="s">
        <v>178</v>
      </c>
      <c r="E2094" s="201"/>
      <c r="F2094" s="236" t="s">
        <v>1035</v>
      </c>
      <c r="G2094" s="194" t="s">
        <v>587</v>
      </c>
      <c r="H2094" s="195" t="s">
        <v>588</v>
      </c>
      <c r="I2094" s="196">
        <v>10000.0</v>
      </c>
      <c r="J2094" s="179">
        <f>IF(A2094="RAPPI",(VLOOKUP(TRIM(D2094), CATALOGO!F:G, 2, FALSE) * C2094)+I2094,IFERROR(IF(COUNTIF('RESTAURANTESDESCUENTOS 2026'!A:A,TRIM(A2094))&gt;0,((VLOOKUP(TRIM(D2094), CATALOGO!A:B, 2, FALSE) * C2094)*(1-VALUE(SUBSTITUTE(VLOOKUP(TRIM(A2094),'RESTAURANTESDESCUENTOS 2026'!A:B,2,FALSE),"%",""))/100)+I2094),(VLOOKUP(TRIM(D2094), CATALOGO!A:B, 2, FALSE) * C2094+I2094)),""))</f>
        <v>122500</v>
      </c>
      <c r="K2094" s="196">
        <v>9700.0</v>
      </c>
      <c r="L2094" s="87">
        <v>879.0</v>
      </c>
      <c r="M2094" s="197" t="s">
        <v>587</v>
      </c>
      <c r="N2094" s="168"/>
    </row>
    <row r="2095" ht="22.5" hidden="1" customHeight="1">
      <c r="A2095" s="137" t="s">
        <v>1284</v>
      </c>
      <c r="B2095" s="90">
        <v>46113.0</v>
      </c>
      <c r="C2095" s="55">
        <v>1.0</v>
      </c>
      <c r="D2095" s="97" t="s">
        <v>197</v>
      </c>
      <c r="E2095" s="201"/>
      <c r="F2095" s="236" t="s">
        <v>1035</v>
      </c>
      <c r="G2095" s="194" t="s">
        <v>587</v>
      </c>
      <c r="H2095" s="195" t="s">
        <v>588</v>
      </c>
      <c r="I2095" s="196">
        <v>13000.0</v>
      </c>
      <c r="J2095" s="179">
        <f>IF(A2095="RAPPI",(VLOOKUP(TRIM(D2095), CATALOGO!F:G, 2, FALSE) * C2095)+I2095,IFERROR(IF(COUNTIF('RESTAURANTESDESCUENTOS 2026'!A:A,TRIM(A2095))&gt;0,((VLOOKUP(TRIM(D2095), CATALOGO!A:B, 2, FALSE) * C2095)*(1-VALUE(SUBSTITUTE(VLOOKUP(TRIM(A2095),'RESTAURANTESDESCUENTOS 2026'!A:B,2,FALSE),"%",""))/100)+I2095),(VLOOKUP(TRIM(D2095), CATALOGO!A:B, 2, FALSE) * C2095+I2095)),""))</f>
        <v>68000</v>
      </c>
      <c r="K2095" s="196"/>
      <c r="L2095" s="87">
        <v>880.0</v>
      </c>
      <c r="M2095" s="197" t="s">
        <v>587</v>
      </c>
      <c r="N2095" s="168"/>
    </row>
    <row r="2096" ht="22.5" hidden="1" customHeight="1">
      <c r="A2096" s="137" t="s">
        <v>1284</v>
      </c>
      <c r="B2096" s="90">
        <v>46113.0</v>
      </c>
      <c r="C2096" s="55">
        <v>1.0</v>
      </c>
      <c r="D2096" s="97" t="s">
        <v>739</v>
      </c>
      <c r="E2096" s="201"/>
      <c r="F2096" s="236" t="s">
        <v>1035</v>
      </c>
      <c r="G2096" s="194" t="s">
        <v>587</v>
      </c>
      <c r="H2096" s="195" t="s">
        <v>588</v>
      </c>
      <c r="I2096" s="196"/>
      <c r="J2096" s="179">
        <f>IF(A2096="RAPPI",(VLOOKUP(TRIM(D2096), CATALOGO!F:G, 2, FALSE) * C2096)+I2096,IFERROR(IF(COUNTIF('RESTAURANTESDESCUENTOS 2026'!A:A,TRIM(A2096))&gt;0,((VLOOKUP(TRIM(D2096), CATALOGO!A:B, 2, FALSE) * C2096)*(1-VALUE(SUBSTITUTE(VLOOKUP(TRIM(A2096),'RESTAURANTESDESCUENTOS 2026'!A:B,2,FALSE),"%",""))/100)+I2096),(VLOOKUP(TRIM(D2096), CATALOGO!A:B, 2, FALSE) * C2096+I2096)),""))</f>
        <v>163000</v>
      </c>
      <c r="K2096" s="196"/>
      <c r="L2096" s="87">
        <v>880.0</v>
      </c>
      <c r="M2096" s="197" t="s">
        <v>587</v>
      </c>
      <c r="N2096" s="168"/>
    </row>
    <row r="2097" ht="22.5" hidden="1" customHeight="1">
      <c r="A2097" s="137" t="s">
        <v>1285</v>
      </c>
      <c r="B2097" s="90">
        <v>46113.0</v>
      </c>
      <c r="C2097" s="55">
        <v>1.0</v>
      </c>
      <c r="D2097" s="97" t="s">
        <v>200</v>
      </c>
      <c r="E2097" s="201"/>
      <c r="F2097" s="236" t="s">
        <v>1035</v>
      </c>
      <c r="G2097" s="194" t="s">
        <v>587</v>
      </c>
      <c r="H2097" s="195" t="s">
        <v>588</v>
      </c>
      <c r="I2097" s="196">
        <v>10000.0</v>
      </c>
      <c r="J2097" s="179">
        <f>IF(A2097="RAPPI",(VLOOKUP(TRIM(D2097), CATALOGO!F:G, 2, FALSE) * C2097)+I2097,IFERROR(IF(COUNTIF('RESTAURANTESDESCUENTOS 2026'!A:A,TRIM(A2097))&gt;0,((VLOOKUP(TRIM(D2097), CATALOGO!A:B, 2, FALSE) * C2097)*(1-VALUE(SUBSTITUTE(VLOOKUP(TRIM(A2097),'RESTAURANTESDESCUENTOS 2026'!A:B,2,FALSE),"%",""))/100)+I2097),(VLOOKUP(TRIM(D2097), CATALOGO!A:B, 2, FALSE) * C2097+I2097)),""))</f>
        <v>129000</v>
      </c>
      <c r="K2097" s="196"/>
      <c r="L2097" s="87">
        <v>881.0</v>
      </c>
      <c r="M2097" s="197" t="s">
        <v>587</v>
      </c>
      <c r="N2097" s="168"/>
    </row>
    <row r="2098" ht="22.5" hidden="1" customHeight="1">
      <c r="A2098" s="137" t="s">
        <v>1285</v>
      </c>
      <c r="B2098" s="90">
        <v>46113.0</v>
      </c>
      <c r="C2098" s="55">
        <v>1.0</v>
      </c>
      <c r="D2098" s="97" t="s">
        <v>178</v>
      </c>
      <c r="E2098" s="201"/>
      <c r="F2098" s="236" t="s">
        <v>1035</v>
      </c>
      <c r="G2098" s="194" t="s">
        <v>587</v>
      </c>
      <c r="H2098" s="195" t="s">
        <v>588</v>
      </c>
      <c r="I2098" s="196"/>
      <c r="J2098" s="179">
        <f>IF(A2098="RAPPI",(VLOOKUP(TRIM(D2098), CATALOGO!F:G, 2, FALSE) * C2098)+I2098,IFERROR(IF(COUNTIF('RESTAURANTESDESCUENTOS 2026'!A:A,TRIM(A2098))&gt;0,((VLOOKUP(TRIM(D2098), CATALOGO!A:B, 2, FALSE) * C2098)*(1-VALUE(SUBSTITUTE(VLOOKUP(TRIM(A2098),'RESTAURANTESDESCUENTOS 2026'!A:B,2,FALSE),"%",""))/100)+I2098),(VLOOKUP(TRIM(D2098), CATALOGO!A:B, 2, FALSE) * C2098+I2098)),""))</f>
        <v>150000</v>
      </c>
      <c r="K2098" s="196"/>
      <c r="L2098" s="87">
        <v>881.0</v>
      </c>
      <c r="M2098" s="197" t="s">
        <v>587</v>
      </c>
      <c r="N2098" s="168"/>
    </row>
    <row r="2099" ht="22.5" hidden="1" customHeight="1">
      <c r="A2099" s="137" t="s">
        <v>1286</v>
      </c>
      <c r="B2099" s="90">
        <v>46113.0</v>
      </c>
      <c r="C2099" s="55">
        <v>1.0</v>
      </c>
      <c r="D2099" s="97" t="s">
        <v>177</v>
      </c>
      <c r="E2099" s="201"/>
      <c r="F2099" s="236" t="s">
        <v>1035</v>
      </c>
      <c r="G2099" s="194" t="s">
        <v>587</v>
      </c>
      <c r="H2099" s="195" t="s">
        <v>588</v>
      </c>
      <c r="I2099" s="196">
        <v>15000.0</v>
      </c>
      <c r="J2099" s="179">
        <f>IF(A2099="RAPPI",(VLOOKUP(TRIM(D2099), CATALOGO!F:G, 2, FALSE) * C2099)+I2099,IFERROR(IF(COUNTIF('RESTAURANTESDESCUENTOS 2026'!A:A,TRIM(A2099))&gt;0,((VLOOKUP(TRIM(D2099), CATALOGO!A:B, 2, FALSE) * C2099)*(1-VALUE(SUBSTITUTE(VLOOKUP(TRIM(A2099),'RESTAURANTESDESCUENTOS 2026'!A:B,2,FALSE),"%",""))/100)+I2099),(VLOOKUP(TRIM(D2099), CATALOGO!A:B, 2, FALSE) * C2099+I2099)),""))</f>
        <v>130000</v>
      </c>
      <c r="K2099" s="196"/>
      <c r="L2099" s="87">
        <v>882.0</v>
      </c>
      <c r="M2099" s="197" t="s">
        <v>587</v>
      </c>
      <c r="N2099" s="168"/>
    </row>
    <row r="2100" ht="22.5" hidden="1" customHeight="1">
      <c r="A2100" s="137" t="s">
        <v>1287</v>
      </c>
      <c r="B2100" s="90">
        <v>46113.0</v>
      </c>
      <c r="C2100" s="55">
        <v>1.0</v>
      </c>
      <c r="D2100" s="97" t="s">
        <v>177</v>
      </c>
      <c r="E2100" s="201"/>
      <c r="F2100" s="236" t="s">
        <v>1035</v>
      </c>
      <c r="G2100" s="194" t="s">
        <v>587</v>
      </c>
      <c r="H2100" s="195" t="s">
        <v>588</v>
      </c>
      <c r="I2100" s="196">
        <v>18000.0</v>
      </c>
      <c r="J2100" s="179">
        <f>IF(A2100="RAPPI",(VLOOKUP(TRIM(D2100), CATALOGO!F:G, 2, FALSE) * C2100)+I2100,IFERROR(IF(COUNTIF('RESTAURANTESDESCUENTOS 2026'!A:A,TRIM(A2100))&gt;0,((VLOOKUP(TRIM(D2100), CATALOGO!A:B, 2, FALSE) * C2100)*(1-VALUE(SUBSTITUTE(VLOOKUP(TRIM(A2100),'RESTAURANTESDESCUENTOS 2026'!A:B,2,FALSE),"%",""))/100)+I2100),(VLOOKUP(TRIM(D2100), CATALOGO!A:B, 2, FALSE) * C2100+I2100)),""))</f>
        <v>133000</v>
      </c>
      <c r="K2100" s="196"/>
      <c r="L2100" s="87">
        <v>883.0</v>
      </c>
      <c r="M2100" s="197" t="s">
        <v>587</v>
      </c>
      <c r="N2100" s="168"/>
    </row>
    <row r="2101" ht="22.5" hidden="1" customHeight="1">
      <c r="A2101" s="137" t="s">
        <v>927</v>
      </c>
      <c r="B2101" s="90">
        <v>46113.0</v>
      </c>
      <c r="C2101" s="55">
        <v>1.0</v>
      </c>
      <c r="D2101" s="97" t="s">
        <v>182</v>
      </c>
      <c r="E2101" s="201" t="s">
        <v>1288</v>
      </c>
      <c r="F2101" s="236" t="s">
        <v>1035</v>
      </c>
      <c r="G2101" s="194" t="s">
        <v>587</v>
      </c>
      <c r="H2101" s="195" t="s">
        <v>588</v>
      </c>
      <c r="I2101" s="196">
        <v>12000.0</v>
      </c>
      <c r="J2101" s="179">
        <f>IF(A2101="RAPPI",(VLOOKUP(TRIM(D2101), CATALOGO!F:G, 2, FALSE) * C2101)+I2101,IFERROR(IF(COUNTIF('RESTAURANTESDESCUENTOS 2026'!A:A,TRIM(A2101))&gt;0,((VLOOKUP(TRIM(D2101), CATALOGO!A:B, 2, FALSE) * C2101)*(1-VALUE(SUBSTITUTE(VLOOKUP(TRIM(A2101),'RESTAURANTESDESCUENTOS 2026'!A:B,2,FALSE),"%",""))/100)+I2101),(VLOOKUP(TRIM(D2101), CATALOGO!A:B, 2, FALSE) * C2101+I2101)),""))</f>
        <v>49000</v>
      </c>
      <c r="K2101" s="196"/>
      <c r="L2101" s="87">
        <v>884.0</v>
      </c>
      <c r="M2101" s="197" t="s">
        <v>587</v>
      </c>
      <c r="N2101" s="168"/>
    </row>
    <row r="2102" ht="22.5" hidden="1" customHeight="1">
      <c r="A2102" s="137" t="s">
        <v>603</v>
      </c>
      <c r="B2102" s="90">
        <v>46113.0</v>
      </c>
      <c r="C2102" s="55">
        <v>1.0</v>
      </c>
      <c r="D2102" s="97" t="s">
        <v>697</v>
      </c>
      <c r="E2102" s="201"/>
      <c r="F2102" s="236" t="s">
        <v>603</v>
      </c>
      <c r="G2102" s="194" t="s">
        <v>35</v>
      </c>
      <c r="H2102" s="198"/>
      <c r="I2102" s="196"/>
      <c r="J2102" s="179">
        <f>IF(A2102="RAPPI",(VLOOKUP(TRIM(D2102), CATALOGO!F:G, 2, FALSE) * C2102)+I2102,IFERROR(IF(COUNTIF('RESTAURANTESDESCUENTOS 2026'!A:A,TRIM(A2102))&gt;0,((VLOOKUP(TRIM(D2102), CATALOGO!A:B, 2, FALSE) * C2102)*(1-VALUE(SUBSTITUTE(VLOOKUP(TRIM(A2102),'RESTAURANTESDESCUENTOS 2026'!A:B,2,FALSE),"%",""))/100)+I2102),(VLOOKUP(TRIM(D2102), CATALOGO!A:B, 2, FALSE) * C2102+I2102)),""))</f>
        <v>163000</v>
      </c>
      <c r="K2102" s="196"/>
      <c r="L2102" s="87">
        <v>873.0</v>
      </c>
      <c r="M2102" s="197" t="s">
        <v>587</v>
      </c>
      <c r="N2102" s="168"/>
    </row>
    <row r="2103" ht="22.5" hidden="1" customHeight="1">
      <c r="A2103" s="137" t="s">
        <v>603</v>
      </c>
      <c r="B2103" s="90">
        <v>46113.0</v>
      </c>
      <c r="C2103" s="55">
        <v>1.0</v>
      </c>
      <c r="D2103" s="97" t="s">
        <v>602</v>
      </c>
      <c r="E2103" s="201"/>
      <c r="F2103" s="236" t="s">
        <v>603</v>
      </c>
      <c r="G2103" s="194" t="s">
        <v>35</v>
      </c>
      <c r="H2103" s="198"/>
      <c r="I2103" s="196"/>
      <c r="J2103" s="179">
        <f>IF(A2103="RAPPI",(VLOOKUP(TRIM(D2103), CATALOGO!F:G, 2, FALSE) * C2103)+I2103,IFERROR(IF(COUNTIF('RESTAURANTESDESCUENTOS 2026'!A:A,TRIM(A2103))&gt;0,((VLOOKUP(TRIM(D2103), CATALOGO!A:B, 2, FALSE) * C2103)*(1-VALUE(SUBSTITUTE(VLOOKUP(TRIM(A2103),'RESTAURANTESDESCUENTOS 2026'!A:B,2,FALSE),"%",""))/100)+I2103),(VLOOKUP(TRIM(D2103), CATALOGO!A:B, 2, FALSE) * C2103+I2103)),""))</f>
        <v>22000</v>
      </c>
      <c r="K2103" s="196"/>
      <c r="L2103" s="87">
        <v>873.0</v>
      </c>
      <c r="M2103" s="197" t="s">
        <v>587</v>
      </c>
      <c r="N2103" s="168"/>
    </row>
    <row r="2104" ht="22.5" hidden="1" customHeight="1">
      <c r="A2104" s="137" t="s">
        <v>1126</v>
      </c>
      <c r="B2104" s="90">
        <v>46113.0</v>
      </c>
      <c r="C2104" s="55">
        <v>1.0</v>
      </c>
      <c r="D2104" s="97" t="s">
        <v>178</v>
      </c>
      <c r="E2104" s="201"/>
      <c r="F2104" s="236" t="s">
        <v>1035</v>
      </c>
      <c r="G2104" s="194" t="s">
        <v>35</v>
      </c>
      <c r="H2104" s="198"/>
      <c r="I2104" s="196"/>
      <c r="J2104" s="179">
        <f>IF(A2104="RAPPI",(VLOOKUP(TRIM(D2104), CATALOGO!F:G, 2, FALSE) * C2104)+I2104,IFERROR(IF(COUNTIF('RESTAURANTESDESCUENTOS 2026'!A:A,TRIM(A2104))&gt;0,((VLOOKUP(TRIM(D2104), CATALOGO!A:B, 2, FALSE) * C2104)*(1-VALUE(SUBSTITUTE(VLOOKUP(TRIM(A2104),'RESTAURANTESDESCUENTOS 2026'!A:B,2,FALSE),"%",""))/100)+I2104),(VLOOKUP(TRIM(D2104), CATALOGO!A:B, 2, FALSE) * C2104+I2104)),""))</f>
        <v>150000</v>
      </c>
      <c r="K2104" s="196"/>
      <c r="L2104" s="87">
        <v>874.0</v>
      </c>
      <c r="M2104" s="197" t="s">
        <v>587</v>
      </c>
      <c r="N2104" s="168"/>
    </row>
    <row r="2105" ht="22.5" hidden="1" customHeight="1">
      <c r="A2105" s="137" t="s">
        <v>1126</v>
      </c>
      <c r="B2105" s="90">
        <v>46113.0</v>
      </c>
      <c r="C2105" s="55">
        <v>1.0</v>
      </c>
      <c r="D2105" s="97" t="s">
        <v>177</v>
      </c>
      <c r="E2105" s="201"/>
      <c r="F2105" s="236" t="s">
        <v>1035</v>
      </c>
      <c r="G2105" s="194" t="s">
        <v>35</v>
      </c>
      <c r="H2105" s="198"/>
      <c r="I2105" s="196"/>
      <c r="J2105" s="179">
        <f>IF(A2105="RAPPI",(VLOOKUP(TRIM(D2105), CATALOGO!F:G, 2, FALSE) * C2105)+I2105,IFERROR(IF(COUNTIF('RESTAURANTESDESCUENTOS 2026'!A:A,TRIM(A2105))&gt;0,((VLOOKUP(TRIM(D2105), CATALOGO!A:B, 2, FALSE) * C2105)*(1-VALUE(SUBSTITUTE(VLOOKUP(TRIM(A2105),'RESTAURANTESDESCUENTOS 2026'!A:B,2,FALSE),"%",""))/100)+I2105),(VLOOKUP(TRIM(D2105), CATALOGO!A:B, 2, FALSE) * C2105+I2105)),""))</f>
        <v>115000</v>
      </c>
      <c r="K2105" s="196"/>
      <c r="L2105" s="87">
        <v>874.0</v>
      </c>
      <c r="M2105" s="197" t="s">
        <v>587</v>
      </c>
      <c r="N2105" s="168"/>
    </row>
    <row r="2106" ht="22.5" hidden="1" customHeight="1">
      <c r="A2106" s="137" t="s">
        <v>1126</v>
      </c>
      <c r="B2106" s="90">
        <v>46113.0</v>
      </c>
      <c r="C2106" s="55">
        <v>1.0</v>
      </c>
      <c r="D2106" s="97" t="s">
        <v>174</v>
      </c>
      <c r="E2106" s="201"/>
      <c r="F2106" s="236" t="s">
        <v>1035</v>
      </c>
      <c r="G2106" s="194" t="s">
        <v>35</v>
      </c>
      <c r="H2106" s="198"/>
      <c r="I2106" s="196"/>
      <c r="J2106" s="179">
        <f>IF(A2106="RAPPI",(VLOOKUP(TRIM(D2106), CATALOGO!F:G, 2, FALSE) * C2106)+I2106,IFERROR(IF(COUNTIF('RESTAURANTESDESCUENTOS 2026'!A:A,TRIM(A2106))&gt;0,((VLOOKUP(TRIM(D2106), CATALOGO!A:B, 2, FALSE) * C2106)*(1-VALUE(SUBSTITUTE(VLOOKUP(TRIM(A2106),'RESTAURANTESDESCUENTOS 2026'!A:B,2,FALSE),"%",""))/100)+I2106),(VLOOKUP(TRIM(D2106), CATALOGO!A:B, 2, FALSE) * C2106+I2106)),""))</f>
        <v>18000</v>
      </c>
      <c r="K2106" s="196"/>
      <c r="L2106" s="87">
        <v>874.0</v>
      </c>
      <c r="M2106" s="197" t="s">
        <v>587</v>
      </c>
      <c r="N2106" s="168"/>
    </row>
    <row r="2107" ht="22.5" hidden="1" customHeight="1">
      <c r="A2107" s="137" t="s">
        <v>1126</v>
      </c>
      <c r="B2107" s="90">
        <v>46113.0</v>
      </c>
      <c r="C2107" s="55">
        <v>1.0</v>
      </c>
      <c r="D2107" s="97" t="s">
        <v>177</v>
      </c>
      <c r="E2107" s="201"/>
      <c r="F2107" s="236" t="s">
        <v>1035</v>
      </c>
      <c r="G2107" s="194" t="s">
        <v>35</v>
      </c>
      <c r="H2107" s="198"/>
      <c r="I2107" s="196"/>
      <c r="J2107" s="179">
        <f>IF(A2107="RAPPI",(VLOOKUP(TRIM(D2107), CATALOGO!F:G, 2, FALSE) * C2107)+I2107,IFERROR(IF(COUNTIF('RESTAURANTESDESCUENTOS 2026'!A:A,TRIM(A2107))&gt;0,((VLOOKUP(TRIM(D2107), CATALOGO!A:B, 2, FALSE) * C2107)*(1-VALUE(SUBSTITUTE(VLOOKUP(TRIM(A2107),'RESTAURANTESDESCUENTOS 2026'!A:B,2,FALSE),"%",""))/100)+I2107),(VLOOKUP(TRIM(D2107), CATALOGO!A:B, 2, FALSE) * C2107+I2107)),""))</f>
        <v>115000</v>
      </c>
      <c r="K2107" s="196"/>
      <c r="L2107" s="87">
        <v>874.0</v>
      </c>
      <c r="M2107" s="197" t="s">
        <v>587</v>
      </c>
      <c r="N2107" s="168"/>
    </row>
    <row r="2108" ht="22.5" hidden="1" customHeight="1">
      <c r="A2108" s="137" t="s">
        <v>1126</v>
      </c>
      <c r="B2108" s="90">
        <v>46113.0</v>
      </c>
      <c r="C2108" s="55">
        <v>1.0</v>
      </c>
      <c r="D2108" s="97" t="s">
        <v>187</v>
      </c>
      <c r="E2108" s="201" t="s">
        <v>1289</v>
      </c>
      <c r="F2108" s="236" t="s">
        <v>1036</v>
      </c>
      <c r="G2108" s="194" t="s">
        <v>35</v>
      </c>
      <c r="H2108" s="198"/>
      <c r="I2108" s="196"/>
      <c r="J2108" s="199">
        <v>38500.0</v>
      </c>
      <c r="K2108" s="196"/>
      <c r="L2108" s="87">
        <v>915.0</v>
      </c>
      <c r="M2108" s="197" t="s">
        <v>587</v>
      </c>
      <c r="N2108" s="168"/>
    </row>
    <row r="2109" ht="22.5" hidden="1" customHeight="1">
      <c r="A2109" s="137" t="s">
        <v>1126</v>
      </c>
      <c r="B2109" s="90">
        <v>46113.0</v>
      </c>
      <c r="C2109" s="55">
        <v>1.0</v>
      </c>
      <c r="D2109" s="97" t="s">
        <v>177</v>
      </c>
      <c r="E2109" s="201"/>
      <c r="F2109" s="236" t="s">
        <v>1035</v>
      </c>
      <c r="G2109" s="194" t="s">
        <v>35</v>
      </c>
      <c r="H2109" s="198"/>
      <c r="I2109" s="196"/>
      <c r="J2109" s="179">
        <f>IF(A2109="RAPPI",(VLOOKUP(TRIM(D2109), CATALOGO!F:G, 2, FALSE) * C2109)+I2109,IFERROR(IF(COUNTIF('RESTAURANTESDESCUENTOS 2026'!A:A,TRIM(A2109))&gt;0,((VLOOKUP(TRIM(D2109), CATALOGO!A:B, 2, FALSE) * C2109)*(1-VALUE(SUBSTITUTE(VLOOKUP(TRIM(A2109),'RESTAURANTESDESCUENTOS 2026'!A:B,2,FALSE),"%",""))/100)+I2109),(VLOOKUP(TRIM(D2109), CATALOGO!A:B, 2, FALSE) * C2109+I2109)),""))</f>
        <v>115000</v>
      </c>
      <c r="K2109" s="196"/>
      <c r="L2109" s="87">
        <v>874.0</v>
      </c>
      <c r="M2109" s="197" t="s">
        <v>587</v>
      </c>
      <c r="N2109" s="168"/>
    </row>
    <row r="2110" ht="22.5" hidden="1" customHeight="1">
      <c r="A2110" s="137" t="s">
        <v>1126</v>
      </c>
      <c r="B2110" s="90">
        <v>46113.0</v>
      </c>
      <c r="C2110" s="55">
        <v>1.0</v>
      </c>
      <c r="D2110" s="97" t="s">
        <v>174</v>
      </c>
      <c r="E2110" s="201"/>
      <c r="F2110" s="236" t="s">
        <v>1036</v>
      </c>
      <c r="G2110" s="194" t="s">
        <v>35</v>
      </c>
      <c r="H2110" s="198"/>
      <c r="I2110" s="196"/>
      <c r="J2110" s="179">
        <f>IF(A2110="RAPPI",(VLOOKUP(TRIM(D2110), CATALOGO!F:G, 2, FALSE) * C2110)+I2110,IFERROR(IF(COUNTIF('RESTAURANTESDESCUENTOS 2026'!A:A,TRIM(A2110))&gt;0,((VLOOKUP(TRIM(D2110), CATALOGO!A:B, 2, FALSE) * C2110)*(1-VALUE(SUBSTITUTE(VLOOKUP(TRIM(A2110),'RESTAURANTESDESCUENTOS 2026'!A:B,2,FALSE),"%",""))/100)+I2110),(VLOOKUP(TRIM(D2110), CATALOGO!A:B, 2, FALSE) * C2110+I2110)),""))</f>
        <v>18000</v>
      </c>
      <c r="K2110" s="196"/>
      <c r="L2110" s="87">
        <v>874.0</v>
      </c>
      <c r="M2110" s="197" t="s">
        <v>587</v>
      </c>
      <c r="N2110" s="168"/>
    </row>
    <row r="2111" ht="22.5" hidden="1" customHeight="1">
      <c r="A2111" s="137" t="s">
        <v>1126</v>
      </c>
      <c r="B2111" s="90">
        <v>46113.0</v>
      </c>
      <c r="C2111" s="55">
        <v>1.0</v>
      </c>
      <c r="D2111" s="97" t="s">
        <v>177</v>
      </c>
      <c r="E2111" s="201"/>
      <c r="F2111" s="236" t="s">
        <v>1035</v>
      </c>
      <c r="G2111" s="194" t="s">
        <v>35</v>
      </c>
      <c r="H2111" s="198"/>
      <c r="I2111" s="196"/>
      <c r="J2111" s="179">
        <f>IF(A2111="RAPPI",(VLOOKUP(TRIM(D2111), CATALOGO!F:G, 2, FALSE) * C2111)+I2111,IFERROR(IF(COUNTIF('RESTAURANTESDESCUENTOS 2026'!A:A,TRIM(A2111))&gt;0,((VLOOKUP(TRIM(D2111), CATALOGO!A:B, 2, FALSE) * C2111)*(1-VALUE(SUBSTITUTE(VLOOKUP(TRIM(A2111),'RESTAURANTESDESCUENTOS 2026'!A:B,2,FALSE),"%",""))/100)+I2111),(VLOOKUP(TRIM(D2111), CATALOGO!A:B, 2, FALSE) * C2111+I2111)),""))</f>
        <v>115000</v>
      </c>
      <c r="K2111" s="196"/>
      <c r="L2111" s="87">
        <v>874.0</v>
      </c>
      <c r="M2111" s="197" t="s">
        <v>587</v>
      </c>
      <c r="N2111" s="168"/>
    </row>
    <row r="2112" ht="22.5" hidden="1" customHeight="1">
      <c r="A2112" s="137" t="s">
        <v>1126</v>
      </c>
      <c r="B2112" s="90">
        <v>46113.0</v>
      </c>
      <c r="C2112" s="55">
        <v>1.0</v>
      </c>
      <c r="D2112" s="97" t="s">
        <v>176</v>
      </c>
      <c r="E2112" s="201"/>
      <c r="F2112" s="236" t="s">
        <v>1036</v>
      </c>
      <c r="G2112" s="194" t="s">
        <v>35</v>
      </c>
      <c r="H2112" s="198"/>
      <c r="I2112" s="196"/>
      <c r="J2112" s="179">
        <f>IF(A2112="RAPPI",(VLOOKUP(TRIM(D2112), CATALOGO!F:G, 2, FALSE) * C2112)+I2112,IFERROR(IF(COUNTIF('RESTAURANTESDESCUENTOS 2026'!A:A,TRIM(A2112))&gt;0,((VLOOKUP(TRIM(D2112), CATALOGO!A:B, 2, FALSE) * C2112)*(1-VALUE(SUBSTITUTE(VLOOKUP(TRIM(A2112),'RESTAURANTESDESCUENTOS 2026'!A:B,2,FALSE),"%",""))/100)+I2112),(VLOOKUP(TRIM(D2112), CATALOGO!A:B, 2, FALSE) * C2112+I2112)),""))</f>
        <v>50000</v>
      </c>
      <c r="K2112" s="196"/>
      <c r="L2112" s="87">
        <v>874.0</v>
      </c>
      <c r="M2112" s="197" t="s">
        <v>587</v>
      </c>
      <c r="N2112" s="168"/>
    </row>
    <row r="2113" ht="22.5" hidden="1" customHeight="1">
      <c r="A2113" s="137" t="s">
        <v>1290</v>
      </c>
      <c r="B2113" s="90">
        <v>46116.0</v>
      </c>
      <c r="C2113" s="55">
        <v>1.0</v>
      </c>
      <c r="D2113" s="97" t="s">
        <v>177</v>
      </c>
      <c r="E2113" s="201"/>
      <c r="F2113" s="236" t="s">
        <v>1035</v>
      </c>
      <c r="G2113" s="194" t="s">
        <v>587</v>
      </c>
      <c r="H2113" s="195" t="s">
        <v>632</v>
      </c>
      <c r="I2113" s="196">
        <v>12000.0</v>
      </c>
      <c r="J2113" s="179">
        <f>IF(A2113="RAPPI",(VLOOKUP(TRIM(D2113), CATALOGO!F:G, 2, FALSE) * C2113)+I2113,IFERROR(IF(COUNTIF('RESTAURANTESDESCUENTOS 2026'!A:A,TRIM(A2113))&gt;0,((VLOOKUP(TRIM(D2113), CATALOGO!A:B, 2, FALSE) * C2113)*(1-VALUE(SUBSTITUTE(VLOOKUP(TRIM(A2113),'RESTAURANTESDESCUENTOS 2026'!A:B,2,FALSE),"%",""))/100)+I2113),(VLOOKUP(TRIM(D2113), CATALOGO!A:B, 2, FALSE) * C2113+I2113)),""))</f>
        <v>127000</v>
      </c>
      <c r="K2113" s="196">
        <v>10000.0</v>
      </c>
      <c r="L2113" s="87">
        <v>890.0</v>
      </c>
      <c r="M2113" s="197" t="s">
        <v>587</v>
      </c>
      <c r="N2113" s="168"/>
    </row>
    <row r="2114" ht="22.5" hidden="1" customHeight="1">
      <c r="A2114" s="137" t="s">
        <v>23</v>
      </c>
      <c r="B2114" s="90">
        <v>46116.0</v>
      </c>
      <c r="C2114" s="55">
        <v>2.0</v>
      </c>
      <c r="D2114" s="97" t="s">
        <v>178</v>
      </c>
      <c r="E2114" s="201" t="s">
        <v>14</v>
      </c>
      <c r="F2114" s="202"/>
      <c r="G2114" s="194" t="s">
        <v>587</v>
      </c>
      <c r="H2114" s="195" t="s">
        <v>632</v>
      </c>
      <c r="I2114" s="196">
        <v>25000.0</v>
      </c>
      <c r="J2114" s="179">
        <f>IF(A2114="RAPPI",(VLOOKUP(TRIM(D2114), CATALOGO!F:G, 2, FALSE) * C2114)+I2114,IFERROR(IF(COUNTIF('RESTAURANTESDESCUENTOS 2026'!A:A,TRIM(A2114))&gt;0,((VLOOKUP(TRIM(D2114), CATALOGO!A:B, 2, FALSE) * C2114)*(1-VALUE(SUBSTITUTE(VLOOKUP(TRIM(A2114),'RESTAURANTESDESCUENTOS 2026'!A:B,2,FALSE),"%",""))/100)+I2114),(VLOOKUP(TRIM(D2114), CATALOGO!A:B, 2, FALSE) * C2114+I2114)),""))</f>
        <v>250000</v>
      </c>
      <c r="K2114" s="196">
        <v>40000.0</v>
      </c>
      <c r="L2114" s="87">
        <v>888.0</v>
      </c>
      <c r="M2114" s="197" t="s">
        <v>587</v>
      </c>
      <c r="N2114" s="168"/>
    </row>
    <row r="2115" ht="22.5" hidden="1" customHeight="1">
      <c r="A2115" s="137" t="s">
        <v>106</v>
      </c>
      <c r="B2115" s="90">
        <v>46116.0</v>
      </c>
      <c r="C2115" s="55">
        <v>1.0</v>
      </c>
      <c r="D2115" s="97" t="s">
        <v>178</v>
      </c>
      <c r="E2115" s="201"/>
      <c r="F2115" s="202"/>
      <c r="G2115" s="194" t="s">
        <v>587</v>
      </c>
      <c r="H2115" s="195" t="s">
        <v>632</v>
      </c>
      <c r="I2115" s="196">
        <v>8000.0</v>
      </c>
      <c r="J2115" s="179">
        <f>IF(A2115="RAPPI",(VLOOKUP(TRIM(D2115), CATALOGO!F:G, 2, FALSE) * C2115)+I2115,IFERROR(IF(COUNTIF('RESTAURANTESDESCUENTOS 2026'!A:A,TRIM(A2115))&gt;0,((VLOOKUP(TRIM(D2115), CATALOGO!A:B, 2, FALSE) * C2115)*(1-VALUE(SUBSTITUTE(VLOOKUP(TRIM(A2115),'RESTAURANTESDESCUENTOS 2026'!A:B,2,FALSE),"%",""))/100)+I2115),(VLOOKUP(TRIM(D2115), CATALOGO!A:B, 2, FALSE) * C2115+I2115)),""))</f>
        <v>105125</v>
      </c>
      <c r="K2115" s="196">
        <v>10000.0</v>
      </c>
      <c r="L2115" s="87">
        <v>887.0</v>
      </c>
      <c r="M2115" s="197" t="s">
        <v>587</v>
      </c>
      <c r="N2115" s="168"/>
    </row>
    <row r="2116" ht="22.5" hidden="1" customHeight="1">
      <c r="A2116" s="137" t="s">
        <v>86</v>
      </c>
      <c r="B2116" s="90">
        <v>46116.0</v>
      </c>
      <c r="C2116" s="55">
        <v>1.0</v>
      </c>
      <c r="D2116" s="97" t="s">
        <v>177</v>
      </c>
      <c r="E2116" s="201" t="s">
        <v>14</v>
      </c>
      <c r="F2116" s="202"/>
      <c r="G2116" s="194" t="s">
        <v>587</v>
      </c>
      <c r="H2116" s="195" t="s">
        <v>632</v>
      </c>
      <c r="I2116" s="196"/>
      <c r="J2116" s="179">
        <f>IF(A2116="RAPPI",(VLOOKUP(TRIM(D2116), CATALOGO!F:G, 2, FALSE) * C2116)+I2116,IFERROR(IF(COUNTIF('RESTAURANTESDESCUENTOS 2026'!A:A,TRIM(A2116))&gt;0,((VLOOKUP(TRIM(D2116), CATALOGO!A:B, 2, FALSE) * C2116)*(1-VALUE(SUBSTITUTE(VLOOKUP(TRIM(A2116),'RESTAURANTESDESCUENTOS 2026'!A:B,2,FALSE),"%",""))/100)+I2116),(VLOOKUP(TRIM(D2116), CATALOGO!A:B, 2, FALSE) * C2116+I2116)),""))</f>
        <v>86250</v>
      </c>
      <c r="K2116" s="196">
        <v>40000.0</v>
      </c>
      <c r="L2116" s="87">
        <v>886.0</v>
      </c>
      <c r="M2116" s="197" t="s">
        <v>587</v>
      </c>
      <c r="N2116" s="168"/>
    </row>
    <row r="2117" ht="22.5" hidden="1" customHeight="1">
      <c r="A2117" s="137" t="s">
        <v>1291</v>
      </c>
      <c r="B2117" s="90">
        <v>46116.0</v>
      </c>
      <c r="C2117" s="55">
        <v>1.0</v>
      </c>
      <c r="D2117" s="97" t="s">
        <v>697</v>
      </c>
      <c r="E2117" s="201"/>
      <c r="F2117" s="236" t="s">
        <v>1035</v>
      </c>
      <c r="G2117" s="194" t="s">
        <v>587</v>
      </c>
      <c r="H2117" s="195" t="s">
        <v>632</v>
      </c>
      <c r="I2117" s="196">
        <v>10000.0</v>
      </c>
      <c r="J2117" s="199">
        <v>160000.0</v>
      </c>
      <c r="K2117" s="196">
        <v>10000.0</v>
      </c>
      <c r="L2117" s="87">
        <v>891.0</v>
      </c>
      <c r="M2117" s="197" t="s">
        <v>587</v>
      </c>
      <c r="N2117" s="168"/>
    </row>
    <row r="2118" ht="22.5" hidden="1" customHeight="1">
      <c r="A2118" s="137" t="s">
        <v>623</v>
      </c>
      <c r="B2118" s="90">
        <v>46116.0</v>
      </c>
      <c r="C2118" s="55">
        <v>1.0</v>
      </c>
      <c r="D2118" s="97" t="s">
        <v>189</v>
      </c>
      <c r="E2118" s="201"/>
      <c r="F2118" s="236" t="s">
        <v>1035</v>
      </c>
      <c r="G2118" s="194" t="s">
        <v>587</v>
      </c>
      <c r="H2118" s="195" t="s">
        <v>632</v>
      </c>
      <c r="I2118" s="196">
        <v>10000.0</v>
      </c>
      <c r="J2118" s="179">
        <f>IF(A2118="RAPPI",(VLOOKUP(TRIM(D2118), CATALOGO!F:G, 2, FALSE) * C2118)+I2118,IFERROR(IF(COUNTIF('RESTAURANTESDESCUENTOS 2026'!A:A,TRIM(A2118))&gt;0,((VLOOKUP(TRIM(D2118), CATALOGO!A:B, 2, FALSE) * C2118)*(1-VALUE(SUBSTITUTE(VLOOKUP(TRIM(A2118),'RESTAURANTESDESCUENTOS 2026'!A:B,2,FALSE),"%",""))/100)+I2118),(VLOOKUP(TRIM(D2118), CATALOGO!A:B, 2, FALSE) * C2118+I2118)),""))</f>
        <v>155000</v>
      </c>
      <c r="K2118" s="196">
        <v>10000.0</v>
      </c>
      <c r="L2118" s="87">
        <v>893.0</v>
      </c>
      <c r="M2118" s="197" t="s">
        <v>587</v>
      </c>
      <c r="N2118" s="168"/>
    </row>
    <row r="2119" ht="22.5" hidden="1" customHeight="1">
      <c r="A2119" s="137" t="s">
        <v>597</v>
      </c>
      <c r="B2119" s="90">
        <v>46116.0</v>
      </c>
      <c r="C2119" s="55">
        <v>8.0</v>
      </c>
      <c r="D2119" s="97" t="s">
        <v>178</v>
      </c>
      <c r="E2119" s="201"/>
      <c r="F2119" s="202"/>
      <c r="G2119" s="194" t="s">
        <v>587</v>
      </c>
      <c r="H2119" s="195" t="s">
        <v>632</v>
      </c>
      <c r="I2119" s="196">
        <v>0.0</v>
      </c>
      <c r="J2119" s="179"/>
      <c r="K2119" s="196">
        <v>40000.0</v>
      </c>
      <c r="L2119" s="87"/>
      <c r="M2119" s="197" t="s">
        <v>587</v>
      </c>
      <c r="N2119" s="246" t="s">
        <v>587</v>
      </c>
    </row>
    <row r="2120" ht="22.5" hidden="1" customHeight="1">
      <c r="A2120" s="137" t="s">
        <v>597</v>
      </c>
      <c r="B2120" s="90">
        <v>46116.0</v>
      </c>
      <c r="C2120" s="55">
        <v>3.0</v>
      </c>
      <c r="D2120" s="97" t="s">
        <v>177</v>
      </c>
      <c r="E2120" s="201"/>
      <c r="F2120" s="202"/>
      <c r="G2120" s="194" t="s">
        <v>587</v>
      </c>
      <c r="H2120" s="195" t="s">
        <v>632</v>
      </c>
      <c r="I2120" s="196">
        <v>0.0</v>
      </c>
      <c r="J2120" s="179"/>
      <c r="K2120" s="196">
        <v>0.0</v>
      </c>
      <c r="L2120" s="87"/>
      <c r="M2120" s="197" t="s">
        <v>587</v>
      </c>
      <c r="N2120" s="246" t="s">
        <v>587</v>
      </c>
    </row>
    <row r="2121" ht="22.5" hidden="1" customHeight="1">
      <c r="A2121" s="137" t="s">
        <v>597</v>
      </c>
      <c r="B2121" s="90">
        <v>46116.0</v>
      </c>
      <c r="C2121" s="55">
        <v>4.0</v>
      </c>
      <c r="D2121" s="97" t="s">
        <v>176</v>
      </c>
      <c r="E2121" s="201"/>
      <c r="F2121" s="202"/>
      <c r="G2121" s="194" t="s">
        <v>587</v>
      </c>
      <c r="H2121" s="195" t="s">
        <v>632</v>
      </c>
      <c r="I2121" s="196">
        <v>0.0</v>
      </c>
      <c r="J2121" s="179"/>
      <c r="K2121" s="196">
        <v>0.0</v>
      </c>
      <c r="L2121" s="87"/>
      <c r="M2121" s="197" t="s">
        <v>587</v>
      </c>
      <c r="N2121" s="246" t="s">
        <v>587</v>
      </c>
    </row>
    <row r="2122" ht="22.5" hidden="1" customHeight="1">
      <c r="A2122" s="137" t="s">
        <v>1292</v>
      </c>
      <c r="B2122" s="90">
        <v>46116.0</v>
      </c>
      <c r="C2122" s="55">
        <v>1.0</v>
      </c>
      <c r="D2122" s="97" t="s">
        <v>177</v>
      </c>
      <c r="E2122" s="201"/>
      <c r="F2122" s="236" t="s">
        <v>1035</v>
      </c>
      <c r="G2122" s="194" t="s">
        <v>587</v>
      </c>
      <c r="H2122" s="195" t="s">
        <v>632</v>
      </c>
      <c r="I2122" s="196">
        <v>10000.0</v>
      </c>
      <c r="J2122" s="179">
        <f>IF(A2122="RAPPI",(VLOOKUP(TRIM(D2122), CATALOGO!F:G, 2, FALSE) * C2122)+I2122,IFERROR(IF(COUNTIF('RESTAURANTESDESCUENTOS 2026'!A:A,TRIM(A2122))&gt;0,((VLOOKUP(TRIM(D2122), CATALOGO!A:B, 2, FALSE) * C2122)*(1-VALUE(SUBSTITUTE(VLOOKUP(TRIM(A2122),'RESTAURANTESDESCUENTOS 2026'!A:B,2,FALSE),"%",""))/100)+I2122),(VLOOKUP(TRIM(D2122), CATALOGO!A:B, 2, FALSE) * C2122+I2122)),""))</f>
        <v>125000</v>
      </c>
      <c r="K2122" s="196">
        <v>10000.0</v>
      </c>
      <c r="L2122" s="87">
        <v>894.0</v>
      </c>
      <c r="M2122" s="197" t="s">
        <v>587</v>
      </c>
      <c r="N2122" s="168"/>
    </row>
    <row r="2123" ht="22.5" hidden="1" customHeight="1">
      <c r="A2123" s="137" t="s">
        <v>1293</v>
      </c>
      <c r="B2123" s="90">
        <v>46116.0</v>
      </c>
      <c r="C2123" s="55">
        <v>1.0</v>
      </c>
      <c r="D2123" s="97" t="s">
        <v>653</v>
      </c>
      <c r="E2123" s="201"/>
      <c r="F2123" s="236" t="s">
        <v>1035</v>
      </c>
      <c r="G2123" s="194" t="s">
        <v>587</v>
      </c>
      <c r="H2123" s="195" t="s">
        <v>632</v>
      </c>
      <c r="I2123" s="196">
        <v>22000.0</v>
      </c>
      <c r="J2123" s="179">
        <f>IF(A2123="RAPPI",(VLOOKUP(TRIM(D2123), CATALOGO!F:G, 2, FALSE) * C2123)+I2123,IFERROR(IF(COUNTIF('RESTAURANTESDESCUENTOS 2026'!A:A,TRIM(A2123))&gt;0,((VLOOKUP(TRIM(D2123), CATALOGO!A:B, 2, FALSE) * C2123)*(1-VALUE(SUBSTITUTE(VLOOKUP(TRIM(A2123),'RESTAURANTESDESCUENTOS 2026'!A:B,2,FALSE),"%",""))/100)+I2123),(VLOOKUP(TRIM(D2123), CATALOGO!A:B, 2, FALSE) * C2123+I2123)),""))</f>
        <v>145000</v>
      </c>
      <c r="K2123" s="196">
        <v>23000.0</v>
      </c>
      <c r="L2123" s="87">
        <v>895.0</v>
      </c>
      <c r="M2123" s="197" t="s">
        <v>587</v>
      </c>
      <c r="N2123" s="168"/>
    </row>
    <row r="2124" ht="22.5" hidden="1" customHeight="1">
      <c r="A2124" s="137" t="s">
        <v>1294</v>
      </c>
      <c r="B2124" s="90">
        <v>46116.0</v>
      </c>
      <c r="C2124" s="55">
        <v>1.0</v>
      </c>
      <c r="D2124" s="97" t="s">
        <v>177</v>
      </c>
      <c r="E2124" s="201"/>
      <c r="F2124" s="236" t="s">
        <v>1035</v>
      </c>
      <c r="G2124" s="194" t="s">
        <v>587</v>
      </c>
      <c r="H2124" s="195" t="s">
        <v>632</v>
      </c>
      <c r="I2124" s="196">
        <v>13000.0</v>
      </c>
      <c r="J2124" s="179">
        <f>IF(A2124="RAPPI",(VLOOKUP(TRIM(D2124), CATALOGO!F:G, 2, FALSE) * C2124)+I2124,IFERROR(IF(COUNTIF('RESTAURANTESDESCUENTOS 2026'!A:A,TRIM(A2124))&gt;0,((VLOOKUP(TRIM(D2124), CATALOGO!A:B, 2, FALSE) * C2124)*(1-VALUE(SUBSTITUTE(VLOOKUP(TRIM(A2124),'RESTAURANTESDESCUENTOS 2026'!A:B,2,FALSE),"%",""))/100)+I2124),(VLOOKUP(TRIM(D2124), CATALOGO!A:B, 2, FALSE) * C2124+I2124)),""))</f>
        <v>128000</v>
      </c>
      <c r="K2124" s="196">
        <v>12000.0</v>
      </c>
      <c r="L2124" s="87">
        <v>896.0</v>
      </c>
      <c r="M2124" s="197" t="s">
        <v>587</v>
      </c>
      <c r="N2124" s="168"/>
    </row>
    <row r="2125" ht="22.5" hidden="1" customHeight="1">
      <c r="A2125" s="137" t="s">
        <v>1295</v>
      </c>
      <c r="B2125" s="90">
        <v>46116.0</v>
      </c>
      <c r="C2125" s="55">
        <v>1.0</v>
      </c>
      <c r="D2125" s="97" t="s">
        <v>640</v>
      </c>
      <c r="E2125" s="201"/>
      <c r="F2125" s="236" t="s">
        <v>1035</v>
      </c>
      <c r="G2125" s="194" t="s">
        <v>587</v>
      </c>
      <c r="H2125" s="195" t="s">
        <v>632</v>
      </c>
      <c r="I2125" s="196">
        <v>13000.0</v>
      </c>
      <c r="J2125" s="179">
        <f>IF(A2125="RAPPI",(VLOOKUP(TRIM(D2125), CATALOGO!F:G, 2, FALSE) * C2125)+I2125,IFERROR(IF(COUNTIF('RESTAURANTESDESCUENTOS 2026'!A:A,TRIM(A2125))&gt;0,((VLOOKUP(TRIM(D2125), CATALOGO!A:B, 2, FALSE) * C2125)*(1-VALUE(SUBSTITUTE(VLOOKUP(TRIM(A2125),'RESTAURANTESDESCUENTOS 2026'!A:B,2,FALSE),"%",""))/100)+I2125),(VLOOKUP(TRIM(D2125), CATALOGO!A:B, 2, FALSE) * C2125+I2125)),""))</f>
        <v>66000</v>
      </c>
      <c r="K2125" s="196">
        <v>14000.0</v>
      </c>
      <c r="L2125" s="87">
        <v>897.0</v>
      </c>
      <c r="M2125" s="197" t="s">
        <v>587</v>
      </c>
      <c r="N2125" s="168"/>
    </row>
    <row r="2126" ht="22.5" hidden="1" customHeight="1">
      <c r="A2126" s="137" t="s">
        <v>1296</v>
      </c>
      <c r="B2126" s="90">
        <v>46116.0</v>
      </c>
      <c r="C2126" s="55">
        <v>1.0</v>
      </c>
      <c r="D2126" s="97" t="s">
        <v>601</v>
      </c>
      <c r="E2126" s="201"/>
      <c r="F2126" s="236" t="s">
        <v>1035</v>
      </c>
      <c r="G2126" s="194" t="s">
        <v>587</v>
      </c>
      <c r="H2126" s="195" t="s">
        <v>632</v>
      </c>
      <c r="I2126" s="196">
        <v>13000.0</v>
      </c>
      <c r="J2126" s="179">
        <f>IF(A2126="RAPPI",(VLOOKUP(TRIM(D2126), CATALOGO!F:G, 2, FALSE) * C2126)+I2126,IFERROR(IF(COUNTIF('RESTAURANTESDESCUENTOS 2026'!A:A,TRIM(A2126))&gt;0,((VLOOKUP(TRIM(D2126), CATALOGO!A:B, 2, FALSE) * C2126)*(1-VALUE(SUBSTITUTE(VLOOKUP(TRIM(A2126),'RESTAURANTESDESCUENTOS 2026'!A:B,2,FALSE),"%",""))/100)+I2126),(VLOOKUP(TRIM(D2126), CATALOGO!A:B, 2, FALSE) * C2126+I2126)),""))</f>
        <v>66000</v>
      </c>
      <c r="K2126" s="196">
        <v>13000.0</v>
      </c>
      <c r="L2126" s="87">
        <v>898.0</v>
      </c>
      <c r="M2126" s="197" t="s">
        <v>587</v>
      </c>
      <c r="N2126" s="168"/>
    </row>
    <row r="2127" ht="22.5" hidden="1" customHeight="1">
      <c r="A2127" s="137" t="s">
        <v>1297</v>
      </c>
      <c r="B2127" s="90">
        <v>46116.0</v>
      </c>
      <c r="C2127" s="55">
        <v>1.0</v>
      </c>
      <c r="D2127" s="97" t="s">
        <v>708</v>
      </c>
      <c r="E2127" s="201"/>
      <c r="F2127" s="236" t="s">
        <v>1035</v>
      </c>
      <c r="G2127" s="194" t="s">
        <v>587</v>
      </c>
      <c r="H2127" s="195" t="s">
        <v>632</v>
      </c>
      <c r="I2127" s="196">
        <v>12000.0</v>
      </c>
      <c r="J2127" s="179">
        <f>IF(A2127="RAPPI",(VLOOKUP(TRIM(D2127), CATALOGO!F:G, 2, FALSE) * C2127)+I2127,IFERROR(IF(COUNTIF('RESTAURANTESDESCUENTOS 2026'!A:A,TRIM(A2127))&gt;0,((VLOOKUP(TRIM(D2127), CATALOGO!A:B, 2, FALSE) * C2127)*(1-VALUE(SUBSTITUTE(VLOOKUP(TRIM(A2127),'RESTAURANTESDESCUENTOS 2026'!A:B,2,FALSE),"%",""))/100)+I2127),(VLOOKUP(TRIM(D2127), CATALOGO!A:B, 2, FALSE) * C2127+I2127)),""))</f>
        <v>65000</v>
      </c>
      <c r="K2127" s="196">
        <v>15000.0</v>
      </c>
      <c r="L2127" s="87">
        <v>899.0</v>
      </c>
      <c r="M2127" s="197" t="s">
        <v>587</v>
      </c>
      <c r="N2127" s="168"/>
    </row>
    <row r="2128" ht="22.5" hidden="1" customHeight="1">
      <c r="A2128" s="137" t="s">
        <v>1298</v>
      </c>
      <c r="B2128" s="90">
        <v>46116.0</v>
      </c>
      <c r="C2128" s="55">
        <v>1.0</v>
      </c>
      <c r="D2128" s="97" t="s">
        <v>629</v>
      </c>
      <c r="E2128" s="201"/>
      <c r="F2128" s="236" t="s">
        <v>1035</v>
      </c>
      <c r="G2128" s="194" t="s">
        <v>587</v>
      </c>
      <c r="H2128" s="195" t="s">
        <v>632</v>
      </c>
      <c r="I2128" s="196">
        <v>10000.0</v>
      </c>
      <c r="J2128" s="179">
        <f>IF(A2128="RAPPI",(VLOOKUP(TRIM(D2128), CATALOGO!F:G, 2, FALSE) * C2128)+I2128,IFERROR(IF(COUNTIF('RESTAURANTESDESCUENTOS 2026'!A:A,TRIM(A2128))&gt;0,((VLOOKUP(TRIM(D2128), CATALOGO!A:B, 2, FALSE) * C2128)*(1-VALUE(SUBSTITUTE(VLOOKUP(TRIM(A2128),'RESTAURANTESDESCUENTOS 2026'!A:B,2,FALSE),"%",""))/100)+I2128),(VLOOKUP(TRIM(D2128), CATALOGO!A:B, 2, FALSE) * C2128+I2128)),""))</f>
        <v>173000</v>
      </c>
      <c r="K2128" s="196"/>
      <c r="L2128" s="87">
        <v>900.0</v>
      </c>
      <c r="M2128" s="197" t="s">
        <v>587</v>
      </c>
      <c r="N2128" s="168"/>
    </row>
    <row r="2129" ht="22.5" hidden="1" customHeight="1">
      <c r="A2129" s="137" t="s">
        <v>603</v>
      </c>
      <c r="B2129" s="90">
        <v>46116.0</v>
      </c>
      <c r="C2129" s="55">
        <v>1.0</v>
      </c>
      <c r="D2129" s="97" t="s">
        <v>602</v>
      </c>
      <c r="E2129" s="201"/>
      <c r="F2129" s="236" t="s">
        <v>603</v>
      </c>
      <c r="G2129" s="194" t="s">
        <v>587</v>
      </c>
      <c r="H2129" s="195" t="s">
        <v>603</v>
      </c>
      <c r="I2129" s="196"/>
      <c r="J2129" s="179">
        <f>IF(A2129="RAPPI",(VLOOKUP(TRIM(D2129), CATALOGO!F:G, 2, FALSE) * C2129)+I2129,IFERROR(IF(COUNTIF('RESTAURANTESDESCUENTOS 2026'!A:A,TRIM(A2129))&gt;0,((VLOOKUP(TRIM(D2129), CATALOGO!A:B, 2, FALSE) * C2129)*(1-VALUE(SUBSTITUTE(VLOOKUP(TRIM(A2129),'RESTAURANTESDESCUENTOS 2026'!A:B,2,FALSE),"%",""))/100)+I2129),(VLOOKUP(TRIM(D2129), CATALOGO!A:B, 2, FALSE) * C2129+I2129)),""))</f>
        <v>22000</v>
      </c>
      <c r="K2129" s="196"/>
      <c r="L2129" s="87">
        <v>901.0</v>
      </c>
      <c r="M2129" s="197" t="s">
        <v>587</v>
      </c>
      <c r="N2129" s="168"/>
    </row>
    <row r="2130" ht="22.5" hidden="1" customHeight="1">
      <c r="A2130" s="137" t="s">
        <v>603</v>
      </c>
      <c r="B2130" s="90">
        <v>46116.0</v>
      </c>
      <c r="C2130" s="55">
        <v>1.0</v>
      </c>
      <c r="D2130" s="97" t="s">
        <v>177</v>
      </c>
      <c r="E2130" s="201"/>
      <c r="F2130" s="236" t="s">
        <v>603</v>
      </c>
      <c r="G2130" s="194" t="s">
        <v>587</v>
      </c>
      <c r="H2130" s="195" t="s">
        <v>603</v>
      </c>
      <c r="I2130" s="196"/>
      <c r="J2130" s="179">
        <f>IF(A2130="RAPPI",(VLOOKUP(TRIM(D2130), CATALOGO!F:G, 2, FALSE) * C2130)+I2130,IFERROR(IF(COUNTIF('RESTAURANTESDESCUENTOS 2026'!A:A,TRIM(A2130))&gt;0,((VLOOKUP(TRIM(D2130), CATALOGO!A:B, 2, FALSE) * C2130)*(1-VALUE(SUBSTITUTE(VLOOKUP(TRIM(A2130),'RESTAURANTESDESCUENTOS 2026'!A:B,2,FALSE),"%",""))/100)+I2130),(VLOOKUP(TRIM(D2130), CATALOGO!A:B, 2, FALSE) * C2130+I2130)),""))</f>
        <v>115000</v>
      </c>
      <c r="K2130" s="196"/>
      <c r="L2130" s="87">
        <v>901.0</v>
      </c>
      <c r="M2130" s="197" t="s">
        <v>587</v>
      </c>
      <c r="N2130" s="168"/>
    </row>
    <row r="2131" ht="22.5" hidden="1" customHeight="1">
      <c r="A2131" s="137" t="s">
        <v>603</v>
      </c>
      <c r="B2131" s="90">
        <v>46116.0</v>
      </c>
      <c r="C2131" s="55">
        <v>1.0</v>
      </c>
      <c r="D2131" s="97" t="s">
        <v>174</v>
      </c>
      <c r="E2131" s="201"/>
      <c r="F2131" s="236" t="s">
        <v>603</v>
      </c>
      <c r="G2131" s="194" t="s">
        <v>587</v>
      </c>
      <c r="H2131" s="195" t="s">
        <v>603</v>
      </c>
      <c r="I2131" s="196"/>
      <c r="J2131" s="179">
        <f>IF(A2131="RAPPI",(VLOOKUP(TRIM(D2131), CATALOGO!F:G, 2, FALSE) * C2131)+I2131,IFERROR(IF(COUNTIF('RESTAURANTESDESCUENTOS 2026'!A:A,TRIM(A2131))&gt;0,((VLOOKUP(TRIM(D2131), CATALOGO!A:B, 2, FALSE) * C2131)*(1-VALUE(SUBSTITUTE(VLOOKUP(TRIM(A2131),'RESTAURANTESDESCUENTOS 2026'!A:B,2,FALSE),"%",""))/100)+I2131),(VLOOKUP(TRIM(D2131), CATALOGO!A:B, 2, FALSE) * C2131+I2131)),""))</f>
        <v>18000</v>
      </c>
      <c r="K2131" s="196"/>
      <c r="L2131" s="87">
        <v>901.0</v>
      </c>
      <c r="M2131" s="197" t="s">
        <v>587</v>
      </c>
      <c r="N2131" s="168"/>
    </row>
    <row r="2132" ht="22.5" hidden="1" customHeight="1">
      <c r="A2132" s="137" t="s">
        <v>603</v>
      </c>
      <c r="B2132" s="90">
        <v>46116.0</v>
      </c>
      <c r="C2132" s="55">
        <v>3.0</v>
      </c>
      <c r="D2132" s="97" t="s">
        <v>602</v>
      </c>
      <c r="E2132" s="201"/>
      <c r="F2132" s="236" t="s">
        <v>603</v>
      </c>
      <c r="G2132" s="194" t="s">
        <v>587</v>
      </c>
      <c r="H2132" s="195" t="s">
        <v>603</v>
      </c>
      <c r="I2132" s="196"/>
      <c r="J2132" s="179">
        <f>IF(A2132="RAPPI",(VLOOKUP(TRIM(D2132), CATALOGO!F:G, 2, FALSE) * C2132)+I2132,IFERROR(IF(COUNTIF('RESTAURANTESDESCUENTOS 2026'!A:A,TRIM(A2132))&gt;0,((VLOOKUP(TRIM(D2132), CATALOGO!A:B, 2, FALSE) * C2132)*(1-VALUE(SUBSTITUTE(VLOOKUP(TRIM(A2132),'RESTAURANTESDESCUENTOS 2026'!A:B,2,FALSE),"%",""))/100)+I2132),(VLOOKUP(TRIM(D2132), CATALOGO!A:B, 2, FALSE) * C2132+I2132)),""))</f>
        <v>66000</v>
      </c>
      <c r="K2132" s="196"/>
      <c r="L2132" s="87">
        <v>901.0</v>
      </c>
      <c r="M2132" s="197" t="s">
        <v>587</v>
      </c>
      <c r="N2132" s="168"/>
    </row>
    <row r="2133" ht="22.5" hidden="1" customHeight="1">
      <c r="A2133" s="137" t="s">
        <v>603</v>
      </c>
      <c r="B2133" s="90">
        <v>46116.0</v>
      </c>
      <c r="C2133" s="55">
        <v>1.0</v>
      </c>
      <c r="D2133" s="97" t="s">
        <v>640</v>
      </c>
      <c r="E2133" s="201"/>
      <c r="F2133" s="236" t="s">
        <v>603</v>
      </c>
      <c r="G2133" s="194" t="s">
        <v>587</v>
      </c>
      <c r="H2133" s="195" t="s">
        <v>603</v>
      </c>
      <c r="I2133" s="196"/>
      <c r="J2133" s="179">
        <f>IF(A2133="RAPPI",(VLOOKUP(TRIM(D2133), CATALOGO!F:G, 2, FALSE) * C2133)+I2133,IFERROR(IF(COUNTIF('RESTAURANTESDESCUENTOS 2026'!A:A,TRIM(A2133))&gt;0,((VLOOKUP(TRIM(D2133), CATALOGO!A:B, 2, FALSE) * C2133)*(1-VALUE(SUBSTITUTE(VLOOKUP(TRIM(A2133),'RESTAURANTESDESCUENTOS 2026'!A:B,2,FALSE),"%",""))/100)+I2133),(VLOOKUP(TRIM(D2133), CATALOGO!A:B, 2, FALSE) * C2133+I2133)),""))</f>
        <v>53000</v>
      </c>
      <c r="K2133" s="196"/>
      <c r="L2133" s="87">
        <v>901.0</v>
      </c>
      <c r="M2133" s="197" t="s">
        <v>587</v>
      </c>
      <c r="N2133" s="168"/>
    </row>
    <row r="2134" ht="22.5" hidden="1" customHeight="1">
      <c r="A2134" s="137" t="s">
        <v>603</v>
      </c>
      <c r="B2134" s="90">
        <v>46116.0</v>
      </c>
      <c r="C2134" s="55">
        <v>1.0</v>
      </c>
      <c r="D2134" s="97" t="s">
        <v>602</v>
      </c>
      <c r="E2134" s="201"/>
      <c r="F2134" s="236" t="s">
        <v>603</v>
      </c>
      <c r="G2134" s="194" t="s">
        <v>587</v>
      </c>
      <c r="H2134" s="195" t="s">
        <v>603</v>
      </c>
      <c r="I2134" s="196"/>
      <c r="J2134" s="179">
        <f>IF(A2134="RAPPI",(VLOOKUP(TRIM(D2134), CATALOGO!F:G, 2, FALSE) * C2134)+I2134,IFERROR(IF(COUNTIF('RESTAURANTESDESCUENTOS 2026'!A:A,TRIM(A2134))&gt;0,((VLOOKUP(TRIM(D2134), CATALOGO!A:B, 2, FALSE) * C2134)*(1-VALUE(SUBSTITUTE(VLOOKUP(TRIM(A2134),'RESTAURANTESDESCUENTOS 2026'!A:B,2,FALSE),"%",""))/100)+I2134),(VLOOKUP(TRIM(D2134), CATALOGO!A:B, 2, FALSE) * C2134+I2134)),""))</f>
        <v>22000</v>
      </c>
      <c r="K2134" s="196"/>
      <c r="L2134" s="87">
        <v>901.0</v>
      </c>
      <c r="M2134" s="197" t="s">
        <v>587</v>
      </c>
      <c r="N2134" s="168"/>
    </row>
    <row r="2135" ht="22.5" hidden="1" customHeight="1">
      <c r="A2135" s="137" t="s">
        <v>1299</v>
      </c>
      <c r="B2135" s="90">
        <v>46118.0</v>
      </c>
      <c r="C2135" s="55">
        <v>3.0</v>
      </c>
      <c r="D2135" s="97" t="s">
        <v>178</v>
      </c>
      <c r="E2135" s="201" t="s">
        <v>1300</v>
      </c>
      <c r="F2135" s="202"/>
      <c r="G2135" s="194" t="s">
        <v>587</v>
      </c>
      <c r="H2135" s="195" t="s">
        <v>632</v>
      </c>
      <c r="I2135" s="196">
        <v>5000.0</v>
      </c>
      <c r="J2135" s="179">
        <f>IF(A2135="RAPPI",(VLOOKUP(TRIM(D2135), CATALOGO!F:G, 2, FALSE) * C2135)+I2135,IFERROR(IF(COUNTIF('RESTAURANTESDESCUENTOS 2026'!A:A,TRIM(A2135))&gt;0,((VLOOKUP(TRIM(D2135), CATALOGO!A:B, 2, FALSE) * C2135)*(1-VALUE(SUBSTITUTE(VLOOKUP(TRIM(A2135),'RESTAURANTESDESCUENTOS 2026'!A:B,2,FALSE),"%",""))/100)+I2135),(VLOOKUP(TRIM(D2135), CATALOGO!A:B, 2, FALSE) * C2135+I2135)),""))</f>
        <v>320000</v>
      </c>
      <c r="K2135" s="196">
        <v>10000.0</v>
      </c>
      <c r="L2135" s="87">
        <v>904.0</v>
      </c>
      <c r="M2135" s="197" t="s">
        <v>587</v>
      </c>
      <c r="N2135" s="168"/>
    </row>
    <row r="2136" ht="22.5" hidden="1" customHeight="1">
      <c r="A2136" s="137" t="s">
        <v>131</v>
      </c>
      <c r="B2136" s="90">
        <v>46118.0</v>
      </c>
      <c r="C2136" s="55">
        <v>1.0</v>
      </c>
      <c r="D2136" s="97" t="s">
        <v>178</v>
      </c>
      <c r="E2136" s="201" t="s">
        <v>1301</v>
      </c>
      <c r="F2136" s="202"/>
      <c r="G2136" s="194" t="s">
        <v>587</v>
      </c>
      <c r="H2136" s="195" t="s">
        <v>632</v>
      </c>
      <c r="I2136" s="196">
        <v>5000.0</v>
      </c>
      <c r="J2136" s="179">
        <f>IF(A2136="RAPPI",(VLOOKUP(TRIM(D2136), CATALOGO!F:G, 2, FALSE) * C2136)+I2136,IFERROR(IF(COUNTIF('RESTAURANTESDESCUENTOS 2026'!A:A,TRIM(A2136))&gt;0,((VLOOKUP(TRIM(D2136), CATALOGO!A:B, 2, FALSE) * C2136)*(1-VALUE(SUBSTITUTE(VLOOKUP(TRIM(A2136),'RESTAURANTESDESCUENTOS 2026'!A:B,2,FALSE),"%",""))/100)+I2136),(VLOOKUP(TRIM(D2136), CATALOGO!A:B, 2, FALSE) * C2136+I2136)),""))</f>
        <v>110000</v>
      </c>
      <c r="K2136" s="196">
        <v>10000.0</v>
      </c>
      <c r="L2136" s="87">
        <v>905.0</v>
      </c>
      <c r="M2136" s="197" t="s">
        <v>587</v>
      </c>
      <c r="N2136" s="168"/>
    </row>
    <row r="2137" ht="22.5" hidden="1" customHeight="1">
      <c r="A2137" s="137" t="s">
        <v>17</v>
      </c>
      <c r="B2137" s="90">
        <v>46118.0</v>
      </c>
      <c r="C2137" s="55">
        <v>1.0</v>
      </c>
      <c r="D2137" s="97" t="s">
        <v>178</v>
      </c>
      <c r="E2137" s="201" t="s">
        <v>14</v>
      </c>
      <c r="F2137" s="202"/>
      <c r="G2137" s="194" t="s">
        <v>587</v>
      </c>
      <c r="H2137" s="195" t="s">
        <v>632</v>
      </c>
      <c r="I2137" s="196">
        <v>10000.0</v>
      </c>
      <c r="J2137" s="179">
        <f>IF(A2137="RAPPI",(VLOOKUP(TRIM(D2137), CATALOGO!F:G, 2, FALSE) * C2137)+I2137,IFERROR(IF(COUNTIF('RESTAURANTESDESCUENTOS 2026'!A:A,TRIM(A2137))&gt;0,((VLOOKUP(TRIM(D2137), CATALOGO!A:B, 2, FALSE) * C2137)*(1-VALUE(SUBSTITUTE(VLOOKUP(TRIM(A2137),'RESTAURANTESDESCUENTOS 2026'!A:B,2,FALSE),"%",""))/100)+I2137),(VLOOKUP(TRIM(D2137), CATALOGO!A:B, 2, FALSE) * C2137+I2137)),""))</f>
        <v>122500</v>
      </c>
      <c r="K2137" s="196">
        <v>10000.0</v>
      </c>
      <c r="L2137" s="87">
        <v>906.0</v>
      </c>
      <c r="M2137" s="197" t="s">
        <v>587</v>
      </c>
      <c r="N2137" s="168"/>
    </row>
    <row r="2138" ht="22.5" hidden="1" customHeight="1">
      <c r="A2138" s="137" t="s">
        <v>96</v>
      </c>
      <c r="B2138" s="90">
        <v>46118.0</v>
      </c>
      <c r="C2138" s="55">
        <v>1.0</v>
      </c>
      <c r="D2138" s="97" t="s">
        <v>178</v>
      </c>
      <c r="E2138" s="201" t="s">
        <v>14</v>
      </c>
      <c r="F2138" s="202"/>
      <c r="G2138" s="194" t="s">
        <v>587</v>
      </c>
      <c r="H2138" s="195" t="s">
        <v>632</v>
      </c>
      <c r="I2138" s="196">
        <v>5000.0</v>
      </c>
      <c r="J2138" s="179">
        <f>IF(A2138="RAPPI",(VLOOKUP(TRIM(D2138), CATALOGO!F:G, 2, FALSE) * C2138)+I2138,IFERROR(IF(COUNTIF('RESTAURANTESDESCUENTOS 2026'!A:A,TRIM(A2138))&gt;0,((VLOOKUP(TRIM(D2138), CATALOGO!A:B, 2, FALSE) * C2138)*(1-VALUE(SUBSTITUTE(VLOOKUP(TRIM(A2138),'RESTAURANTESDESCUENTOS 2026'!A:B,2,FALSE),"%",""))/100)+I2138),(VLOOKUP(TRIM(D2138), CATALOGO!A:B, 2, FALSE) * C2138+I2138)),""))</f>
        <v>110000</v>
      </c>
      <c r="K2138" s="196">
        <v>10000.0</v>
      </c>
      <c r="L2138" s="87">
        <v>907.0</v>
      </c>
      <c r="M2138" s="197" t="s">
        <v>587</v>
      </c>
      <c r="N2138" s="168"/>
    </row>
    <row r="2139" ht="22.5" hidden="1" customHeight="1">
      <c r="A2139" s="137" t="s">
        <v>1302</v>
      </c>
      <c r="B2139" s="90">
        <v>46118.0</v>
      </c>
      <c r="C2139" s="55">
        <v>2.0</v>
      </c>
      <c r="D2139" s="97" t="s">
        <v>640</v>
      </c>
      <c r="E2139" s="201"/>
      <c r="F2139" s="236" t="s">
        <v>1035</v>
      </c>
      <c r="G2139" s="194" t="s">
        <v>587</v>
      </c>
      <c r="H2139" s="195" t="s">
        <v>588</v>
      </c>
      <c r="I2139" s="196">
        <v>12000.0</v>
      </c>
      <c r="J2139" s="179">
        <f>IF(A2139="RAPPI",(VLOOKUP(TRIM(D2139), CATALOGO!F:G, 2, FALSE) * C2139)+I2139,IFERROR(IF(COUNTIF('RESTAURANTESDESCUENTOS 2026'!A:A,TRIM(A2139))&gt;0,((VLOOKUP(TRIM(D2139), CATALOGO!A:B, 2, FALSE) * C2139)*(1-VALUE(SUBSTITUTE(VLOOKUP(TRIM(A2139),'RESTAURANTESDESCUENTOS 2026'!A:B,2,FALSE),"%",""))/100)+I2139),(VLOOKUP(TRIM(D2139), CATALOGO!A:B, 2, FALSE) * C2139+I2139)),""))</f>
        <v>118000</v>
      </c>
      <c r="K2139" s="196">
        <v>9600.0</v>
      </c>
      <c r="L2139" s="87">
        <v>910.0</v>
      </c>
      <c r="M2139" s="197" t="s">
        <v>587</v>
      </c>
      <c r="N2139" s="168"/>
    </row>
    <row r="2140" ht="22.5" hidden="1" customHeight="1">
      <c r="A2140" s="137" t="s">
        <v>1303</v>
      </c>
      <c r="B2140" s="90">
        <v>46118.0</v>
      </c>
      <c r="C2140" s="55">
        <v>1.0</v>
      </c>
      <c r="D2140" s="97" t="s">
        <v>189</v>
      </c>
      <c r="E2140" s="201"/>
      <c r="F2140" s="236" t="s">
        <v>1035</v>
      </c>
      <c r="G2140" s="194" t="s">
        <v>587</v>
      </c>
      <c r="H2140" s="195" t="s">
        <v>588</v>
      </c>
      <c r="I2140" s="196">
        <v>12000.0</v>
      </c>
      <c r="J2140" s="179">
        <f>IF(A2140="RAPPI",(VLOOKUP(TRIM(D2140), CATALOGO!F:G, 2, FALSE) * C2140)+I2140,IFERROR(IF(COUNTIF('RESTAURANTESDESCUENTOS 2026'!A:A,TRIM(A2140))&gt;0,((VLOOKUP(TRIM(D2140), CATALOGO!A:B, 2, FALSE) * C2140)*(1-VALUE(SUBSTITUTE(VLOOKUP(TRIM(A2140),'RESTAURANTESDESCUENTOS 2026'!A:B,2,FALSE),"%",""))/100)+I2140),(VLOOKUP(TRIM(D2140), CATALOGO!A:B, 2, FALSE) * C2140+I2140)),""))</f>
        <v>157000</v>
      </c>
      <c r="K2140" s="196">
        <v>15000.0</v>
      </c>
      <c r="L2140" s="87">
        <v>911.0</v>
      </c>
      <c r="M2140" s="197" t="s">
        <v>587</v>
      </c>
      <c r="N2140" s="168"/>
    </row>
    <row r="2141" ht="22.5" hidden="1" customHeight="1">
      <c r="A2141" s="137" t="s">
        <v>73</v>
      </c>
      <c r="B2141" s="90">
        <v>46118.0</v>
      </c>
      <c r="C2141" s="55">
        <v>1.0</v>
      </c>
      <c r="D2141" s="97" t="s">
        <v>178</v>
      </c>
      <c r="E2141" s="201" t="s">
        <v>1268</v>
      </c>
      <c r="F2141" s="202"/>
      <c r="G2141" s="194" t="s">
        <v>587</v>
      </c>
      <c r="H2141" s="195" t="s">
        <v>632</v>
      </c>
      <c r="I2141" s="196">
        <v>0.0</v>
      </c>
      <c r="J2141" s="179">
        <f>IF(A2141="RAPPI",(VLOOKUP(TRIM(D2141), CATALOGO!F:G, 2, FALSE) * C2141)+I2141,IFERROR(IF(COUNTIF('RESTAURANTESDESCUENTOS 2026'!A:A,TRIM(A2141))&gt;0,((VLOOKUP(TRIM(D2141), CATALOGO!A:B, 2, FALSE) * C2141)*(1-VALUE(SUBSTITUTE(VLOOKUP(TRIM(A2141),'RESTAURANTESDESCUENTOS 2026'!A:B,2,FALSE),"%",""))/100)+I2141),(VLOOKUP(TRIM(D2141), CATALOGO!A:B, 2, FALSE) * C2141+I2141)),""))</f>
        <v>112500</v>
      </c>
      <c r="K2141" s="196">
        <v>10000.0</v>
      </c>
      <c r="L2141" s="87">
        <v>909.0</v>
      </c>
      <c r="M2141" s="197" t="s">
        <v>587</v>
      </c>
      <c r="N2141" s="168"/>
    </row>
    <row r="2142" ht="22.5" hidden="1" customHeight="1">
      <c r="A2142" s="137" t="s">
        <v>128</v>
      </c>
      <c r="B2142" s="90">
        <v>46118.0</v>
      </c>
      <c r="C2142" s="55">
        <v>2.0</v>
      </c>
      <c r="D2142" s="97" t="s">
        <v>178</v>
      </c>
      <c r="E2142" s="201" t="s">
        <v>747</v>
      </c>
      <c r="F2142" s="202"/>
      <c r="G2142" s="194" t="s">
        <v>587</v>
      </c>
      <c r="H2142" s="195" t="s">
        <v>632</v>
      </c>
      <c r="I2142" s="196">
        <v>10000.0</v>
      </c>
      <c r="J2142" s="179">
        <f>IF(A2142="RAPPI",(VLOOKUP(TRIM(D2142), CATALOGO!F:G, 2, FALSE) * C2142)+I2142,IFERROR(IF(COUNTIF('RESTAURANTESDESCUENTOS 2026'!A:A,TRIM(A2142))&gt;0,((VLOOKUP(TRIM(D2142), CATALOGO!A:B, 2, FALSE) * C2142)*(1-VALUE(SUBSTITUTE(VLOOKUP(TRIM(A2142),'RESTAURANTESDESCUENTOS 2026'!A:B,2,FALSE),"%",""))/100)+I2142),(VLOOKUP(TRIM(D2142), CATALOGO!A:B, 2, FALSE) * C2142+I2142)),""))</f>
        <v>220000</v>
      </c>
      <c r="K2142" s="196">
        <v>15000.0</v>
      </c>
      <c r="L2142" s="87">
        <v>908.0</v>
      </c>
      <c r="M2142" s="197" t="s">
        <v>587</v>
      </c>
      <c r="N2142" s="168"/>
    </row>
    <row r="2143" ht="22.5" hidden="1" customHeight="1">
      <c r="A2143" s="137" t="s">
        <v>1234</v>
      </c>
      <c r="B2143" s="90">
        <v>46118.0</v>
      </c>
      <c r="C2143" s="55">
        <v>2.0</v>
      </c>
      <c r="D2143" s="97" t="s">
        <v>174</v>
      </c>
      <c r="E2143" s="201"/>
      <c r="F2143" s="236" t="s">
        <v>1035</v>
      </c>
      <c r="G2143" s="194" t="s">
        <v>587</v>
      </c>
      <c r="H2143" s="195" t="s">
        <v>632</v>
      </c>
      <c r="I2143" s="196">
        <v>12000.0</v>
      </c>
      <c r="J2143" s="179">
        <f>IF(A2143="RAPPI",(VLOOKUP(TRIM(D2143), CATALOGO!F:G, 2, FALSE) * C2143)+I2143,IFERROR(IF(COUNTIF('RESTAURANTESDESCUENTOS 2026'!A:A,TRIM(A2143))&gt;0,((VLOOKUP(TRIM(D2143), CATALOGO!A:B, 2, FALSE) * C2143)*(1-VALUE(SUBSTITUTE(VLOOKUP(TRIM(A2143),'RESTAURANTESDESCUENTOS 2026'!A:B,2,FALSE),"%",""))/100)+I2143),(VLOOKUP(TRIM(D2143), CATALOGO!A:B, 2, FALSE) * C2143+I2143)),""))</f>
        <v>48000</v>
      </c>
      <c r="K2143" s="196">
        <v>12000.0</v>
      </c>
      <c r="L2143" s="87">
        <v>912.0</v>
      </c>
      <c r="M2143" s="197" t="s">
        <v>587</v>
      </c>
      <c r="N2143" s="168"/>
    </row>
    <row r="2144" ht="22.5" hidden="1" customHeight="1">
      <c r="A2144" s="137" t="s">
        <v>603</v>
      </c>
      <c r="B2144" s="90">
        <v>46118.0</v>
      </c>
      <c r="C2144" s="55">
        <v>1.0</v>
      </c>
      <c r="D2144" s="97" t="s">
        <v>181</v>
      </c>
      <c r="E2144" s="201"/>
      <c r="F2144" s="236" t="s">
        <v>603</v>
      </c>
      <c r="G2144" s="194" t="s">
        <v>587</v>
      </c>
      <c r="H2144" s="195" t="s">
        <v>603</v>
      </c>
      <c r="I2144" s="196"/>
      <c r="J2144" s="179">
        <f>IF(A2144="RAPPI",(VLOOKUP(TRIM(D2144), CATALOGO!F:G, 2, FALSE) * C2144)+I2144,IFERROR(IF(COUNTIF('RESTAURANTESDESCUENTOS 2026'!A:A,TRIM(A2144))&gt;0,((VLOOKUP(TRIM(D2144), CATALOGO!A:B, 2, FALSE) * C2144)*(1-VALUE(SUBSTITUTE(VLOOKUP(TRIM(A2144),'RESTAURANTESDESCUENTOS 2026'!A:B,2,FALSE),"%",""))/100)+I2144),(VLOOKUP(TRIM(D2144), CATALOGO!A:B, 2, FALSE) * C2144+I2144)),""))</f>
        <v>174000</v>
      </c>
      <c r="K2144" s="196"/>
      <c r="L2144" s="87">
        <v>913.0</v>
      </c>
      <c r="M2144" s="197" t="s">
        <v>587</v>
      </c>
      <c r="N2144" s="168"/>
    </row>
    <row r="2145" ht="22.5" hidden="1" customHeight="1">
      <c r="A2145" s="137" t="s">
        <v>603</v>
      </c>
      <c r="B2145" s="90">
        <v>46118.0</v>
      </c>
      <c r="C2145" s="55">
        <v>1.0</v>
      </c>
      <c r="D2145" s="97" t="s">
        <v>182</v>
      </c>
      <c r="E2145" s="201" t="s">
        <v>1304</v>
      </c>
      <c r="F2145" s="236" t="s">
        <v>603</v>
      </c>
      <c r="G2145" s="194" t="s">
        <v>587</v>
      </c>
      <c r="H2145" s="195" t="s">
        <v>603</v>
      </c>
      <c r="I2145" s="196"/>
      <c r="J2145" s="179">
        <f>IF(A2145="RAPPI",(VLOOKUP(TRIM(D2145), CATALOGO!F:G, 2, FALSE) * C2145)+I2145,IFERROR(IF(COUNTIF('RESTAURANTESDESCUENTOS 2026'!A:A,TRIM(A2145))&gt;0,((VLOOKUP(TRIM(D2145), CATALOGO!A:B, 2, FALSE) * C2145)*(1-VALUE(SUBSTITUTE(VLOOKUP(TRIM(A2145),'RESTAURANTESDESCUENTOS 2026'!A:B,2,FALSE),"%",""))/100)+I2145),(VLOOKUP(TRIM(D2145), CATALOGO!A:B, 2, FALSE) * C2145+I2145)),""))</f>
        <v>37000</v>
      </c>
      <c r="K2145" s="196"/>
      <c r="L2145" s="87">
        <v>913.0</v>
      </c>
      <c r="M2145" s="197" t="s">
        <v>587</v>
      </c>
      <c r="N2145" s="168"/>
    </row>
    <row r="2146" ht="22.5" hidden="1" customHeight="1">
      <c r="A2146" s="137" t="s">
        <v>1126</v>
      </c>
      <c r="B2146" s="90">
        <v>46118.0</v>
      </c>
      <c r="C2146" s="55">
        <v>1.0</v>
      </c>
      <c r="D2146" s="97" t="s">
        <v>176</v>
      </c>
      <c r="E2146" s="201"/>
      <c r="F2146" s="236" t="s">
        <v>1036</v>
      </c>
      <c r="G2146" s="194" t="s">
        <v>35</v>
      </c>
      <c r="H2146" s="198"/>
      <c r="I2146" s="196"/>
      <c r="J2146" s="179">
        <f>IF(A2146="RAPPI",(VLOOKUP(TRIM(D2146), CATALOGO!F:G, 2, FALSE) * C2146)+I2146,IFERROR(IF(COUNTIF('RESTAURANTESDESCUENTOS 2026'!A:A,TRIM(A2146))&gt;0,((VLOOKUP(TRIM(D2146), CATALOGO!A:B, 2, FALSE) * C2146)*(1-VALUE(SUBSTITUTE(VLOOKUP(TRIM(A2146),'RESTAURANTESDESCUENTOS 2026'!A:B,2,FALSE),"%",""))/100)+I2146),(VLOOKUP(TRIM(D2146), CATALOGO!A:B, 2, FALSE) * C2146+I2146)),""))</f>
        <v>50000</v>
      </c>
      <c r="K2146" s="196"/>
      <c r="L2146" s="87">
        <v>914.0</v>
      </c>
      <c r="M2146" s="197" t="s">
        <v>587</v>
      </c>
      <c r="N2146" s="168"/>
    </row>
    <row r="2147" ht="22.5" hidden="1" customHeight="1">
      <c r="A2147" s="137" t="s">
        <v>1305</v>
      </c>
      <c r="B2147" s="90">
        <v>46119.0</v>
      </c>
      <c r="C2147" s="55">
        <v>1.0</v>
      </c>
      <c r="D2147" s="97" t="s">
        <v>187</v>
      </c>
      <c r="E2147" s="201" t="s">
        <v>1306</v>
      </c>
      <c r="F2147" s="236" t="s">
        <v>1035</v>
      </c>
      <c r="G2147" s="194" t="s">
        <v>587</v>
      </c>
      <c r="H2147" s="195" t="s">
        <v>632</v>
      </c>
      <c r="I2147" s="196">
        <v>12000.0</v>
      </c>
      <c r="J2147" s="179">
        <f>IF(A2147="RAPPI",(VLOOKUP(TRIM(D2147), CATALOGO!F:G, 2, FALSE) * C2147)+I2147,IFERROR(IF(COUNTIF('RESTAURANTESDESCUENTOS 2026'!A:A,TRIM(A2147))&gt;0,((VLOOKUP(TRIM(D2147), CATALOGO!A:B, 2, FALSE) * C2147)*(1-VALUE(SUBSTITUTE(VLOOKUP(TRIM(A2147),'RESTAURANTESDESCUENTOS 2026'!A:B,2,FALSE),"%",""))/100)+I2147),(VLOOKUP(TRIM(D2147), CATALOGO!A:B, 2, FALSE) * C2147+I2147)),""))</f>
        <v>67000</v>
      </c>
      <c r="K2147" s="196">
        <v>13000.0</v>
      </c>
      <c r="L2147" s="87">
        <v>921.0</v>
      </c>
      <c r="M2147" s="197" t="s">
        <v>587</v>
      </c>
      <c r="N2147" s="168"/>
    </row>
    <row r="2148" ht="22.5" hidden="1" customHeight="1">
      <c r="A2148" s="137" t="s">
        <v>88</v>
      </c>
      <c r="B2148" s="90">
        <v>46119.0</v>
      </c>
      <c r="C2148" s="55">
        <v>1.0</v>
      </c>
      <c r="D2148" s="97" t="s">
        <v>177</v>
      </c>
      <c r="E2148" s="201" t="s">
        <v>747</v>
      </c>
      <c r="F2148" s="202"/>
      <c r="G2148" s="194" t="s">
        <v>587</v>
      </c>
      <c r="H2148" s="195" t="s">
        <v>632</v>
      </c>
      <c r="I2148" s="196">
        <v>10000.0</v>
      </c>
      <c r="J2148" s="179">
        <f>IF(A2148="RAPPI",(VLOOKUP(TRIM(D2148), CATALOGO!F:G, 2, FALSE) * C2148)+I2148,IFERROR(IF(COUNTIF('RESTAURANTESDESCUENTOS 2026'!A:A,TRIM(A2148))&gt;0,((VLOOKUP(TRIM(D2148), CATALOGO!A:B, 2, FALSE) * C2148)*(1-VALUE(SUBSTITUTE(VLOOKUP(TRIM(A2148),'RESTAURANTESDESCUENTOS 2026'!A:B,2,FALSE),"%",""))/100)+I2148),(VLOOKUP(TRIM(D2148), CATALOGO!A:B, 2, FALSE) * C2148+I2148)),""))</f>
        <v>96250</v>
      </c>
      <c r="K2148" s="196">
        <v>23000.0</v>
      </c>
      <c r="L2148" s="87">
        <v>916.0</v>
      </c>
      <c r="M2148" s="197" t="s">
        <v>587</v>
      </c>
      <c r="N2148" s="168"/>
    </row>
    <row r="2149" ht="22.5" hidden="1" customHeight="1">
      <c r="A2149" s="137" t="s">
        <v>650</v>
      </c>
      <c r="B2149" s="90">
        <v>46119.0</v>
      </c>
      <c r="C2149" s="55">
        <v>2.0</v>
      </c>
      <c r="D2149" s="97" t="s">
        <v>178</v>
      </c>
      <c r="E2149" s="201" t="s">
        <v>1268</v>
      </c>
      <c r="F2149" s="202"/>
      <c r="G2149" s="194" t="s">
        <v>35</v>
      </c>
      <c r="H2149" s="195" t="s">
        <v>1307</v>
      </c>
      <c r="I2149" s="196">
        <v>0.0</v>
      </c>
      <c r="J2149" s="179">
        <f>IF(A2149="RAPPI",(VLOOKUP(TRIM(D2149), CATALOGO!F:G, 2, FALSE) * C2149)+I2149,IFERROR(IF(COUNTIF('RESTAURANTESDESCUENTOS 2026'!A:A,TRIM(A2149))&gt;0,((VLOOKUP(TRIM(D2149), CATALOGO!A:B, 2, FALSE) * C2149)*(1-VALUE(SUBSTITUTE(VLOOKUP(TRIM(A2149),'RESTAURANTESDESCUENTOS 2026'!A:B,2,FALSE),"%",""))/100)+I2149),(VLOOKUP(TRIM(D2149), CATALOGO!A:B, 2, FALSE) * C2149+I2149)),""))</f>
        <v>225000</v>
      </c>
      <c r="K2149" s="196"/>
      <c r="L2149" s="87">
        <v>917.0</v>
      </c>
      <c r="M2149" s="197" t="s">
        <v>587</v>
      </c>
      <c r="N2149" s="168"/>
    </row>
    <row r="2150" ht="22.5" hidden="1" customHeight="1">
      <c r="A2150" s="137" t="s">
        <v>30</v>
      </c>
      <c r="B2150" s="90">
        <v>46119.0</v>
      </c>
      <c r="C2150" s="55">
        <v>2.0</v>
      </c>
      <c r="D2150" s="97" t="s">
        <v>178</v>
      </c>
      <c r="E2150" s="201"/>
      <c r="F2150" s="202"/>
      <c r="G2150" s="194" t="s">
        <v>587</v>
      </c>
      <c r="H2150" s="195" t="s">
        <v>1307</v>
      </c>
      <c r="I2150" s="196">
        <v>25000.0</v>
      </c>
      <c r="J2150" s="179">
        <f>IF(A2150="RAPPI",(VLOOKUP(TRIM(D2150), CATALOGO!F:G, 2, FALSE) * C2150)+I2150,IFERROR(IF(COUNTIF('RESTAURANTESDESCUENTOS 2026'!A:A,TRIM(A2150))&gt;0,((VLOOKUP(TRIM(D2150), CATALOGO!A:B, 2, FALSE) * C2150)*(1-VALUE(SUBSTITUTE(VLOOKUP(TRIM(A2150),'RESTAURANTESDESCUENTOS 2026'!A:B,2,FALSE),"%",""))/100)+I2150),(VLOOKUP(TRIM(D2150), CATALOGO!A:B, 2, FALSE) * C2150+I2150)),""))</f>
        <v>250000</v>
      </c>
      <c r="K2150" s="196"/>
      <c r="L2150" s="87">
        <v>918.0</v>
      </c>
      <c r="M2150" s="197" t="s">
        <v>587</v>
      </c>
      <c r="N2150" s="168"/>
    </row>
    <row r="2151" ht="22.5" hidden="1" customHeight="1">
      <c r="A2151" s="137" t="s">
        <v>1308</v>
      </c>
      <c r="B2151" s="90">
        <v>46119.0</v>
      </c>
      <c r="C2151" s="55">
        <v>1.0</v>
      </c>
      <c r="D2151" s="97" t="s">
        <v>189</v>
      </c>
      <c r="E2151" s="201"/>
      <c r="F2151" s="236" t="s">
        <v>1035</v>
      </c>
      <c r="G2151" s="194" t="s">
        <v>35</v>
      </c>
      <c r="H2151" s="198"/>
      <c r="I2151" s="196"/>
      <c r="J2151" s="179">
        <f>IF(A2151="RAPPI",(VLOOKUP(TRIM(D2151), CATALOGO!F:G, 2, FALSE) * C2151)+I2151,IFERROR(IF(COUNTIF('RESTAURANTESDESCUENTOS 2026'!A:A,TRIM(A2151))&gt;0,((VLOOKUP(TRIM(D2151), CATALOGO!A:B, 2, FALSE) * C2151)*(1-VALUE(SUBSTITUTE(VLOOKUP(TRIM(A2151),'RESTAURANTESDESCUENTOS 2026'!A:B,2,FALSE),"%",""))/100)+I2151),(VLOOKUP(TRIM(D2151), CATALOGO!A:B, 2, FALSE) * C2151+I2151)),""))</f>
        <v>145000</v>
      </c>
      <c r="K2151" s="196"/>
      <c r="L2151" s="87">
        <v>922.0</v>
      </c>
      <c r="M2151" s="197" t="s">
        <v>587</v>
      </c>
      <c r="N2151" s="168"/>
    </row>
    <row r="2152" ht="22.5" hidden="1" customHeight="1">
      <c r="A2152" s="137" t="s">
        <v>1309</v>
      </c>
      <c r="B2152" s="90">
        <v>46119.0</v>
      </c>
      <c r="C2152" s="55">
        <v>2.0</v>
      </c>
      <c r="D2152" s="97" t="s">
        <v>182</v>
      </c>
      <c r="E2152" s="243" t="s">
        <v>1310</v>
      </c>
      <c r="F2152" s="236" t="s">
        <v>1035</v>
      </c>
      <c r="G2152" s="194" t="s">
        <v>587</v>
      </c>
      <c r="H2152" s="195" t="s">
        <v>632</v>
      </c>
      <c r="I2152" s="196">
        <v>15000.0</v>
      </c>
      <c r="J2152" s="179">
        <f>IF(A2152="RAPPI",(VLOOKUP(TRIM(D2152), CATALOGO!F:G, 2, FALSE) * C2152)+I2152,IFERROR(IF(COUNTIF('RESTAURANTESDESCUENTOS 2026'!A:A,TRIM(A2152))&gt;0,((VLOOKUP(TRIM(D2152), CATALOGO!A:B, 2, FALSE) * C2152)*(1-VALUE(SUBSTITUTE(VLOOKUP(TRIM(A2152),'RESTAURANTESDESCUENTOS 2026'!A:B,2,FALSE),"%",""))/100)+I2152),(VLOOKUP(TRIM(D2152), CATALOGO!A:B, 2, FALSE) * C2152+I2152)),""))</f>
        <v>89000</v>
      </c>
      <c r="K2152" s="196">
        <v>15000.0</v>
      </c>
      <c r="L2152" s="87">
        <v>923.0</v>
      </c>
      <c r="M2152" s="197" t="s">
        <v>587</v>
      </c>
      <c r="N2152" s="168"/>
    </row>
    <row r="2153" ht="22.5" hidden="1" customHeight="1">
      <c r="A2153" s="137" t="s">
        <v>1311</v>
      </c>
      <c r="B2153" s="90">
        <v>46119.0</v>
      </c>
      <c r="C2153" s="55">
        <v>2.0</v>
      </c>
      <c r="D2153" s="97" t="s">
        <v>206</v>
      </c>
      <c r="E2153" s="243"/>
      <c r="F2153" s="236" t="s">
        <v>1035</v>
      </c>
      <c r="G2153" s="194" t="s">
        <v>587</v>
      </c>
      <c r="H2153" s="195" t="s">
        <v>632</v>
      </c>
      <c r="I2153" s="196">
        <v>10000.0</v>
      </c>
      <c r="J2153" s="179">
        <f>IF(A2153="RAPPI",(VLOOKUP(TRIM(D2153), CATALOGO!F:G, 2, FALSE) * C2153)+I2153,IFERROR(IF(COUNTIF('RESTAURANTESDESCUENTOS 2026'!A:A,TRIM(A2153))&gt;0,((VLOOKUP(TRIM(D2153), CATALOGO!A:B, 2, FALSE) * C2153)*(1-VALUE(SUBSTITUTE(VLOOKUP(TRIM(A2153),'RESTAURANTESDESCUENTOS 2026'!A:B,2,FALSE),"%",""))/100)+I2153),(VLOOKUP(TRIM(D2153), CATALOGO!A:B, 2, FALSE) * C2153+I2153)),""))</f>
        <v>54000</v>
      </c>
      <c r="K2153" s="196">
        <v>10000.0</v>
      </c>
      <c r="L2153" s="87">
        <v>924.0</v>
      </c>
      <c r="M2153" s="197" t="s">
        <v>587</v>
      </c>
      <c r="N2153" s="168"/>
    </row>
    <row r="2154" ht="22.5" hidden="1" customHeight="1">
      <c r="A2154" s="137" t="s">
        <v>1311</v>
      </c>
      <c r="B2154" s="90">
        <v>46119.0</v>
      </c>
      <c r="C2154" s="55">
        <v>1.0</v>
      </c>
      <c r="D2154" s="97" t="s">
        <v>207</v>
      </c>
      <c r="E2154" s="243"/>
      <c r="F2154" s="236" t="s">
        <v>1035</v>
      </c>
      <c r="G2154" s="194" t="s">
        <v>587</v>
      </c>
      <c r="H2154" s="195" t="s">
        <v>632</v>
      </c>
      <c r="I2154" s="196">
        <v>0.0</v>
      </c>
      <c r="J2154" s="179">
        <f>IF(A2154="RAPPI",(VLOOKUP(TRIM(D2154), CATALOGO!F:G, 2, FALSE) * C2154)+I2154,IFERROR(IF(COUNTIF('RESTAURANTESDESCUENTOS 2026'!A:A,TRIM(A2154))&gt;0,((VLOOKUP(TRIM(D2154), CATALOGO!A:B, 2, FALSE) * C2154)*(1-VALUE(SUBSTITUTE(VLOOKUP(TRIM(A2154),'RESTAURANTESDESCUENTOS 2026'!A:B,2,FALSE),"%",""))/100)+I2154),(VLOOKUP(TRIM(D2154), CATALOGO!A:B, 2, FALSE) * C2154+I2154)),""))</f>
        <v>22000</v>
      </c>
      <c r="K2154" s="196"/>
      <c r="L2154" s="87">
        <v>924.0</v>
      </c>
      <c r="M2154" s="197" t="s">
        <v>587</v>
      </c>
      <c r="N2154" s="168"/>
    </row>
    <row r="2155" ht="22.5" hidden="1" customHeight="1">
      <c r="A2155" s="137" t="s">
        <v>1311</v>
      </c>
      <c r="B2155" s="90">
        <v>46119.0</v>
      </c>
      <c r="C2155" s="55">
        <v>2.0</v>
      </c>
      <c r="D2155" s="97" t="s">
        <v>208</v>
      </c>
      <c r="E2155" s="243"/>
      <c r="F2155" s="236" t="s">
        <v>1035</v>
      </c>
      <c r="G2155" s="194" t="s">
        <v>587</v>
      </c>
      <c r="H2155" s="195" t="s">
        <v>632</v>
      </c>
      <c r="I2155" s="196">
        <v>0.0</v>
      </c>
      <c r="J2155" s="179">
        <f>IF(A2155="RAPPI",(VLOOKUP(TRIM(D2155), CATALOGO!F:G, 2, FALSE) * C2155)+I2155,IFERROR(IF(COUNTIF('RESTAURANTESDESCUENTOS 2026'!A:A,TRIM(A2155))&gt;0,((VLOOKUP(TRIM(D2155), CATALOGO!A:B, 2, FALSE) * C2155)*(1-VALUE(SUBSTITUTE(VLOOKUP(TRIM(A2155),'RESTAURANTESDESCUENTOS 2026'!A:B,2,FALSE),"%",""))/100)+I2155),(VLOOKUP(TRIM(D2155), CATALOGO!A:B, 2, FALSE) * C2155+I2155)),""))</f>
        <v>44000</v>
      </c>
      <c r="K2155" s="196"/>
      <c r="L2155" s="87">
        <v>924.0</v>
      </c>
      <c r="M2155" s="197" t="s">
        <v>587</v>
      </c>
      <c r="N2155" s="168"/>
    </row>
    <row r="2156" ht="22.5" hidden="1" customHeight="1">
      <c r="A2156" s="137" t="s">
        <v>1312</v>
      </c>
      <c r="B2156" s="90">
        <v>46119.0</v>
      </c>
      <c r="C2156" s="55">
        <v>1.0</v>
      </c>
      <c r="D2156" s="97" t="s">
        <v>206</v>
      </c>
      <c r="E2156" s="243"/>
      <c r="F2156" s="236" t="s">
        <v>1035</v>
      </c>
      <c r="G2156" s="194" t="s">
        <v>587</v>
      </c>
      <c r="H2156" s="195" t="s">
        <v>632</v>
      </c>
      <c r="I2156" s="196">
        <v>10000.0</v>
      </c>
      <c r="J2156" s="179">
        <f>IF(A2156="RAPPI",(VLOOKUP(TRIM(D2156), CATALOGO!F:G, 2, FALSE) * C2156)+I2156,IFERROR(IF(COUNTIF('RESTAURANTESDESCUENTOS 2026'!A:A,TRIM(A2156))&gt;0,((VLOOKUP(TRIM(D2156), CATALOGO!A:B, 2, FALSE) * C2156)*(1-VALUE(SUBSTITUTE(VLOOKUP(TRIM(A2156),'RESTAURANTESDESCUENTOS 2026'!A:B,2,FALSE),"%",""))/100)+I2156),(VLOOKUP(TRIM(D2156), CATALOGO!A:B, 2, FALSE) * C2156+I2156)),""))</f>
        <v>32000</v>
      </c>
      <c r="K2156" s="196">
        <v>10000.0</v>
      </c>
      <c r="L2156" s="87">
        <v>925.0</v>
      </c>
      <c r="M2156" s="197" t="s">
        <v>587</v>
      </c>
      <c r="N2156" s="168"/>
    </row>
    <row r="2157" ht="22.5" hidden="1" customHeight="1">
      <c r="A2157" s="137" t="s">
        <v>1312</v>
      </c>
      <c r="B2157" s="90">
        <v>46119.0</v>
      </c>
      <c r="C2157" s="55">
        <v>1.0</v>
      </c>
      <c r="D2157" s="97" t="s">
        <v>207</v>
      </c>
      <c r="E2157" s="243"/>
      <c r="F2157" s="236" t="s">
        <v>1035</v>
      </c>
      <c r="G2157" s="194" t="s">
        <v>587</v>
      </c>
      <c r="H2157" s="195" t="s">
        <v>632</v>
      </c>
      <c r="I2157" s="196">
        <v>0.0</v>
      </c>
      <c r="J2157" s="179">
        <f>IF(A2157="RAPPI",(VLOOKUP(TRIM(D2157), CATALOGO!F:G, 2, FALSE) * C2157)+I2157,IFERROR(IF(COUNTIF('RESTAURANTESDESCUENTOS 2026'!A:A,TRIM(A2157))&gt;0,((VLOOKUP(TRIM(D2157), CATALOGO!A:B, 2, FALSE) * C2157)*(1-VALUE(SUBSTITUTE(VLOOKUP(TRIM(A2157),'RESTAURANTESDESCUENTOS 2026'!A:B,2,FALSE),"%",""))/100)+I2157),(VLOOKUP(TRIM(D2157), CATALOGO!A:B, 2, FALSE) * C2157+I2157)),""))</f>
        <v>22000</v>
      </c>
      <c r="K2157" s="196">
        <v>0.0</v>
      </c>
      <c r="L2157" s="87">
        <v>925.0</v>
      </c>
      <c r="M2157" s="197" t="s">
        <v>587</v>
      </c>
      <c r="N2157" s="168"/>
    </row>
    <row r="2158" ht="22.5" hidden="1" customHeight="1">
      <c r="A2158" s="137" t="s">
        <v>1312</v>
      </c>
      <c r="B2158" s="90">
        <v>46119.0</v>
      </c>
      <c r="C2158" s="55">
        <v>1.0</v>
      </c>
      <c r="D2158" s="97" t="s">
        <v>189</v>
      </c>
      <c r="E2158" s="243"/>
      <c r="F2158" s="236" t="s">
        <v>1035</v>
      </c>
      <c r="G2158" s="194" t="s">
        <v>587</v>
      </c>
      <c r="H2158" s="195" t="s">
        <v>632</v>
      </c>
      <c r="I2158" s="196">
        <v>0.0</v>
      </c>
      <c r="J2158" s="179">
        <f>IF(A2158="RAPPI",(VLOOKUP(TRIM(D2158), CATALOGO!F:G, 2, FALSE) * C2158)+I2158,IFERROR(IF(COUNTIF('RESTAURANTESDESCUENTOS 2026'!A:A,TRIM(A2158))&gt;0,((VLOOKUP(TRIM(D2158), CATALOGO!A:B, 2, FALSE) * C2158)*(1-VALUE(SUBSTITUTE(VLOOKUP(TRIM(A2158),'RESTAURANTESDESCUENTOS 2026'!A:B,2,FALSE),"%",""))/100)+I2158),(VLOOKUP(TRIM(D2158), CATALOGO!A:B, 2, FALSE) * C2158+I2158)),""))</f>
        <v>145000</v>
      </c>
      <c r="K2158" s="196">
        <v>0.0</v>
      </c>
      <c r="L2158" s="87">
        <v>925.0</v>
      </c>
      <c r="M2158" s="197" t="s">
        <v>587</v>
      </c>
      <c r="N2158" s="168"/>
    </row>
    <row r="2159" ht="22.5" hidden="1" customHeight="1">
      <c r="A2159" s="137" t="s">
        <v>597</v>
      </c>
      <c r="B2159" s="90">
        <v>46119.0</v>
      </c>
      <c r="C2159" s="55">
        <v>5.0</v>
      </c>
      <c r="D2159" s="97" t="s">
        <v>178</v>
      </c>
      <c r="E2159" s="243" t="s">
        <v>1268</v>
      </c>
      <c r="F2159" s="202"/>
      <c r="G2159" s="194"/>
      <c r="H2159" s="198"/>
      <c r="I2159" s="196"/>
      <c r="J2159" s="199">
        <v>0.0</v>
      </c>
      <c r="K2159" s="196"/>
      <c r="L2159" s="87"/>
      <c r="M2159" s="197" t="s">
        <v>587</v>
      </c>
      <c r="N2159" s="246" t="s">
        <v>587</v>
      </c>
    </row>
    <row r="2160" ht="22.5" hidden="1" customHeight="1">
      <c r="A2160" s="137" t="s">
        <v>597</v>
      </c>
      <c r="B2160" s="90">
        <v>46119.0</v>
      </c>
      <c r="C2160" s="55">
        <v>5.0</v>
      </c>
      <c r="D2160" s="97" t="s">
        <v>177</v>
      </c>
      <c r="E2160" s="243"/>
      <c r="F2160" s="202"/>
      <c r="G2160" s="194"/>
      <c r="H2160" s="198"/>
      <c r="I2160" s="196"/>
      <c r="J2160" s="199">
        <v>0.0</v>
      </c>
      <c r="K2160" s="196"/>
      <c r="L2160" s="87"/>
      <c r="M2160" s="197" t="s">
        <v>587</v>
      </c>
      <c r="N2160" s="246" t="s">
        <v>587</v>
      </c>
    </row>
    <row r="2161" ht="22.5" hidden="1" customHeight="1">
      <c r="A2161" s="137" t="s">
        <v>597</v>
      </c>
      <c r="B2161" s="90">
        <v>46119.0</v>
      </c>
      <c r="C2161" s="55">
        <v>6.0</v>
      </c>
      <c r="D2161" s="97" t="s">
        <v>176</v>
      </c>
      <c r="E2161" s="243"/>
      <c r="F2161" s="202"/>
      <c r="G2161" s="194"/>
      <c r="H2161" s="198"/>
      <c r="I2161" s="196"/>
      <c r="J2161" s="199">
        <v>0.0</v>
      </c>
      <c r="K2161" s="196"/>
      <c r="L2161" s="87"/>
      <c r="M2161" s="197" t="s">
        <v>587</v>
      </c>
      <c r="N2161" s="246" t="s">
        <v>587</v>
      </c>
    </row>
    <row r="2162" ht="22.5" hidden="1" customHeight="1">
      <c r="A2162" s="137" t="s">
        <v>1313</v>
      </c>
      <c r="B2162" s="90">
        <v>46119.0</v>
      </c>
      <c r="C2162" s="55">
        <v>1.0</v>
      </c>
      <c r="D2162" s="97" t="s">
        <v>653</v>
      </c>
      <c r="E2162" s="243"/>
      <c r="F2162" s="236" t="s">
        <v>1035</v>
      </c>
      <c r="G2162" s="194" t="s">
        <v>587</v>
      </c>
      <c r="H2162" s="195" t="s">
        <v>632</v>
      </c>
      <c r="I2162" s="196">
        <v>13000.0</v>
      </c>
      <c r="J2162" s="179">
        <f>IF(A2162="RAPPI",(VLOOKUP(TRIM(D2162), CATALOGO!F:G, 2, FALSE) * C2162)+I2162,IFERROR(IF(COUNTIF('RESTAURANTESDESCUENTOS 2026'!A:A,TRIM(A2162))&gt;0,((VLOOKUP(TRIM(D2162), CATALOGO!A:B, 2, FALSE) * C2162)*(1-VALUE(SUBSTITUTE(VLOOKUP(TRIM(A2162),'RESTAURANTESDESCUENTOS 2026'!A:B,2,FALSE),"%",""))/100)+I2162),(VLOOKUP(TRIM(D2162), CATALOGO!A:B, 2, FALSE) * C2162+I2162)),""))</f>
        <v>136000</v>
      </c>
      <c r="K2162" s="196">
        <v>13000.0</v>
      </c>
      <c r="L2162" s="87">
        <v>926.0</v>
      </c>
      <c r="M2162" s="197" t="s">
        <v>587</v>
      </c>
      <c r="N2162" s="168"/>
    </row>
    <row r="2163" ht="22.5" hidden="1" customHeight="1">
      <c r="A2163" s="137" t="s">
        <v>1314</v>
      </c>
      <c r="B2163" s="90">
        <v>46119.0</v>
      </c>
      <c r="C2163" s="55">
        <v>1.0</v>
      </c>
      <c r="D2163" s="97" t="s">
        <v>208</v>
      </c>
      <c r="E2163" s="243"/>
      <c r="F2163" s="236" t="s">
        <v>1035</v>
      </c>
      <c r="G2163" s="194" t="s">
        <v>587</v>
      </c>
      <c r="H2163" s="195" t="s">
        <v>588</v>
      </c>
      <c r="I2163" s="196">
        <v>12000.0</v>
      </c>
      <c r="J2163" s="179">
        <f>IF(A2163="RAPPI",(VLOOKUP(TRIM(D2163), CATALOGO!F:G, 2, FALSE) * C2163)+I2163,IFERROR(IF(COUNTIF('RESTAURANTESDESCUENTOS 2026'!A:A,TRIM(A2163))&gt;0,((VLOOKUP(TRIM(D2163), CATALOGO!A:B, 2, FALSE) * C2163)*(1-VALUE(SUBSTITUTE(VLOOKUP(TRIM(A2163),'RESTAURANTESDESCUENTOS 2026'!A:B,2,FALSE),"%",""))/100)+I2163),(VLOOKUP(TRIM(D2163), CATALOGO!A:B, 2, FALSE) * C2163+I2163)),""))</f>
        <v>34000</v>
      </c>
      <c r="K2163" s="196">
        <v>13700.0</v>
      </c>
      <c r="L2163" s="87">
        <v>927.0</v>
      </c>
      <c r="M2163" s="197" t="s">
        <v>587</v>
      </c>
      <c r="N2163" s="168"/>
    </row>
    <row r="2164" ht="22.5" hidden="1" customHeight="1">
      <c r="A2164" s="137" t="s">
        <v>1314</v>
      </c>
      <c r="B2164" s="90">
        <v>46119.0</v>
      </c>
      <c r="C2164" s="55">
        <v>1.0</v>
      </c>
      <c r="D2164" s="97" t="s">
        <v>206</v>
      </c>
      <c r="E2164" s="243"/>
      <c r="F2164" s="236" t="s">
        <v>1035</v>
      </c>
      <c r="G2164" s="194" t="s">
        <v>587</v>
      </c>
      <c r="H2164" s="195" t="s">
        <v>588</v>
      </c>
      <c r="I2164" s="196">
        <v>0.0</v>
      </c>
      <c r="J2164" s="179">
        <f>IF(A2164="RAPPI",(VLOOKUP(TRIM(D2164), CATALOGO!F:G, 2, FALSE) * C2164)+I2164,IFERROR(IF(COUNTIF('RESTAURANTESDESCUENTOS 2026'!A:A,TRIM(A2164))&gt;0,((VLOOKUP(TRIM(D2164), CATALOGO!A:B, 2, FALSE) * C2164)*(1-VALUE(SUBSTITUTE(VLOOKUP(TRIM(A2164),'RESTAURANTESDESCUENTOS 2026'!A:B,2,FALSE),"%",""))/100)+I2164),(VLOOKUP(TRIM(D2164), CATALOGO!A:B, 2, FALSE) * C2164+I2164)),""))</f>
        <v>22000</v>
      </c>
      <c r="K2164" s="196"/>
      <c r="L2164" s="87">
        <v>927.0</v>
      </c>
      <c r="M2164" s="197" t="s">
        <v>587</v>
      </c>
      <c r="N2164" s="168"/>
    </row>
    <row r="2165" ht="22.5" hidden="1" customHeight="1">
      <c r="A2165" s="137" t="s">
        <v>1262</v>
      </c>
      <c r="B2165" s="90">
        <v>46119.0</v>
      </c>
      <c r="C2165" s="55">
        <v>1.0</v>
      </c>
      <c r="D2165" s="97" t="s">
        <v>824</v>
      </c>
      <c r="E2165" s="243"/>
      <c r="F2165" s="236" t="s">
        <v>1035</v>
      </c>
      <c r="G2165" s="194" t="s">
        <v>587</v>
      </c>
      <c r="H2165" s="195" t="s">
        <v>588</v>
      </c>
      <c r="I2165" s="196"/>
      <c r="J2165" s="179">
        <f>IF(A2165="RAPPI",(VLOOKUP(TRIM(D2165), CATALOGO!F:G, 2, FALSE) * C2165)+I2165,IFERROR(IF(COUNTIF('RESTAURANTESDESCUENTOS 2026'!A:A,TRIM(A2165))&gt;0,((VLOOKUP(TRIM(D2165), CATALOGO!A:B, 2, FALSE) * C2165)*(1-VALUE(SUBSTITUTE(VLOOKUP(TRIM(A2165),'RESTAURANTESDESCUENTOS 2026'!A:B,2,FALSE),"%",""))/100)+I2165),(VLOOKUP(TRIM(D2165), CATALOGO!A:B, 2, FALSE) * C2165+I2165)),""))</f>
        <v>123000</v>
      </c>
      <c r="K2165" s="196"/>
      <c r="L2165" s="87">
        <v>928.0</v>
      </c>
      <c r="M2165" s="197" t="s">
        <v>587</v>
      </c>
      <c r="N2165" s="168"/>
    </row>
    <row r="2166" ht="22.5" hidden="1" customHeight="1">
      <c r="A2166" s="137" t="s">
        <v>1262</v>
      </c>
      <c r="B2166" s="90">
        <v>46119.0</v>
      </c>
      <c r="C2166" s="55">
        <v>1.0</v>
      </c>
      <c r="D2166" s="97" t="s">
        <v>186</v>
      </c>
      <c r="E2166" s="243"/>
      <c r="F2166" s="236" t="s">
        <v>1035</v>
      </c>
      <c r="G2166" s="194" t="s">
        <v>587</v>
      </c>
      <c r="H2166" s="195" t="s">
        <v>588</v>
      </c>
      <c r="I2166" s="196">
        <v>13000.0</v>
      </c>
      <c r="J2166" s="179">
        <f>IF(A2166="RAPPI",(VLOOKUP(TRIM(D2166), CATALOGO!F:G, 2, FALSE) * C2166)+I2166,IFERROR(IF(COUNTIF('RESTAURANTESDESCUENTOS 2026'!A:A,TRIM(A2166))&gt;0,((VLOOKUP(TRIM(D2166), CATALOGO!A:B, 2, FALSE) * C2166)*(1-VALUE(SUBSTITUTE(VLOOKUP(TRIM(A2166),'RESTAURANTESDESCUENTOS 2026'!A:B,2,FALSE),"%",""))/100)+I2166),(VLOOKUP(TRIM(D2166), CATALOGO!A:B, 2, FALSE) * C2166+I2166)),""))</f>
        <v>68000</v>
      </c>
      <c r="K2166" s="196">
        <v>14600.0</v>
      </c>
      <c r="L2166" s="87">
        <v>928.0</v>
      </c>
      <c r="M2166" s="197" t="s">
        <v>587</v>
      </c>
      <c r="N2166" s="168"/>
    </row>
    <row r="2167" ht="22.5" hidden="1" customHeight="1">
      <c r="A2167" s="137" t="s">
        <v>603</v>
      </c>
      <c r="B2167" s="90">
        <v>46119.0</v>
      </c>
      <c r="C2167" s="55">
        <v>1.0</v>
      </c>
      <c r="D2167" s="97" t="s">
        <v>176</v>
      </c>
      <c r="E2167" s="248"/>
      <c r="F2167" s="236" t="s">
        <v>603</v>
      </c>
      <c r="G2167" s="194" t="s">
        <v>587</v>
      </c>
      <c r="H2167" s="195" t="s">
        <v>603</v>
      </c>
      <c r="I2167" s="196"/>
      <c r="J2167" s="179">
        <f>IF(A2167="RAPPI",(VLOOKUP(TRIM(D2167), CATALOGO!F:G, 2, FALSE) * C2167)+I2167,IFERROR(IF(COUNTIF('RESTAURANTESDESCUENTOS 2026'!A:A,TRIM(A2167))&gt;0,((VLOOKUP(TRIM(D2167), CATALOGO!A:B, 2, FALSE) * C2167)*(1-VALUE(SUBSTITUTE(VLOOKUP(TRIM(A2167),'RESTAURANTESDESCUENTOS 2026'!A:B,2,FALSE),"%",""))/100)+I2167),(VLOOKUP(TRIM(D2167), CATALOGO!A:B, 2, FALSE) * C2167+I2167)),""))</f>
        <v>50000</v>
      </c>
      <c r="K2167" s="196"/>
      <c r="L2167" s="87">
        <v>919.0</v>
      </c>
      <c r="M2167" s="197" t="s">
        <v>587</v>
      </c>
      <c r="N2167" s="168"/>
    </row>
    <row r="2168" ht="22.5" hidden="1" customHeight="1">
      <c r="A2168" s="137" t="s">
        <v>603</v>
      </c>
      <c r="B2168" s="90">
        <v>46119.0</v>
      </c>
      <c r="C2168" s="55">
        <v>1.0</v>
      </c>
      <c r="D2168" s="97" t="s">
        <v>176</v>
      </c>
      <c r="E2168" s="248"/>
      <c r="F2168" s="236" t="s">
        <v>603</v>
      </c>
      <c r="G2168" s="194" t="s">
        <v>587</v>
      </c>
      <c r="H2168" s="195" t="s">
        <v>603</v>
      </c>
      <c r="I2168" s="196"/>
      <c r="J2168" s="179">
        <f>IF(A2168="RAPPI",(VLOOKUP(TRIM(D2168), CATALOGO!F:G, 2, FALSE) * C2168)+I2168,IFERROR(IF(COUNTIF('RESTAURANTESDESCUENTOS 2026'!A:A,TRIM(A2168))&gt;0,((VLOOKUP(TRIM(D2168), CATALOGO!A:B, 2, FALSE) * C2168)*(1-VALUE(SUBSTITUTE(VLOOKUP(TRIM(A2168),'RESTAURANTESDESCUENTOS 2026'!A:B,2,FALSE),"%",""))/100)+I2168),(VLOOKUP(TRIM(D2168), CATALOGO!A:B, 2, FALSE) * C2168+I2168)),""))</f>
        <v>50000</v>
      </c>
      <c r="K2168" s="196"/>
      <c r="L2168" s="87">
        <v>919.0</v>
      </c>
      <c r="M2168" s="197" t="s">
        <v>587</v>
      </c>
      <c r="N2168" s="168"/>
    </row>
    <row r="2169" ht="22.5" hidden="1" customHeight="1">
      <c r="A2169" s="137" t="s">
        <v>603</v>
      </c>
      <c r="B2169" s="90">
        <v>46119.0</v>
      </c>
      <c r="C2169" s="55">
        <v>1.0</v>
      </c>
      <c r="D2169" s="97" t="s">
        <v>182</v>
      </c>
      <c r="E2169" s="248" t="s">
        <v>1315</v>
      </c>
      <c r="F2169" s="236" t="s">
        <v>603</v>
      </c>
      <c r="G2169" s="194" t="s">
        <v>587</v>
      </c>
      <c r="H2169" s="195" t="s">
        <v>603</v>
      </c>
      <c r="I2169" s="196"/>
      <c r="J2169" s="179">
        <f>IF(A2169="RAPPI",(VLOOKUP(TRIM(D2169), CATALOGO!F:G, 2, FALSE) * C2169)+I2169,IFERROR(IF(COUNTIF('RESTAURANTESDESCUENTOS 2026'!A:A,TRIM(A2169))&gt;0,((VLOOKUP(TRIM(D2169), CATALOGO!A:B, 2, FALSE) * C2169)*(1-VALUE(SUBSTITUTE(VLOOKUP(TRIM(A2169),'RESTAURANTESDESCUENTOS 2026'!A:B,2,FALSE),"%",""))/100)+I2169),(VLOOKUP(TRIM(D2169), CATALOGO!A:B, 2, FALSE) * C2169+I2169)),""))</f>
        <v>37000</v>
      </c>
      <c r="K2169" s="196"/>
      <c r="L2169" s="87">
        <v>919.0</v>
      </c>
      <c r="M2169" s="197" t="s">
        <v>587</v>
      </c>
      <c r="N2169" s="168"/>
    </row>
    <row r="2170" ht="22.5" hidden="1" customHeight="1">
      <c r="A2170" s="137" t="s">
        <v>1069</v>
      </c>
      <c r="B2170" s="90">
        <v>46119.0</v>
      </c>
      <c r="C2170" s="55">
        <v>1.0</v>
      </c>
      <c r="D2170" s="97" t="s">
        <v>174</v>
      </c>
      <c r="E2170" s="248"/>
      <c r="F2170" s="236" t="s">
        <v>1036</v>
      </c>
      <c r="G2170" s="194" t="s">
        <v>35</v>
      </c>
      <c r="H2170" s="198"/>
      <c r="I2170" s="196"/>
      <c r="J2170" s="179">
        <f>IF(A2170="RAPPI",(VLOOKUP(TRIM(D2170), CATALOGO!F:G, 2, FALSE) * C2170)+I2170,IFERROR(IF(COUNTIF('RESTAURANTESDESCUENTOS 2026'!A:A,TRIM(A2170))&gt;0,((VLOOKUP(TRIM(D2170), CATALOGO!A:B, 2, FALSE) * C2170)*(1-VALUE(SUBSTITUTE(VLOOKUP(TRIM(A2170),'RESTAURANTESDESCUENTOS 2026'!A:B,2,FALSE),"%",""))/100)+I2170),(VLOOKUP(TRIM(D2170), CATALOGO!A:B, 2, FALSE) * C2170+I2170)),""))</f>
        <v>18000</v>
      </c>
      <c r="K2170" s="196"/>
      <c r="L2170" s="87">
        <v>920.0</v>
      </c>
      <c r="M2170" s="197" t="s">
        <v>587</v>
      </c>
      <c r="N2170" s="168"/>
    </row>
    <row r="2171" ht="22.5" hidden="1" customHeight="1">
      <c r="A2171" s="137" t="s">
        <v>1069</v>
      </c>
      <c r="B2171" s="90">
        <v>46119.0</v>
      </c>
      <c r="C2171" s="55">
        <v>3.0</v>
      </c>
      <c r="D2171" s="97" t="s">
        <v>174</v>
      </c>
      <c r="E2171" s="248"/>
      <c r="F2171" s="236" t="s">
        <v>1036</v>
      </c>
      <c r="G2171" s="194" t="s">
        <v>35</v>
      </c>
      <c r="H2171" s="198"/>
      <c r="I2171" s="196"/>
      <c r="J2171" s="179">
        <f>IF(A2171="RAPPI",(VLOOKUP(TRIM(D2171), CATALOGO!F:G, 2, FALSE) * C2171)+I2171,IFERROR(IF(COUNTIF('RESTAURANTESDESCUENTOS 2026'!A:A,TRIM(A2171))&gt;0,((VLOOKUP(TRIM(D2171), CATALOGO!A:B, 2, FALSE) * C2171)*(1-VALUE(SUBSTITUTE(VLOOKUP(TRIM(A2171),'RESTAURANTESDESCUENTOS 2026'!A:B,2,FALSE),"%",""))/100)+I2171),(VLOOKUP(TRIM(D2171), CATALOGO!A:B, 2, FALSE) * C2171+I2171)),""))</f>
        <v>54000</v>
      </c>
      <c r="K2171" s="196"/>
      <c r="L2171" s="87"/>
      <c r="M2171" s="197" t="s">
        <v>587</v>
      </c>
      <c r="N2171" s="168"/>
    </row>
    <row r="2172" ht="22.5" hidden="1" customHeight="1">
      <c r="A2172" s="137" t="s">
        <v>1316</v>
      </c>
      <c r="B2172" s="90">
        <v>46119.0</v>
      </c>
      <c r="C2172" s="55"/>
      <c r="D2172" s="193"/>
      <c r="E2172" s="201"/>
      <c r="F2172" s="202"/>
      <c r="G2172" s="194" t="s">
        <v>587</v>
      </c>
      <c r="H2172" s="195" t="s">
        <v>632</v>
      </c>
      <c r="I2172" s="253"/>
      <c r="J2172" s="179" t="str">
        <f>IF(A2172="RAPPI",(VLOOKUP(TRIM(D2172), CATALOGO!F:G, 2, FALSE) * C2172)+I2172,IFERROR(IF(COUNTIF('RESTAURANTESDESCUENTOS 2026'!A:A,TRIM(A2172))&gt;0,((VLOOKUP(TRIM(D2172), CATALOGO!A:B, 2, FALSE) * C2172)*(1-VALUE(SUBSTITUTE(VLOOKUP(TRIM(A2172),'RESTAURANTESDESCUENTOS 2026'!A:B,2,FALSE),"%",""))/100)+I2172),(VLOOKUP(TRIM(D2172), CATALOGO!A:B, 2, FALSE) * C2172+I2172)),""))</f>
        <v/>
      </c>
      <c r="K2172" s="196">
        <v>12500.0</v>
      </c>
      <c r="L2172" s="87"/>
      <c r="M2172" s="197" t="s">
        <v>587</v>
      </c>
      <c r="N2172" s="252"/>
    </row>
    <row r="2173" ht="22.5" hidden="1" customHeight="1">
      <c r="A2173" s="137" t="s">
        <v>1316</v>
      </c>
      <c r="B2173" s="90">
        <v>46119.0</v>
      </c>
      <c r="C2173" s="55"/>
      <c r="D2173" s="193"/>
      <c r="E2173" s="201"/>
      <c r="F2173" s="202"/>
      <c r="G2173" s="194" t="s">
        <v>587</v>
      </c>
      <c r="H2173" s="195" t="s">
        <v>588</v>
      </c>
      <c r="I2173" s="196">
        <v>0.0</v>
      </c>
      <c r="J2173" s="179" t="str">
        <f>IF(A2173="RAPPI",(VLOOKUP(TRIM(D2173), CATALOGO!F:G, 2, FALSE) * C2173)+I2173,IFERROR(IF(COUNTIF('RESTAURANTESDESCUENTOS 2026'!A:A,TRIM(A2173))&gt;0,((VLOOKUP(TRIM(D2173), CATALOGO!A:B, 2, FALSE) * C2173)*(1-VALUE(SUBSTITUTE(VLOOKUP(TRIM(A2173),'RESTAURANTESDESCUENTOS 2026'!A:B,2,FALSE),"%",""))/100)+I2173),(VLOOKUP(TRIM(D2173), CATALOGO!A:B, 2, FALSE) * C2173+I2173)),""))</f>
        <v/>
      </c>
      <c r="K2173" s="196">
        <v>7000.0</v>
      </c>
      <c r="L2173" s="87"/>
      <c r="M2173" s="197" t="s">
        <v>587</v>
      </c>
      <c r="N2173" s="252"/>
    </row>
    <row r="2174" ht="22.5" hidden="1" customHeight="1">
      <c r="A2174" s="137" t="s">
        <v>709</v>
      </c>
      <c r="B2174" s="90">
        <v>46120.0</v>
      </c>
      <c r="C2174" s="55">
        <v>1.0</v>
      </c>
      <c r="D2174" s="97" t="s">
        <v>617</v>
      </c>
      <c r="E2174" s="248" t="s">
        <v>1317</v>
      </c>
      <c r="F2174" s="236" t="s">
        <v>1035</v>
      </c>
      <c r="G2174" s="194" t="s">
        <v>587</v>
      </c>
      <c r="H2174" s="195" t="s">
        <v>588</v>
      </c>
      <c r="I2174" s="196">
        <v>16000.0</v>
      </c>
      <c r="J2174" s="179">
        <f>IF(A2174="RAPPI",(VLOOKUP(TRIM(D2174), CATALOGO!F:G, 2, FALSE) * C2174)+I2174,IFERROR(IF(COUNTIF('RESTAURANTESDESCUENTOS 2026'!A:A,TRIM(A2174))&gt;0,((VLOOKUP(TRIM(D2174), CATALOGO!A:B, 2, FALSE) * C2174)*(1-VALUE(SUBSTITUTE(VLOOKUP(TRIM(A2174),'RESTAURANTESDESCUENTOS 2026'!A:B,2,FALSE),"%",""))/100)+I2174),(VLOOKUP(TRIM(D2174), CATALOGO!A:B, 2, FALSE) * C2174+I2174)),""))</f>
        <v>139000</v>
      </c>
      <c r="K2174" s="196">
        <v>16400.0</v>
      </c>
      <c r="L2174" s="87">
        <v>930.0</v>
      </c>
      <c r="M2174" s="197" t="s">
        <v>587</v>
      </c>
      <c r="N2174" s="168"/>
    </row>
    <row r="2175" ht="22.5" hidden="1" customHeight="1">
      <c r="A2175" s="137" t="s">
        <v>709</v>
      </c>
      <c r="B2175" s="90">
        <v>46120.0</v>
      </c>
      <c r="C2175" s="55">
        <v>1.0</v>
      </c>
      <c r="D2175" s="97" t="s">
        <v>984</v>
      </c>
      <c r="E2175" s="248" t="s">
        <v>1317</v>
      </c>
      <c r="F2175" s="236" t="s">
        <v>1035</v>
      </c>
      <c r="G2175" s="194" t="s">
        <v>587</v>
      </c>
      <c r="H2175" s="195" t="s">
        <v>588</v>
      </c>
      <c r="I2175" s="196"/>
      <c r="J2175" s="179">
        <f>IF(A2175="RAPPI",(VLOOKUP(TRIM(D2175), CATALOGO!F:G, 2, FALSE) * C2175)+I2175,IFERROR(IF(COUNTIF('RESTAURANTESDESCUENTOS 2026'!A:A,TRIM(A2175))&gt;0,((VLOOKUP(TRIM(D2175), CATALOGO!A:B, 2, FALSE) * C2175)*(1-VALUE(SUBSTITUTE(VLOOKUP(TRIM(A2175),'RESTAURANTESDESCUENTOS 2026'!A:B,2,FALSE),"%",""))/100)+I2175),(VLOOKUP(TRIM(D2175), CATALOGO!A:B, 2, FALSE) * C2175+I2175)),""))</f>
        <v>30000</v>
      </c>
      <c r="K2175" s="196">
        <v>0.0</v>
      </c>
      <c r="L2175" s="87">
        <v>930.0</v>
      </c>
      <c r="M2175" s="197" t="s">
        <v>587</v>
      </c>
      <c r="N2175" s="168"/>
    </row>
    <row r="2176" ht="22.5" hidden="1" customHeight="1">
      <c r="A2176" s="137" t="s">
        <v>1318</v>
      </c>
      <c r="B2176" s="90">
        <v>46120.0</v>
      </c>
      <c r="C2176" s="55">
        <v>1.0</v>
      </c>
      <c r="D2176" s="97" t="s">
        <v>177</v>
      </c>
      <c r="E2176" s="201"/>
      <c r="F2176" s="236" t="s">
        <v>1035</v>
      </c>
      <c r="G2176" s="194" t="s">
        <v>35</v>
      </c>
      <c r="H2176" s="198"/>
      <c r="I2176" s="196"/>
      <c r="J2176" s="179">
        <f>IF(A2176="RAPPI",(VLOOKUP(TRIM(D2176), CATALOGO!F:G, 2, FALSE) * C2176)+I2176,IFERROR(IF(COUNTIF('RESTAURANTESDESCUENTOS 2026'!A:A,TRIM(A2176))&gt;0,((VLOOKUP(TRIM(D2176), CATALOGO!A:B, 2, FALSE) * C2176)*(1-VALUE(SUBSTITUTE(VLOOKUP(TRIM(A2176),'RESTAURANTESDESCUENTOS 2026'!A:B,2,FALSE),"%",""))/100)+I2176),(VLOOKUP(TRIM(D2176), CATALOGO!A:B, 2, FALSE) * C2176+I2176)),""))</f>
        <v>115000</v>
      </c>
      <c r="K2176" s="196"/>
      <c r="L2176" s="87">
        <v>934.0</v>
      </c>
      <c r="M2176" s="197" t="s">
        <v>587</v>
      </c>
      <c r="N2176" s="168"/>
    </row>
    <row r="2177" ht="22.5" hidden="1" customHeight="1">
      <c r="A2177" s="137" t="s">
        <v>1319</v>
      </c>
      <c r="B2177" s="90">
        <v>46120.0</v>
      </c>
      <c r="C2177" s="55">
        <v>1.0</v>
      </c>
      <c r="D2177" s="97" t="s">
        <v>176</v>
      </c>
      <c r="E2177" s="243" t="s">
        <v>1320</v>
      </c>
      <c r="F2177" s="236" t="s">
        <v>1035</v>
      </c>
      <c r="G2177" s="194" t="s">
        <v>587</v>
      </c>
      <c r="H2177" s="195" t="s">
        <v>588</v>
      </c>
      <c r="I2177" s="196">
        <v>10000.0</v>
      </c>
      <c r="J2177" s="179">
        <f>IF(A2177="RAPPI",(VLOOKUP(TRIM(D2177), CATALOGO!F:G, 2, FALSE) * C2177)+I2177,IFERROR(IF(COUNTIF('RESTAURANTESDESCUENTOS 2026'!A:A,TRIM(A2177))&gt;0,((VLOOKUP(TRIM(D2177), CATALOGO!A:B, 2, FALSE) * C2177)*(1-VALUE(SUBSTITUTE(VLOOKUP(TRIM(A2177),'RESTAURANTESDESCUENTOS 2026'!A:B,2,FALSE),"%",""))/100)+I2177),(VLOOKUP(TRIM(D2177), CATALOGO!A:B, 2, FALSE) * C2177+I2177)),""))</f>
        <v>60000</v>
      </c>
      <c r="K2177" s="196">
        <v>6000.0</v>
      </c>
      <c r="L2177" s="87">
        <v>935.0</v>
      </c>
      <c r="M2177" s="197" t="s">
        <v>587</v>
      </c>
      <c r="N2177" s="168"/>
    </row>
    <row r="2178" ht="22.5" hidden="1" customHeight="1">
      <c r="A2178" s="137" t="s">
        <v>10</v>
      </c>
      <c r="B2178" s="90">
        <v>46120.0</v>
      </c>
      <c r="C2178" s="55">
        <v>1.0</v>
      </c>
      <c r="D2178" s="97" t="s">
        <v>178</v>
      </c>
      <c r="E2178" s="243"/>
      <c r="F2178" s="202"/>
      <c r="G2178" s="194" t="s">
        <v>587</v>
      </c>
      <c r="H2178" s="195" t="s">
        <v>588</v>
      </c>
      <c r="I2178" s="196">
        <v>10000.0</v>
      </c>
      <c r="J2178" s="179">
        <f>IF(A2178="RAPPI",(VLOOKUP(TRIM(D2178), CATALOGO!F:G, 2, FALSE) * C2178)+I2178,IFERROR(IF(COUNTIF('RESTAURANTESDESCUENTOS 2026'!A:A,TRIM(A2178))&gt;0,((VLOOKUP(TRIM(D2178), CATALOGO!A:B, 2, FALSE) * C2178)*(1-VALUE(SUBSTITUTE(VLOOKUP(TRIM(A2178),'RESTAURANTESDESCUENTOS 2026'!A:B,2,FALSE),"%",""))/100)+I2178),(VLOOKUP(TRIM(D2178), CATALOGO!A:B, 2, FALSE) * C2178+I2178)),""))</f>
        <v>122500</v>
      </c>
      <c r="K2178" s="196">
        <v>10000.0</v>
      </c>
      <c r="L2178" s="87">
        <v>929.0</v>
      </c>
      <c r="M2178" s="197" t="s">
        <v>587</v>
      </c>
      <c r="N2178" s="168"/>
    </row>
    <row r="2179" ht="22.5" hidden="1" customHeight="1">
      <c r="A2179" s="137" t="s">
        <v>1321</v>
      </c>
      <c r="B2179" s="90">
        <v>46120.0</v>
      </c>
      <c r="C2179" s="55">
        <v>1.0</v>
      </c>
      <c r="D2179" s="97" t="s">
        <v>177</v>
      </c>
      <c r="E2179" s="243"/>
      <c r="F2179" s="236" t="s">
        <v>1035</v>
      </c>
      <c r="G2179" s="194" t="s">
        <v>587</v>
      </c>
      <c r="H2179" s="195" t="s">
        <v>588</v>
      </c>
      <c r="I2179" s="196">
        <v>10000.0</v>
      </c>
      <c r="J2179" s="179">
        <f>IF(A2179="RAPPI",(VLOOKUP(TRIM(D2179), CATALOGO!F:G, 2, FALSE) * C2179)+I2179,IFERROR(IF(COUNTIF('RESTAURANTESDESCUENTOS 2026'!A:A,TRIM(A2179))&gt;0,((VLOOKUP(TRIM(D2179), CATALOGO!A:B, 2, FALSE) * C2179)*(1-VALUE(SUBSTITUTE(VLOOKUP(TRIM(A2179),'RESTAURANTESDESCUENTOS 2026'!A:B,2,FALSE),"%",""))/100)+I2179),(VLOOKUP(TRIM(D2179), CATALOGO!A:B, 2, FALSE) * C2179+I2179)),""))</f>
        <v>125000</v>
      </c>
      <c r="K2179" s="196">
        <v>5500.0</v>
      </c>
      <c r="L2179" s="87">
        <v>936.0</v>
      </c>
      <c r="M2179" s="197" t="s">
        <v>587</v>
      </c>
      <c r="N2179" s="168"/>
    </row>
    <row r="2180" ht="22.5" hidden="1" customHeight="1">
      <c r="A2180" s="137" t="s">
        <v>796</v>
      </c>
      <c r="B2180" s="90">
        <v>46120.0</v>
      </c>
      <c r="C2180" s="55">
        <v>1.0</v>
      </c>
      <c r="D2180" s="97" t="s">
        <v>176</v>
      </c>
      <c r="E2180" s="243"/>
      <c r="F2180" s="236" t="s">
        <v>1035</v>
      </c>
      <c r="G2180" s="194" t="s">
        <v>587</v>
      </c>
      <c r="H2180" s="195" t="s">
        <v>588</v>
      </c>
      <c r="I2180" s="196">
        <v>12000.0</v>
      </c>
      <c r="J2180" s="179">
        <f>IF(A2180="RAPPI",(VLOOKUP(TRIM(D2180), CATALOGO!F:G, 2, FALSE) * C2180)+I2180,IFERROR(IF(COUNTIF('RESTAURANTESDESCUENTOS 2026'!A:A,TRIM(A2180))&gt;0,((VLOOKUP(TRIM(D2180), CATALOGO!A:B, 2, FALSE) * C2180)*(1-VALUE(SUBSTITUTE(VLOOKUP(TRIM(A2180),'RESTAURANTESDESCUENTOS 2026'!A:B,2,FALSE),"%",""))/100)+I2180),(VLOOKUP(TRIM(D2180), CATALOGO!A:B, 2, FALSE) * C2180+I2180)),""))</f>
        <v>62000</v>
      </c>
      <c r="K2180" s="196">
        <v>12000.0</v>
      </c>
      <c r="L2180" s="87">
        <v>937.0</v>
      </c>
      <c r="M2180" s="197" t="s">
        <v>587</v>
      </c>
      <c r="N2180" s="168"/>
    </row>
    <row r="2181" ht="22.5" hidden="1" customHeight="1">
      <c r="A2181" s="137" t="s">
        <v>1126</v>
      </c>
      <c r="B2181" s="90">
        <v>46120.0</v>
      </c>
      <c r="C2181" s="55">
        <v>3.0</v>
      </c>
      <c r="D2181" s="97" t="s">
        <v>174</v>
      </c>
      <c r="E2181" s="243" t="s">
        <v>1322</v>
      </c>
      <c r="F2181" s="236" t="s">
        <v>1036</v>
      </c>
      <c r="G2181" s="194" t="s">
        <v>35</v>
      </c>
      <c r="H2181" s="198"/>
      <c r="I2181" s="196"/>
      <c r="J2181" s="179">
        <f>IF(A2181="RAPPI",(VLOOKUP(TRIM(D2181), CATALOGO!F:G, 2, FALSE) * C2181)+I2181,IFERROR(IF(COUNTIF('RESTAURANTESDESCUENTOS 2026'!A:A,TRIM(A2181))&gt;0,((VLOOKUP(TRIM(D2181), CATALOGO!A:B, 2, FALSE) * C2181)*(1-VALUE(SUBSTITUTE(VLOOKUP(TRIM(A2181),'RESTAURANTESDESCUENTOS 2026'!A:B,2,FALSE),"%",""))/100)+I2181),(VLOOKUP(TRIM(D2181), CATALOGO!A:B, 2, FALSE) * C2181+I2181)),""))</f>
        <v>54000</v>
      </c>
      <c r="K2181" s="196"/>
      <c r="L2181" s="87">
        <v>932.0</v>
      </c>
      <c r="M2181" s="197" t="s">
        <v>587</v>
      </c>
      <c r="N2181" s="168"/>
    </row>
    <row r="2182" ht="22.5" hidden="1" customHeight="1">
      <c r="A2182" s="137" t="s">
        <v>1323</v>
      </c>
      <c r="B2182" s="90">
        <v>46120.0</v>
      </c>
      <c r="C2182" s="55">
        <v>1.0</v>
      </c>
      <c r="D2182" s="97" t="s">
        <v>739</v>
      </c>
      <c r="E2182" s="243"/>
      <c r="F2182" s="236" t="s">
        <v>1035</v>
      </c>
      <c r="G2182" s="194" t="s">
        <v>35</v>
      </c>
      <c r="H2182" s="198"/>
      <c r="I2182" s="196"/>
      <c r="J2182" s="179">
        <f>IF(A2182="RAPPI",(VLOOKUP(TRIM(D2182), CATALOGO!F:G, 2, FALSE) * C2182)+I2182,IFERROR(IF(COUNTIF('RESTAURANTESDESCUENTOS 2026'!A:A,TRIM(A2182))&gt;0,((VLOOKUP(TRIM(D2182), CATALOGO!A:B, 2, FALSE) * C2182)*(1-VALUE(SUBSTITUTE(VLOOKUP(TRIM(A2182),'RESTAURANTESDESCUENTOS 2026'!A:B,2,FALSE),"%",""))/100)+I2182),(VLOOKUP(TRIM(D2182), CATALOGO!A:B, 2, FALSE) * C2182+I2182)),""))</f>
        <v>163000</v>
      </c>
      <c r="K2182" s="196"/>
      <c r="L2182" s="87">
        <v>938.0</v>
      </c>
      <c r="M2182" s="197" t="s">
        <v>587</v>
      </c>
      <c r="N2182" s="168"/>
    </row>
    <row r="2183" ht="22.5" hidden="1" customHeight="1">
      <c r="A2183" s="137" t="s">
        <v>1324</v>
      </c>
      <c r="B2183" s="90">
        <v>46120.0</v>
      </c>
      <c r="C2183" s="55">
        <v>1.0</v>
      </c>
      <c r="D2183" s="97" t="s">
        <v>174</v>
      </c>
      <c r="E2183" s="243"/>
      <c r="F2183" s="236" t="s">
        <v>1035</v>
      </c>
      <c r="G2183" s="194" t="s">
        <v>587</v>
      </c>
      <c r="H2183" s="195" t="s">
        <v>588</v>
      </c>
      <c r="I2183" s="196">
        <v>14000.0</v>
      </c>
      <c r="J2183" s="179">
        <f>IF(A2183="RAPPI",(VLOOKUP(TRIM(D2183), CATALOGO!F:G, 2, FALSE) * C2183)+I2183,IFERROR(IF(COUNTIF('RESTAURANTESDESCUENTOS 2026'!A:A,TRIM(A2183))&gt;0,((VLOOKUP(TRIM(D2183), CATALOGO!A:B, 2, FALSE) * C2183)*(1-VALUE(SUBSTITUTE(VLOOKUP(TRIM(A2183),'RESTAURANTESDESCUENTOS 2026'!A:B,2,FALSE),"%",""))/100)+I2183),(VLOOKUP(TRIM(D2183), CATALOGO!A:B, 2, FALSE) * C2183+I2183)),""))</f>
        <v>32000</v>
      </c>
      <c r="K2183" s="196">
        <v>14000.0</v>
      </c>
      <c r="L2183" s="87">
        <v>939.0</v>
      </c>
      <c r="M2183" s="197" t="s">
        <v>587</v>
      </c>
      <c r="N2183" s="168"/>
    </row>
    <row r="2184" ht="22.5" hidden="1" customHeight="1">
      <c r="A2184" s="137" t="s">
        <v>1324</v>
      </c>
      <c r="B2184" s="90">
        <v>46120.0</v>
      </c>
      <c r="C2184" s="55">
        <v>1.0</v>
      </c>
      <c r="D2184" s="97" t="s">
        <v>207</v>
      </c>
      <c r="E2184" s="243"/>
      <c r="F2184" s="236" t="s">
        <v>1035</v>
      </c>
      <c r="G2184" s="194" t="s">
        <v>587</v>
      </c>
      <c r="H2184" s="195" t="s">
        <v>588</v>
      </c>
      <c r="I2184" s="196">
        <v>0.0</v>
      </c>
      <c r="J2184" s="179">
        <f>IF(A2184="RAPPI",(VLOOKUP(TRIM(D2184), CATALOGO!F:G, 2, FALSE) * C2184)+I2184,IFERROR(IF(COUNTIF('RESTAURANTESDESCUENTOS 2026'!A:A,TRIM(A2184))&gt;0,((VLOOKUP(TRIM(D2184), CATALOGO!A:B, 2, FALSE) * C2184)*(1-VALUE(SUBSTITUTE(VLOOKUP(TRIM(A2184),'RESTAURANTESDESCUENTOS 2026'!A:B,2,FALSE),"%",""))/100)+I2184),(VLOOKUP(TRIM(D2184), CATALOGO!A:B, 2, FALSE) * C2184+I2184)),""))</f>
        <v>22000</v>
      </c>
      <c r="K2184" s="196">
        <v>0.0</v>
      </c>
      <c r="L2184" s="87">
        <v>939.0</v>
      </c>
      <c r="M2184" s="197" t="s">
        <v>587</v>
      </c>
      <c r="N2184" s="168"/>
    </row>
    <row r="2185" ht="22.5" hidden="1" customHeight="1">
      <c r="A2185" s="137" t="s">
        <v>1324</v>
      </c>
      <c r="B2185" s="90">
        <v>46120.0</v>
      </c>
      <c r="C2185" s="55">
        <v>1.0</v>
      </c>
      <c r="D2185" s="97" t="s">
        <v>206</v>
      </c>
      <c r="E2185" s="243"/>
      <c r="F2185" s="236" t="s">
        <v>1035</v>
      </c>
      <c r="G2185" s="194" t="s">
        <v>587</v>
      </c>
      <c r="H2185" s="195" t="s">
        <v>588</v>
      </c>
      <c r="I2185" s="196">
        <v>0.0</v>
      </c>
      <c r="J2185" s="179">
        <f>IF(A2185="RAPPI",(VLOOKUP(TRIM(D2185), CATALOGO!F:G, 2, FALSE) * C2185)+I2185,IFERROR(IF(COUNTIF('RESTAURANTESDESCUENTOS 2026'!A:A,TRIM(A2185))&gt;0,((VLOOKUP(TRIM(D2185), CATALOGO!A:B, 2, FALSE) * C2185)*(1-VALUE(SUBSTITUTE(VLOOKUP(TRIM(A2185),'RESTAURANTESDESCUENTOS 2026'!A:B,2,FALSE),"%",""))/100)+I2185),(VLOOKUP(TRIM(D2185), CATALOGO!A:B, 2, FALSE) * C2185+I2185)),""))</f>
        <v>22000</v>
      </c>
      <c r="K2185" s="196">
        <v>0.0</v>
      </c>
      <c r="L2185" s="87">
        <v>939.0</v>
      </c>
      <c r="M2185" s="197" t="s">
        <v>587</v>
      </c>
      <c r="N2185" s="168"/>
    </row>
    <row r="2186" ht="22.5" hidden="1" customHeight="1">
      <c r="A2186" s="137" t="s">
        <v>167</v>
      </c>
      <c r="B2186" s="90">
        <v>46120.0</v>
      </c>
      <c r="C2186" s="55">
        <v>1.0</v>
      </c>
      <c r="D2186" s="97" t="s">
        <v>206</v>
      </c>
      <c r="E2186" s="243"/>
      <c r="F2186" s="236" t="s">
        <v>1035</v>
      </c>
      <c r="G2186" s="194" t="s">
        <v>35</v>
      </c>
      <c r="H2186" s="198"/>
      <c r="I2186" s="196"/>
      <c r="J2186" s="179">
        <f>IF(A2186="RAPPI",(VLOOKUP(TRIM(D2186), CATALOGO!F:G, 2, FALSE) * C2186)+I2186,IFERROR(IF(COUNTIF('RESTAURANTESDESCUENTOS 2026'!A:A,TRIM(A2186))&gt;0,((VLOOKUP(TRIM(D2186), CATALOGO!A:B, 2, FALSE) * C2186)*(1-VALUE(SUBSTITUTE(VLOOKUP(TRIM(A2186),'RESTAURANTESDESCUENTOS 2026'!A:B,2,FALSE),"%",""))/100)+I2186),(VLOOKUP(TRIM(D2186), CATALOGO!A:B, 2, FALSE) * C2186+I2186)),""))</f>
        <v>0</v>
      </c>
      <c r="K2186" s="196"/>
      <c r="L2186" s="87">
        <v>933.0</v>
      </c>
      <c r="M2186" s="197" t="s">
        <v>587</v>
      </c>
      <c r="N2186" s="168"/>
    </row>
    <row r="2187" ht="22.5" hidden="1" customHeight="1">
      <c r="A2187" s="137" t="s">
        <v>167</v>
      </c>
      <c r="B2187" s="90">
        <v>46120.0</v>
      </c>
      <c r="C2187" s="55">
        <v>1.0</v>
      </c>
      <c r="D2187" s="97" t="s">
        <v>207</v>
      </c>
      <c r="E2187" s="243"/>
      <c r="F2187" s="236" t="s">
        <v>1035</v>
      </c>
      <c r="G2187" s="194" t="s">
        <v>35</v>
      </c>
      <c r="H2187" s="198"/>
      <c r="I2187" s="196"/>
      <c r="J2187" s="179">
        <f>IF(A2187="RAPPI",(VLOOKUP(TRIM(D2187), CATALOGO!F:G, 2, FALSE) * C2187)+I2187,IFERROR(IF(COUNTIF('RESTAURANTESDESCUENTOS 2026'!A:A,TRIM(A2187))&gt;0,((VLOOKUP(TRIM(D2187), CATALOGO!A:B, 2, FALSE) * C2187)*(1-VALUE(SUBSTITUTE(VLOOKUP(TRIM(A2187),'RESTAURANTESDESCUENTOS 2026'!A:B,2,FALSE),"%",""))/100)+I2187),(VLOOKUP(TRIM(D2187), CATALOGO!A:B, 2, FALSE) * C2187+I2187)),""))</f>
        <v>0</v>
      </c>
      <c r="K2187" s="196"/>
      <c r="L2187" s="87">
        <v>933.0</v>
      </c>
      <c r="M2187" s="197" t="s">
        <v>587</v>
      </c>
      <c r="N2187" s="168"/>
    </row>
    <row r="2188" ht="22.5" hidden="1" customHeight="1">
      <c r="A2188" s="137" t="s">
        <v>603</v>
      </c>
      <c r="B2188" s="90">
        <v>46120.0</v>
      </c>
      <c r="C2188" s="55">
        <v>1.0</v>
      </c>
      <c r="D2188" s="97" t="s">
        <v>177</v>
      </c>
      <c r="E2188" s="243"/>
      <c r="F2188" s="236" t="s">
        <v>603</v>
      </c>
      <c r="G2188" s="194" t="s">
        <v>587</v>
      </c>
      <c r="H2188" s="195" t="s">
        <v>603</v>
      </c>
      <c r="I2188" s="196"/>
      <c r="J2188" s="179">
        <f>IF(A2188="RAPPI",(VLOOKUP(TRIM(D2188), CATALOGO!F:G, 2, FALSE) * C2188)+I2188,IFERROR(IF(COUNTIF('RESTAURANTESDESCUENTOS 2026'!A:A,TRIM(A2188))&gt;0,((VLOOKUP(TRIM(D2188), CATALOGO!A:B, 2, FALSE) * C2188)*(1-VALUE(SUBSTITUTE(VLOOKUP(TRIM(A2188),'RESTAURANTESDESCUENTOS 2026'!A:B,2,FALSE),"%",""))/100)+I2188),(VLOOKUP(TRIM(D2188), CATALOGO!A:B, 2, FALSE) * C2188+I2188)),""))</f>
        <v>115000</v>
      </c>
      <c r="K2188" s="196"/>
      <c r="L2188" s="87">
        <v>931.0</v>
      </c>
      <c r="M2188" s="197" t="s">
        <v>587</v>
      </c>
      <c r="N2188" s="168"/>
    </row>
    <row r="2189" ht="22.5" hidden="1" customHeight="1">
      <c r="A2189" s="137" t="s">
        <v>603</v>
      </c>
      <c r="B2189" s="90">
        <v>46120.0</v>
      </c>
      <c r="C2189" s="55">
        <v>1.0</v>
      </c>
      <c r="D2189" s="97" t="s">
        <v>602</v>
      </c>
      <c r="E2189" s="243"/>
      <c r="F2189" s="236" t="s">
        <v>603</v>
      </c>
      <c r="G2189" s="194" t="s">
        <v>587</v>
      </c>
      <c r="H2189" s="195" t="s">
        <v>603</v>
      </c>
      <c r="I2189" s="196"/>
      <c r="J2189" s="179">
        <f>IF(A2189="RAPPI",(VLOOKUP(TRIM(D2189), CATALOGO!F:G, 2, FALSE) * C2189)+I2189,IFERROR(IF(COUNTIF('RESTAURANTESDESCUENTOS 2026'!A:A,TRIM(A2189))&gt;0,((VLOOKUP(TRIM(D2189), CATALOGO!A:B, 2, FALSE) * C2189)*(1-VALUE(SUBSTITUTE(VLOOKUP(TRIM(A2189),'RESTAURANTESDESCUENTOS 2026'!A:B,2,FALSE),"%",""))/100)+I2189),(VLOOKUP(TRIM(D2189), CATALOGO!A:B, 2, FALSE) * C2189+I2189)),""))</f>
        <v>22000</v>
      </c>
      <c r="K2189" s="196"/>
      <c r="L2189" s="87">
        <v>931.0</v>
      </c>
      <c r="M2189" s="197" t="s">
        <v>587</v>
      </c>
      <c r="N2189" s="168"/>
    </row>
    <row r="2190" ht="22.5" hidden="1" customHeight="1">
      <c r="A2190" s="137" t="s">
        <v>603</v>
      </c>
      <c r="B2190" s="90">
        <v>46120.0</v>
      </c>
      <c r="C2190" s="55">
        <v>1.0</v>
      </c>
      <c r="D2190" s="97" t="s">
        <v>678</v>
      </c>
      <c r="E2190" s="243"/>
      <c r="F2190" s="236" t="s">
        <v>603</v>
      </c>
      <c r="G2190" s="194" t="s">
        <v>587</v>
      </c>
      <c r="H2190" s="195" t="s">
        <v>603</v>
      </c>
      <c r="I2190" s="196"/>
      <c r="J2190" s="179">
        <f>IF(A2190="RAPPI",(VLOOKUP(TRIM(D2190), CATALOGO!F:G, 2, FALSE) * C2190)+I2190,IFERROR(IF(COUNTIF('RESTAURANTESDESCUENTOS 2026'!A:A,TRIM(A2190))&gt;0,((VLOOKUP(TRIM(D2190), CATALOGO!A:B, 2, FALSE) * C2190)*(1-VALUE(SUBSTITUTE(VLOOKUP(TRIM(A2190),'RESTAURANTESDESCUENTOS 2026'!A:B,2,FALSE),"%",""))/100)+I2190),(VLOOKUP(TRIM(D2190), CATALOGO!A:B, 2, FALSE) * C2190+I2190)),""))</f>
        <v>123000</v>
      </c>
      <c r="K2190" s="196"/>
      <c r="L2190" s="87">
        <v>931.0</v>
      </c>
      <c r="M2190" s="197" t="s">
        <v>587</v>
      </c>
      <c r="N2190" s="168"/>
    </row>
    <row r="2191" ht="22.5" hidden="1" customHeight="1">
      <c r="A2191" s="137" t="s">
        <v>603</v>
      </c>
      <c r="B2191" s="90">
        <v>46120.0</v>
      </c>
      <c r="C2191" s="55">
        <v>1.0</v>
      </c>
      <c r="D2191" s="97" t="s">
        <v>657</v>
      </c>
      <c r="E2191" s="243"/>
      <c r="F2191" s="236" t="s">
        <v>603</v>
      </c>
      <c r="G2191" s="194" t="s">
        <v>587</v>
      </c>
      <c r="H2191" s="195" t="s">
        <v>603</v>
      </c>
      <c r="I2191" s="196"/>
      <c r="J2191" s="179">
        <f>IF(A2191="RAPPI",(VLOOKUP(TRIM(D2191), CATALOGO!F:G, 2, FALSE) * C2191)+I2191,IFERROR(IF(COUNTIF('RESTAURANTESDESCUENTOS 2026'!A:A,TRIM(A2191))&gt;0,((VLOOKUP(TRIM(D2191), CATALOGO!A:B, 2, FALSE) * C2191)*(1-VALUE(SUBSTITUTE(VLOOKUP(TRIM(A2191),'RESTAURANTESDESCUENTOS 2026'!A:B,2,FALSE),"%",""))/100)+I2191),(VLOOKUP(TRIM(D2191), CATALOGO!A:B, 2, FALSE) * C2191+I2191)),""))</f>
        <v>8000</v>
      </c>
      <c r="K2191" s="196"/>
      <c r="L2191" s="87">
        <v>931.0</v>
      </c>
      <c r="M2191" s="197" t="s">
        <v>587</v>
      </c>
      <c r="N2191" s="168"/>
    </row>
    <row r="2192" ht="22.5" hidden="1" customHeight="1">
      <c r="A2192" s="137" t="s">
        <v>603</v>
      </c>
      <c r="B2192" s="90">
        <v>46120.0</v>
      </c>
      <c r="C2192" s="55">
        <v>1.0</v>
      </c>
      <c r="D2192" s="97" t="s">
        <v>177</v>
      </c>
      <c r="E2192" s="243"/>
      <c r="F2192" s="236" t="s">
        <v>603</v>
      </c>
      <c r="G2192" s="194" t="s">
        <v>587</v>
      </c>
      <c r="H2192" s="195" t="s">
        <v>603</v>
      </c>
      <c r="I2192" s="196"/>
      <c r="J2192" s="199">
        <v>145000.0</v>
      </c>
      <c r="K2192" s="196"/>
      <c r="L2192" s="87">
        <v>931.0</v>
      </c>
      <c r="M2192" s="197" t="s">
        <v>587</v>
      </c>
      <c r="N2192" s="168"/>
    </row>
    <row r="2193" ht="22.5" hidden="1" customHeight="1">
      <c r="A2193" s="137" t="s">
        <v>603</v>
      </c>
      <c r="B2193" s="90">
        <v>46120.0</v>
      </c>
      <c r="C2193" s="55">
        <v>1.0</v>
      </c>
      <c r="D2193" s="97" t="s">
        <v>187</v>
      </c>
      <c r="E2193" s="243"/>
      <c r="F2193" s="236" t="s">
        <v>603</v>
      </c>
      <c r="G2193" s="194" t="s">
        <v>587</v>
      </c>
      <c r="H2193" s="195" t="s">
        <v>603</v>
      </c>
      <c r="I2193" s="196"/>
      <c r="J2193" s="179">
        <f>IF(A2193="RAPPI",(VLOOKUP(TRIM(D2193), CATALOGO!F:G, 2, FALSE) * C2193)+I2193,IFERROR(IF(COUNTIF('RESTAURANTESDESCUENTOS 2026'!A:A,TRIM(A2193))&gt;0,((VLOOKUP(TRIM(D2193), CATALOGO!A:B, 2, FALSE) * C2193)*(1-VALUE(SUBSTITUTE(VLOOKUP(TRIM(A2193),'RESTAURANTESDESCUENTOS 2026'!A:B,2,FALSE),"%",""))/100)+I2193),(VLOOKUP(TRIM(D2193), CATALOGO!A:B, 2, FALSE) * C2193+I2193)),""))</f>
        <v>55000</v>
      </c>
      <c r="K2193" s="196"/>
      <c r="L2193" s="87">
        <v>931.0</v>
      </c>
      <c r="M2193" s="197" t="s">
        <v>587</v>
      </c>
      <c r="N2193" s="168"/>
    </row>
    <row r="2194" ht="22.5" hidden="1" customHeight="1">
      <c r="A2194" s="137" t="s">
        <v>603</v>
      </c>
      <c r="B2194" s="90">
        <v>46120.0</v>
      </c>
      <c r="C2194" s="55">
        <v>1.0</v>
      </c>
      <c r="D2194" s="97" t="s">
        <v>696</v>
      </c>
      <c r="E2194" s="243"/>
      <c r="F2194" s="236" t="s">
        <v>603</v>
      </c>
      <c r="G2194" s="194" t="s">
        <v>587</v>
      </c>
      <c r="H2194" s="195" t="s">
        <v>603</v>
      </c>
      <c r="I2194" s="196"/>
      <c r="J2194" s="179">
        <f>IF(A2194="RAPPI",(VLOOKUP(TRIM(D2194), CATALOGO!F:G, 2, FALSE) * C2194)+I2194,IFERROR(IF(COUNTIF('RESTAURANTESDESCUENTOS 2026'!A:A,TRIM(A2194))&gt;0,((VLOOKUP(TRIM(D2194), CATALOGO!A:B, 2, FALSE) * C2194)*(1-VALUE(SUBSTITUTE(VLOOKUP(TRIM(A2194),'RESTAURANTESDESCUENTOS 2026'!A:B,2,FALSE),"%",""))/100)+I2194),(VLOOKUP(TRIM(D2194), CATALOGO!A:B, 2, FALSE) * C2194+I2194)),""))</f>
        <v>4000</v>
      </c>
      <c r="K2194" s="196"/>
      <c r="L2194" s="87">
        <v>931.0</v>
      </c>
      <c r="M2194" s="197" t="s">
        <v>587</v>
      </c>
      <c r="N2194" s="168"/>
    </row>
    <row r="2195" ht="22.5" hidden="1" customHeight="1">
      <c r="A2195" s="137" t="s">
        <v>603</v>
      </c>
      <c r="B2195" s="90">
        <v>46120.0</v>
      </c>
      <c r="C2195" s="55">
        <v>1.0</v>
      </c>
      <c r="D2195" s="97" t="s">
        <v>174</v>
      </c>
      <c r="E2195" s="243"/>
      <c r="F2195" s="236" t="s">
        <v>603</v>
      </c>
      <c r="G2195" s="194" t="s">
        <v>587</v>
      </c>
      <c r="H2195" s="195" t="s">
        <v>603</v>
      </c>
      <c r="I2195" s="196"/>
      <c r="J2195" s="179">
        <f>IF(A2195="RAPPI",(VLOOKUP(TRIM(D2195), CATALOGO!F:G, 2, FALSE) * C2195)+I2195,IFERROR(IF(COUNTIF('RESTAURANTESDESCUENTOS 2026'!A:A,TRIM(A2195))&gt;0,((VLOOKUP(TRIM(D2195), CATALOGO!A:B, 2, FALSE) * C2195)*(1-VALUE(SUBSTITUTE(VLOOKUP(TRIM(A2195),'RESTAURANTESDESCUENTOS 2026'!A:B,2,FALSE),"%",""))/100)+I2195),(VLOOKUP(TRIM(D2195), CATALOGO!A:B, 2, FALSE) * C2195+I2195)),""))</f>
        <v>18000</v>
      </c>
      <c r="K2195" s="196"/>
      <c r="L2195" s="87">
        <v>931.0</v>
      </c>
      <c r="M2195" s="197" t="s">
        <v>587</v>
      </c>
      <c r="N2195" s="168"/>
    </row>
    <row r="2196" ht="22.5" hidden="1" customHeight="1">
      <c r="A2196" s="137" t="s">
        <v>603</v>
      </c>
      <c r="B2196" s="90">
        <v>46120.0</v>
      </c>
      <c r="C2196" s="55">
        <v>1.0</v>
      </c>
      <c r="D2196" s="97" t="s">
        <v>628</v>
      </c>
      <c r="E2196" s="243"/>
      <c r="F2196" s="236" t="s">
        <v>603</v>
      </c>
      <c r="G2196" s="194" t="s">
        <v>587</v>
      </c>
      <c r="H2196" s="195" t="s">
        <v>603</v>
      </c>
      <c r="I2196" s="196"/>
      <c r="J2196" s="179">
        <f>IF(A2196="RAPPI",(VLOOKUP(TRIM(D2196), CATALOGO!F:G, 2, FALSE) * C2196)+I2196,IFERROR(IF(COUNTIF('RESTAURANTESDESCUENTOS 2026'!A:A,TRIM(A2196))&gt;0,((VLOOKUP(TRIM(D2196), CATALOGO!A:B, 2, FALSE) * C2196)*(1-VALUE(SUBSTITUTE(VLOOKUP(TRIM(A2196),'RESTAURANTESDESCUENTOS 2026'!A:B,2,FALSE),"%",""))/100)+I2196),(VLOOKUP(TRIM(D2196), CATALOGO!A:B, 2, FALSE) * C2196+I2196)),""))</f>
        <v>22000</v>
      </c>
      <c r="K2196" s="196"/>
      <c r="L2196" s="87">
        <v>931.0</v>
      </c>
      <c r="M2196" s="197" t="s">
        <v>587</v>
      </c>
      <c r="N2196" s="168"/>
    </row>
    <row r="2197" ht="22.5" hidden="1" customHeight="1">
      <c r="A2197" s="137" t="s">
        <v>603</v>
      </c>
      <c r="B2197" s="90">
        <v>46120.0</v>
      </c>
      <c r="C2197" s="55">
        <v>1.0</v>
      </c>
      <c r="D2197" s="97" t="s">
        <v>207</v>
      </c>
      <c r="E2197" s="243"/>
      <c r="F2197" s="236" t="s">
        <v>603</v>
      </c>
      <c r="G2197" s="194" t="s">
        <v>587</v>
      </c>
      <c r="H2197" s="195" t="s">
        <v>603</v>
      </c>
      <c r="I2197" s="196"/>
      <c r="J2197" s="199">
        <v>22000.0</v>
      </c>
      <c r="K2197" s="196"/>
      <c r="L2197" s="87">
        <v>931.0</v>
      </c>
      <c r="M2197" s="197" t="s">
        <v>587</v>
      </c>
      <c r="N2197" s="168"/>
    </row>
    <row r="2198" ht="22.5" hidden="1" customHeight="1">
      <c r="A2198" s="137" t="s">
        <v>603</v>
      </c>
      <c r="B2198" s="90">
        <v>46120.0</v>
      </c>
      <c r="C2198" s="55">
        <v>1.0</v>
      </c>
      <c r="D2198" s="97" t="s">
        <v>208</v>
      </c>
      <c r="E2198" s="243"/>
      <c r="F2198" s="236" t="s">
        <v>603</v>
      </c>
      <c r="G2198" s="194" t="s">
        <v>587</v>
      </c>
      <c r="H2198" s="195" t="s">
        <v>603</v>
      </c>
      <c r="I2198" s="196"/>
      <c r="J2198" s="199">
        <v>22000.0</v>
      </c>
      <c r="K2198" s="196"/>
      <c r="L2198" s="87">
        <v>931.0</v>
      </c>
      <c r="M2198" s="197" t="s">
        <v>587</v>
      </c>
      <c r="N2198" s="168"/>
    </row>
    <row r="2199" ht="22.5" hidden="1" customHeight="1">
      <c r="A2199" s="137" t="s">
        <v>603</v>
      </c>
      <c r="B2199" s="90">
        <v>46120.0</v>
      </c>
      <c r="C2199" s="55">
        <v>1.0</v>
      </c>
      <c r="D2199" s="97" t="s">
        <v>176</v>
      </c>
      <c r="E2199" s="243"/>
      <c r="F2199" s="236" t="s">
        <v>603</v>
      </c>
      <c r="G2199" s="194" t="s">
        <v>587</v>
      </c>
      <c r="H2199" s="195" t="s">
        <v>603</v>
      </c>
      <c r="I2199" s="196"/>
      <c r="J2199" s="179">
        <f>IF(A2199="RAPPI",(VLOOKUP(TRIM(D2199), CATALOGO!F:G, 2, FALSE) * C2199)+I2199,IFERROR(IF(COUNTIF('RESTAURANTESDESCUENTOS 2026'!A:A,TRIM(A2199))&gt;0,((VLOOKUP(TRIM(D2199), CATALOGO!A:B, 2, FALSE) * C2199)*(1-VALUE(SUBSTITUTE(VLOOKUP(TRIM(A2199),'RESTAURANTESDESCUENTOS 2026'!A:B,2,FALSE),"%",""))/100)+I2199),(VLOOKUP(TRIM(D2199), CATALOGO!A:B, 2, FALSE) * C2199+I2199)),""))</f>
        <v>50000</v>
      </c>
      <c r="K2199" s="196"/>
      <c r="L2199" s="87">
        <v>931.0</v>
      </c>
      <c r="M2199" s="197" t="s">
        <v>587</v>
      </c>
      <c r="N2199" s="168"/>
    </row>
    <row r="2200" ht="22.5" hidden="1" customHeight="1">
      <c r="A2200" s="137" t="s">
        <v>603</v>
      </c>
      <c r="B2200" s="90">
        <v>46120.0</v>
      </c>
      <c r="C2200" s="55">
        <v>1.0</v>
      </c>
      <c r="D2200" s="97" t="s">
        <v>618</v>
      </c>
      <c r="E2200" s="243"/>
      <c r="F2200" s="236" t="s">
        <v>603</v>
      </c>
      <c r="G2200" s="194" t="s">
        <v>587</v>
      </c>
      <c r="H2200" s="195" t="s">
        <v>603</v>
      </c>
      <c r="I2200" s="196"/>
      <c r="J2200" s="179">
        <f>IF(A2200="RAPPI",(VLOOKUP(TRIM(D2200), CATALOGO!F:G, 2, FALSE) * C2200)+I2200,IFERROR(IF(COUNTIF('RESTAURANTESDESCUENTOS 2026'!A:A,TRIM(A2200))&gt;0,((VLOOKUP(TRIM(D2200), CATALOGO!A:B, 2, FALSE) * C2200)*(1-VALUE(SUBSTITUTE(VLOOKUP(TRIM(A2200),'RESTAURANTESDESCUENTOS 2026'!A:B,2,FALSE),"%",""))/100)+I2200),(VLOOKUP(TRIM(D2200), CATALOGO!A:B, 2, FALSE) * C2200+I2200)),""))</f>
        <v>53000</v>
      </c>
      <c r="K2200" s="196"/>
      <c r="L2200" s="87">
        <v>931.0</v>
      </c>
      <c r="M2200" s="197" t="s">
        <v>587</v>
      </c>
      <c r="N2200" s="168"/>
    </row>
    <row r="2201" ht="22.5" hidden="1" customHeight="1">
      <c r="A2201" s="137" t="s">
        <v>603</v>
      </c>
      <c r="B2201" s="90">
        <v>46120.0</v>
      </c>
      <c r="C2201" s="55">
        <v>1.0</v>
      </c>
      <c r="D2201" s="97" t="s">
        <v>206</v>
      </c>
      <c r="E2201" s="243"/>
      <c r="F2201" s="236" t="s">
        <v>603</v>
      </c>
      <c r="G2201" s="194" t="s">
        <v>587</v>
      </c>
      <c r="H2201" s="195" t="s">
        <v>603</v>
      </c>
      <c r="I2201" s="196"/>
      <c r="J2201" s="199">
        <v>22000.0</v>
      </c>
      <c r="K2201" s="196"/>
      <c r="L2201" s="87">
        <v>931.0</v>
      </c>
      <c r="M2201" s="197" t="s">
        <v>587</v>
      </c>
      <c r="N2201" s="168"/>
    </row>
    <row r="2202" ht="22.5" hidden="1" customHeight="1">
      <c r="A2202" s="137" t="s">
        <v>1069</v>
      </c>
      <c r="B2202" s="90">
        <v>46120.0</v>
      </c>
      <c r="C2202" s="55">
        <v>1.0</v>
      </c>
      <c r="D2202" s="97" t="s">
        <v>640</v>
      </c>
      <c r="E2202" s="243"/>
      <c r="F2202" s="236" t="s">
        <v>1035</v>
      </c>
      <c r="G2202" s="194" t="s">
        <v>35</v>
      </c>
      <c r="H2202" s="198"/>
      <c r="I2202" s="196"/>
      <c r="J2202" s="179">
        <f>IF(A2202="RAPPI",(VLOOKUP(TRIM(D2202), CATALOGO!F:G, 2, FALSE) * C2202)+I2202,IFERROR(IF(COUNTIF('RESTAURANTESDESCUENTOS 2026'!A:A,TRIM(A2202))&gt;0,((VLOOKUP(TRIM(D2202), CATALOGO!A:B, 2, FALSE) * C2202)*(1-VALUE(SUBSTITUTE(VLOOKUP(TRIM(A2202),'RESTAURANTESDESCUENTOS 2026'!A:B,2,FALSE),"%",""))/100)+I2202),(VLOOKUP(TRIM(D2202), CATALOGO!A:B, 2, FALSE) * C2202+I2202)),""))</f>
        <v>53000</v>
      </c>
      <c r="K2202" s="196"/>
      <c r="L2202" s="87">
        <v>932.0</v>
      </c>
      <c r="M2202" s="197" t="s">
        <v>587</v>
      </c>
      <c r="N2202" s="168"/>
    </row>
    <row r="2203" ht="22.5" hidden="1" customHeight="1">
      <c r="A2203" s="137" t="s">
        <v>1069</v>
      </c>
      <c r="B2203" s="90">
        <v>46120.0</v>
      </c>
      <c r="C2203" s="55">
        <v>1.0</v>
      </c>
      <c r="D2203" s="97" t="s">
        <v>176</v>
      </c>
      <c r="E2203" s="243"/>
      <c r="F2203" s="236" t="s">
        <v>1036</v>
      </c>
      <c r="G2203" s="194" t="s">
        <v>35</v>
      </c>
      <c r="H2203" s="198"/>
      <c r="I2203" s="196"/>
      <c r="J2203" s="179">
        <f>IF(A2203="RAPPI",(VLOOKUP(TRIM(D2203), CATALOGO!F:G, 2, FALSE) * C2203)+I2203,IFERROR(IF(COUNTIF('RESTAURANTESDESCUENTOS 2026'!A:A,TRIM(A2203))&gt;0,((VLOOKUP(TRIM(D2203), CATALOGO!A:B, 2, FALSE) * C2203)*(1-VALUE(SUBSTITUTE(VLOOKUP(TRIM(A2203),'RESTAURANTESDESCUENTOS 2026'!A:B,2,FALSE),"%",""))/100)+I2203),(VLOOKUP(TRIM(D2203), CATALOGO!A:B, 2, FALSE) * C2203+I2203)),""))</f>
        <v>50000</v>
      </c>
      <c r="K2203" s="196"/>
      <c r="L2203" s="87">
        <v>932.0</v>
      </c>
      <c r="M2203" s="197" t="s">
        <v>587</v>
      </c>
      <c r="N2203" s="168"/>
    </row>
    <row r="2204" ht="22.5" hidden="1" customHeight="1">
      <c r="A2204" s="137" t="s">
        <v>1069</v>
      </c>
      <c r="B2204" s="90">
        <v>46120.0</v>
      </c>
      <c r="C2204" s="55">
        <v>1.0</v>
      </c>
      <c r="D2204" s="97" t="s">
        <v>174</v>
      </c>
      <c r="E2204" s="243"/>
      <c r="F2204" s="236" t="s">
        <v>1036</v>
      </c>
      <c r="G2204" s="194" t="s">
        <v>35</v>
      </c>
      <c r="H2204" s="198"/>
      <c r="I2204" s="196"/>
      <c r="J2204" s="179">
        <f>IF(A2204="RAPPI",(VLOOKUP(TRIM(D2204), CATALOGO!F:G, 2, FALSE) * C2204)+I2204,IFERROR(IF(COUNTIF('RESTAURANTESDESCUENTOS 2026'!A:A,TRIM(A2204))&gt;0,((VLOOKUP(TRIM(D2204), CATALOGO!A:B, 2, FALSE) * C2204)*(1-VALUE(SUBSTITUTE(VLOOKUP(TRIM(A2204),'RESTAURANTESDESCUENTOS 2026'!A:B,2,FALSE),"%",""))/100)+I2204),(VLOOKUP(TRIM(D2204), CATALOGO!A:B, 2, FALSE) * C2204+I2204)),""))</f>
        <v>18000</v>
      </c>
      <c r="K2204" s="196"/>
      <c r="L2204" s="87">
        <v>932.0</v>
      </c>
      <c r="M2204" s="197" t="s">
        <v>587</v>
      </c>
      <c r="N2204" s="168"/>
    </row>
    <row r="2205" ht="22.5" hidden="1" customHeight="1">
      <c r="A2205" s="137" t="s">
        <v>1325</v>
      </c>
      <c r="B2205" s="90">
        <v>46121.0</v>
      </c>
      <c r="C2205" s="55">
        <v>1.0</v>
      </c>
      <c r="D2205" s="97" t="s">
        <v>189</v>
      </c>
      <c r="E2205" s="243" t="s">
        <v>1326</v>
      </c>
      <c r="F2205" s="236" t="s">
        <v>1035</v>
      </c>
      <c r="G2205" s="194" t="s">
        <v>587</v>
      </c>
      <c r="H2205" s="195" t="s">
        <v>632</v>
      </c>
      <c r="I2205" s="196">
        <v>10000.0</v>
      </c>
      <c r="J2205" s="179">
        <f>IF(A2205="RAPPI",(VLOOKUP(TRIM(D2205), CATALOGO!F:G, 2, FALSE) * C2205)+I2205,IFERROR(IF(COUNTIF('RESTAURANTESDESCUENTOS 2026'!A:A,TRIM(A2205))&gt;0,((VLOOKUP(TRIM(D2205), CATALOGO!A:B, 2, FALSE) * C2205)*(1-VALUE(SUBSTITUTE(VLOOKUP(TRIM(A2205),'RESTAURANTESDESCUENTOS 2026'!A:B,2,FALSE),"%",""))/100)+I2205),(VLOOKUP(TRIM(D2205), CATALOGO!A:B, 2, FALSE) * C2205+I2205)),""))</f>
        <v>155000</v>
      </c>
      <c r="K2205" s="196">
        <v>10000.0</v>
      </c>
      <c r="L2205" s="87">
        <v>949.0</v>
      </c>
      <c r="M2205" s="197" t="s">
        <v>587</v>
      </c>
      <c r="N2205" s="168"/>
    </row>
    <row r="2206" ht="22.5" hidden="1" customHeight="1">
      <c r="A2206" s="137" t="s">
        <v>103</v>
      </c>
      <c r="B2206" s="90">
        <v>46121.0</v>
      </c>
      <c r="C2206" s="55">
        <v>1.0</v>
      </c>
      <c r="D2206" s="97" t="s">
        <v>178</v>
      </c>
      <c r="E2206" s="243" t="s">
        <v>28</v>
      </c>
      <c r="F2206" s="202"/>
      <c r="G2206" s="194" t="s">
        <v>35</v>
      </c>
      <c r="H2206" s="198"/>
      <c r="I2206" s="196">
        <v>0.0</v>
      </c>
      <c r="J2206" s="179">
        <f>IF(A2206="RAPPI",(VLOOKUP(TRIM(D2206), CATALOGO!F:G, 2, FALSE) * C2206)+I2206,IFERROR(IF(COUNTIF('RESTAURANTESDESCUENTOS 2026'!A:A,TRIM(A2206))&gt;0,((VLOOKUP(TRIM(D2206), CATALOGO!A:B, 2, FALSE) * C2206)*(1-VALUE(SUBSTITUTE(VLOOKUP(TRIM(A2206),'RESTAURANTESDESCUENTOS 2026'!A:B,2,FALSE),"%",""))/100)+I2206),(VLOOKUP(TRIM(D2206), CATALOGO!A:B, 2, FALSE) * C2206+I2206)),""))</f>
        <v>105000</v>
      </c>
      <c r="K2206" s="196">
        <v>0.0</v>
      </c>
      <c r="L2206" s="87">
        <v>939.0</v>
      </c>
      <c r="M2206" s="197" t="s">
        <v>587</v>
      </c>
      <c r="N2206" s="168"/>
    </row>
    <row r="2207" ht="22.5" hidden="1" customHeight="1">
      <c r="A2207" s="137" t="s">
        <v>123</v>
      </c>
      <c r="B2207" s="90">
        <v>46121.0</v>
      </c>
      <c r="C2207" s="55">
        <v>1.0</v>
      </c>
      <c r="D2207" s="97" t="s">
        <v>124</v>
      </c>
      <c r="E2207" s="201"/>
      <c r="F2207" s="202"/>
      <c r="G2207" s="194" t="s">
        <v>587</v>
      </c>
      <c r="H2207" s="195" t="s">
        <v>632</v>
      </c>
      <c r="I2207" s="196">
        <v>0.0</v>
      </c>
      <c r="J2207" s="179">
        <f>IF(A2207="RAPPI",(VLOOKUP(TRIM(D2207), CATALOGO!F:G, 2, FALSE) * C2207)+I2207,IFERROR(IF(COUNTIF('RESTAURANTESDESCUENTOS 2026'!A:A,TRIM(A2207))&gt;0,((VLOOKUP(TRIM(D2207), CATALOGO!A:B, 2, FALSE) * C2207)*(1-VALUE(SUBSTITUTE(VLOOKUP(TRIM(A2207),'RESTAURANTESDESCUENTOS 2026'!A:B,2,FALSE),"%",""))/100)+I2207),(VLOOKUP(TRIM(D2207), CATALOGO!A:B, 2, FALSE) * C2207+I2207)),""))</f>
        <v>64000</v>
      </c>
      <c r="K2207" s="196">
        <v>12000.0</v>
      </c>
      <c r="L2207" s="87">
        <v>943.0</v>
      </c>
      <c r="M2207" s="197" t="s">
        <v>587</v>
      </c>
      <c r="N2207" s="168"/>
    </row>
    <row r="2208" ht="22.5" hidden="1" customHeight="1">
      <c r="A2208" s="137" t="s">
        <v>123</v>
      </c>
      <c r="B2208" s="90">
        <v>46121.0</v>
      </c>
      <c r="C2208" s="55">
        <v>1.0</v>
      </c>
      <c r="D2208" s="97" t="s">
        <v>126</v>
      </c>
      <c r="E2208" s="201"/>
      <c r="F2208" s="202"/>
      <c r="G2208" s="194" t="s">
        <v>587</v>
      </c>
      <c r="H2208" s="195" t="s">
        <v>632</v>
      </c>
      <c r="I2208" s="196">
        <v>0.0</v>
      </c>
      <c r="J2208" s="179">
        <f>IF(A2208="RAPPI",(VLOOKUP(TRIM(D2208), CATALOGO!F:G, 2, FALSE) * C2208)+I2208,IFERROR(IF(COUNTIF('RESTAURANTESDESCUENTOS 2026'!A:A,TRIM(A2208))&gt;0,((VLOOKUP(TRIM(D2208), CATALOGO!A:B, 2, FALSE) * C2208)*(1-VALUE(SUBSTITUTE(VLOOKUP(TRIM(A2208),'RESTAURANTESDESCUENTOS 2026'!A:B,2,FALSE),"%",""))/100)+I2208),(VLOOKUP(TRIM(D2208), CATALOGO!A:B, 2, FALSE) * C2208+I2208)),""))</f>
        <v>64000</v>
      </c>
      <c r="K2208" s="196">
        <v>0.0</v>
      </c>
      <c r="L2208" s="87">
        <v>943.0</v>
      </c>
      <c r="M2208" s="197" t="s">
        <v>587</v>
      </c>
      <c r="N2208" s="168"/>
    </row>
    <row r="2209" ht="22.5" hidden="1" customHeight="1">
      <c r="A2209" s="137" t="s">
        <v>123</v>
      </c>
      <c r="B2209" s="90">
        <v>46121.0</v>
      </c>
      <c r="C2209" s="55">
        <v>1.0</v>
      </c>
      <c r="D2209" s="97" t="s">
        <v>127</v>
      </c>
      <c r="E2209" s="201"/>
      <c r="F2209" s="202"/>
      <c r="G2209" s="194" t="s">
        <v>587</v>
      </c>
      <c r="H2209" s="195" t="s">
        <v>632</v>
      </c>
      <c r="I2209" s="196">
        <v>0.0</v>
      </c>
      <c r="J2209" s="179">
        <f>IF(A2209="RAPPI",(VLOOKUP(TRIM(D2209), CATALOGO!F:G, 2, FALSE) * C2209)+I2209,IFERROR(IF(COUNTIF('RESTAURANTESDESCUENTOS 2026'!A:A,TRIM(A2209))&gt;0,((VLOOKUP(TRIM(D2209), CATALOGO!A:B, 2, FALSE) * C2209)*(1-VALUE(SUBSTITUTE(VLOOKUP(TRIM(A2209),'RESTAURANTESDESCUENTOS 2026'!A:B,2,FALSE),"%",""))/100)+I2209),(VLOOKUP(TRIM(D2209), CATALOGO!A:B, 2, FALSE) * C2209+I2209)),""))</f>
        <v>64000</v>
      </c>
      <c r="K2209" s="196">
        <v>0.0</v>
      </c>
      <c r="L2209" s="87">
        <v>943.0</v>
      </c>
      <c r="M2209" s="197" t="s">
        <v>587</v>
      </c>
      <c r="N2209" s="168"/>
    </row>
    <row r="2210" ht="22.5" hidden="1" customHeight="1">
      <c r="A2210" s="137" t="s">
        <v>1327</v>
      </c>
      <c r="B2210" s="90">
        <v>46121.0</v>
      </c>
      <c r="C2210" s="55">
        <v>27.0</v>
      </c>
      <c r="D2210" s="97" t="s">
        <v>183</v>
      </c>
      <c r="E2210" s="201"/>
      <c r="F2210" s="202"/>
      <c r="G2210" s="194" t="s">
        <v>587</v>
      </c>
      <c r="H2210" s="195" t="s">
        <v>632</v>
      </c>
      <c r="I2210" s="196">
        <v>0.0</v>
      </c>
      <c r="J2210" s="179">
        <f>IF(A2210="RAPPI",(VLOOKUP(TRIM(D2210), CATALOGO!F:G, 2, FALSE) * C2210)+I2210,IFERROR(IF(COUNTIF('RESTAURANTESDESCUENTOS 2026'!A:A,TRIM(A2210))&gt;0,((VLOOKUP(TRIM(D2210), CATALOGO!A:B, 2, FALSE) * C2210)*(1-VALUE(SUBSTITUTE(VLOOKUP(TRIM(A2210),'RESTAURANTESDESCUENTOS 2026'!A:B,2,FALSE),"%",""))/100)+I2210),(VLOOKUP(TRIM(D2210), CATALOGO!A:B, 2, FALSE) * C2210+I2210)),""))</f>
        <v>415800</v>
      </c>
      <c r="K2210" s="196">
        <v>10000.0</v>
      </c>
      <c r="L2210" s="87">
        <v>942.0</v>
      </c>
      <c r="M2210" s="197" t="s">
        <v>587</v>
      </c>
      <c r="N2210" s="168"/>
    </row>
    <row r="2211" ht="22.5" hidden="1" customHeight="1">
      <c r="A2211" s="137" t="s">
        <v>1327</v>
      </c>
      <c r="B2211" s="90">
        <v>46121.0</v>
      </c>
      <c r="C2211" s="55">
        <v>6.0</v>
      </c>
      <c r="D2211" s="97" t="s">
        <v>184</v>
      </c>
      <c r="E2211" s="201"/>
      <c r="F2211" s="202"/>
      <c r="G2211" s="194" t="s">
        <v>587</v>
      </c>
      <c r="H2211" s="195" t="s">
        <v>632</v>
      </c>
      <c r="I2211" s="196">
        <v>0.0</v>
      </c>
      <c r="J2211" s="179">
        <f>IF(A2211="RAPPI",(VLOOKUP(TRIM(D2211), CATALOGO!F:G, 2, FALSE) * C2211)+I2211,IFERROR(IF(COUNTIF('RESTAURANTESDESCUENTOS 2026'!A:A,TRIM(A2211))&gt;0,((VLOOKUP(TRIM(D2211), CATALOGO!A:B, 2, FALSE) * C2211)*(1-VALUE(SUBSTITUTE(VLOOKUP(TRIM(A2211),'RESTAURANTESDESCUENTOS 2026'!A:B,2,FALSE),"%",""))/100)+I2211),(VLOOKUP(TRIM(D2211), CATALOGO!A:B, 2, FALSE) * C2211+I2211)),""))</f>
        <v>144000</v>
      </c>
      <c r="K2211" s="196">
        <v>0.0</v>
      </c>
      <c r="L2211" s="87">
        <v>942.0</v>
      </c>
      <c r="M2211" s="197" t="s">
        <v>587</v>
      </c>
      <c r="N2211" s="168"/>
    </row>
    <row r="2212" ht="22.5" hidden="1" customHeight="1">
      <c r="A2212" s="137" t="s">
        <v>116</v>
      </c>
      <c r="B2212" s="90">
        <v>46121.0</v>
      </c>
      <c r="C2212" s="55">
        <v>6.0</v>
      </c>
      <c r="D2212" s="97" t="s">
        <v>183</v>
      </c>
      <c r="E2212" s="201"/>
      <c r="F2212" s="202"/>
      <c r="G2212" s="194" t="s">
        <v>587</v>
      </c>
      <c r="H2212" s="195" t="s">
        <v>632</v>
      </c>
      <c r="I2212" s="196">
        <v>0.0</v>
      </c>
      <c r="J2212" s="179">
        <f>IF(A2212="RAPPI",(VLOOKUP(TRIM(D2212), CATALOGO!F:G, 2, FALSE) * C2212)+I2212,IFERROR(IF(COUNTIF('RESTAURANTESDESCUENTOS 2026'!A:A,TRIM(A2212))&gt;0,((VLOOKUP(TRIM(D2212), CATALOGO!A:B, 2, FALSE) * C2212)*(1-VALUE(SUBSTITUTE(VLOOKUP(TRIM(A2212),'RESTAURANTESDESCUENTOS 2026'!A:B,2,FALSE),"%",""))/100)+I2212),(VLOOKUP(TRIM(D2212), CATALOGO!A:B, 2, FALSE) * C2212+I2212)),""))</f>
        <v>92400</v>
      </c>
      <c r="K2212" s="196">
        <v>10000.0</v>
      </c>
      <c r="L2212" s="87">
        <v>941.0</v>
      </c>
      <c r="M2212" s="197" t="s">
        <v>587</v>
      </c>
      <c r="N2212" s="168"/>
    </row>
    <row r="2213" ht="22.5" hidden="1" customHeight="1">
      <c r="A2213" s="137" t="s">
        <v>116</v>
      </c>
      <c r="B2213" s="90">
        <v>46121.0</v>
      </c>
      <c r="C2213" s="55">
        <v>3.0</v>
      </c>
      <c r="D2213" s="97" t="s">
        <v>185</v>
      </c>
      <c r="E2213" s="201"/>
      <c r="F2213" s="202"/>
      <c r="G2213" s="194" t="s">
        <v>587</v>
      </c>
      <c r="H2213" s="195" t="s">
        <v>632</v>
      </c>
      <c r="I2213" s="196">
        <v>0.0</v>
      </c>
      <c r="J2213" s="179">
        <f>IF(A2213="RAPPI",(VLOOKUP(TRIM(D2213), CATALOGO!F:G, 2, FALSE) * C2213)+I2213,IFERROR(IF(COUNTIF('RESTAURANTESDESCUENTOS 2026'!A:A,TRIM(A2213))&gt;0,((VLOOKUP(TRIM(D2213), CATALOGO!A:B, 2, FALSE) * C2213)*(1-VALUE(SUBSTITUTE(VLOOKUP(TRIM(A2213),'RESTAURANTESDESCUENTOS 2026'!A:B,2,FALSE),"%",""))/100)+I2213),(VLOOKUP(TRIM(D2213), CATALOGO!A:B, 2, FALSE) * C2213+I2213)),""))</f>
        <v>52800</v>
      </c>
      <c r="K2213" s="196">
        <v>0.0</v>
      </c>
      <c r="L2213" s="87">
        <v>941.0</v>
      </c>
      <c r="M2213" s="197" t="s">
        <v>587</v>
      </c>
      <c r="N2213" s="168"/>
    </row>
    <row r="2214" ht="22.5" hidden="1" customHeight="1">
      <c r="A2214" s="137" t="s">
        <v>116</v>
      </c>
      <c r="B2214" s="90">
        <v>46121.0</v>
      </c>
      <c r="C2214" s="55">
        <v>3.0</v>
      </c>
      <c r="D2214" s="97" t="s">
        <v>184</v>
      </c>
      <c r="E2214" s="201"/>
      <c r="F2214" s="202"/>
      <c r="G2214" s="194" t="s">
        <v>587</v>
      </c>
      <c r="H2214" s="195" t="s">
        <v>632</v>
      </c>
      <c r="I2214" s="196">
        <v>0.0</v>
      </c>
      <c r="J2214" s="179">
        <f>IF(A2214="RAPPI",(VLOOKUP(TRIM(D2214), CATALOGO!F:G, 2, FALSE) * C2214)+I2214,IFERROR(IF(COUNTIF('RESTAURANTESDESCUENTOS 2026'!A:A,TRIM(A2214))&gt;0,((VLOOKUP(TRIM(D2214), CATALOGO!A:B, 2, FALSE) * C2214)*(1-VALUE(SUBSTITUTE(VLOOKUP(TRIM(A2214),'RESTAURANTESDESCUENTOS 2026'!A:B,2,FALSE),"%",""))/100)+I2214),(VLOOKUP(TRIM(D2214), CATALOGO!A:B, 2, FALSE) * C2214+I2214)),""))</f>
        <v>72000</v>
      </c>
      <c r="K2214" s="196">
        <v>0.0</v>
      </c>
      <c r="L2214" s="87">
        <v>941.0</v>
      </c>
      <c r="M2214" s="197" t="s">
        <v>587</v>
      </c>
      <c r="N2214" s="168"/>
    </row>
    <row r="2215" ht="22.5" hidden="1" customHeight="1">
      <c r="A2215" s="137" t="s">
        <v>65</v>
      </c>
      <c r="B2215" s="90">
        <v>46121.0</v>
      </c>
      <c r="C2215" s="55">
        <v>1.0</v>
      </c>
      <c r="D2215" s="97" t="s">
        <v>178</v>
      </c>
      <c r="E2215" s="201" t="s">
        <v>14</v>
      </c>
      <c r="F2215" s="202"/>
      <c r="G2215" s="194" t="s">
        <v>587</v>
      </c>
      <c r="H2215" s="195" t="s">
        <v>632</v>
      </c>
      <c r="I2215" s="196">
        <v>0.0</v>
      </c>
      <c r="J2215" s="179">
        <f>IF(A2215="RAPPI",(VLOOKUP(TRIM(D2215), CATALOGO!F:G, 2, FALSE) * C2215)+I2215,IFERROR(IF(COUNTIF('RESTAURANTESDESCUENTOS 2026'!A:A,TRIM(A2215))&gt;0,((VLOOKUP(TRIM(D2215), CATALOGO!A:B, 2, FALSE) * C2215)*(1-VALUE(SUBSTITUTE(VLOOKUP(TRIM(A2215),'RESTAURANTESDESCUENTOS 2026'!A:B,2,FALSE),"%",""))/100)+I2215),(VLOOKUP(TRIM(D2215), CATALOGO!A:B, 2, FALSE) * C2215+I2215)),""))</f>
        <v>112500</v>
      </c>
      <c r="K2215" s="196"/>
      <c r="L2215" s="87">
        <v>944.0</v>
      </c>
      <c r="M2215" s="197" t="s">
        <v>587</v>
      </c>
      <c r="N2215" s="168"/>
    </row>
    <row r="2216" ht="22.5" hidden="1" customHeight="1">
      <c r="A2216" s="137" t="s">
        <v>65</v>
      </c>
      <c r="B2216" s="90">
        <v>46121.0</v>
      </c>
      <c r="C2216" s="55">
        <v>200.0</v>
      </c>
      <c r="D2216" s="97" t="s">
        <v>620</v>
      </c>
      <c r="E2216" s="201"/>
      <c r="F2216" s="202"/>
      <c r="G2216" s="194" t="s">
        <v>587</v>
      </c>
      <c r="H2216" s="195" t="s">
        <v>632</v>
      </c>
      <c r="I2216" s="196">
        <v>0.0</v>
      </c>
      <c r="J2216" s="179">
        <f>200*110</f>
        <v>22000</v>
      </c>
      <c r="K2216" s="196"/>
      <c r="L2216" s="87">
        <v>944.0</v>
      </c>
      <c r="M2216" s="197" t="s">
        <v>587</v>
      </c>
      <c r="N2216" s="168"/>
    </row>
    <row r="2217" ht="22.5" hidden="1" customHeight="1">
      <c r="A2217" s="137" t="s">
        <v>67</v>
      </c>
      <c r="B2217" s="90">
        <v>46121.0</v>
      </c>
      <c r="C2217" s="55">
        <v>1.0</v>
      </c>
      <c r="D2217" s="97" t="s">
        <v>178</v>
      </c>
      <c r="E2217" s="201" t="s">
        <v>14</v>
      </c>
      <c r="F2217" s="202"/>
      <c r="G2217" s="194" t="s">
        <v>587</v>
      </c>
      <c r="H2217" s="198"/>
      <c r="I2217" s="196">
        <v>0.0</v>
      </c>
      <c r="J2217" s="179">
        <f>IF(A2217="RAPPI",(VLOOKUP(TRIM(D2217), CATALOGO!F:G, 2, FALSE) * C2217)+I2217,IFERROR(IF(COUNTIF('RESTAURANTESDESCUENTOS 2026'!A:A,TRIM(A2217))&gt;0,((VLOOKUP(TRIM(D2217), CATALOGO!A:B, 2, FALSE) * C2217)*(1-VALUE(SUBSTITUTE(VLOOKUP(TRIM(A2217),'RESTAURANTESDESCUENTOS 2026'!A:B,2,FALSE),"%",""))/100)+I2217),(VLOOKUP(TRIM(D2217), CATALOGO!A:B, 2, FALSE) * C2217+I2217)),""))</f>
        <v>112500</v>
      </c>
      <c r="K2217" s="196"/>
      <c r="L2217" s="87">
        <v>945.0</v>
      </c>
      <c r="M2217" s="197" t="s">
        <v>587</v>
      </c>
      <c r="N2217" s="168"/>
    </row>
    <row r="2218" ht="22.5" hidden="1" customHeight="1">
      <c r="A2218" s="137" t="s">
        <v>67</v>
      </c>
      <c r="B2218" s="90">
        <v>46121.0</v>
      </c>
      <c r="C2218" s="55">
        <v>200.0</v>
      </c>
      <c r="D2218" s="97" t="s">
        <v>620</v>
      </c>
      <c r="E2218" s="201"/>
      <c r="F2218" s="202"/>
      <c r="G2218" s="194" t="s">
        <v>587</v>
      </c>
      <c r="H2218" s="198"/>
      <c r="I2218" s="196">
        <v>0.0</v>
      </c>
      <c r="J2218" s="179">
        <f>200*110</f>
        <v>22000</v>
      </c>
      <c r="K2218" s="196"/>
      <c r="L2218" s="87">
        <v>945.0</v>
      </c>
      <c r="M2218" s="197" t="s">
        <v>587</v>
      </c>
      <c r="N2218" s="168"/>
    </row>
    <row r="2219" ht="22.5" hidden="1" customHeight="1">
      <c r="A2219" s="137" t="s">
        <v>1328</v>
      </c>
      <c r="B2219" s="90">
        <v>46121.0</v>
      </c>
      <c r="C2219" s="55">
        <v>1.0</v>
      </c>
      <c r="D2219" s="97" t="s">
        <v>207</v>
      </c>
      <c r="E2219" s="201"/>
      <c r="F2219" s="236" t="s">
        <v>1035</v>
      </c>
      <c r="G2219" s="194" t="s">
        <v>587</v>
      </c>
      <c r="H2219" s="195" t="s">
        <v>632</v>
      </c>
      <c r="I2219" s="196">
        <v>12000.0</v>
      </c>
      <c r="J2219" s="179">
        <f>IF(A2219="RAPPI",(VLOOKUP(TRIM(D2219), CATALOGO!F:G, 2, FALSE) * C2219)+I2219,IFERROR(IF(COUNTIF('RESTAURANTESDESCUENTOS 2026'!A:A,TRIM(A2219))&gt;0,((VLOOKUP(TRIM(D2219), CATALOGO!A:B, 2, FALSE) * C2219)*(1-VALUE(SUBSTITUTE(VLOOKUP(TRIM(A2219),'RESTAURANTESDESCUENTOS 2026'!A:B,2,FALSE),"%",""))/100)+I2219),(VLOOKUP(TRIM(D2219), CATALOGO!A:B, 2, FALSE) * C2219+I2219)),""))</f>
        <v>34000</v>
      </c>
      <c r="K2219" s="196">
        <v>12000.0</v>
      </c>
      <c r="L2219" s="87">
        <v>950.0</v>
      </c>
      <c r="M2219" s="197" t="s">
        <v>587</v>
      </c>
      <c r="N2219" s="168"/>
    </row>
    <row r="2220" ht="22.5" hidden="1" customHeight="1">
      <c r="A2220" s="137" t="s">
        <v>1328</v>
      </c>
      <c r="B2220" s="90">
        <v>46121.0</v>
      </c>
      <c r="C2220" s="55">
        <v>1.0</v>
      </c>
      <c r="D2220" s="97" t="s">
        <v>206</v>
      </c>
      <c r="E2220" s="201"/>
      <c r="F2220" s="236" t="s">
        <v>1035</v>
      </c>
      <c r="G2220" s="194" t="s">
        <v>587</v>
      </c>
      <c r="H2220" s="195" t="s">
        <v>632</v>
      </c>
      <c r="I2220" s="196">
        <v>0.0</v>
      </c>
      <c r="J2220" s="179">
        <f>IF(A2220="RAPPI",(VLOOKUP(TRIM(D2220), CATALOGO!F:G, 2, FALSE) * C2220)+I2220,IFERROR(IF(COUNTIF('RESTAURANTESDESCUENTOS 2026'!A:A,TRIM(A2220))&gt;0,((VLOOKUP(TRIM(D2220), CATALOGO!A:B, 2, FALSE) * C2220)*(1-VALUE(SUBSTITUTE(VLOOKUP(TRIM(A2220),'RESTAURANTESDESCUENTOS 2026'!A:B,2,FALSE),"%",""))/100)+I2220),(VLOOKUP(TRIM(D2220), CATALOGO!A:B, 2, FALSE) * C2220+I2220)),""))</f>
        <v>22000</v>
      </c>
      <c r="K2220" s="196">
        <v>0.0</v>
      </c>
      <c r="L2220" s="87">
        <v>950.0</v>
      </c>
      <c r="M2220" s="197" t="s">
        <v>587</v>
      </c>
      <c r="N2220" s="168"/>
    </row>
    <row r="2221" ht="22.5" hidden="1" customHeight="1">
      <c r="A2221" s="137" t="s">
        <v>1328</v>
      </c>
      <c r="B2221" s="90">
        <v>46121.0</v>
      </c>
      <c r="C2221" s="55">
        <v>1.0</v>
      </c>
      <c r="D2221" s="97" t="s">
        <v>209</v>
      </c>
      <c r="E2221" s="201"/>
      <c r="F2221" s="236" t="s">
        <v>1035</v>
      </c>
      <c r="G2221" s="194" t="s">
        <v>587</v>
      </c>
      <c r="H2221" s="195" t="s">
        <v>632</v>
      </c>
      <c r="I2221" s="196">
        <v>0.0</v>
      </c>
      <c r="J2221" s="179">
        <f>IF(A2221="RAPPI",(VLOOKUP(TRIM(D2221), CATALOGO!F:G, 2, FALSE) * C2221)+I2221,IFERROR(IF(COUNTIF('RESTAURANTESDESCUENTOS 2026'!A:A,TRIM(A2221))&gt;0,((VLOOKUP(TRIM(D2221), CATALOGO!A:B, 2, FALSE) * C2221)*(1-VALUE(SUBSTITUTE(VLOOKUP(TRIM(A2221),'RESTAURANTESDESCUENTOS 2026'!A:B,2,FALSE),"%",""))/100)+I2221),(VLOOKUP(TRIM(D2221), CATALOGO!A:B, 2, FALSE) * C2221+I2221)),""))</f>
        <v>22000</v>
      </c>
      <c r="K2221" s="196">
        <v>0.0</v>
      </c>
      <c r="L2221" s="87">
        <v>950.0</v>
      </c>
      <c r="M2221" s="197" t="s">
        <v>587</v>
      </c>
      <c r="N2221" s="168"/>
    </row>
    <row r="2222" ht="22.5" hidden="1" customHeight="1">
      <c r="A2222" s="137" t="s">
        <v>1328</v>
      </c>
      <c r="B2222" s="90">
        <v>46121.0</v>
      </c>
      <c r="C2222" s="55">
        <v>1.0</v>
      </c>
      <c r="D2222" s="97" t="s">
        <v>208</v>
      </c>
      <c r="E2222" s="201"/>
      <c r="F2222" s="236" t="s">
        <v>1035</v>
      </c>
      <c r="G2222" s="194" t="s">
        <v>587</v>
      </c>
      <c r="H2222" s="195" t="s">
        <v>632</v>
      </c>
      <c r="I2222" s="196">
        <v>0.0</v>
      </c>
      <c r="J2222" s="179">
        <f>IF(A2222="RAPPI",(VLOOKUP(TRIM(D2222), CATALOGO!F:G, 2, FALSE) * C2222)+I2222,IFERROR(IF(COUNTIF('RESTAURANTESDESCUENTOS 2026'!A:A,TRIM(A2222))&gt;0,((VLOOKUP(TRIM(D2222), CATALOGO!A:B, 2, FALSE) * C2222)*(1-VALUE(SUBSTITUTE(VLOOKUP(TRIM(A2222),'RESTAURANTESDESCUENTOS 2026'!A:B,2,FALSE),"%",""))/100)+I2222),(VLOOKUP(TRIM(D2222), CATALOGO!A:B, 2, FALSE) * C2222+I2222)),""))</f>
        <v>22000</v>
      </c>
      <c r="K2222" s="196"/>
      <c r="L2222" s="87">
        <v>950.0</v>
      </c>
      <c r="M2222" s="197" t="s">
        <v>587</v>
      </c>
      <c r="N2222" s="168"/>
    </row>
    <row r="2223" ht="22.5" hidden="1" customHeight="1">
      <c r="A2223" s="137" t="s">
        <v>1316</v>
      </c>
      <c r="B2223" s="90">
        <v>46121.0</v>
      </c>
      <c r="C2223" s="55"/>
      <c r="D2223" s="193"/>
      <c r="E2223" s="201"/>
      <c r="F2223" s="202"/>
      <c r="G2223" s="194" t="s">
        <v>587</v>
      </c>
      <c r="H2223" s="195" t="s">
        <v>588</v>
      </c>
      <c r="I2223" s="196">
        <v>0.0</v>
      </c>
      <c r="J2223" s="179" t="str">
        <f>IF(A2223="RAPPI",(VLOOKUP(TRIM(D2223), CATALOGO!F:G, 2, FALSE) * C2223)+I2223,IFERROR(IF(COUNTIF('RESTAURANTESDESCUENTOS 2026'!A:A,TRIM(A2223))&gt;0,((VLOOKUP(TRIM(D2223), CATALOGO!A:B, 2, FALSE) * C2223)*(1-VALUE(SUBSTITUTE(VLOOKUP(TRIM(A2223),'RESTAURANTESDESCUENTOS 2026'!A:B,2,FALSE),"%",""))/100)+I2223),(VLOOKUP(TRIM(D2223), CATALOGO!A:B, 2, FALSE) * C2223+I2223)),""))</f>
        <v/>
      </c>
      <c r="K2223" s="196">
        <v>13000.0</v>
      </c>
      <c r="L2223" s="87"/>
      <c r="M2223" s="197" t="s">
        <v>587</v>
      </c>
      <c r="N2223" s="168"/>
    </row>
    <row r="2224" ht="22.5" hidden="1" customHeight="1">
      <c r="A2224" s="137" t="s">
        <v>1069</v>
      </c>
      <c r="B2224" s="90">
        <v>46121.0</v>
      </c>
      <c r="C2224" s="55">
        <v>1.0</v>
      </c>
      <c r="D2224" s="97" t="s">
        <v>176</v>
      </c>
      <c r="E2224" s="201"/>
      <c r="F2224" s="236" t="s">
        <v>1035</v>
      </c>
      <c r="G2224" s="194" t="s">
        <v>35</v>
      </c>
      <c r="H2224" s="198"/>
      <c r="I2224" s="196"/>
      <c r="J2224" s="179">
        <f>IF(A2224="RAPPI",(VLOOKUP(TRIM(D2224), CATALOGO!F:G, 2, FALSE) * C2224)+I2224,IFERROR(IF(COUNTIF('RESTAURANTESDESCUENTOS 2026'!A:A,TRIM(A2224))&gt;0,((VLOOKUP(TRIM(D2224), CATALOGO!A:B, 2, FALSE) * C2224)*(1-VALUE(SUBSTITUTE(VLOOKUP(TRIM(A2224),'RESTAURANTESDESCUENTOS 2026'!A:B,2,FALSE),"%",""))/100)+I2224),(VLOOKUP(TRIM(D2224), CATALOGO!A:B, 2, FALSE) * C2224+I2224)),""))</f>
        <v>50000</v>
      </c>
      <c r="K2224" s="196"/>
      <c r="L2224" s="87">
        <v>948.0</v>
      </c>
      <c r="M2224" s="197" t="s">
        <v>587</v>
      </c>
      <c r="N2224" s="168"/>
    </row>
    <row r="2225" ht="22.5" hidden="1" customHeight="1">
      <c r="A2225" s="137" t="s">
        <v>1069</v>
      </c>
      <c r="B2225" s="90">
        <v>46121.0</v>
      </c>
      <c r="C2225" s="55">
        <v>1.0</v>
      </c>
      <c r="D2225" s="97" t="s">
        <v>174</v>
      </c>
      <c r="E2225" s="201"/>
      <c r="F2225" s="236" t="s">
        <v>1036</v>
      </c>
      <c r="G2225" s="194" t="s">
        <v>35</v>
      </c>
      <c r="H2225" s="198"/>
      <c r="I2225" s="196"/>
      <c r="J2225" s="179">
        <f>IF(A2225="RAPPI",(VLOOKUP(TRIM(D2225), CATALOGO!F:G, 2, FALSE) * C2225)+I2225,IFERROR(IF(COUNTIF('RESTAURANTESDESCUENTOS 2026'!A:A,TRIM(A2225))&gt;0,((VLOOKUP(TRIM(D2225), CATALOGO!A:B, 2, FALSE) * C2225)*(1-VALUE(SUBSTITUTE(VLOOKUP(TRIM(A2225),'RESTAURANTESDESCUENTOS 2026'!A:B,2,FALSE),"%",""))/100)+I2225),(VLOOKUP(TRIM(D2225), CATALOGO!A:B, 2, FALSE) * C2225+I2225)),""))</f>
        <v>18000</v>
      </c>
      <c r="K2225" s="196"/>
      <c r="L2225" s="87">
        <v>948.0</v>
      </c>
      <c r="M2225" s="197" t="s">
        <v>587</v>
      </c>
      <c r="N2225" s="168"/>
    </row>
    <row r="2226" ht="22.5" hidden="1" customHeight="1">
      <c r="A2226" s="137" t="s">
        <v>1329</v>
      </c>
      <c r="B2226" s="90">
        <v>46121.0</v>
      </c>
      <c r="C2226" s="55">
        <v>1.0</v>
      </c>
      <c r="D2226" s="97" t="s">
        <v>208</v>
      </c>
      <c r="E2226" s="201"/>
      <c r="F2226" s="236" t="s">
        <v>1035</v>
      </c>
      <c r="G2226" s="194" t="s">
        <v>587</v>
      </c>
      <c r="H2226" s="195" t="s">
        <v>632</v>
      </c>
      <c r="I2226" s="196">
        <v>10000.0</v>
      </c>
      <c r="J2226" s="179">
        <f>IF(A2226="RAPPI",(VLOOKUP(TRIM(D2226), CATALOGO!F:G, 2, FALSE) * C2226)+I2226,IFERROR(IF(COUNTIF('RESTAURANTESDESCUENTOS 2026'!A:A,TRIM(A2226))&gt;0,((VLOOKUP(TRIM(D2226), CATALOGO!A:B, 2, FALSE) * C2226)*(1-VALUE(SUBSTITUTE(VLOOKUP(TRIM(A2226),'RESTAURANTESDESCUENTOS 2026'!A:B,2,FALSE),"%",""))/100)+I2226),(VLOOKUP(TRIM(D2226), CATALOGO!A:B, 2, FALSE) * C2226+I2226)),""))</f>
        <v>32000</v>
      </c>
      <c r="K2226" s="196">
        <v>10000.0</v>
      </c>
      <c r="L2226" s="87">
        <v>951.0</v>
      </c>
      <c r="M2226" s="197" t="s">
        <v>587</v>
      </c>
      <c r="N2226" s="168"/>
    </row>
    <row r="2227" ht="22.5" hidden="1" customHeight="1">
      <c r="A2227" s="137" t="s">
        <v>1329</v>
      </c>
      <c r="B2227" s="90">
        <v>46121.0</v>
      </c>
      <c r="C2227" s="55">
        <v>1.0</v>
      </c>
      <c r="D2227" s="97" t="s">
        <v>174</v>
      </c>
      <c r="E2227" s="201"/>
      <c r="F2227" s="236" t="s">
        <v>1035</v>
      </c>
      <c r="G2227" s="194" t="s">
        <v>587</v>
      </c>
      <c r="H2227" s="195" t="s">
        <v>632</v>
      </c>
      <c r="I2227" s="196">
        <v>0.0</v>
      </c>
      <c r="J2227" s="179">
        <f>IF(A2227="RAPPI",(VLOOKUP(TRIM(D2227), CATALOGO!F:G, 2, FALSE) * C2227)+I2227,IFERROR(IF(COUNTIF('RESTAURANTESDESCUENTOS 2026'!A:A,TRIM(A2227))&gt;0,((VLOOKUP(TRIM(D2227), CATALOGO!A:B, 2, FALSE) * C2227)*(1-VALUE(SUBSTITUTE(VLOOKUP(TRIM(A2227),'RESTAURANTESDESCUENTOS 2026'!A:B,2,FALSE),"%",""))/100)+I2227),(VLOOKUP(TRIM(D2227), CATALOGO!A:B, 2, FALSE) * C2227+I2227)),""))</f>
        <v>18000</v>
      </c>
      <c r="K2227" s="196">
        <v>0.0</v>
      </c>
      <c r="L2227" s="87">
        <v>951.0</v>
      </c>
      <c r="M2227" s="197" t="s">
        <v>587</v>
      </c>
      <c r="N2227" s="168"/>
    </row>
    <row r="2228" ht="22.5" hidden="1" customHeight="1">
      <c r="A2228" s="137" t="s">
        <v>1330</v>
      </c>
      <c r="B2228" s="90">
        <v>46121.0</v>
      </c>
      <c r="C2228" s="55">
        <v>3.0</v>
      </c>
      <c r="D2228" s="97" t="s">
        <v>207</v>
      </c>
      <c r="E2228" s="201"/>
      <c r="F2228" s="236" t="s">
        <v>1035</v>
      </c>
      <c r="G2228" s="194" t="s">
        <v>587</v>
      </c>
      <c r="H2228" s="195" t="s">
        <v>632</v>
      </c>
      <c r="I2228" s="196">
        <v>10000.0</v>
      </c>
      <c r="J2228" s="179">
        <f>IF(A2228="RAPPI",(VLOOKUP(TRIM(D2228), CATALOGO!F:G, 2, FALSE) * C2228)+I2228,IFERROR(IF(COUNTIF('RESTAURANTESDESCUENTOS 2026'!A:A,TRIM(A2228))&gt;0,((VLOOKUP(TRIM(D2228), CATALOGO!A:B, 2, FALSE) * C2228)*(1-VALUE(SUBSTITUTE(VLOOKUP(TRIM(A2228),'RESTAURANTESDESCUENTOS 2026'!A:B,2,FALSE),"%",""))/100)+I2228),(VLOOKUP(TRIM(D2228), CATALOGO!A:B, 2, FALSE) * C2228+I2228)),""))</f>
        <v>76000</v>
      </c>
      <c r="K2228" s="196">
        <v>10000.0</v>
      </c>
      <c r="L2228" s="87">
        <v>952.0</v>
      </c>
      <c r="M2228" s="197" t="s">
        <v>587</v>
      </c>
      <c r="N2228" s="168"/>
    </row>
    <row r="2229" ht="22.5" hidden="1" customHeight="1">
      <c r="A2229" s="137" t="s">
        <v>1330</v>
      </c>
      <c r="B2229" s="90">
        <v>46121.0</v>
      </c>
      <c r="C2229" s="55">
        <v>1.0</v>
      </c>
      <c r="D2229" s="97" t="s">
        <v>206</v>
      </c>
      <c r="E2229" s="201"/>
      <c r="F2229" s="236" t="s">
        <v>1035</v>
      </c>
      <c r="G2229" s="194" t="s">
        <v>587</v>
      </c>
      <c r="H2229" s="195" t="s">
        <v>632</v>
      </c>
      <c r="I2229" s="196">
        <v>0.0</v>
      </c>
      <c r="J2229" s="179">
        <f>IF(A2229="RAPPI",(VLOOKUP(TRIM(D2229), CATALOGO!F:G, 2, FALSE) * C2229)+I2229,IFERROR(IF(COUNTIF('RESTAURANTESDESCUENTOS 2026'!A:A,TRIM(A2229))&gt;0,((VLOOKUP(TRIM(D2229), CATALOGO!A:B, 2, FALSE) * C2229)*(1-VALUE(SUBSTITUTE(VLOOKUP(TRIM(A2229),'RESTAURANTESDESCUENTOS 2026'!A:B,2,FALSE),"%",""))/100)+I2229),(VLOOKUP(TRIM(D2229), CATALOGO!A:B, 2, FALSE) * C2229+I2229)),""))</f>
        <v>22000</v>
      </c>
      <c r="K2229" s="196">
        <v>0.0</v>
      </c>
      <c r="L2229" s="87">
        <v>952.0</v>
      </c>
      <c r="M2229" s="197" t="s">
        <v>587</v>
      </c>
      <c r="N2229" s="168"/>
    </row>
    <row r="2230" ht="22.5" hidden="1" customHeight="1">
      <c r="A2230" s="137" t="s">
        <v>1331</v>
      </c>
      <c r="B2230" s="90">
        <v>46121.0</v>
      </c>
      <c r="C2230" s="55">
        <v>1.0</v>
      </c>
      <c r="D2230" s="97" t="s">
        <v>209</v>
      </c>
      <c r="E2230" s="201"/>
      <c r="F2230" s="236" t="s">
        <v>1035</v>
      </c>
      <c r="G2230" s="194" t="s">
        <v>587</v>
      </c>
      <c r="H2230" s="195" t="s">
        <v>632</v>
      </c>
      <c r="I2230" s="196">
        <v>10000.0</v>
      </c>
      <c r="J2230" s="179">
        <f>IF(A2230="RAPPI",(VLOOKUP(TRIM(D2230), CATALOGO!F:G, 2, FALSE) * C2230)+I2230,IFERROR(IF(COUNTIF('RESTAURANTESDESCUENTOS 2026'!A:A,TRIM(A2230))&gt;0,((VLOOKUP(TRIM(D2230), CATALOGO!A:B, 2, FALSE) * C2230)*(1-VALUE(SUBSTITUTE(VLOOKUP(TRIM(A2230),'RESTAURANTESDESCUENTOS 2026'!A:B,2,FALSE),"%",""))/100)+I2230),(VLOOKUP(TRIM(D2230), CATALOGO!A:B, 2, FALSE) * C2230+I2230)),""))</f>
        <v>32000</v>
      </c>
      <c r="K2230" s="196">
        <v>10000.0</v>
      </c>
      <c r="L2230" s="87">
        <v>953.0</v>
      </c>
      <c r="M2230" s="197" t="s">
        <v>587</v>
      </c>
      <c r="N2230" s="168"/>
    </row>
    <row r="2231" ht="22.5" hidden="1" customHeight="1">
      <c r="A2231" s="137" t="s">
        <v>1331</v>
      </c>
      <c r="B2231" s="90">
        <v>46121.0</v>
      </c>
      <c r="C2231" s="55">
        <v>4.0</v>
      </c>
      <c r="D2231" s="97" t="s">
        <v>174</v>
      </c>
      <c r="E2231" s="201"/>
      <c r="F2231" s="236" t="s">
        <v>1035</v>
      </c>
      <c r="G2231" s="194" t="s">
        <v>587</v>
      </c>
      <c r="H2231" s="195" t="s">
        <v>632</v>
      </c>
      <c r="I2231" s="196">
        <v>0.0</v>
      </c>
      <c r="J2231" s="179">
        <f>IF(A2231="RAPPI",(VLOOKUP(TRIM(D2231), CATALOGO!F:G, 2, FALSE) * C2231)+I2231,IFERROR(IF(COUNTIF('RESTAURANTESDESCUENTOS 2026'!A:A,TRIM(A2231))&gt;0,((VLOOKUP(TRIM(D2231), CATALOGO!A:B, 2, FALSE) * C2231)*(1-VALUE(SUBSTITUTE(VLOOKUP(TRIM(A2231),'RESTAURANTESDESCUENTOS 2026'!A:B,2,FALSE),"%",""))/100)+I2231),(VLOOKUP(TRIM(D2231), CATALOGO!A:B, 2, FALSE) * C2231+I2231)),""))</f>
        <v>72000</v>
      </c>
      <c r="K2231" s="196">
        <v>0.0</v>
      </c>
      <c r="L2231" s="87">
        <v>953.0</v>
      </c>
      <c r="M2231" s="197" t="s">
        <v>587</v>
      </c>
      <c r="N2231" s="168"/>
    </row>
    <row r="2232" ht="22.5" hidden="1" customHeight="1">
      <c r="A2232" s="137" t="s">
        <v>1332</v>
      </c>
      <c r="B2232" s="90">
        <v>46121.0</v>
      </c>
      <c r="C2232" s="55">
        <v>1.0</v>
      </c>
      <c r="D2232" s="97" t="s">
        <v>177</v>
      </c>
      <c r="E2232" s="201"/>
      <c r="F2232" s="236" t="s">
        <v>1035</v>
      </c>
      <c r="G2232" s="194" t="s">
        <v>587</v>
      </c>
      <c r="H2232" s="195" t="s">
        <v>632</v>
      </c>
      <c r="I2232" s="196">
        <v>10000.0</v>
      </c>
      <c r="J2232" s="179">
        <f>IF(A2232="RAPPI",(VLOOKUP(TRIM(D2232), CATALOGO!F:G, 2, FALSE) * C2232)+I2232,IFERROR(IF(COUNTIF('RESTAURANTESDESCUENTOS 2026'!A:A,TRIM(A2232))&gt;0,((VLOOKUP(TRIM(D2232), CATALOGO!A:B, 2, FALSE) * C2232)*(1-VALUE(SUBSTITUTE(VLOOKUP(TRIM(A2232),'RESTAURANTESDESCUENTOS 2026'!A:B,2,FALSE),"%",""))/100)+I2232),(VLOOKUP(TRIM(D2232), CATALOGO!A:B, 2, FALSE) * C2232+I2232)),""))</f>
        <v>125000</v>
      </c>
      <c r="K2232" s="196">
        <v>10000.0</v>
      </c>
      <c r="L2232" s="87">
        <v>954.0</v>
      </c>
      <c r="M2232" s="197" t="s">
        <v>587</v>
      </c>
      <c r="N2232" s="168"/>
    </row>
    <row r="2233" ht="22.5" hidden="1" customHeight="1">
      <c r="A2233" s="137" t="s">
        <v>1333</v>
      </c>
      <c r="B2233" s="90">
        <v>46121.0</v>
      </c>
      <c r="C2233" s="55">
        <v>1.0</v>
      </c>
      <c r="D2233" s="97" t="s">
        <v>177</v>
      </c>
      <c r="E2233" s="201"/>
      <c r="F2233" s="236" t="s">
        <v>1035</v>
      </c>
      <c r="G2233" s="194" t="s">
        <v>587</v>
      </c>
      <c r="H2233" s="195" t="s">
        <v>588</v>
      </c>
      <c r="I2233" s="196">
        <v>10000.0</v>
      </c>
      <c r="J2233" s="179">
        <f>IF(A2233="RAPPI",(VLOOKUP(TRIM(D2233), CATALOGO!F:G, 2, FALSE) * C2233)+I2233,IFERROR(IF(COUNTIF('RESTAURANTESDESCUENTOS 2026'!A:A,TRIM(A2233))&gt;0,((VLOOKUP(TRIM(D2233), CATALOGO!A:B, 2, FALSE) * C2233)*(1-VALUE(SUBSTITUTE(VLOOKUP(TRIM(A2233),'RESTAURANTESDESCUENTOS 2026'!A:B,2,FALSE),"%",""))/100)+I2233),(VLOOKUP(TRIM(D2233), CATALOGO!A:B, 2, FALSE) * C2233+I2233)),""))</f>
        <v>125000</v>
      </c>
      <c r="K2233" s="196">
        <v>13800.0</v>
      </c>
      <c r="L2233" s="87">
        <v>955.0</v>
      </c>
      <c r="M2233" s="197" t="s">
        <v>587</v>
      </c>
      <c r="N2233" s="168"/>
    </row>
    <row r="2234" ht="22.5" hidden="1" customHeight="1">
      <c r="A2234" s="137" t="s">
        <v>1333</v>
      </c>
      <c r="B2234" s="90">
        <v>46121.0</v>
      </c>
      <c r="C2234" s="55">
        <v>3.0</v>
      </c>
      <c r="D2234" s="97" t="s">
        <v>696</v>
      </c>
      <c r="E2234" s="201"/>
      <c r="F2234" s="236" t="s">
        <v>1035</v>
      </c>
      <c r="G2234" s="194" t="s">
        <v>587</v>
      </c>
      <c r="H2234" s="195" t="s">
        <v>588</v>
      </c>
      <c r="I2234" s="196">
        <v>0.0</v>
      </c>
      <c r="J2234" s="179">
        <f>IF(A2234="RAPPI",(VLOOKUP(TRIM(D2234), CATALOGO!F:G, 2, FALSE) * C2234)+I2234,IFERROR(IF(COUNTIF('RESTAURANTESDESCUENTOS 2026'!A:A,TRIM(A2234))&gt;0,((VLOOKUP(TRIM(D2234), CATALOGO!A:B, 2, FALSE) * C2234)*(1-VALUE(SUBSTITUTE(VLOOKUP(TRIM(A2234),'RESTAURANTESDESCUENTOS 2026'!A:B,2,FALSE),"%",""))/100)+I2234),(VLOOKUP(TRIM(D2234), CATALOGO!A:B, 2, FALSE) * C2234+I2234)),""))</f>
        <v>12000</v>
      </c>
      <c r="K2234" s="196">
        <v>0.0</v>
      </c>
      <c r="L2234" s="87">
        <v>955.0</v>
      </c>
      <c r="M2234" s="197" t="s">
        <v>587</v>
      </c>
      <c r="N2234" s="168"/>
    </row>
    <row r="2235" ht="22.5" hidden="1" customHeight="1">
      <c r="A2235" s="137" t="s">
        <v>1316</v>
      </c>
      <c r="B2235" s="90">
        <v>46121.0</v>
      </c>
      <c r="C2235" s="55">
        <v>1.0</v>
      </c>
      <c r="D2235" s="193"/>
      <c r="E2235" s="201"/>
      <c r="F2235" s="202"/>
      <c r="G2235" s="194" t="s">
        <v>587</v>
      </c>
      <c r="H2235" s="195" t="s">
        <v>632</v>
      </c>
      <c r="I2235" s="196">
        <v>0.0</v>
      </c>
      <c r="J2235" s="179" t="str">
        <f>IF(A2235="RAPPI",(VLOOKUP(TRIM(D2235), CATALOGO!F:G, 2, FALSE) * C2235)+I2235,IFERROR(IF(COUNTIF('RESTAURANTESDESCUENTOS 2026'!A:A,TRIM(A2235))&gt;0,((VLOOKUP(TRIM(D2235), CATALOGO!A:B, 2, FALSE) * C2235)*(1-VALUE(SUBSTITUTE(VLOOKUP(TRIM(A2235),'RESTAURANTESDESCUENTOS 2026'!A:B,2,FALSE),"%",""))/100)+I2235),(VLOOKUP(TRIM(D2235), CATALOGO!A:B, 2, FALSE) * C2235+I2235)),""))</f>
        <v/>
      </c>
      <c r="K2235" s="196">
        <v>12000.0</v>
      </c>
      <c r="L2235" s="87"/>
      <c r="M2235" s="197" t="s">
        <v>587</v>
      </c>
      <c r="N2235" s="168"/>
    </row>
    <row r="2236" ht="22.5" hidden="1" customHeight="1">
      <c r="A2236" s="137" t="s">
        <v>603</v>
      </c>
      <c r="B2236" s="90">
        <v>46121.0</v>
      </c>
      <c r="C2236" s="55">
        <v>1.0</v>
      </c>
      <c r="D2236" s="97" t="s">
        <v>601</v>
      </c>
      <c r="E2236" s="201"/>
      <c r="F2236" s="236" t="s">
        <v>603</v>
      </c>
      <c r="G2236" s="194" t="s">
        <v>587</v>
      </c>
      <c r="H2236" s="195" t="s">
        <v>603</v>
      </c>
      <c r="I2236" s="196">
        <v>0.0</v>
      </c>
      <c r="J2236" s="179">
        <f>IF(A2236="RAPPI",(VLOOKUP(TRIM(D2236), CATALOGO!F:G, 2, FALSE) * C2236)+I2236,IFERROR(IF(COUNTIF('RESTAURANTESDESCUENTOS 2026'!A:A,TRIM(A2236))&gt;0,((VLOOKUP(TRIM(D2236), CATALOGO!A:B, 2, FALSE) * C2236)*(1-VALUE(SUBSTITUTE(VLOOKUP(TRIM(A2236),'RESTAURANTESDESCUENTOS 2026'!A:B,2,FALSE),"%",""))/100)+I2236),(VLOOKUP(TRIM(D2236), CATALOGO!A:B, 2, FALSE) * C2236+I2236)),""))</f>
        <v>53000</v>
      </c>
      <c r="K2236" s="196"/>
      <c r="L2236" s="87">
        <v>947.0</v>
      </c>
      <c r="M2236" s="197" t="s">
        <v>587</v>
      </c>
      <c r="N2236" s="168"/>
    </row>
    <row r="2237" ht="22.5" hidden="1" customHeight="1">
      <c r="A2237" s="137" t="s">
        <v>603</v>
      </c>
      <c r="B2237" s="90">
        <v>46121.0</v>
      </c>
      <c r="C2237" s="55">
        <v>1.0</v>
      </c>
      <c r="D2237" s="97" t="s">
        <v>1334</v>
      </c>
      <c r="E2237" s="201"/>
      <c r="F2237" s="236" t="s">
        <v>603</v>
      </c>
      <c r="G2237" s="194" t="s">
        <v>587</v>
      </c>
      <c r="H2237" s="195" t="s">
        <v>603</v>
      </c>
      <c r="I2237" s="196"/>
      <c r="J2237" s="179">
        <f>IF(A2237="RAPPI",(VLOOKUP(TRIM(D2237), CATALOGO!F:G, 2, FALSE) * C2237)+I2237,IFERROR(IF(COUNTIF('RESTAURANTESDESCUENTOS 2026'!A:A,TRIM(A2237))&gt;0,((VLOOKUP(TRIM(D2237), CATALOGO!A:B, 2, FALSE) * C2237)*(1-VALUE(SUBSTITUTE(VLOOKUP(TRIM(A2237),'RESTAURANTESDESCUENTOS 2026'!A:B,2,FALSE),"%",""))/100)+I2237),(VLOOKUP(TRIM(D2237), CATALOGO!A:B, 2, FALSE) * C2237+I2237)),""))</f>
        <v>8000</v>
      </c>
      <c r="K2237" s="196"/>
      <c r="L2237" s="87">
        <v>947.0</v>
      </c>
      <c r="M2237" s="197" t="s">
        <v>587</v>
      </c>
      <c r="N2237" s="168"/>
    </row>
    <row r="2238" ht="22.5" hidden="1" customHeight="1">
      <c r="A2238" s="137" t="s">
        <v>603</v>
      </c>
      <c r="B2238" s="90">
        <v>46121.0</v>
      </c>
      <c r="C2238" s="55">
        <v>1.0</v>
      </c>
      <c r="D2238" s="97" t="s">
        <v>177</v>
      </c>
      <c r="E2238" s="201"/>
      <c r="F2238" s="236" t="s">
        <v>603</v>
      </c>
      <c r="G2238" s="194" t="s">
        <v>587</v>
      </c>
      <c r="H2238" s="195" t="s">
        <v>603</v>
      </c>
      <c r="I2238" s="196"/>
      <c r="J2238" s="179">
        <f>IF(A2238="RAPPI",(VLOOKUP(TRIM(D2238), CATALOGO!F:G, 2, FALSE) * C2238)+I2238,IFERROR(IF(COUNTIF('RESTAURANTESDESCUENTOS 2026'!A:A,TRIM(A2238))&gt;0,((VLOOKUP(TRIM(D2238), CATALOGO!A:B, 2, FALSE) * C2238)*(1-VALUE(SUBSTITUTE(VLOOKUP(TRIM(A2238),'RESTAURANTESDESCUENTOS 2026'!A:B,2,FALSE),"%",""))/100)+I2238),(VLOOKUP(TRIM(D2238), CATALOGO!A:B, 2, FALSE) * C2238+I2238)),""))</f>
        <v>115000</v>
      </c>
      <c r="K2238" s="196"/>
      <c r="L2238" s="87">
        <v>947.0</v>
      </c>
      <c r="M2238" s="197" t="s">
        <v>587</v>
      </c>
      <c r="N2238" s="168"/>
    </row>
    <row r="2239" ht="22.5" hidden="1" customHeight="1">
      <c r="A2239" s="137" t="s">
        <v>603</v>
      </c>
      <c r="B2239" s="90">
        <v>46121.0</v>
      </c>
      <c r="C2239" s="55">
        <v>1.0</v>
      </c>
      <c r="D2239" s="97" t="s">
        <v>177</v>
      </c>
      <c r="E2239" s="201"/>
      <c r="F2239" s="236" t="s">
        <v>603</v>
      </c>
      <c r="G2239" s="194" t="s">
        <v>587</v>
      </c>
      <c r="H2239" s="195" t="s">
        <v>603</v>
      </c>
      <c r="I2239" s="196"/>
      <c r="J2239" s="179">
        <f>IF(A2239="RAPPI",(VLOOKUP(TRIM(D2239), CATALOGO!F:G, 2, FALSE) * C2239)+I2239,IFERROR(IF(COUNTIF('RESTAURANTESDESCUENTOS 2026'!A:A,TRIM(A2239))&gt;0,((VLOOKUP(TRIM(D2239), CATALOGO!A:B, 2, FALSE) * C2239)*(1-VALUE(SUBSTITUTE(VLOOKUP(TRIM(A2239),'RESTAURANTESDESCUENTOS 2026'!A:B,2,FALSE),"%",""))/100)+I2239),(VLOOKUP(TRIM(D2239), CATALOGO!A:B, 2, FALSE) * C2239+I2239)),""))</f>
        <v>115000</v>
      </c>
      <c r="K2239" s="196"/>
      <c r="L2239" s="87">
        <v>947.0</v>
      </c>
      <c r="M2239" s="197" t="s">
        <v>587</v>
      </c>
      <c r="N2239" s="168"/>
    </row>
    <row r="2240" ht="22.5" hidden="1" customHeight="1">
      <c r="A2240" s="137" t="s">
        <v>603</v>
      </c>
      <c r="B2240" s="90">
        <v>46121.0</v>
      </c>
      <c r="C2240" s="55">
        <v>1.0</v>
      </c>
      <c r="D2240" s="97" t="s">
        <v>187</v>
      </c>
      <c r="E2240" s="201"/>
      <c r="F2240" s="236" t="s">
        <v>603</v>
      </c>
      <c r="G2240" s="194" t="s">
        <v>587</v>
      </c>
      <c r="H2240" s="195" t="s">
        <v>603</v>
      </c>
      <c r="I2240" s="196"/>
      <c r="J2240" s="179">
        <f>IF(A2240="RAPPI",(VLOOKUP(TRIM(D2240), CATALOGO!F:G, 2, FALSE) * C2240)+I2240,IFERROR(IF(COUNTIF('RESTAURANTESDESCUENTOS 2026'!A:A,TRIM(A2240))&gt;0,((VLOOKUP(TRIM(D2240), CATALOGO!A:B, 2, FALSE) * C2240)*(1-VALUE(SUBSTITUTE(VLOOKUP(TRIM(A2240),'RESTAURANTESDESCUENTOS 2026'!A:B,2,FALSE),"%",""))/100)+I2240),(VLOOKUP(TRIM(D2240), CATALOGO!A:B, 2, FALSE) * C2240+I2240)),""))</f>
        <v>55000</v>
      </c>
      <c r="K2240" s="196"/>
      <c r="L2240" s="87">
        <v>947.0</v>
      </c>
      <c r="M2240" s="197" t="s">
        <v>587</v>
      </c>
      <c r="N2240" s="168"/>
    </row>
    <row r="2241" ht="22.5" hidden="1" customHeight="1">
      <c r="A2241" s="137" t="s">
        <v>603</v>
      </c>
      <c r="B2241" s="90">
        <v>46121.0</v>
      </c>
      <c r="C2241" s="55">
        <v>1.0</v>
      </c>
      <c r="D2241" s="97" t="s">
        <v>174</v>
      </c>
      <c r="E2241" s="201"/>
      <c r="F2241" s="236" t="s">
        <v>603</v>
      </c>
      <c r="G2241" s="194" t="s">
        <v>587</v>
      </c>
      <c r="H2241" s="195" t="s">
        <v>603</v>
      </c>
      <c r="I2241" s="196"/>
      <c r="J2241" s="179">
        <f>IF(A2241="RAPPI",(VLOOKUP(TRIM(D2241), CATALOGO!F:G, 2, FALSE) * C2241)+I2241,IFERROR(IF(COUNTIF('RESTAURANTESDESCUENTOS 2026'!A:A,TRIM(A2241))&gt;0,((VLOOKUP(TRIM(D2241), CATALOGO!A:B, 2, FALSE) * C2241)*(1-VALUE(SUBSTITUTE(VLOOKUP(TRIM(A2241),'RESTAURANTESDESCUENTOS 2026'!A:B,2,FALSE),"%",""))/100)+I2241),(VLOOKUP(TRIM(D2241), CATALOGO!A:B, 2, FALSE) * C2241+I2241)),""))</f>
        <v>18000</v>
      </c>
      <c r="K2241" s="196"/>
      <c r="L2241" s="87">
        <v>947.0</v>
      </c>
      <c r="M2241" s="197" t="s">
        <v>587</v>
      </c>
      <c r="N2241" s="168"/>
    </row>
    <row r="2242" ht="22.5" hidden="1" customHeight="1">
      <c r="A2242" s="137" t="s">
        <v>603</v>
      </c>
      <c r="B2242" s="90">
        <v>46121.0</v>
      </c>
      <c r="C2242" s="55">
        <v>1.0</v>
      </c>
      <c r="D2242" s="97" t="s">
        <v>628</v>
      </c>
      <c r="E2242" s="201"/>
      <c r="F2242" s="236" t="s">
        <v>603</v>
      </c>
      <c r="G2242" s="194" t="s">
        <v>587</v>
      </c>
      <c r="H2242" s="195" t="s">
        <v>603</v>
      </c>
      <c r="I2242" s="196"/>
      <c r="J2242" s="179">
        <f>IF(A2242="RAPPI",(VLOOKUP(TRIM(D2242), CATALOGO!F:G, 2, FALSE) * C2242)+I2242,IFERROR(IF(COUNTIF('RESTAURANTESDESCUENTOS 2026'!A:A,TRIM(A2242))&gt;0,((VLOOKUP(TRIM(D2242), CATALOGO!A:B, 2, FALSE) * C2242)*(1-VALUE(SUBSTITUTE(VLOOKUP(TRIM(A2242),'RESTAURANTESDESCUENTOS 2026'!A:B,2,FALSE),"%",""))/100)+I2242),(VLOOKUP(TRIM(D2242), CATALOGO!A:B, 2, FALSE) * C2242+I2242)),""))</f>
        <v>22000</v>
      </c>
      <c r="K2242" s="196"/>
      <c r="L2242" s="87">
        <v>947.0</v>
      </c>
      <c r="M2242" s="197" t="s">
        <v>587</v>
      </c>
      <c r="N2242" s="168"/>
    </row>
    <row r="2243" ht="22.5" hidden="1" customHeight="1">
      <c r="A2243" s="137" t="s">
        <v>603</v>
      </c>
      <c r="B2243" s="90">
        <v>46121.0</v>
      </c>
      <c r="C2243" s="55">
        <v>1.0</v>
      </c>
      <c r="D2243" s="97" t="s">
        <v>186</v>
      </c>
      <c r="E2243" s="201"/>
      <c r="F2243" s="236" t="s">
        <v>603</v>
      </c>
      <c r="G2243" s="194" t="s">
        <v>587</v>
      </c>
      <c r="H2243" s="195" t="s">
        <v>603</v>
      </c>
      <c r="I2243" s="196"/>
      <c r="J2243" s="179">
        <f>IF(A2243="RAPPI",(VLOOKUP(TRIM(D2243), CATALOGO!F:G, 2, FALSE) * C2243)+I2243,IFERROR(IF(COUNTIF('RESTAURANTESDESCUENTOS 2026'!A:A,TRIM(A2243))&gt;0,((VLOOKUP(TRIM(D2243), CATALOGO!A:B, 2, FALSE) * C2243)*(1-VALUE(SUBSTITUTE(VLOOKUP(TRIM(A2243),'RESTAURANTESDESCUENTOS 2026'!A:B,2,FALSE),"%",""))/100)+I2243),(VLOOKUP(TRIM(D2243), CATALOGO!A:B, 2, FALSE) * C2243+I2243)),""))</f>
        <v>55000</v>
      </c>
      <c r="K2243" s="196"/>
      <c r="L2243" s="87">
        <v>947.0</v>
      </c>
      <c r="M2243" s="197" t="s">
        <v>587</v>
      </c>
      <c r="N2243" s="168"/>
    </row>
    <row r="2244" ht="22.5" hidden="1" customHeight="1">
      <c r="A2244" s="137" t="s">
        <v>603</v>
      </c>
      <c r="B2244" s="90">
        <v>46121.0</v>
      </c>
      <c r="C2244" s="55">
        <v>1.0</v>
      </c>
      <c r="D2244" s="97" t="s">
        <v>186</v>
      </c>
      <c r="E2244" s="201"/>
      <c r="F2244" s="236" t="s">
        <v>603</v>
      </c>
      <c r="G2244" s="194" t="s">
        <v>587</v>
      </c>
      <c r="H2244" s="195" t="s">
        <v>603</v>
      </c>
      <c r="I2244" s="196"/>
      <c r="J2244" s="179">
        <f>IF(A2244="RAPPI",(VLOOKUP(TRIM(D2244), CATALOGO!F:G, 2, FALSE) * C2244)+I2244,IFERROR(IF(COUNTIF('RESTAURANTESDESCUENTOS 2026'!A:A,TRIM(A2244))&gt;0,((VLOOKUP(TRIM(D2244), CATALOGO!A:B, 2, FALSE) * C2244)*(1-VALUE(SUBSTITUTE(VLOOKUP(TRIM(A2244),'RESTAURANTESDESCUENTOS 2026'!A:B,2,FALSE),"%",""))/100)+I2244),(VLOOKUP(TRIM(D2244), CATALOGO!A:B, 2, FALSE) * C2244+I2244)),""))</f>
        <v>55000</v>
      </c>
      <c r="K2244" s="196"/>
      <c r="L2244" s="87">
        <v>947.0</v>
      </c>
      <c r="M2244" s="197" t="s">
        <v>587</v>
      </c>
      <c r="N2244" s="168"/>
    </row>
    <row r="2245" ht="22.5" hidden="1" customHeight="1">
      <c r="A2245" s="137" t="s">
        <v>1335</v>
      </c>
      <c r="B2245" s="90">
        <v>46121.0</v>
      </c>
      <c r="C2245" s="55">
        <v>1.0</v>
      </c>
      <c r="D2245" s="97" t="s">
        <v>182</v>
      </c>
      <c r="E2245" s="201" t="s">
        <v>1336</v>
      </c>
      <c r="F2245" s="236" t="s">
        <v>1035</v>
      </c>
      <c r="G2245" s="194" t="s">
        <v>587</v>
      </c>
      <c r="H2245" s="195" t="s">
        <v>588</v>
      </c>
      <c r="I2245" s="196">
        <v>14000.0</v>
      </c>
      <c r="J2245" s="179">
        <f>IF(A2245="RAPPI",(VLOOKUP(TRIM(D2245), CATALOGO!F:G, 2, FALSE) * C2245)+I2245,IFERROR(IF(COUNTIF('RESTAURANTESDESCUENTOS 2026'!A:A,TRIM(A2245))&gt;0,((VLOOKUP(TRIM(D2245), CATALOGO!A:B, 2, FALSE) * C2245)*(1-VALUE(SUBSTITUTE(VLOOKUP(TRIM(A2245),'RESTAURANTESDESCUENTOS 2026'!A:B,2,FALSE),"%",""))/100)+I2245),(VLOOKUP(TRIM(D2245), CATALOGO!A:B, 2, FALSE) * C2245+I2245)),""))</f>
        <v>51000</v>
      </c>
      <c r="K2245" s="196">
        <v>14300.0</v>
      </c>
      <c r="L2245" s="87">
        <v>956.0</v>
      </c>
      <c r="M2245" s="197" t="s">
        <v>587</v>
      </c>
      <c r="N2245" s="168"/>
    </row>
    <row r="2246" ht="22.5" hidden="1" customHeight="1">
      <c r="A2246" s="137" t="s">
        <v>1337</v>
      </c>
      <c r="B2246" s="90">
        <v>46122.0</v>
      </c>
      <c r="C2246" s="55">
        <v>1.0</v>
      </c>
      <c r="D2246" s="97" t="s">
        <v>178</v>
      </c>
      <c r="E2246" s="201" t="s">
        <v>1338</v>
      </c>
      <c r="F2246" s="236" t="s">
        <v>1035</v>
      </c>
      <c r="G2246" s="194" t="s">
        <v>587</v>
      </c>
      <c r="H2246" s="195" t="s">
        <v>632</v>
      </c>
      <c r="I2246" s="196">
        <v>10000.0</v>
      </c>
      <c r="J2246" s="179">
        <f>IF(A2246="RAPPI",(VLOOKUP(TRIM(D2246), CATALOGO!F:G, 2, FALSE) * C2246)+I2246,IFERROR(IF(COUNTIF('RESTAURANTESDESCUENTOS 2026'!A:A,TRIM(A2246))&gt;0,((VLOOKUP(TRIM(D2246), CATALOGO!A:B, 2, FALSE) * C2246)*(1-VALUE(SUBSTITUTE(VLOOKUP(TRIM(A2246),'RESTAURANTESDESCUENTOS 2026'!A:B,2,FALSE),"%",""))/100)+I2246),(VLOOKUP(TRIM(D2246), CATALOGO!A:B, 2, FALSE) * C2246+I2246)),""))</f>
        <v>160000</v>
      </c>
      <c r="K2246" s="196">
        <v>10000.0</v>
      </c>
      <c r="L2246" s="87">
        <v>964.0</v>
      </c>
      <c r="M2246" s="197" t="s">
        <v>587</v>
      </c>
      <c r="N2246" s="168"/>
    </row>
    <row r="2247" ht="22.5" hidden="1" customHeight="1">
      <c r="A2247" s="137" t="s">
        <v>23</v>
      </c>
      <c r="B2247" s="90">
        <v>46122.0</v>
      </c>
      <c r="C2247" s="55">
        <v>2.0</v>
      </c>
      <c r="D2247" s="97" t="s">
        <v>178</v>
      </c>
      <c r="E2247" s="98" t="s">
        <v>1339</v>
      </c>
      <c r="F2247" s="202"/>
      <c r="G2247" s="194" t="s">
        <v>587</v>
      </c>
      <c r="H2247" s="198"/>
      <c r="I2247" s="196">
        <v>25000.0</v>
      </c>
      <c r="J2247" s="179">
        <f>IF(A2247="RAPPI",(VLOOKUP(TRIM(D2247), CATALOGO!F:G, 2, FALSE) * C2247)+I2247,IFERROR(IF(COUNTIF('RESTAURANTESDESCUENTOS 2026'!A:A,TRIM(A2247))&gt;0,((VLOOKUP(TRIM(D2247), CATALOGO!A:B, 2, FALSE) * C2247)*(1-VALUE(SUBSTITUTE(VLOOKUP(TRIM(A2247),'RESTAURANTESDESCUENTOS 2026'!A:B,2,FALSE),"%",""))/100)+I2247),(VLOOKUP(TRIM(D2247), CATALOGO!A:B, 2, FALSE) * C2247+I2247)),""))</f>
        <v>250000</v>
      </c>
      <c r="K2247" s="196"/>
      <c r="L2247" s="87">
        <v>888.0</v>
      </c>
      <c r="M2247" s="197" t="s">
        <v>587</v>
      </c>
      <c r="N2247" s="168"/>
    </row>
    <row r="2248" ht="22.5" hidden="1" customHeight="1">
      <c r="A2248" s="137" t="s">
        <v>1340</v>
      </c>
      <c r="B2248" s="90">
        <v>46122.0</v>
      </c>
      <c r="C2248" s="55">
        <v>1.0</v>
      </c>
      <c r="D2248" s="97" t="s">
        <v>177</v>
      </c>
      <c r="E2248" s="201" t="s">
        <v>1341</v>
      </c>
      <c r="F2248" s="236" t="s">
        <v>1035</v>
      </c>
      <c r="G2248" s="194" t="s">
        <v>35</v>
      </c>
      <c r="H2248" s="198"/>
      <c r="I2248" s="196">
        <v>0.0</v>
      </c>
      <c r="J2248" s="179">
        <f>IF(A2248="RAPPI",(VLOOKUP(TRIM(D2248), CATALOGO!F:G, 2, FALSE) * C2248)+I2248,IFERROR(IF(COUNTIF('RESTAURANTESDESCUENTOS 2026'!A:A,TRIM(A2248))&gt;0,((VLOOKUP(TRIM(D2248), CATALOGO!A:B, 2, FALSE) * C2248)*(1-VALUE(SUBSTITUTE(VLOOKUP(TRIM(A2248),'RESTAURANTESDESCUENTOS 2026'!A:B,2,FALSE),"%",""))/100)+I2248),(VLOOKUP(TRIM(D2248), CATALOGO!A:B, 2, FALSE) * C2248+I2248)),""))</f>
        <v>115000</v>
      </c>
      <c r="K2248" s="196"/>
      <c r="L2248" s="87">
        <v>965.0</v>
      </c>
      <c r="M2248" s="197" t="s">
        <v>587</v>
      </c>
      <c r="N2248" s="168"/>
    </row>
    <row r="2249" ht="22.5" hidden="1" customHeight="1">
      <c r="A2249" s="137" t="s">
        <v>21</v>
      </c>
      <c r="B2249" s="90">
        <v>46122.0</v>
      </c>
      <c r="C2249" s="55">
        <v>1.0</v>
      </c>
      <c r="D2249" s="97" t="s">
        <v>178</v>
      </c>
      <c r="E2249" s="201" t="s">
        <v>747</v>
      </c>
      <c r="F2249" s="202"/>
      <c r="G2249" s="194" t="s">
        <v>587</v>
      </c>
      <c r="H2249" s="195" t="s">
        <v>632</v>
      </c>
      <c r="I2249" s="196">
        <v>15000.0</v>
      </c>
      <c r="J2249" s="179">
        <f>IF(A2249="RAPPI",(VLOOKUP(TRIM(D2249), CATALOGO!F:G, 2, FALSE) * C2249)+I2249,IFERROR(IF(COUNTIF('RESTAURANTESDESCUENTOS 2026'!A:A,TRIM(A2249))&gt;0,((VLOOKUP(TRIM(D2249), CATALOGO!A:B, 2, FALSE) * C2249)*(1-VALUE(SUBSTITUTE(VLOOKUP(TRIM(A2249),'RESTAURANTESDESCUENTOS 2026'!A:B,2,FALSE),"%",""))/100)+I2249),(VLOOKUP(TRIM(D2249), CATALOGO!A:B, 2, FALSE) * C2249+I2249)),""))</f>
        <v>127500</v>
      </c>
      <c r="K2249" s="196">
        <v>15000.0</v>
      </c>
      <c r="L2249" s="87">
        <v>958.0</v>
      </c>
      <c r="M2249" s="197" t="s">
        <v>587</v>
      </c>
      <c r="N2249" s="168"/>
    </row>
    <row r="2250" ht="22.5" hidden="1" customHeight="1">
      <c r="A2250" s="137" t="s">
        <v>17</v>
      </c>
      <c r="B2250" s="90">
        <v>46122.0</v>
      </c>
      <c r="C2250" s="55">
        <v>1.0</v>
      </c>
      <c r="D2250" s="97" t="s">
        <v>178</v>
      </c>
      <c r="E2250" s="201" t="s">
        <v>747</v>
      </c>
      <c r="F2250" s="202"/>
      <c r="G2250" s="194" t="s">
        <v>587</v>
      </c>
      <c r="H2250" s="195" t="s">
        <v>632</v>
      </c>
      <c r="I2250" s="196">
        <v>10000.0</v>
      </c>
      <c r="J2250" s="179">
        <f>IF(A2250="RAPPI",(VLOOKUP(TRIM(D2250), CATALOGO!F:G, 2, FALSE) * C2250)+I2250,IFERROR(IF(COUNTIF('RESTAURANTESDESCUENTOS 2026'!A:A,TRIM(A2250))&gt;0,((VLOOKUP(TRIM(D2250), CATALOGO!A:B, 2, FALSE) * C2250)*(1-VALUE(SUBSTITUTE(VLOOKUP(TRIM(A2250),'RESTAURANTESDESCUENTOS 2026'!A:B,2,FALSE),"%",""))/100)+I2250),(VLOOKUP(TRIM(D2250), CATALOGO!A:B, 2, FALSE) * C2250+I2250)),""))</f>
        <v>122500</v>
      </c>
      <c r="K2250" s="196">
        <v>10000.0</v>
      </c>
      <c r="L2250" s="87">
        <v>959.0</v>
      </c>
      <c r="M2250" s="197" t="s">
        <v>587</v>
      </c>
      <c r="N2250" s="168"/>
    </row>
    <row r="2251" ht="22.5" hidden="1" customHeight="1">
      <c r="A2251" s="137" t="s">
        <v>55</v>
      </c>
      <c r="B2251" s="90">
        <v>46122.0</v>
      </c>
      <c r="C2251" s="55">
        <v>2.0</v>
      </c>
      <c r="D2251" s="97" t="s">
        <v>178</v>
      </c>
      <c r="E2251" s="201" t="s">
        <v>1268</v>
      </c>
      <c r="F2251" s="202"/>
      <c r="G2251" s="194" t="s">
        <v>587</v>
      </c>
      <c r="H2251" s="195" t="s">
        <v>632</v>
      </c>
      <c r="I2251" s="196">
        <v>10000.0</v>
      </c>
      <c r="J2251" s="179">
        <f>IF(A2251="RAPPI",(VLOOKUP(TRIM(D2251), CATALOGO!F:G, 2, FALSE) * C2251)+I2251,IFERROR(IF(COUNTIF('RESTAURANTESDESCUENTOS 2026'!A:A,TRIM(A2251))&gt;0,((VLOOKUP(TRIM(D2251), CATALOGO!A:B, 2, FALSE) * C2251)*(1-VALUE(SUBSTITUTE(VLOOKUP(TRIM(A2251),'RESTAURANTESDESCUENTOS 2026'!A:B,2,FALSE),"%",""))/100)+I2251),(VLOOKUP(TRIM(D2251), CATALOGO!A:B, 2, FALSE) * C2251+I2251)),""))</f>
        <v>235000</v>
      </c>
      <c r="K2251" s="196">
        <v>10000.0</v>
      </c>
      <c r="L2251" s="87">
        <v>960.0</v>
      </c>
      <c r="M2251" s="197" t="s">
        <v>587</v>
      </c>
      <c r="N2251" s="168"/>
    </row>
    <row r="2252" ht="22.5" hidden="1" customHeight="1">
      <c r="A2252" s="137" t="s">
        <v>55</v>
      </c>
      <c r="B2252" s="90">
        <v>46122.0</v>
      </c>
      <c r="C2252" s="55">
        <v>8.0</v>
      </c>
      <c r="D2252" s="97" t="s">
        <v>182</v>
      </c>
      <c r="E2252" s="201"/>
      <c r="F2252" s="202"/>
      <c r="G2252" s="194" t="s">
        <v>587</v>
      </c>
      <c r="H2252" s="195" t="s">
        <v>632</v>
      </c>
      <c r="I2252" s="196"/>
      <c r="J2252" s="179">
        <f>4000*32</f>
        <v>128000</v>
      </c>
      <c r="K2252" s="196">
        <v>0.0</v>
      </c>
      <c r="L2252" s="87">
        <v>960.0</v>
      </c>
      <c r="M2252" s="197" t="s">
        <v>587</v>
      </c>
      <c r="N2252" s="168"/>
    </row>
    <row r="2253" ht="22.5" hidden="1" customHeight="1">
      <c r="A2253" s="137" t="s">
        <v>1342</v>
      </c>
      <c r="B2253" s="90">
        <v>46122.0</v>
      </c>
      <c r="C2253" s="55">
        <v>1.0</v>
      </c>
      <c r="D2253" s="97" t="s">
        <v>177</v>
      </c>
      <c r="E2253" s="243" t="s">
        <v>1343</v>
      </c>
      <c r="F2253" s="236" t="s">
        <v>1035</v>
      </c>
      <c r="G2253" s="194" t="s">
        <v>587</v>
      </c>
      <c r="H2253" s="195" t="s">
        <v>632</v>
      </c>
      <c r="I2253" s="196">
        <v>14000.0</v>
      </c>
      <c r="J2253" s="179">
        <f>IF(A2253="RAPPI",(VLOOKUP(TRIM(D2253), CATALOGO!F:G, 2, FALSE) * C2253)+I2253,IFERROR(IF(COUNTIF('RESTAURANTESDESCUENTOS 2026'!A:A,TRIM(A2253))&gt;0,((VLOOKUP(TRIM(D2253), CATALOGO!A:B, 2, FALSE) * C2253)*(1-VALUE(SUBSTITUTE(VLOOKUP(TRIM(A2253),'RESTAURANTESDESCUENTOS 2026'!A:B,2,FALSE),"%",""))/100)+I2253),(VLOOKUP(TRIM(D2253), CATALOGO!A:B, 2, FALSE) * C2253+I2253)),""))</f>
        <v>129000</v>
      </c>
      <c r="K2253" s="196">
        <v>14000.0</v>
      </c>
      <c r="L2253" s="87">
        <v>966.0</v>
      </c>
      <c r="M2253" s="197" t="s">
        <v>587</v>
      </c>
      <c r="N2253" s="168"/>
    </row>
    <row r="2254" ht="22.5" hidden="1" customHeight="1">
      <c r="A2254" s="137" t="s">
        <v>1344</v>
      </c>
      <c r="B2254" s="90">
        <v>46122.0</v>
      </c>
      <c r="C2254" s="55">
        <v>1.0</v>
      </c>
      <c r="D2254" s="97" t="s">
        <v>182</v>
      </c>
      <c r="E2254" s="243" t="s">
        <v>1345</v>
      </c>
      <c r="F2254" s="236" t="s">
        <v>1035</v>
      </c>
      <c r="G2254" s="194" t="s">
        <v>587</v>
      </c>
      <c r="H2254" s="195" t="s">
        <v>632</v>
      </c>
      <c r="I2254" s="254">
        <v>13000.0</v>
      </c>
      <c r="J2254" s="179">
        <f>IF(A2254="RAPPI",(VLOOKUP(TRIM(D2254), CATALOGO!F:G, 2, FALSE) * C2254)+I2254,IFERROR(IF(COUNTIF('RESTAURANTESDESCUENTOS 2026'!A:A,TRIM(A2254))&gt;0,((VLOOKUP(TRIM(D2254), CATALOGO!A:B, 2, FALSE) * C2254)*(1-VALUE(SUBSTITUTE(VLOOKUP(TRIM(A2254),'RESTAURANTESDESCUENTOS 2026'!A:B,2,FALSE),"%",""))/100)+I2254),(VLOOKUP(TRIM(D2254), CATALOGO!A:B, 2, FALSE) * C2254+I2254)),""))</f>
        <v>50000</v>
      </c>
      <c r="K2254" s="196">
        <v>13000.0</v>
      </c>
      <c r="L2254" s="87">
        <v>967.0</v>
      </c>
      <c r="M2254" s="197" t="s">
        <v>587</v>
      </c>
      <c r="N2254" s="168"/>
    </row>
    <row r="2255" ht="22.5" hidden="1" customHeight="1">
      <c r="A2255" s="137" t="s">
        <v>1330</v>
      </c>
      <c r="B2255" s="90">
        <v>46122.0</v>
      </c>
      <c r="C2255" s="55">
        <v>1.0</v>
      </c>
      <c r="D2255" s="97" t="s">
        <v>178</v>
      </c>
      <c r="E2255" s="243"/>
      <c r="F2255" s="236" t="s">
        <v>1035</v>
      </c>
      <c r="G2255" s="194" t="s">
        <v>587</v>
      </c>
      <c r="H2255" s="195" t="s">
        <v>632</v>
      </c>
      <c r="I2255" s="196">
        <v>10000.0</v>
      </c>
      <c r="J2255" s="179">
        <f>IF(A2255="RAPPI",(VLOOKUP(TRIM(D2255), CATALOGO!F:G, 2, FALSE) * C2255)+I2255,IFERROR(IF(COUNTIF('RESTAURANTESDESCUENTOS 2026'!A:A,TRIM(A2255))&gt;0,((VLOOKUP(TRIM(D2255), CATALOGO!A:B, 2, FALSE) * C2255)*(1-VALUE(SUBSTITUTE(VLOOKUP(TRIM(A2255),'RESTAURANTESDESCUENTOS 2026'!A:B,2,FALSE),"%",""))/100)+I2255),(VLOOKUP(TRIM(D2255), CATALOGO!A:B, 2, FALSE) * C2255+I2255)),""))</f>
        <v>160000</v>
      </c>
      <c r="K2255" s="196">
        <v>10000.0</v>
      </c>
      <c r="L2255" s="87">
        <v>968.0</v>
      </c>
      <c r="M2255" s="197" t="s">
        <v>587</v>
      </c>
      <c r="N2255" s="168"/>
    </row>
    <row r="2256" ht="22.5" hidden="1" customHeight="1">
      <c r="A2256" s="137" t="s">
        <v>73</v>
      </c>
      <c r="B2256" s="90">
        <v>46122.0</v>
      </c>
      <c r="C2256" s="55">
        <v>1.0</v>
      </c>
      <c r="D2256" s="97" t="s">
        <v>178</v>
      </c>
      <c r="E2256" s="243" t="s">
        <v>28</v>
      </c>
      <c r="F2256" s="202"/>
      <c r="G2256" s="194" t="s">
        <v>587</v>
      </c>
      <c r="H2256" s="195" t="s">
        <v>632</v>
      </c>
      <c r="I2256" s="196"/>
      <c r="J2256" s="179">
        <f>IF(A2256="RAPPI",(VLOOKUP(TRIM(D2256), CATALOGO!F:G, 2, FALSE) * C2256)+I2256,IFERROR(IF(COUNTIF('RESTAURANTESDESCUENTOS 2026'!A:A,TRIM(A2256))&gt;0,((VLOOKUP(TRIM(D2256), CATALOGO!A:B, 2, FALSE) * C2256)*(1-VALUE(SUBSTITUTE(VLOOKUP(TRIM(A2256),'RESTAURANTESDESCUENTOS 2026'!A:B,2,FALSE),"%",""))/100)+I2256),(VLOOKUP(TRIM(D2256), CATALOGO!A:B, 2, FALSE) * C2256+I2256)),""))</f>
        <v>112500</v>
      </c>
      <c r="K2256" s="196">
        <v>10000.0</v>
      </c>
      <c r="L2256" s="87">
        <v>961.0</v>
      </c>
      <c r="M2256" s="197" t="s">
        <v>587</v>
      </c>
      <c r="N2256" s="168"/>
    </row>
    <row r="2257" ht="22.5" hidden="1" customHeight="1">
      <c r="A2257" s="137" t="s">
        <v>1346</v>
      </c>
      <c r="B2257" s="90">
        <v>46122.0</v>
      </c>
      <c r="C2257" s="55">
        <v>1.0</v>
      </c>
      <c r="D2257" s="97" t="s">
        <v>178</v>
      </c>
      <c r="E2257" s="243"/>
      <c r="F2257" s="236" t="s">
        <v>1035</v>
      </c>
      <c r="G2257" s="194" t="s">
        <v>587</v>
      </c>
      <c r="H2257" s="195" t="s">
        <v>632</v>
      </c>
      <c r="I2257" s="196">
        <v>10000.0</v>
      </c>
      <c r="J2257" s="179">
        <f>IF(A2257="RAPPI",(VLOOKUP(TRIM(D2257), CATALOGO!F:G, 2, FALSE) * C2257)+I2257,IFERROR(IF(COUNTIF('RESTAURANTESDESCUENTOS 2026'!A:A,TRIM(A2257))&gt;0,((VLOOKUP(TRIM(D2257), CATALOGO!A:B, 2, FALSE) * C2257)*(1-VALUE(SUBSTITUTE(VLOOKUP(TRIM(A2257),'RESTAURANTESDESCUENTOS 2026'!A:B,2,FALSE),"%",""))/100)+I2257),(VLOOKUP(TRIM(D2257), CATALOGO!A:B, 2, FALSE) * C2257+I2257)),""))</f>
        <v>160000</v>
      </c>
      <c r="K2257" s="196">
        <v>10000.0</v>
      </c>
      <c r="L2257" s="87">
        <v>969.0</v>
      </c>
      <c r="M2257" s="197" t="s">
        <v>587</v>
      </c>
      <c r="N2257" s="168"/>
    </row>
    <row r="2258" ht="22.5" hidden="1" customHeight="1">
      <c r="A2258" s="137" t="s">
        <v>603</v>
      </c>
      <c r="B2258" s="90">
        <v>46122.0</v>
      </c>
      <c r="C2258" s="55">
        <v>1.0</v>
      </c>
      <c r="D2258" s="97" t="s">
        <v>708</v>
      </c>
      <c r="E2258" s="243"/>
      <c r="F2258" s="236" t="s">
        <v>603</v>
      </c>
      <c r="G2258" s="194" t="s">
        <v>587</v>
      </c>
      <c r="H2258" s="195" t="s">
        <v>603</v>
      </c>
      <c r="I2258" s="196"/>
      <c r="J2258" s="179">
        <f>IF(A2258="RAPPI",(VLOOKUP(TRIM(D2258), CATALOGO!F:G, 2, FALSE) * C2258)+I2258,IFERROR(IF(COUNTIF('RESTAURANTESDESCUENTOS 2026'!A:A,TRIM(A2258))&gt;0,((VLOOKUP(TRIM(D2258), CATALOGO!A:B, 2, FALSE) * C2258)*(1-VALUE(SUBSTITUTE(VLOOKUP(TRIM(A2258),'RESTAURANTESDESCUENTOS 2026'!A:B,2,FALSE),"%",""))/100)+I2258),(VLOOKUP(TRIM(D2258), CATALOGO!A:B, 2, FALSE) * C2258+I2258)),""))</f>
        <v>53000</v>
      </c>
      <c r="K2258" s="196"/>
      <c r="L2258" s="87">
        <v>963.0</v>
      </c>
      <c r="M2258" s="197" t="s">
        <v>587</v>
      </c>
      <c r="N2258" s="168"/>
    </row>
    <row r="2259" ht="22.5" hidden="1" customHeight="1">
      <c r="A2259" s="137" t="s">
        <v>603</v>
      </c>
      <c r="B2259" s="90">
        <v>46122.0</v>
      </c>
      <c r="C2259" s="55">
        <v>1.0</v>
      </c>
      <c r="D2259" s="97" t="s">
        <v>178</v>
      </c>
      <c r="E2259" s="243"/>
      <c r="F2259" s="236" t="s">
        <v>603</v>
      </c>
      <c r="G2259" s="194" t="s">
        <v>587</v>
      </c>
      <c r="H2259" s="195" t="s">
        <v>603</v>
      </c>
      <c r="I2259" s="196"/>
      <c r="J2259" s="179">
        <f>IF(A2259="RAPPI",(VLOOKUP(TRIM(D2259), CATALOGO!F:G, 2, FALSE) * C2259)+I2259,IFERROR(IF(COUNTIF('RESTAURANTESDESCUENTOS 2026'!A:A,TRIM(A2259))&gt;0,((VLOOKUP(TRIM(D2259), CATALOGO!A:B, 2, FALSE) * C2259)*(1-VALUE(SUBSTITUTE(VLOOKUP(TRIM(A2259),'RESTAURANTESDESCUENTOS 2026'!A:B,2,FALSE),"%",""))/100)+I2259),(VLOOKUP(TRIM(D2259), CATALOGO!A:B, 2, FALSE) * C2259+I2259)),""))</f>
        <v>150000</v>
      </c>
      <c r="K2259" s="196"/>
      <c r="L2259" s="87">
        <v>963.0</v>
      </c>
      <c r="M2259" s="197" t="s">
        <v>587</v>
      </c>
      <c r="N2259" s="168"/>
    </row>
    <row r="2260" ht="22.5" hidden="1" customHeight="1">
      <c r="A2260" s="137" t="s">
        <v>603</v>
      </c>
      <c r="B2260" s="90">
        <v>46122.0</v>
      </c>
      <c r="C2260" s="55">
        <v>1.0</v>
      </c>
      <c r="D2260" s="97" t="s">
        <v>653</v>
      </c>
      <c r="E2260" s="243"/>
      <c r="F2260" s="236" t="s">
        <v>603</v>
      </c>
      <c r="G2260" s="194" t="s">
        <v>587</v>
      </c>
      <c r="H2260" s="195" t="s">
        <v>603</v>
      </c>
      <c r="I2260" s="196"/>
      <c r="J2260" s="179">
        <f>IF(A2260="RAPPI",(VLOOKUP(TRIM(D2260), CATALOGO!F:G, 2, FALSE) * C2260)+I2260,IFERROR(IF(COUNTIF('RESTAURANTESDESCUENTOS 2026'!A:A,TRIM(A2260))&gt;0,((VLOOKUP(TRIM(D2260), CATALOGO!A:B, 2, FALSE) * C2260)*(1-VALUE(SUBSTITUTE(VLOOKUP(TRIM(A2260),'RESTAURANTESDESCUENTOS 2026'!A:B,2,FALSE),"%",""))/100)+I2260),(VLOOKUP(TRIM(D2260), CATALOGO!A:B, 2, FALSE) * C2260+I2260)),""))</f>
        <v>123000</v>
      </c>
      <c r="K2260" s="196"/>
      <c r="L2260" s="87">
        <v>963.0</v>
      </c>
      <c r="M2260" s="197" t="s">
        <v>587</v>
      </c>
      <c r="N2260" s="168"/>
    </row>
    <row r="2261" ht="22.5" hidden="1" customHeight="1">
      <c r="A2261" s="137" t="s">
        <v>603</v>
      </c>
      <c r="B2261" s="90">
        <v>46122.0</v>
      </c>
      <c r="C2261" s="55">
        <v>1.0</v>
      </c>
      <c r="D2261" s="97" t="s">
        <v>176</v>
      </c>
      <c r="E2261" s="243"/>
      <c r="F2261" s="236" t="s">
        <v>603</v>
      </c>
      <c r="G2261" s="194" t="s">
        <v>587</v>
      </c>
      <c r="H2261" s="195" t="s">
        <v>603</v>
      </c>
      <c r="I2261" s="196"/>
      <c r="J2261" s="179">
        <f>IF(A2261="RAPPI",(VLOOKUP(TRIM(D2261), CATALOGO!F:G, 2, FALSE) * C2261)+I2261,IFERROR(IF(COUNTIF('RESTAURANTESDESCUENTOS 2026'!A:A,TRIM(A2261))&gt;0,((VLOOKUP(TRIM(D2261), CATALOGO!A:B, 2, FALSE) * C2261)*(1-VALUE(SUBSTITUTE(VLOOKUP(TRIM(A2261),'RESTAURANTESDESCUENTOS 2026'!A:B,2,FALSE),"%",""))/100)+I2261),(VLOOKUP(TRIM(D2261), CATALOGO!A:B, 2, FALSE) * C2261+I2261)),""))</f>
        <v>50000</v>
      </c>
      <c r="K2261" s="196"/>
      <c r="L2261" s="87">
        <v>963.0</v>
      </c>
      <c r="M2261" s="197" t="s">
        <v>587</v>
      </c>
      <c r="N2261" s="168"/>
    </row>
    <row r="2262" ht="22.5" hidden="1" customHeight="1">
      <c r="A2262" s="137" t="s">
        <v>603</v>
      </c>
      <c r="B2262" s="90">
        <v>46122.0</v>
      </c>
      <c r="C2262" s="55">
        <v>1.0</v>
      </c>
      <c r="D2262" s="97" t="s">
        <v>174</v>
      </c>
      <c r="E2262" s="243"/>
      <c r="F2262" s="236" t="s">
        <v>603</v>
      </c>
      <c r="G2262" s="194" t="s">
        <v>587</v>
      </c>
      <c r="H2262" s="195" t="s">
        <v>603</v>
      </c>
      <c r="I2262" s="196"/>
      <c r="J2262" s="179">
        <f>IF(A2262="RAPPI",(VLOOKUP(TRIM(D2262), CATALOGO!F:G, 2, FALSE) * C2262)+I2262,IFERROR(IF(COUNTIF('RESTAURANTESDESCUENTOS 2026'!A:A,TRIM(A2262))&gt;0,((VLOOKUP(TRIM(D2262), CATALOGO!A:B, 2, FALSE) * C2262)*(1-VALUE(SUBSTITUTE(VLOOKUP(TRIM(A2262),'RESTAURANTESDESCUENTOS 2026'!A:B,2,FALSE),"%",""))/100)+I2262),(VLOOKUP(TRIM(D2262), CATALOGO!A:B, 2, FALSE) * C2262+I2262)),""))</f>
        <v>18000</v>
      </c>
      <c r="K2262" s="196"/>
      <c r="L2262" s="87">
        <v>963.0</v>
      </c>
      <c r="M2262" s="197" t="s">
        <v>587</v>
      </c>
      <c r="N2262" s="168"/>
    </row>
    <row r="2263" ht="22.5" hidden="1" customHeight="1">
      <c r="A2263" s="137" t="s">
        <v>1126</v>
      </c>
      <c r="B2263" s="90">
        <v>46122.0</v>
      </c>
      <c r="C2263" s="55">
        <v>1.0</v>
      </c>
      <c r="D2263" s="97" t="s">
        <v>176</v>
      </c>
      <c r="E2263" s="243"/>
      <c r="F2263" s="236" t="s">
        <v>1036</v>
      </c>
      <c r="G2263" s="194" t="s">
        <v>35</v>
      </c>
      <c r="H2263" s="198"/>
      <c r="I2263" s="196"/>
      <c r="J2263" s="179">
        <f>IF(A2263="RAPPI",(VLOOKUP(TRIM(D2263), CATALOGO!F:G, 2, FALSE) * C2263)+I2263,IFERROR(IF(COUNTIF('RESTAURANTESDESCUENTOS 2026'!A:A,TRIM(A2263))&gt;0,((VLOOKUP(TRIM(D2263), CATALOGO!A:B, 2, FALSE) * C2263)*(1-VALUE(SUBSTITUTE(VLOOKUP(TRIM(A2263),'RESTAURANTESDESCUENTOS 2026'!A:B,2,FALSE),"%",""))/100)+I2263),(VLOOKUP(TRIM(D2263), CATALOGO!A:B, 2, FALSE) * C2263+I2263)),""))</f>
        <v>50000</v>
      </c>
      <c r="K2263" s="196"/>
      <c r="L2263" s="87">
        <v>970.0</v>
      </c>
      <c r="M2263" s="197" t="s">
        <v>587</v>
      </c>
      <c r="N2263" s="168"/>
    </row>
    <row r="2264" ht="22.5" hidden="1" customHeight="1">
      <c r="A2264" s="137" t="s">
        <v>1126</v>
      </c>
      <c r="B2264" s="90">
        <v>46122.0</v>
      </c>
      <c r="C2264" s="55">
        <v>1.0</v>
      </c>
      <c r="D2264" s="97" t="s">
        <v>176</v>
      </c>
      <c r="E2264" s="243"/>
      <c r="F2264" s="236" t="s">
        <v>1036</v>
      </c>
      <c r="G2264" s="194" t="s">
        <v>35</v>
      </c>
      <c r="H2264" s="198"/>
      <c r="I2264" s="196"/>
      <c r="J2264" s="179">
        <f>IF(A2264="RAPPI",(VLOOKUP(TRIM(D2264), CATALOGO!F:G, 2, FALSE) * C2264)+I2264,IFERROR(IF(COUNTIF('RESTAURANTESDESCUENTOS 2026'!A:A,TRIM(A2264))&gt;0,((VLOOKUP(TRIM(D2264), CATALOGO!A:B, 2, FALSE) * C2264)*(1-VALUE(SUBSTITUTE(VLOOKUP(TRIM(A2264),'RESTAURANTESDESCUENTOS 2026'!A:B,2,FALSE),"%",""))/100)+I2264),(VLOOKUP(TRIM(D2264), CATALOGO!A:B, 2, FALSE) * C2264+I2264)),""))</f>
        <v>50000</v>
      </c>
      <c r="K2264" s="196"/>
      <c r="L2264" s="87">
        <v>970.0</v>
      </c>
      <c r="M2264" s="197" t="s">
        <v>587</v>
      </c>
      <c r="N2264" s="168"/>
    </row>
    <row r="2265" ht="22.5" hidden="1" customHeight="1">
      <c r="A2265" s="137" t="s">
        <v>1126</v>
      </c>
      <c r="B2265" s="90">
        <v>46122.0</v>
      </c>
      <c r="C2265" s="55">
        <v>1.0</v>
      </c>
      <c r="D2265" s="97" t="s">
        <v>176</v>
      </c>
      <c r="E2265" s="243"/>
      <c r="F2265" s="236" t="s">
        <v>1036</v>
      </c>
      <c r="G2265" s="194" t="s">
        <v>35</v>
      </c>
      <c r="H2265" s="198"/>
      <c r="I2265" s="196"/>
      <c r="J2265" s="179">
        <f>IF(A2265="RAPPI",(VLOOKUP(TRIM(D2265), CATALOGO!F:G, 2, FALSE) * C2265)+I2265,IFERROR(IF(COUNTIF('RESTAURANTESDESCUENTOS 2026'!A:A,TRIM(A2265))&gt;0,((VLOOKUP(TRIM(D2265), CATALOGO!A:B, 2, FALSE) * C2265)*(1-VALUE(SUBSTITUTE(VLOOKUP(TRIM(A2265),'RESTAURANTESDESCUENTOS 2026'!A:B,2,FALSE),"%",""))/100)+I2265),(VLOOKUP(TRIM(D2265), CATALOGO!A:B, 2, FALSE) * C2265+I2265)),""))</f>
        <v>50000</v>
      </c>
      <c r="K2265" s="196"/>
      <c r="L2265" s="87">
        <v>970.0</v>
      </c>
      <c r="M2265" s="197" t="s">
        <v>587</v>
      </c>
      <c r="N2265" s="168"/>
    </row>
    <row r="2266" ht="22.5" hidden="1" customHeight="1">
      <c r="A2266" s="137" t="s">
        <v>1126</v>
      </c>
      <c r="B2266" s="90">
        <v>46122.0</v>
      </c>
      <c r="C2266" s="55">
        <v>1.0</v>
      </c>
      <c r="D2266" s="97" t="s">
        <v>177</v>
      </c>
      <c r="E2266" s="243"/>
      <c r="F2266" s="236" t="s">
        <v>1035</v>
      </c>
      <c r="G2266" s="194" t="s">
        <v>35</v>
      </c>
      <c r="H2266" s="198"/>
      <c r="I2266" s="196"/>
      <c r="J2266" s="179">
        <f>IF(A2266="RAPPI",(VLOOKUP(TRIM(D2266), CATALOGO!F:G, 2, FALSE) * C2266)+I2266,IFERROR(IF(COUNTIF('RESTAURANTESDESCUENTOS 2026'!A:A,TRIM(A2266))&gt;0,((VLOOKUP(TRIM(D2266), CATALOGO!A:B, 2, FALSE) * C2266)*(1-VALUE(SUBSTITUTE(VLOOKUP(TRIM(A2266),'RESTAURANTESDESCUENTOS 2026'!A:B,2,FALSE),"%",""))/100)+I2266),(VLOOKUP(TRIM(D2266), CATALOGO!A:B, 2, FALSE) * C2266+I2266)),""))</f>
        <v>115000</v>
      </c>
      <c r="K2266" s="196"/>
      <c r="L2266" s="87">
        <v>970.0</v>
      </c>
      <c r="M2266" s="197" t="s">
        <v>587</v>
      </c>
      <c r="N2266" s="168"/>
    </row>
    <row r="2267" ht="22.5" hidden="1" customHeight="1">
      <c r="A2267" s="137" t="s">
        <v>1126</v>
      </c>
      <c r="B2267" s="90">
        <v>46122.0</v>
      </c>
      <c r="C2267" s="55">
        <v>1.0</v>
      </c>
      <c r="D2267" s="97" t="s">
        <v>209</v>
      </c>
      <c r="E2267" s="243"/>
      <c r="F2267" s="236" t="s">
        <v>1036</v>
      </c>
      <c r="G2267" s="194" t="s">
        <v>35</v>
      </c>
      <c r="H2267" s="198"/>
      <c r="I2267" s="196"/>
      <c r="J2267" s="179">
        <f>IF(A2267="RAPPI",(VLOOKUP(TRIM(D2267), CATALOGO!F:G, 2, FALSE) * C2267)+I2267,IFERROR(IF(COUNTIF('RESTAURANTESDESCUENTOS 2026'!A:A,TRIM(A2267))&gt;0,((VLOOKUP(TRIM(D2267), CATALOGO!A:B, 2, FALSE) * C2267)*(1-VALUE(SUBSTITUTE(VLOOKUP(TRIM(A2267),'RESTAURANTESDESCUENTOS 2026'!A:B,2,FALSE),"%",""))/100)+I2267),(VLOOKUP(TRIM(D2267), CATALOGO!A:B, 2, FALSE) * C2267+I2267)),""))</f>
        <v>22000</v>
      </c>
      <c r="K2267" s="196"/>
      <c r="L2267" s="87">
        <v>970.0</v>
      </c>
      <c r="M2267" s="197" t="s">
        <v>587</v>
      </c>
      <c r="N2267" s="168"/>
    </row>
    <row r="2268" ht="22.5" hidden="1" customHeight="1">
      <c r="A2268" s="137" t="s">
        <v>1126</v>
      </c>
      <c r="B2268" s="90">
        <v>46122.0</v>
      </c>
      <c r="C2268" s="55">
        <v>1.0</v>
      </c>
      <c r="D2268" s="97" t="s">
        <v>174</v>
      </c>
      <c r="E2268" s="243"/>
      <c r="F2268" s="236" t="s">
        <v>1035</v>
      </c>
      <c r="G2268" s="194" t="s">
        <v>35</v>
      </c>
      <c r="H2268" s="198"/>
      <c r="I2268" s="196"/>
      <c r="J2268" s="179">
        <f>IF(A2268="RAPPI",(VLOOKUP(TRIM(D2268), CATALOGO!F:G, 2, FALSE) * C2268)+I2268,IFERROR(IF(COUNTIF('RESTAURANTESDESCUENTOS 2026'!A:A,TRIM(A2268))&gt;0,((VLOOKUP(TRIM(D2268), CATALOGO!A:B, 2, FALSE) * C2268)*(1-VALUE(SUBSTITUTE(VLOOKUP(TRIM(A2268),'RESTAURANTESDESCUENTOS 2026'!A:B,2,FALSE),"%",""))/100)+I2268),(VLOOKUP(TRIM(D2268), CATALOGO!A:B, 2, FALSE) * C2268+I2268)),""))</f>
        <v>18000</v>
      </c>
      <c r="K2268" s="196"/>
      <c r="L2268" s="87">
        <v>970.0</v>
      </c>
      <c r="M2268" s="197" t="s">
        <v>587</v>
      </c>
      <c r="N2268" s="168"/>
    </row>
    <row r="2269" ht="22.5" hidden="1" customHeight="1">
      <c r="A2269" s="137" t="s">
        <v>1126</v>
      </c>
      <c r="B2269" s="90">
        <v>46122.0</v>
      </c>
      <c r="C2269" s="55">
        <v>1.0</v>
      </c>
      <c r="D2269" s="97" t="s">
        <v>653</v>
      </c>
      <c r="E2269" s="243"/>
      <c r="F2269" s="236" t="s">
        <v>1036</v>
      </c>
      <c r="G2269" s="194" t="s">
        <v>35</v>
      </c>
      <c r="H2269" s="198"/>
      <c r="I2269" s="196"/>
      <c r="J2269" s="179">
        <f>IF(A2269="RAPPI",(VLOOKUP(TRIM(D2269), CATALOGO!F:G, 2, FALSE) * C2269)+I2269,IFERROR(IF(COUNTIF('RESTAURANTESDESCUENTOS 2026'!A:A,TRIM(A2269))&gt;0,((VLOOKUP(TRIM(D2269), CATALOGO!A:B, 2, FALSE) * C2269)*(1-VALUE(SUBSTITUTE(VLOOKUP(TRIM(A2269),'RESTAURANTESDESCUENTOS 2026'!A:B,2,FALSE),"%",""))/100)+I2269),(VLOOKUP(TRIM(D2269), CATALOGO!A:B, 2, FALSE) * C2269+I2269)),""))</f>
        <v>123000</v>
      </c>
      <c r="K2269" s="196"/>
      <c r="L2269" s="87">
        <v>970.0</v>
      </c>
      <c r="M2269" s="197" t="s">
        <v>587</v>
      </c>
      <c r="N2269" s="168"/>
    </row>
    <row r="2270" ht="22.5" hidden="1" customHeight="1">
      <c r="A2270" s="137" t="s">
        <v>1126</v>
      </c>
      <c r="B2270" s="90">
        <v>46122.0</v>
      </c>
      <c r="C2270" s="55">
        <v>1.0</v>
      </c>
      <c r="D2270" s="97" t="s">
        <v>174</v>
      </c>
      <c r="E2270" s="243"/>
      <c r="F2270" s="236" t="s">
        <v>1035</v>
      </c>
      <c r="G2270" s="194" t="s">
        <v>35</v>
      </c>
      <c r="H2270" s="198"/>
      <c r="I2270" s="196"/>
      <c r="J2270" s="179">
        <f>IF(A2270="RAPPI",(VLOOKUP(TRIM(D2270), CATALOGO!F:G, 2, FALSE) * C2270)+I2270,IFERROR(IF(COUNTIF('RESTAURANTESDESCUENTOS 2026'!A:A,TRIM(A2270))&gt;0,((VLOOKUP(TRIM(D2270), CATALOGO!A:B, 2, FALSE) * C2270)*(1-VALUE(SUBSTITUTE(VLOOKUP(TRIM(A2270),'RESTAURANTESDESCUENTOS 2026'!A:B,2,FALSE),"%",""))/100)+I2270),(VLOOKUP(TRIM(D2270), CATALOGO!A:B, 2, FALSE) * C2270+I2270)),""))</f>
        <v>18000</v>
      </c>
      <c r="K2270" s="196"/>
      <c r="L2270" s="87">
        <v>970.0</v>
      </c>
      <c r="M2270" s="197" t="s">
        <v>587</v>
      </c>
      <c r="N2270" s="168"/>
    </row>
    <row r="2271" ht="22.5" hidden="1" customHeight="1">
      <c r="A2271" s="137" t="s">
        <v>1126</v>
      </c>
      <c r="B2271" s="90">
        <v>46122.0</v>
      </c>
      <c r="C2271" s="55">
        <v>1.0</v>
      </c>
      <c r="D2271" s="97" t="s">
        <v>174</v>
      </c>
      <c r="E2271" s="243"/>
      <c r="F2271" s="236" t="s">
        <v>1036</v>
      </c>
      <c r="G2271" s="194" t="s">
        <v>35</v>
      </c>
      <c r="H2271" s="198"/>
      <c r="I2271" s="196"/>
      <c r="J2271" s="179">
        <f>IF(A2271="RAPPI",(VLOOKUP(TRIM(D2271), CATALOGO!F:G, 2, FALSE) * C2271)+I2271,IFERROR(IF(COUNTIF('RESTAURANTESDESCUENTOS 2026'!A:A,TRIM(A2271))&gt;0,((VLOOKUP(TRIM(D2271), CATALOGO!A:B, 2, FALSE) * C2271)*(1-VALUE(SUBSTITUTE(VLOOKUP(TRIM(A2271),'RESTAURANTESDESCUENTOS 2026'!A:B,2,FALSE),"%",""))/100)+I2271),(VLOOKUP(TRIM(D2271), CATALOGO!A:B, 2, FALSE) * C2271+I2271)),""))</f>
        <v>18000</v>
      </c>
      <c r="K2271" s="196"/>
      <c r="L2271" s="87">
        <v>970.0</v>
      </c>
      <c r="M2271" s="197" t="s">
        <v>587</v>
      </c>
      <c r="N2271" s="168"/>
    </row>
    <row r="2272" ht="22.5" hidden="1" customHeight="1">
      <c r="A2272" s="137" t="s">
        <v>1126</v>
      </c>
      <c r="B2272" s="90">
        <v>46122.0</v>
      </c>
      <c r="C2272" s="55">
        <v>1.0</v>
      </c>
      <c r="D2272" s="97" t="s">
        <v>209</v>
      </c>
      <c r="E2272" s="243"/>
      <c r="F2272" s="236" t="s">
        <v>1036</v>
      </c>
      <c r="G2272" s="194" t="s">
        <v>35</v>
      </c>
      <c r="H2272" s="198"/>
      <c r="I2272" s="196"/>
      <c r="J2272" s="179">
        <f>IF(A2272="RAPPI",(VLOOKUP(TRIM(D2272), CATALOGO!F:G, 2, FALSE) * C2272)+I2272,IFERROR(IF(COUNTIF('RESTAURANTESDESCUENTOS 2026'!A:A,TRIM(A2272))&gt;0,((VLOOKUP(TRIM(D2272), CATALOGO!A:B, 2, FALSE) * C2272)*(1-VALUE(SUBSTITUTE(VLOOKUP(TRIM(A2272),'RESTAURANTESDESCUENTOS 2026'!A:B,2,FALSE),"%",""))/100)+I2272),(VLOOKUP(TRIM(D2272), CATALOGO!A:B, 2, FALSE) * C2272+I2272)),""))</f>
        <v>22000</v>
      </c>
      <c r="K2272" s="196"/>
      <c r="L2272" s="87">
        <v>970.0</v>
      </c>
      <c r="M2272" s="197" t="s">
        <v>587</v>
      </c>
      <c r="N2272" s="168"/>
    </row>
    <row r="2273" ht="22.5" hidden="1" customHeight="1">
      <c r="A2273" s="137" t="s">
        <v>1347</v>
      </c>
      <c r="B2273" s="90">
        <v>46122.0</v>
      </c>
      <c r="C2273" s="55">
        <v>1.0</v>
      </c>
      <c r="D2273" s="97" t="s">
        <v>618</v>
      </c>
      <c r="E2273" s="243"/>
      <c r="F2273" s="236" t="s">
        <v>1035</v>
      </c>
      <c r="G2273" s="194" t="s">
        <v>35</v>
      </c>
      <c r="H2273" s="198"/>
      <c r="I2273" s="196"/>
      <c r="J2273" s="219">
        <f>IF(A2273="RAPPI",(VLOOKUP(TRIM(D2273), CATALOGO!F:G, 2, FALSE) * C2273)+I2273,IFERROR(IF(COUNTIF('RESTAURANTESDESCUENTOS 2026'!A:A,TRIM(A2273))&gt;0,((VLOOKUP(TRIM(D2273), CATALOGO!A:B, 2, FALSE) * C2273)*(1-VALUE(SUBSTITUTE(VLOOKUP(TRIM(A2273),'RESTAURANTESDESCUENTOS 2026'!A:B,2,FALSE),"%",""))/100)+I2273),(VLOOKUP(TRIM(D2273), CATALOGO!A:B, 2, FALSE) * C2273+I2273)),""))</f>
        <v>53000</v>
      </c>
      <c r="K2273" s="196"/>
      <c r="L2273" s="87">
        <v>987.0</v>
      </c>
      <c r="M2273" s="197" t="s">
        <v>587</v>
      </c>
      <c r="N2273" s="168"/>
    </row>
    <row r="2274" ht="22.5" hidden="1" customHeight="1">
      <c r="A2274" s="137" t="s">
        <v>1316</v>
      </c>
      <c r="B2274" s="90">
        <v>46122.0</v>
      </c>
      <c r="C2274" s="55"/>
      <c r="D2274" s="193"/>
      <c r="E2274" s="243"/>
      <c r="F2274" s="202"/>
      <c r="G2274" s="194"/>
      <c r="H2274" s="198"/>
      <c r="I2274" s="196">
        <v>0.0</v>
      </c>
      <c r="J2274" s="179" t="str">
        <f>IF(A2274="RAPPI",(VLOOKUP(TRIM(D2274), CATALOGO!F:G, 2, FALSE) * C2274)+I2274,IFERROR(IF(COUNTIF('RESTAURANTESDESCUENTOS 2026'!A:A,TRIM(A2274))&gt;0,((VLOOKUP(TRIM(D2274), CATALOGO!A:B, 2, FALSE) * C2274)*(1-VALUE(SUBSTITUTE(VLOOKUP(TRIM(A2274),'RESTAURANTESDESCUENTOS 2026'!A:B,2,FALSE),"%",""))/100)+I2274),(VLOOKUP(TRIM(D2274), CATALOGO!A:B, 2, FALSE) * C2274+I2274)),""))</f>
        <v/>
      </c>
      <c r="K2274" s="196">
        <v>10600.0</v>
      </c>
      <c r="L2274" s="87"/>
      <c r="M2274" s="197" t="s">
        <v>587</v>
      </c>
      <c r="N2274" s="168"/>
    </row>
    <row r="2275" ht="22.5" hidden="1" customHeight="1">
      <c r="A2275" s="137" t="s">
        <v>597</v>
      </c>
      <c r="B2275" s="90">
        <v>46122.0</v>
      </c>
      <c r="C2275" s="55">
        <v>5.0</v>
      </c>
      <c r="D2275" s="97" t="s">
        <v>178</v>
      </c>
      <c r="E2275" s="243"/>
      <c r="F2275" s="202"/>
      <c r="G2275" s="194" t="s">
        <v>587</v>
      </c>
      <c r="H2275" s="195" t="s">
        <v>1307</v>
      </c>
      <c r="I2275" s="196"/>
      <c r="J2275" s="179"/>
      <c r="K2275" s="196"/>
      <c r="L2275" s="87"/>
      <c r="M2275" s="197" t="s">
        <v>587</v>
      </c>
      <c r="N2275" s="246" t="s">
        <v>587</v>
      </c>
    </row>
    <row r="2276" ht="22.5" hidden="1" customHeight="1">
      <c r="A2276" s="137" t="s">
        <v>597</v>
      </c>
      <c r="B2276" s="90">
        <v>46122.0</v>
      </c>
      <c r="C2276" s="55">
        <v>4.0</v>
      </c>
      <c r="D2276" s="97" t="s">
        <v>177</v>
      </c>
      <c r="E2276" s="243"/>
      <c r="F2276" s="202"/>
      <c r="G2276" s="194" t="s">
        <v>587</v>
      </c>
      <c r="H2276" s="195" t="s">
        <v>1307</v>
      </c>
      <c r="I2276" s="196"/>
      <c r="J2276" s="179"/>
      <c r="K2276" s="196"/>
      <c r="L2276" s="87"/>
      <c r="M2276" s="197" t="s">
        <v>587</v>
      </c>
      <c r="N2276" s="246" t="s">
        <v>587</v>
      </c>
    </row>
    <row r="2277" ht="22.5" hidden="1" customHeight="1">
      <c r="A2277" s="137" t="s">
        <v>597</v>
      </c>
      <c r="B2277" s="90">
        <v>46122.0</v>
      </c>
      <c r="C2277" s="55">
        <v>4.0</v>
      </c>
      <c r="D2277" s="97" t="s">
        <v>176</v>
      </c>
      <c r="E2277" s="243"/>
      <c r="F2277" s="202"/>
      <c r="G2277" s="194" t="s">
        <v>587</v>
      </c>
      <c r="H2277" s="195" t="s">
        <v>1307</v>
      </c>
      <c r="I2277" s="196"/>
      <c r="J2277" s="179"/>
      <c r="K2277" s="196"/>
      <c r="L2277" s="87"/>
      <c r="M2277" s="197" t="s">
        <v>587</v>
      </c>
      <c r="N2277" s="246" t="s">
        <v>587</v>
      </c>
    </row>
    <row r="2278" ht="22.5" hidden="1" customHeight="1">
      <c r="A2278" s="137" t="s">
        <v>1348</v>
      </c>
      <c r="B2278" s="90">
        <v>46123.0</v>
      </c>
      <c r="C2278" s="55">
        <v>1.0</v>
      </c>
      <c r="D2278" s="97" t="s">
        <v>187</v>
      </c>
      <c r="E2278" s="243"/>
      <c r="F2278" s="236" t="s">
        <v>1035</v>
      </c>
      <c r="G2278" s="194" t="s">
        <v>35</v>
      </c>
      <c r="H2278" s="198"/>
      <c r="I2278" s="196"/>
      <c r="J2278" s="179">
        <f>IF(A2278="RAPPI",(VLOOKUP(TRIM(D2278), CATALOGO!F:G, 2, FALSE) * C2278)+I2278,IFERROR(IF(COUNTIF('RESTAURANTESDESCUENTOS 2026'!A:A,TRIM(A2278))&gt;0,((VLOOKUP(TRIM(D2278), CATALOGO!A:B, 2, FALSE) * C2278)*(1-VALUE(SUBSTITUTE(VLOOKUP(TRIM(A2278),'RESTAURANTESDESCUENTOS 2026'!A:B,2,FALSE),"%",""))/100)+I2278),(VLOOKUP(TRIM(D2278), CATALOGO!A:B, 2, FALSE) * C2278+I2278)),""))</f>
        <v>55000</v>
      </c>
      <c r="K2278" s="196"/>
      <c r="L2278" s="87">
        <v>986.0</v>
      </c>
      <c r="M2278" s="197" t="s">
        <v>587</v>
      </c>
      <c r="N2278" s="168"/>
    </row>
    <row r="2279" ht="22.5" hidden="1" customHeight="1">
      <c r="A2279" s="137" t="s">
        <v>1349</v>
      </c>
      <c r="B2279" s="90">
        <v>46123.0</v>
      </c>
      <c r="C2279" s="55">
        <v>1.0</v>
      </c>
      <c r="D2279" s="97" t="s">
        <v>177</v>
      </c>
      <c r="E2279" s="243"/>
      <c r="F2279" s="236" t="s">
        <v>1035</v>
      </c>
      <c r="G2279" s="194" t="s">
        <v>35</v>
      </c>
      <c r="H2279" s="198"/>
      <c r="I2279" s="196"/>
      <c r="J2279" s="179">
        <f>IF(A2279="RAPPI",(VLOOKUP(TRIM(D2279), CATALOGO!F:G, 2, FALSE) * C2279)+I2279,IFERROR(IF(COUNTIF('RESTAURANTESDESCUENTOS 2026'!A:A,TRIM(A2279))&gt;0,((VLOOKUP(TRIM(D2279), CATALOGO!A:B, 2, FALSE) * C2279)*(1-VALUE(SUBSTITUTE(VLOOKUP(TRIM(A2279),'RESTAURANTESDESCUENTOS 2026'!A:B,2,FALSE),"%",""))/100)+I2279),(VLOOKUP(TRIM(D2279), CATALOGO!A:B, 2, FALSE) * C2279+I2279)),""))</f>
        <v>115000</v>
      </c>
      <c r="K2279" s="196"/>
      <c r="L2279" s="87">
        <v>985.0</v>
      </c>
      <c r="M2279" s="197" t="s">
        <v>587</v>
      </c>
      <c r="N2279" s="168"/>
    </row>
    <row r="2280" ht="22.5" hidden="1" customHeight="1">
      <c r="A2280" s="137" t="s">
        <v>86</v>
      </c>
      <c r="B2280" s="90">
        <v>46123.0</v>
      </c>
      <c r="C2280" s="55">
        <v>1.0</v>
      </c>
      <c r="D2280" s="97" t="s">
        <v>177</v>
      </c>
      <c r="E2280" s="243" t="s">
        <v>747</v>
      </c>
      <c r="F2280" s="202"/>
      <c r="G2280" s="194" t="s">
        <v>587</v>
      </c>
      <c r="H2280" s="195" t="s">
        <v>632</v>
      </c>
      <c r="I2280" s="196"/>
      <c r="J2280" s="179">
        <f>IF(A2280="RAPPI",(VLOOKUP(TRIM(D2280), CATALOGO!F:G, 2, FALSE) * C2280)+I2280,IFERROR(IF(COUNTIF('RESTAURANTESDESCUENTOS 2026'!A:A,TRIM(A2280))&gt;0,((VLOOKUP(TRIM(D2280), CATALOGO!A:B, 2, FALSE) * C2280)*(1-VALUE(SUBSTITUTE(VLOOKUP(TRIM(A2280),'RESTAURANTESDESCUENTOS 2026'!A:B,2,FALSE),"%",""))/100)+I2280),(VLOOKUP(TRIM(D2280), CATALOGO!A:B, 2, FALSE) * C2280+I2280)),""))</f>
        <v>86250</v>
      </c>
      <c r="K2280" s="196">
        <v>15000.0</v>
      </c>
      <c r="L2280" s="87">
        <v>971.0</v>
      </c>
      <c r="M2280" s="197" t="s">
        <v>587</v>
      </c>
      <c r="N2280" s="168"/>
    </row>
    <row r="2281" ht="22.5" hidden="1" customHeight="1">
      <c r="A2281" s="137" t="s">
        <v>1350</v>
      </c>
      <c r="B2281" s="90">
        <v>46123.0</v>
      </c>
      <c r="C2281" s="55">
        <v>1.0</v>
      </c>
      <c r="D2281" s="97" t="s">
        <v>177</v>
      </c>
      <c r="E2281" s="243" t="s">
        <v>1351</v>
      </c>
      <c r="F2281" s="236" t="s">
        <v>1035</v>
      </c>
      <c r="G2281" s="194" t="s">
        <v>35</v>
      </c>
      <c r="H2281" s="198"/>
      <c r="I2281" s="196"/>
      <c r="J2281" s="179">
        <f>IF(A2281="RAPPI",(VLOOKUP(TRIM(D2281), CATALOGO!F:G, 2, FALSE) * C2281)+I2281,IFERROR(IF(COUNTIF('RESTAURANTESDESCUENTOS 2026'!A:A,TRIM(A2281))&gt;0,((VLOOKUP(TRIM(D2281), CATALOGO!A:B, 2, FALSE) * C2281)*(1-VALUE(SUBSTITUTE(VLOOKUP(TRIM(A2281),'RESTAURANTESDESCUENTOS 2026'!A:B,2,FALSE),"%",""))/100)+I2281),(VLOOKUP(TRIM(D2281), CATALOGO!A:B, 2, FALSE) * C2281+I2281)),""))</f>
        <v>115000</v>
      </c>
      <c r="K2281" s="196"/>
      <c r="L2281" s="87">
        <v>984.0</v>
      </c>
      <c r="M2281" s="197" t="s">
        <v>587</v>
      </c>
      <c r="N2281" s="168"/>
    </row>
    <row r="2282" ht="22.5" hidden="1" customHeight="1">
      <c r="A2282" s="137" t="s">
        <v>92</v>
      </c>
      <c r="B2282" s="90">
        <v>46123.0</v>
      </c>
      <c r="C2282" s="55">
        <v>1.0</v>
      </c>
      <c r="D2282" s="97" t="s">
        <v>178</v>
      </c>
      <c r="E2282" s="243" t="s">
        <v>747</v>
      </c>
      <c r="F2282" s="202"/>
      <c r="G2282" s="194" t="s">
        <v>587</v>
      </c>
      <c r="H2282" s="195" t="s">
        <v>632</v>
      </c>
      <c r="I2282" s="196"/>
      <c r="J2282" s="179">
        <f>IF(A2282="RAPPI",(VLOOKUP(TRIM(D2282), CATALOGO!F:G, 2, FALSE) * C2282)+I2282,IFERROR(IF(COUNTIF('RESTAURANTESDESCUENTOS 2026'!A:A,TRIM(A2282))&gt;0,((VLOOKUP(TRIM(D2282), CATALOGO!A:B, 2, FALSE) * C2282)*(1-VALUE(SUBSTITUTE(VLOOKUP(TRIM(A2282),'RESTAURANTESDESCUENTOS 2026'!A:B,2,FALSE),"%",""))/100)+I2282),(VLOOKUP(TRIM(D2282), CATALOGO!A:B, 2, FALSE) * C2282+I2282)),""))</f>
        <v>105000</v>
      </c>
      <c r="K2282" s="196">
        <v>10000.0</v>
      </c>
      <c r="L2282" s="87">
        <v>962.0</v>
      </c>
      <c r="M2282" s="197" t="s">
        <v>587</v>
      </c>
      <c r="N2282" s="168"/>
    </row>
    <row r="2283" ht="22.5" hidden="1" customHeight="1">
      <c r="A2283" s="137" t="s">
        <v>92</v>
      </c>
      <c r="B2283" s="90">
        <v>46123.0</v>
      </c>
      <c r="C2283" s="55">
        <v>150.0</v>
      </c>
      <c r="D2283" s="97" t="s">
        <v>236</v>
      </c>
      <c r="E2283" s="248" t="s">
        <v>1352</v>
      </c>
      <c r="F2283" s="202"/>
      <c r="G2283" s="194" t="s">
        <v>587</v>
      </c>
      <c r="H2283" s="195" t="s">
        <v>632</v>
      </c>
      <c r="I2283" s="196"/>
      <c r="J2283" s="179">
        <f>110*150</f>
        <v>16500</v>
      </c>
      <c r="K2283" s="196">
        <v>0.0</v>
      </c>
      <c r="L2283" s="87">
        <v>962.0</v>
      </c>
      <c r="M2283" s="197" t="s">
        <v>587</v>
      </c>
      <c r="N2283" s="168"/>
    </row>
    <row r="2284" ht="22.5" hidden="1" customHeight="1">
      <c r="A2284" s="137" t="s">
        <v>1353</v>
      </c>
      <c r="B2284" s="90">
        <v>46123.0</v>
      </c>
      <c r="C2284" s="55">
        <v>1.0</v>
      </c>
      <c r="D2284" s="97" t="s">
        <v>653</v>
      </c>
      <c r="E2284" s="243"/>
      <c r="F2284" s="236" t="s">
        <v>1035</v>
      </c>
      <c r="G2284" s="194" t="s">
        <v>35</v>
      </c>
      <c r="H2284" s="198"/>
      <c r="I2284" s="196"/>
      <c r="J2284" s="179">
        <f>IF(A2284="RAPPI",(VLOOKUP(TRIM(D2284), CATALOGO!F:G, 2, FALSE) * C2284)+I2284,IFERROR(IF(COUNTIF('RESTAURANTESDESCUENTOS 2026'!A:A,TRIM(A2284))&gt;0,((VLOOKUP(TRIM(D2284), CATALOGO!A:B, 2, FALSE) * C2284)*(1-VALUE(SUBSTITUTE(VLOOKUP(TRIM(A2284),'RESTAURANTESDESCUENTOS 2026'!A:B,2,FALSE),"%",""))/100)+I2284),(VLOOKUP(TRIM(D2284), CATALOGO!A:B, 2, FALSE) * C2284+I2284)),""))</f>
        <v>123000</v>
      </c>
      <c r="K2284" s="196"/>
      <c r="L2284" s="87">
        <v>982.0</v>
      </c>
      <c r="M2284" s="197" t="s">
        <v>587</v>
      </c>
      <c r="N2284" s="168"/>
    </row>
    <row r="2285" ht="22.5" hidden="1" customHeight="1">
      <c r="A2285" s="137" t="s">
        <v>1291</v>
      </c>
      <c r="B2285" s="90">
        <v>46123.0</v>
      </c>
      <c r="C2285" s="55">
        <v>1.0</v>
      </c>
      <c r="D2285" s="97" t="s">
        <v>628</v>
      </c>
      <c r="E2285" s="243" t="s">
        <v>1354</v>
      </c>
      <c r="F2285" s="236" t="s">
        <v>1035</v>
      </c>
      <c r="G2285" s="194" t="s">
        <v>587</v>
      </c>
      <c r="H2285" s="195" t="s">
        <v>632</v>
      </c>
      <c r="I2285" s="196">
        <v>10000.0</v>
      </c>
      <c r="J2285" s="179">
        <f>IF(A2285="RAPPI",(VLOOKUP(TRIM(D2285), CATALOGO!F:G, 2, FALSE) * C2285)+I2285,IFERROR(IF(COUNTIF('RESTAURANTESDESCUENTOS 2026'!A:A,TRIM(A2285))&gt;0,((VLOOKUP(TRIM(D2285), CATALOGO!A:B, 2, FALSE) * C2285)*(1-VALUE(SUBSTITUTE(VLOOKUP(TRIM(A2285),'RESTAURANTESDESCUENTOS 2026'!A:B,2,FALSE),"%",""))/100)+I2285),(VLOOKUP(TRIM(D2285), CATALOGO!A:B, 2, FALSE) * C2285+I2285)),""))</f>
        <v>32000</v>
      </c>
      <c r="K2285" s="196">
        <v>10000.0</v>
      </c>
      <c r="L2285" s="87">
        <v>983.0</v>
      </c>
      <c r="M2285" s="197" t="s">
        <v>587</v>
      </c>
      <c r="N2285" s="168"/>
    </row>
    <row r="2286" ht="22.5" hidden="1" customHeight="1">
      <c r="A2286" s="137" t="s">
        <v>1291</v>
      </c>
      <c r="B2286" s="90">
        <v>46123.0</v>
      </c>
      <c r="C2286" s="55">
        <v>1.0</v>
      </c>
      <c r="D2286" s="97" t="s">
        <v>604</v>
      </c>
      <c r="E2286" s="243"/>
      <c r="F2286" s="236" t="s">
        <v>1035</v>
      </c>
      <c r="G2286" s="194" t="s">
        <v>587</v>
      </c>
      <c r="H2286" s="195" t="s">
        <v>632</v>
      </c>
      <c r="I2286" s="196">
        <v>0.0</v>
      </c>
      <c r="J2286" s="179">
        <f>IF(A2286="RAPPI",(VLOOKUP(TRIM(D2286), CATALOGO!F:G, 2, FALSE) * C2286)+I2286,IFERROR(IF(COUNTIF('RESTAURANTESDESCUENTOS 2026'!A:A,TRIM(A2286))&gt;0,((VLOOKUP(TRIM(D2286), CATALOGO!A:B, 2, FALSE) * C2286)*(1-VALUE(SUBSTITUTE(VLOOKUP(TRIM(A2286),'RESTAURANTESDESCUENTOS 2026'!A:B,2,FALSE),"%",""))/100)+I2286),(VLOOKUP(TRIM(D2286), CATALOGO!A:B, 2, FALSE) * C2286+I2286)),""))</f>
        <v>22000</v>
      </c>
      <c r="K2286" s="196">
        <v>0.0</v>
      </c>
      <c r="L2286" s="87">
        <v>983.0</v>
      </c>
      <c r="M2286" s="197" t="s">
        <v>587</v>
      </c>
      <c r="N2286" s="168"/>
    </row>
    <row r="2287" ht="22.5" hidden="1" customHeight="1">
      <c r="A2287" s="137" t="s">
        <v>106</v>
      </c>
      <c r="B2287" s="90">
        <v>46123.0</v>
      </c>
      <c r="C2287" s="55">
        <v>1.0</v>
      </c>
      <c r="D2287" s="97" t="s">
        <v>178</v>
      </c>
      <c r="E2287" s="243"/>
      <c r="F2287" s="202"/>
      <c r="G2287" s="194" t="s">
        <v>587</v>
      </c>
      <c r="H2287" s="195" t="s">
        <v>632</v>
      </c>
      <c r="I2287" s="196">
        <v>8000.0</v>
      </c>
      <c r="J2287" s="179">
        <f>IF(A2287="RAPPI",(VLOOKUP(TRIM(D2287), CATALOGO!F:G, 2, FALSE) * C2287)+I2287,IFERROR(IF(COUNTIF('RESTAURANTESDESCUENTOS 2026'!A:A,TRIM(A2287))&gt;0,((VLOOKUP(TRIM(D2287), CATALOGO!A:B, 2, FALSE) * C2287)*(1-VALUE(SUBSTITUTE(VLOOKUP(TRIM(A2287),'RESTAURANTESDESCUENTOS 2026'!A:B,2,FALSE),"%",""))/100)+I2287),(VLOOKUP(TRIM(D2287), CATALOGO!A:B, 2, FALSE) * C2287+I2287)),""))</f>
        <v>105125</v>
      </c>
      <c r="K2287" s="196">
        <v>10000.0</v>
      </c>
      <c r="L2287" s="87">
        <v>973.0</v>
      </c>
      <c r="M2287" s="197" t="s">
        <v>587</v>
      </c>
      <c r="N2287" s="168"/>
    </row>
    <row r="2288" ht="22.5" hidden="1" customHeight="1">
      <c r="A2288" s="137" t="s">
        <v>10</v>
      </c>
      <c r="B2288" s="90">
        <v>46123.0</v>
      </c>
      <c r="C2288" s="55">
        <v>1.0</v>
      </c>
      <c r="D2288" s="97" t="s">
        <v>178</v>
      </c>
      <c r="E2288" s="243" t="s">
        <v>747</v>
      </c>
      <c r="F2288" s="202"/>
      <c r="G2288" s="194" t="s">
        <v>587</v>
      </c>
      <c r="H2288" s="195" t="s">
        <v>632</v>
      </c>
      <c r="I2288" s="196">
        <v>10000.0</v>
      </c>
      <c r="J2288" s="179">
        <f>IF(A2288="RAPPI",(VLOOKUP(TRIM(D2288), CATALOGO!F:G, 2, FALSE) * C2288)+I2288,IFERROR(IF(COUNTIF('RESTAURANTESDESCUENTOS 2026'!A:A,TRIM(A2288))&gt;0,((VLOOKUP(TRIM(D2288), CATALOGO!A:B, 2, FALSE) * C2288)*(1-VALUE(SUBSTITUTE(VLOOKUP(TRIM(A2288),'RESTAURANTESDESCUENTOS 2026'!A:B,2,FALSE),"%",""))/100)+I2288),(VLOOKUP(TRIM(D2288), CATALOGO!A:B, 2, FALSE) * C2288+I2288)),""))</f>
        <v>122500</v>
      </c>
      <c r="K2288" s="196">
        <v>10000.0</v>
      </c>
      <c r="L2288" s="87">
        <v>975.0</v>
      </c>
      <c r="M2288" s="197" t="s">
        <v>587</v>
      </c>
      <c r="N2288" s="168"/>
    </row>
    <row r="2289" ht="22.5" hidden="1" customHeight="1">
      <c r="A2289" s="137" t="s">
        <v>55</v>
      </c>
      <c r="B2289" s="90">
        <v>46123.0</v>
      </c>
      <c r="C2289" s="55">
        <v>3.0</v>
      </c>
      <c r="D2289" s="97" t="s">
        <v>178</v>
      </c>
      <c r="E2289" s="243" t="s">
        <v>1268</v>
      </c>
      <c r="F2289" s="202"/>
      <c r="G2289" s="194" t="s">
        <v>587</v>
      </c>
      <c r="H2289" s="195" t="s">
        <v>632</v>
      </c>
      <c r="I2289" s="196">
        <v>10000.0</v>
      </c>
      <c r="J2289" s="179">
        <f>IF(A2289="RAPPI",(VLOOKUP(TRIM(D2289), CATALOGO!F:G, 2, FALSE) * C2289)+I2289,IFERROR(IF(COUNTIF('RESTAURANTESDESCUENTOS 2026'!A:A,TRIM(A2289))&gt;0,((VLOOKUP(TRIM(D2289), CATALOGO!A:B, 2, FALSE) * C2289)*(1-VALUE(SUBSTITUTE(VLOOKUP(TRIM(A2289),'RESTAURANTESDESCUENTOS 2026'!A:B,2,FALSE),"%",""))/100)+I2289),(VLOOKUP(TRIM(D2289), CATALOGO!A:B, 2, FALSE) * C2289+I2289)),""))</f>
        <v>347500</v>
      </c>
      <c r="K2289" s="196">
        <v>10000.0</v>
      </c>
      <c r="L2289" s="87">
        <v>974.0</v>
      </c>
      <c r="M2289" s="197" t="s">
        <v>587</v>
      </c>
      <c r="N2289" s="168"/>
    </row>
    <row r="2290" ht="22.5" hidden="1" customHeight="1">
      <c r="A2290" s="137" t="s">
        <v>1355</v>
      </c>
      <c r="B2290" s="90">
        <v>46123.0</v>
      </c>
      <c r="C2290" s="55">
        <v>1.0</v>
      </c>
      <c r="D2290" s="97" t="s">
        <v>178</v>
      </c>
      <c r="E2290" s="243"/>
      <c r="F2290" s="236" t="s">
        <v>1035</v>
      </c>
      <c r="G2290" s="194" t="s">
        <v>587</v>
      </c>
      <c r="H2290" s="195" t="s">
        <v>588</v>
      </c>
      <c r="I2290" s="196">
        <v>10000.0</v>
      </c>
      <c r="J2290" s="179">
        <f>IF(A2290="RAPPI",(VLOOKUP(TRIM(D2290), CATALOGO!F:G, 2, FALSE) * C2290)+I2290,IFERROR(IF(COUNTIF('RESTAURANTESDESCUENTOS 2026'!A:A,TRIM(A2290))&gt;0,((VLOOKUP(TRIM(D2290), CATALOGO!A:B, 2, FALSE) * C2290)*(1-VALUE(SUBSTITUTE(VLOOKUP(TRIM(A2290),'RESTAURANTESDESCUENTOS 2026'!A:B,2,FALSE),"%",""))/100)+I2290),(VLOOKUP(TRIM(D2290), CATALOGO!A:B, 2, FALSE) * C2290+I2290)),""))</f>
        <v>160000</v>
      </c>
      <c r="K2290" s="196">
        <v>10000.0</v>
      </c>
      <c r="L2290" s="87">
        <v>978.0</v>
      </c>
      <c r="M2290" s="197" t="s">
        <v>587</v>
      </c>
      <c r="N2290" s="168"/>
    </row>
    <row r="2291" ht="22.5" hidden="1" customHeight="1">
      <c r="A2291" s="137" t="s">
        <v>1356</v>
      </c>
      <c r="B2291" s="90">
        <v>46123.0</v>
      </c>
      <c r="C2291" s="55">
        <v>1.0</v>
      </c>
      <c r="D2291" s="97" t="s">
        <v>178</v>
      </c>
      <c r="E2291" s="243" t="s">
        <v>1357</v>
      </c>
      <c r="F2291" s="236" t="s">
        <v>1035</v>
      </c>
      <c r="G2291" s="194" t="s">
        <v>587</v>
      </c>
      <c r="H2291" s="195" t="s">
        <v>588</v>
      </c>
      <c r="I2291" s="196">
        <v>14000.0</v>
      </c>
      <c r="J2291" s="179">
        <f>IF(A2291="RAPPI",(VLOOKUP(TRIM(D2291), CATALOGO!F:G, 2, FALSE) * C2291)+I2291,IFERROR(IF(COUNTIF('RESTAURANTESDESCUENTOS 2026'!A:A,TRIM(A2291))&gt;0,((VLOOKUP(TRIM(D2291), CATALOGO!A:B, 2, FALSE) * C2291)*(1-VALUE(SUBSTITUTE(VLOOKUP(TRIM(A2291),'RESTAURANTESDESCUENTOS 2026'!A:B,2,FALSE),"%",""))/100)+I2291),(VLOOKUP(TRIM(D2291), CATALOGO!A:B, 2, FALSE) * C2291+I2291)),""))</f>
        <v>164000</v>
      </c>
      <c r="K2291" s="196">
        <v>15000.0</v>
      </c>
      <c r="L2291" s="87">
        <v>979.0</v>
      </c>
      <c r="M2291" s="197" t="s">
        <v>587</v>
      </c>
      <c r="N2291" s="168"/>
    </row>
    <row r="2292" ht="22.5" hidden="1" customHeight="1">
      <c r="A2292" s="137" t="s">
        <v>1356</v>
      </c>
      <c r="B2292" s="90">
        <v>46123.0</v>
      </c>
      <c r="C2292" s="55">
        <v>1.0</v>
      </c>
      <c r="D2292" s="97" t="s">
        <v>176</v>
      </c>
      <c r="E2292" s="243"/>
      <c r="F2292" s="236" t="s">
        <v>1035</v>
      </c>
      <c r="G2292" s="194" t="s">
        <v>587</v>
      </c>
      <c r="H2292" s="195" t="s">
        <v>588</v>
      </c>
      <c r="I2292" s="196">
        <v>14000.0</v>
      </c>
      <c r="J2292" s="179">
        <f>IF(A2292="RAPPI",(VLOOKUP(TRIM(D2292), CATALOGO!F:G, 2, FALSE) * C2292)+I2292,IFERROR(IF(COUNTIF('RESTAURANTESDESCUENTOS 2026'!A:A,TRIM(A2292))&gt;0,((VLOOKUP(TRIM(D2292), CATALOGO!A:B, 2, FALSE) * C2292)*(1-VALUE(SUBSTITUTE(VLOOKUP(TRIM(A2292),'RESTAURANTESDESCUENTOS 2026'!A:B,2,FALSE),"%",""))/100)+I2292),(VLOOKUP(TRIM(D2292), CATALOGO!A:B, 2, FALSE) * C2292+I2292)),""))</f>
        <v>64000</v>
      </c>
      <c r="K2292" s="196">
        <v>15000.0</v>
      </c>
      <c r="L2292" s="87">
        <v>979.0</v>
      </c>
      <c r="M2292" s="197" t="s">
        <v>587</v>
      </c>
      <c r="N2292" s="168"/>
    </row>
    <row r="2293" ht="22.5" hidden="1" customHeight="1">
      <c r="A2293" s="137" t="s">
        <v>1358</v>
      </c>
      <c r="B2293" s="90">
        <v>46123.0</v>
      </c>
      <c r="C2293" s="55">
        <v>1.0</v>
      </c>
      <c r="D2293" s="97" t="s">
        <v>178</v>
      </c>
      <c r="E2293" s="243"/>
      <c r="F2293" s="236" t="s">
        <v>1035</v>
      </c>
      <c r="G2293" s="194" t="s">
        <v>587</v>
      </c>
      <c r="H2293" s="195" t="s">
        <v>588</v>
      </c>
      <c r="I2293" s="196">
        <v>10000.0</v>
      </c>
      <c r="J2293" s="179">
        <f>IF(A2293="RAPPI",(VLOOKUP(TRIM(D2293), CATALOGO!F:G, 2, FALSE) * C2293)+I2293,IFERROR(IF(COUNTIF('RESTAURANTESDESCUENTOS 2026'!A:A,TRIM(A2293))&gt;0,((VLOOKUP(TRIM(D2293), CATALOGO!A:B, 2, FALSE) * C2293)*(1-VALUE(SUBSTITUTE(VLOOKUP(TRIM(A2293),'RESTAURANTESDESCUENTOS 2026'!A:B,2,FALSE),"%",""))/100)+I2293),(VLOOKUP(TRIM(D2293), CATALOGO!A:B, 2, FALSE) * C2293+I2293)),""))</f>
        <v>160000</v>
      </c>
      <c r="K2293" s="196">
        <v>10000.0</v>
      </c>
      <c r="L2293" s="87">
        <v>980.0</v>
      </c>
      <c r="M2293" s="197" t="s">
        <v>587</v>
      </c>
      <c r="N2293" s="168"/>
    </row>
    <row r="2294" ht="22.5" hidden="1" customHeight="1">
      <c r="A2294" s="137" t="s">
        <v>1359</v>
      </c>
      <c r="B2294" s="90">
        <v>46123.0</v>
      </c>
      <c r="C2294" s="55">
        <v>1.0</v>
      </c>
      <c r="D2294" s="97" t="s">
        <v>177</v>
      </c>
      <c r="E2294" s="243"/>
      <c r="F2294" s="236" t="s">
        <v>1035</v>
      </c>
      <c r="G2294" s="194" t="s">
        <v>35</v>
      </c>
      <c r="H2294" s="198"/>
      <c r="I2294" s="196"/>
      <c r="J2294" s="179">
        <f>IF(A2294="RAPPI",(VLOOKUP(TRIM(D2294), CATALOGO!F:G, 2, FALSE) * C2294)+I2294,IFERROR(IF(COUNTIF('RESTAURANTESDESCUENTOS 2026'!A:A,TRIM(A2294))&gt;0,((VLOOKUP(TRIM(D2294), CATALOGO!A:B, 2, FALSE) * C2294)*(1-VALUE(SUBSTITUTE(VLOOKUP(TRIM(A2294),'RESTAURANTESDESCUENTOS 2026'!A:B,2,FALSE),"%",""))/100)+I2294),(VLOOKUP(TRIM(D2294), CATALOGO!A:B, 2, FALSE) * C2294+I2294)),""))</f>
        <v>115000</v>
      </c>
      <c r="K2294" s="196"/>
      <c r="L2294" s="87">
        <v>981.0</v>
      </c>
      <c r="M2294" s="197" t="s">
        <v>587</v>
      </c>
      <c r="N2294" s="168"/>
    </row>
    <row r="2295" ht="22.5" hidden="1" customHeight="1">
      <c r="A2295" s="137" t="s">
        <v>1126</v>
      </c>
      <c r="B2295" s="90">
        <v>46123.0</v>
      </c>
      <c r="C2295" s="55">
        <v>1.0</v>
      </c>
      <c r="D2295" s="97" t="s">
        <v>174</v>
      </c>
      <c r="E2295" s="243"/>
      <c r="F2295" s="236" t="s">
        <v>1036</v>
      </c>
      <c r="G2295" s="194" t="s">
        <v>35</v>
      </c>
      <c r="H2295" s="198"/>
      <c r="I2295" s="196"/>
      <c r="J2295" s="179">
        <f>IF(A2295="RAPPI",(VLOOKUP(TRIM(D2295), CATALOGO!F:G, 2, FALSE) * C2295)+I2295,IFERROR(IF(COUNTIF('RESTAURANTESDESCUENTOS 2026'!A:A,TRIM(A2295))&gt;0,((VLOOKUP(TRIM(D2295), CATALOGO!A:B, 2, FALSE) * C2295)*(1-VALUE(SUBSTITUTE(VLOOKUP(TRIM(A2295),'RESTAURANTESDESCUENTOS 2026'!A:B,2,FALSE),"%",""))/100)+I2295),(VLOOKUP(TRIM(D2295), CATALOGO!A:B, 2, FALSE) * C2295+I2295)),""))</f>
        <v>18000</v>
      </c>
      <c r="K2295" s="196"/>
      <c r="L2295" s="87">
        <v>977.0</v>
      </c>
      <c r="M2295" s="197" t="s">
        <v>587</v>
      </c>
      <c r="N2295" s="168"/>
    </row>
    <row r="2296" ht="22.5" hidden="1" customHeight="1">
      <c r="A2296" s="137" t="s">
        <v>1126</v>
      </c>
      <c r="B2296" s="90">
        <v>46123.0</v>
      </c>
      <c r="C2296" s="55">
        <v>1.0</v>
      </c>
      <c r="D2296" s="97" t="s">
        <v>178</v>
      </c>
      <c r="E2296" s="243"/>
      <c r="F2296" s="236" t="s">
        <v>1035</v>
      </c>
      <c r="G2296" s="194" t="s">
        <v>35</v>
      </c>
      <c r="H2296" s="198"/>
      <c r="I2296" s="196"/>
      <c r="J2296" s="179">
        <f>IF(A2296="RAPPI",(VLOOKUP(TRIM(D2296), CATALOGO!F:G, 2, FALSE) * C2296)+I2296,IFERROR(IF(COUNTIF('RESTAURANTESDESCUENTOS 2026'!A:A,TRIM(A2296))&gt;0,((VLOOKUP(TRIM(D2296), CATALOGO!A:B, 2, FALSE) * C2296)*(1-VALUE(SUBSTITUTE(VLOOKUP(TRIM(A2296),'RESTAURANTESDESCUENTOS 2026'!A:B,2,FALSE),"%",""))/100)+I2296),(VLOOKUP(TRIM(D2296), CATALOGO!A:B, 2, FALSE) * C2296+I2296)),""))</f>
        <v>150000</v>
      </c>
      <c r="K2296" s="196"/>
      <c r="L2296" s="87">
        <v>977.0</v>
      </c>
      <c r="M2296" s="197" t="s">
        <v>587</v>
      </c>
      <c r="N2296" s="168"/>
    </row>
    <row r="2297" ht="22.5" hidden="1" customHeight="1">
      <c r="A2297" s="137" t="s">
        <v>603</v>
      </c>
      <c r="B2297" s="90">
        <v>46123.0</v>
      </c>
      <c r="C2297" s="55">
        <v>1.0</v>
      </c>
      <c r="D2297" s="97" t="s">
        <v>186</v>
      </c>
      <c r="E2297" s="243"/>
      <c r="F2297" s="236" t="s">
        <v>603</v>
      </c>
      <c r="G2297" s="194" t="s">
        <v>587</v>
      </c>
      <c r="H2297" s="195" t="s">
        <v>603</v>
      </c>
      <c r="I2297" s="196"/>
      <c r="J2297" s="179">
        <f>IF(A2297="RAPPI",(VLOOKUP(TRIM(D2297), CATALOGO!F:G, 2, FALSE) * C2297)+I2297,IFERROR(IF(COUNTIF('RESTAURANTESDESCUENTOS 2026'!A:A,TRIM(A2297))&gt;0,((VLOOKUP(TRIM(D2297), CATALOGO!A:B, 2, FALSE) * C2297)*(1-VALUE(SUBSTITUTE(VLOOKUP(TRIM(A2297),'RESTAURANTESDESCUENTOS 2026'!A:B,2,FALSE),"%",""))/100)+I2297),(VLOOKUP(TRIM(D2297), CATALOGO!A:B, 2, FALSE) * C2297+I2297)),""))</f>
        <v>55000</v>
      </c>
      <c r="K2297" s="196"/>
      <c r="L2297" s="87">
        <v>976.0</v>
      </c>
      <c r="M2297" s="197" t="s">
        <v>587</v>
      </c>
      <c r="N2297" s="168"/>
    </row>
    <row r="2298" ht="22.5" hidden="1" customHeight="1">
      <c r="A2298" s="137" t="s">
        <v>603</v>
      </c>
      <c r="B2298" s="90">
        <v>46123.0</v>
      </c>
      <c r="C2298" s="55">
        <v>1.0</v>
      </c>
      <c r="D2298" s="97" t="s">
        <v>208</v>
      </c>
      <c r="E2298" s="243"/>
      <c r="F2298" s="236" t="s">
        <v>603</v>
      </c>
      <c r="G2298" s="194" t="s">
        <v>587</v>
      </c>
      <c r="H2298" s="195" t="s">
        <v>603</v>
      </c>
      <c r="I2298" s="196"/>
      <c r="J2298" s="199">
        <v>22000.0</v>
      </c>
      <c r="K2298" s="196"/>
      <c r="L2298" s="87">
        <v>976.0</v>
      </c>
      <c r="M2298" s="197" t="s">
        <v>587</v>
      </c>
      <c r="N2298" s="168"/>
    </row>
    <row r="2299" ht="22.5" hidden="1" customHeight="1">
      <c r="A2299" s="137" t="s">
        <v>603</v>
      </c>
      <c r="B2299" s="90">
        <v>46123.0</v>
      </c>
      <c r="C2299" s="55">
        <v>1.0</v>
      </c>
      <c r="D2299" s="97" t="s">
        <v>1360</v>
      </c>
      <c r="E2299" s="243"/>
      <c r="F2299" s="236" t="s">
        <v>603</v>
      </c>
      <c r="G2299" s="194" t="s">
        <v>587</v>
      </c>
      <c r="H2299" s="195" t="s">
        <v>603</v>
      </c>
      <c r="I2299" s="196"/>
      <c r="J2299" s="199">
        <v>123000.0</v>
      </c>
      <c r="K2299" s="196"/>
      <c r="L2299" s="87">
        <v>976.0</v>
      </c>
      <c r="M2299" s="197" t="s">
        <v>587</v>
      </c>
      <c r="N2299" s="168"/>
    </row>
    <row r="2300" ht="22.5" hidden="1" customHeight="1">
      <c r="A2300" s="137" t="s">
        <v>603</v>
      </c>
      <c r="B2300" s="90">
        <v>46123.0</v>
      </c>
      <c r="C2300" s="55">
        <v>1.0</v>
      </c>
      <c r="D2300" s="97" t="s">
        <v>678</v>
      </c>
      <c r="E2300" s="243"/>
      <c r="F2300" s="236" t="s">
        <v>603</v>
      </c>
      <c r="G2300" s="194" t="s">
        <v>587</v>
      </c>
      <c r="H2300" s="195" t="s">
        <v>603</v>
      </c>
      <c r="I2300" s="196"/>
      <c r="J2300" s="179">
        <f>IF(A2300="RAPPI",(VLOOKUP(TRIM(D2300), CATALOGO!F:G, 2, FALSE) * C2300)+I2300,IFERROR(IF(COUNTIF('RESTAURANTESDESCUENTOS 2026'!A:A,TRIM(A2300))&gt;0,((VLOOKUP(TRIM(D2300), CATALOGO!A:B, 2, FALSE) * C2300)*(1-VALUE(SUBSTITUTE(VLOOKUP(TRIM(A2300),'RESTAURANTESDESCUENTOS 2026'!A:B,2,FALSE),"%",""))/100)+I2300),(VLOOKUP(TRIM(D2300), CATALOGO!A:B, 2, FALSE) * C2300+I2300)),""))</f>
        <v>123000</v>
      </c>
      <c r="K2300" s="196"/>
      <c r="L2300" s="87">
        <v>976.0</v>
      </c>
      <c r="M2300" s="197" t="s">
        <v>587</v>
      </c>
      <c r="N2300" s="168"/>
    </row>
    <row r="2301" ht="22.5" hidden="1" customHeight="1">
      <c r="A2301" s="137" t="s">
        <v>603</v>
      </c>
      <c r="B2301" s="90">
        <v>46123.0</v>
      </c>
      <c r="C2301" s="55">
        <v>1.0</v>
      </c>
      <c r="D2301" s="97" t="s">
        <v>678</v>
      </c>
      <c r="E2301" s="243"/>
      <c r="F2301" s="236" t="s">
        <v>603</v>
      </c>
      <c r="G2301" s="194" t="s">
        <v>587</v>
      </c>
      <c r="H2301" s="195" t="s">
        <v>603</v>
      </c>
      <c r="I2301" s="196"/>
      <c r="J2301" s="179">
        <f>IF(A2301="RAPPI",(VLOOKUP(TRIM(D2301), CATALOGO!F:G, 2, FALSE) * C2301)+I2301,IFERROR(IF(COUNTIF('RESTAURANTESDESCUENTOS 2026'!A:A,TRIM(A2301))&gt;0,((VLOOKUP(TRIM(D2301), CATALOGO!A:B, 2, FALSE) * C2301)*(1-VALUE(SUBSTITUTE(VLOOKUP(TRIM(A2301),'RESTAURANTESDESCUENTOS 2026'!A:B,2,FALSE),"%",""))/100)+I2301),(VLOOKUP(TRIM(D2301), CATALOGO!A:B, 2, FALSE) * C2301+I2301)),""))</f>
        <v>123000</v>
      </c>
      <c r="K2301" s="196"/>
      <c r="L2301" s="87">
        <v>976.0</v>
      </c>
      <c r="M2301" s="197" t="s">
        <v>587</v>
      </c>
      <c r="N2301" s="168"/>
    </row>
    <row r="2302" ht="22.5" hidden="1" customHeight="1">
      <c r="A2302" s="137" t="s">
        <v>603</v>
      </c>
      <c r="B2302" s="90">
        <v>46123.0</v>
      </c>
      <c r="C2302" s="55">
        <v>1.0</v>
      </c>
      <c r="D2302" s="97" t="s">
        <v>775</v>
      </c>
      <c r="E2302" s="243"/>
      <c r="F2302" s="236" t="s">
        <v>603</v>
      </c>
      <c r="G2302" s="194" t="s">
        <v>587</v>
      </c>
      <c r="H2302" s="195" t="s">
        <v>603</v>
      </c>
      <c r="I2302" s="196"/>
      <c r="J2302" s="179">
        <f>IF(A2302="RAPPI",(VLOOKUP(TRIM(D2302), CATALOGO!F:G, 2, FALSE) * C2302)+I2302,IFERROR(IF(COUNTIF('RESTAURANTESDESCUENTOS 2026'!A:A,TRIM(A2302))&gt;0,((VLOOKUP(TRIM(D2302), CATALOGO!A:B, 2, FALSE) * C2302)*(1-VALUE(SUBSTITUTE(VLOOKUP(TRIM(A2302),'RESTAURANTESDESCUENTOS 2026'!A:B,2,FALSE),"%",""))/100)+I2302),(VLOOKUP(TRIM(D2302), CATALOGO!A:B, 2, FALSE) * C2302+I2302)),""))</f>
        <v>163000</v>
      </c>
      <c r="K2302" s="196"/>
      <c r="L2302" s="87">
        <v>976.0</v>
      </c>
      <c r="M2302" s="197" t="s">
        <v>587</v>
      </c>
      <c r="N2302" s="168"/>
    </row>
    <row r="2303" ht="22.5" hidden="1" customHeight="1">
      <c r="A2303" s="137" t="s">
        <v>603</v>
      </c>
      <c r="B2303" s="90">
        <v>46123.0</v>
      </c>
      <c r="C2303" s="55">
        <v>1.0</v>
      </c>
      <c r="D2303" s="97" t="s">
        <v>696</v>
      </c>
      <c r="E2303" s="243"/>
      <c r="F2303" s="236" t="s">
        <v>603</v>
      </c>
      <c r="G2303" s="194" t="s">
        <v>587</v>
      </c>
      <c r="H2303" s="195" t="s">
        <v>603</v>
      </c>
      <c r="I2303" s="196"/>
      <c r="J2303" s="179">
        <f>IF(A2303="RAPPI",(VLOOKUP(TRIM(D2303), CATALOGO!F:G, 2, FALSE) * C2303)+I2303,IFERROR(IF(COUNTIF('RESTAURANTESDESCUENTOS 2026'!A:A,TRIM(A2303))&gt;0,((VLOOKUP(TRIM(D2303), CATALOGO!A:B, 2, FALSE) * C2303)*(1-VALUE(SUBSTITUTE(VLOOKUP(TRIM(A2303),'RESTAURANTESDESCUENTOS 2026'!A:B,2,FALSE),"%",""))/100)+I2303),(VLOOKUP(TRIM(D2303), CATALOGO!A:B, 2, FALSE) * C2303+I2303)),""))</f>
        <v>4000</v>
      </c>
      <c r="K2303" s="196"/>
      <c r="L2303" s="87">
        <v>976.0</v>
      </c>
      <c r="M2303" s="197" t="s">
        <v>587</v>
      </c>
      <c r="N2303" s="168"/>
    </row>
    <row r="2304" ht="22.5" hidden="1" customHeight="1">
      <c r="A2304" s="137" t="s">
        <v>603</v>
      </c>
      <c r="B2304" s="90">
        <v>46123.0</v>
      </c>
      <c r="C2304" s="55">
        <v>1.0</v>
      </c>
      <c r="D2304" s="97" t="s">
        <v>177</v>
      </c>
      <c r="E2304" s="243"/>
      <c r="F2304" s="236" t="s">
        <v>603</v>
      </c>
      <c r="G2304" s="194" t="s">
        <v>587</v>
      </c>
      <c r="H2304" s="195" t="s">
        <v>603</v>
      </c>
      <c r="I2304" s="196"/>
      <c r="J2304" s="179">
        <f>IF(A2304="RAPPI",(VLOOKUP(TRIM(D2304), CATALOGO!F:G, 2, FALSE) * C2304)+I2304,IFERROR(IF(COUNTIF('RESTAURANTESDESCUENTOS 2026'!A:A,TRIM(A2304))&gt;0,((VLOOKUP(TRIM(D2304), CATALOGO!A:B, 2, FALSE) * C2304)*(1-VALUE(SUBSTITUTE(VLOOKUP(TRIM(A2304),'RESTAURANTESDESCUENTOS 2026'!A:B,2,FALSE),"%",""))/100)+I2304),(VLOOKUP(TRIM(D2304), CATALOGO!A:B, 2, FALSE) * C2304+I2304)),""))</f>
        <v>115000</v>
      </c>
      <c r="K2304" s="196"/>
      <c r="L2304" s="87">
        <v>976.0</v>
      </c>
      <c r="M2304" s="197" t="s">
        <v>587</v>
      </c>
      <c r="N2304" s="168"/>
    </row>
    <row r="2305" ht="22.5" hidden="1" customHeight="1">
      <c r="A2305" s="137" t="s">
        <v>603</v>
      </c>
      <c r="B2305" s="90">
        <v>46123.0</v>
      </c>
      <c r="C2305" s="55">
        <v>1.0</v>
      </c>
      <c r="D2305" s="97" t="s">
        <v>653</v>
      </c>
      <c r="E2305" s="243"/>
      <c r="F2305" s="236" t="s">
        <v>603</v>
      </c>
      <c r="G2305" s="194" t="s">
        <v>587</v>
      </c>
      <c r="H2305" s="195" t="s">
        <v>603</v>
      </c>
      <c r="I2305" s="196"/>
      <c r="J2305" s="179">
        <f>IF(A2305="RAPPI",(VLOOKUP(TRIM(D2305), CATALOGO!F:G, 2, FALSE) * C2305)+I2305,IFERROR(IF(COUNTIF('RESTAURANTESDESCUENTOS 2026'!A:A,TRIM(A2305))&gt;0,((VLOOKUP(TRIM(D2305), CATALOGO!A:B, 2, FALSE) * C2305)*(1-VALUE(SUBSTITUTE(VLOOKUP(TRIM(A2305),'RESTAURANTESDESCUENTOS 2026'!A:B,2,FALSE),"%",""))/100)+I2305),(VLOOKUP(TRIM(D2305), CATALOGO!A:B, 2, FALSE) * C2305+I2305)),""))</f>
        <v>123000</v>
      </c>
      <c r="K2305" s="196"/>
      <c r="L2305" s="87">
        <v>976.0</v>
      </c>
      <c r="M2305" s="197" t="s">
        <v>587</v>
      </c>
      <c r="N2305" s="168"/>
    </row>
    <row r="2306" ht="22.5" hidden="1" customHeight="1">
      <c r="A2306" s="137" t="s">
        <v>603</v>
      </c>
      <c r="B2306" s="90">
        <v>46123.0</v>
      </c>
      <c r="C2306" s="55">
        <v>1.0</v>
      </c>
      <c r="D2306" s="97" t="s">
        <v>174</v>
      </c>
      <c r="E2306" s="243"/>
      <c r="F2306" s="236" t="s">
        <v>603</v>
      </c>
      <c r="G2306" s="194" t="s">
        <v>587</v>
      </c>
      <c r="H2306" s="195" t="s">
        <v>603</v>
      </c>
      <c r="I2306" s="196"/>
      <c r="J2306" s="179">
        <f>IF(A2306="RAPPI",(VLOOKUP(TRIM(D2306), CATALOGO!F:G, 2, FALSE) * C2306)+I2306,IFERROR(IF(COUNTIF('RESTAURANTESDESCUENTOS 2026'!A:A,TRIM(A2306))&gt;0,((VLOOKUP(TRIM(D2306), CATALOGO!A:B, 2, FALSE) * C2306)*(1-VALUE(SUBSTITUTE(VLOOKUP(TRIM(A2306),'RESTAURANTESDESCUENTOS 2026'!A:B,2,FALSE),"%",""))/100)+I2306),(VLOOKUP(TRIM(D2306), CATALOGO!A:B, 2, FALSE) * C2306+I2306)),""))</f>
        <v>18000</v>
      </c>
      <c r="K2306" s="196"/>
      <c r="L2306" s="87">
        <v>976.0</v>
      </c>
      <c r="M2306" s="197" t="s">
        <v>587</v>
      </c>
      <c r="N2306" s="168"/>
    </row>
    <row r="2307" ht="22.5" hidden="1" customHeight="1">
      <c r="A2307" s="137" t="s">
        <v>603</v>
      </c>
      <c r="B2307" s="90">
        <v>46123.0</v>
      </c>
      <c r="C2307" s="55">
        <v>1.0</v>
      </c>
      <c r="D2307" s="97" t="s">
        <v>182</v>
      </c>
      <c r="E2307" s="243"/>
      <c r="F2307" s="236" t="s">
        <v>603</v>
      </c>
      <c r="G2307" s="194" t="s">
        <v>587</v>
      </c>
      <c r="H2307" s="195" t="s">
        <v>603</v>
      </c>
      <c r="I2307" s="196"/>
      <c r="J2307" s="179">
        <f>IF(A2307="RAPPI",(VLOOKUP(TRIM(D2307), CATALOGO!F:G, 2, FALSE) * C2307)+I2307,IFERROR(IF(COUNTIF('RESTAURANTESDESCUENTOS 2026'!A:A,TRIM(A2307))&gt;0,((VLOOKUP(TRIM(D2307), CATALOGO!A:B, 2, FALSE) * C2307)*(1-VALUE(SUBSTITUTE(VLOOKUP(TRIM(A2307),'RESTAURANTESDESCUENTOS 2026'!A:B,2,FALSE),"%",""))/100)+I2307),(VLOOKUP(TRIM(D2307), CATALOGO!A:B, 2, FALSE) * C2307+I2307)),""))</f>
        <v>37000</v>
      </c>
      <c r="K2307" s="196"/>
      <c r="L2307" s="87">
        <v>976.0</v>
      </c>
      <c r="M2307" s="197" t="s">
        <v>587</v>
      </c>
      <c r="N2307" s="168"/>
    </row>
    <row r="2308" ht="22.5" hidden="1" customHeight="1">
      <c r="A2308" s="137" t="s">
        <v>603</v>
      </c>
      <c r="B2308" s="90">
        <v>46123.0</v>
      </c>
      <c r="C2308" s="55">
        <v>1.0</v>
      </c>
      <c r="D2308" s="97" t="s">
        <v>601</v>
      </c>
      <c r="E2308" s="243"/>
      <c r="F2308" s="236" t="s">
        <v>603</v>
      </c>
      <c r="G2308" s="194" t="s">
        <v>587</v>
      </c>
      <c r="H2308" s="195" t="s">
        <v>603</v>
      </c>
      <c r="I2308" s="196"/>
      <c r="J2308" s="179">
        <f>IF(A2308="RAPPI",(VLOOKUP(TRIM(D2308), CATALOGO!F:G, 2, FALSE) * C2308)+I2308,IFERROR(IF(COUNTIF('RESTAURANTESDESCUENTOS 2026'!A:A,TRIM(A2308))&gt;0,((VLOOKUP(TRIM(D2308), CATALOGO!A:B, 2, FALSE) * C2308)*(1-VALUE(SUBSTITUTE(VLOOKUP(TRIM(A2308),'RESTAURANTESDESCUENTOS 2026'!A:B,2,FALSE),"%",""))/100)+I2308),(VLOOKUP(TRIM(D2308), CATALOGO!A:B, 2, FALSE) * C2308+I2308)),""))</f>
        <v>53000</v>
      </c>
      <c r="K2308" s="196"/>
      <c r="L2308" s="87">
        <v>976.0</v>
      </c>
      <c r="M2308" s="197" t="s">
        <v>587</v>
      </c>
      <c r="N2308" s="168"/>
    </row>
    <row r="2309" ht="22.5" hidden="1" customHeight="1">
      <c r="A2309" s="137" t="s">
        <v>603</v>
      </c>
      <c r="B2309" s="90">
        <v>46123.0</v>
      </c>
      <c r="C2309" s="55">
        <v>1.0</v>
      </c>
      <c r="D2309" s="97" t="s">
        <v>182</v>
      </c>
      <c r="E2309" s="243"/>
      <c r="F2309" s="236" t="s">
        <v>603</v>
      </c>
      <c r="G2309" s="194" t="s">
        <v>587</v>
      </c>
      <c r="H2309" s="195" t="s">
        <v>603</v>
      </c>
      <c r="I2309" s="196"/>
      <c r="J2309" s="179">
        <f>IF(A2309="RAPPI",(VLOOKUP(TRIM(D2309), CATALOGO!F:G, 2, FALSE) * C2309)+I2309,IFERROR(IF(COUNTIF('RESTAURANTESDESCUENTOS 2026'!A:A,TRIM(A2309))&gt;0,((VLOOKUP(TRIM(D2309), CATALOGO!A:B, 2, FALSE) * C2309)*(1-VALUE(SUBSTITUTE(VLOOKUP(TRIM(A2309),'RESTAURANTESDESCUENTOS 2026'!A:B,2,FALSE),"%",""))/100)+I2309),(VLOOKUP(TRIM(D2309), CATALOGO!A:B, 2, FALSE) * C2309+I2309)),""))</f>
        <v>37000</v>
      </c>
      <c r="K2309" s="196"/>
      <c r="L2309" s="87">
        <v>976.0</v>
      </c>
      <c r="M2309" s="197" t="s">
        <v>587</v>
      </c>
      <c r="N2309" s="168"/>
    </row>
    <row r="2310" ht="22.5" hidden="1" customHeight="1">
      <c r="A2310" s="137" t="s">
        <v>603</v>
      </c>
      <c r="B2310" s="90">
        <v>46123.0</v>
      </c>
      <c r="C2310" s="55">
        <v>1.0</v>
      </c>
      <c r="D2310" s="97" t="s">
        <v>206</v>
      </c>
      <c r="E2310" s="243"/>
      <c r="F2310" s="236" t="s">
        <v>603</v>
      </c>
      <c r="G2310" s="194" t="s">
        <v>587</v>
      </c>
      <c r="H2310" s="195" t="s">
        <v>603</v>
      </c>
      <c r="I2310" s="196"/>
      <c r="J2310" s="199">
        <v>22000.0</v>
      </c>
      <c r="K2310" s="196"/>
      <c r="L2310" s="87">
        <v>976.0</v>
      </c>
      <c r="M2310" s="197" t="s">
        <v>587</v>
      </c>
      <c r="N2310" s="168"/>
    </row>
    <row r="2311" ht="22.5" hidden="1" customHeight="1">
      <c r="A2311" s="137" t="s">
        <v>603</v>
      </c>
      <c r="B2311" s="90">
        <v>46123.0</v>
      </c>
      <c r="C2311" s="55">
        <v>1.0</v>
      </c>
      <c r="D2311" s="97" t="s">
        <v>176</v>
      </c>
      <c r="E2311" s="243"/>
      <c r="F2311" s="236" t="s">
        <v>603</v>
      </c>
      <c r="G2311" s="194" t="s">
        <v>587</v>
      </c>
      <c r="H2311" s="195" t="s">
        <v>603</v>
      </c>
      <c r="I2311" s="196"/>
      <c r="J2311" s="179">
        <f>IF(A2311="RAPPI",(VLOOKUP(TRIM(D2311), CATALOGO!F:G, 2, FALSE) * C2311)+I2311,IFERROR(IF(COUNTIF('RESTAURANTESDESCUENTOS 2026'!A:A,TRIM(A2311))&gt;0,((VLOOKUP(TRIM(D2311), CATALOGO!A:B, 2, FALSE) * C2311)*(1-VALUE(SUBSTITUTE(VLOOKUP(TRIM(A2311),'RESTAURANTESDESCUENTOS 2026'!A:B,2,FALSE),"%",""))/100)+I2311),(VLOOKUP(TRIM(D2311), CATALOGO!A:B, 2, FALSE) * C2311+I2311)),""))</f>
        <v>50000</v>
      </c>
      <c r="K2311" s="196"/>
      <c r="L2311" s="87">
        <v>976.0</v>
      </c>
      <c r="M2311" s="197" t="s">
        <v>587</v>
      </c>
      <c r="N2311" s="168"/>
    </row>
    <row r="2312" ht="22.5" hidden="1" customHeight="1">
      <c r="A2312" s="137" t="s">
        <v>603</v>
      </c>
      <c r="B2312" s="90">
        <v>46123.0</v>
      </c>
      <c r="C2312" s="55">
        <v>3.0</v>
      </c>
      <c r="D2312" s="97" t="s">
        <v>174</v>
      </c>
      <c r="E2312" s="243"/>
      <c r="F2312" s="236" t="s">
        <v>603</v>
      </c>
      <c r="G2312" s="194" t="s">
        <v>587</v>
      </c>
      <c r="H2312" s="195" t="s">
        <v>603</v>
      </c>
      <c r="I2312" s="196"/>
      <c r="J2312" s="179">
        <f>IF(A2312="RAPPI",(VLOOKUP(TRIM(D2312), CATALOGO!F:G, 2, FALSE) * C2312)+I2312,IFERROR(IF(COUNTIF('RESTAURANTESDESCUENTOS 2026'!A:A,TRIM(A2312))&gt;0,((VLOOKUP(TRIM(D2312), CATALOGO!A:B, 2, FALSE) * C2312)*(1-VALUE(SUBSTITUTE(VLOOKUP(TRIM(A2312),'RESTAURANTESDESCUENTOS 2026'!A:B,2,FALSE),"%",""))/100)+I2312),(VLOOKUP(TRIM(D2312), CATALOGO!A:B, 2, FALSE) * C2312+I2312)),""))</f>
        <v>54000</v>
      </c>
      <c r="K2312" s="196"/>
      <c r="L2312" s="87">
        <v>976.0</v>
      </c>
      <c r="M2312" s="197" t="s">
        <v>587</v>
      </c>
      <c r="N2312" s="168"/>
    </row>
    <row r="2313" ht="22.5" hidden="1" customHeight="1">
      <c r="A2313" s="137" t="s">
        <v>603</v>
      </c>
      <c r="B2313" s="90">
        <v>46123.0</v>
      </c>
      <c r="C2313" s="55">
        <v>1.0</v>
      </c>
      <c r="D2313" s="97" t="s">
        <v>617</v>
      </c>
      <c r="E2313" s="243"/>
      <c r="F2313" s="236" t="s">
        <v>603</v>
      </c>
      <c r="G2313" s="194" t="s">
        <v>587</v>
      </c>
      <c r="H2313" s="195" t="s">
        <v>603</v>
      </c>
      <c r="I2313" s="196"/>
      <c r="J2313" s="179">
        <f>IF(A2313="RAPPI",(VLOOKUP(TRIM(D2313), CATALOGO!F:G, 2, FALSE) * C2313)+I2313,IFERROR(IF(COUNTIF('RESTAURANTESDESCUENTOS 2026'!A:A,TRIM(A2313))&gt;0,((VLOOKUP(TRIM(D2313), CATALOGO!A:B, 2, FALSE) * C2313)*(1-VALUE(SUBSTITUTE(VLOOKUP(TRIM(A2313),'RESTAURANTESDESCUENTOS 2026'!A:B,2,FALSE),"%",""))/100)+I2313),(VLOOKUP(TRIM(D2313), CATALOGO!A:B, 2, FALSE) * C2313+I2313)),""))</f>
        <v>123000</v>
      </c>
      <c r="K2313" s="196"/>
      <c r="L2313" s="87">
        <v>976.0</v>
      </c>
      <c r="M2313" s="197" t="s">
        <v>587</v>
      </c>
      <c r="N2313" s="168"/>
    </row>
    <row r="2314" ht="22.5" hidden="1" customHeight="1">
      <c r="A2314" s="137" t="s">
        <v>603</v>
      </c>
      <c r="B2314" s="90">
        <v>46123.0</v>
      </c>
      <c r="C2314" s="55">
        <v>2.0</v>
      </c>
      <c r="D2314" s="97" t="s">
        <v>208</v>
      </c>
      <c r="E2314" s="243"/>
      <c r="F2314" s="236" t="s">
        <v>603</v>
      </c>
      <c r="G2314" s="194" t="s">
        <v>587</v>
      </c>
      <c r="H2314" s="195" t="s">
        <v>603</v>
      </c>
      <c r="I2314" s="196"/>
      <c r="J2314" s="199">
        <v>44000.0</v>
      </c>
      <c r="K2314" s="196"/>
      <c r="L2314" s="87">
        <v>976.0</v>
      </c>
      <c r="M2314" s="197" t="s">
        <v>587</v>
      </c>
      <c r="N2314" s="168"/>
    </row>
    <row r="2315" ht="22.5" hidden="1" customHeight="1">
      <c r="A2315" s="137" t="s">
        <v>603</v>
      </c>
      <c r="B2315" s="90">
        <v>46123.0</v>
      </c>
      <c r="C2315" s="55">
        <v>1.0</v>
      </c>
      <c r="D2315" s="97" t="s">
        <v>640</v>
      </c>
      <c r="E2315" s="243"/>
      <c r="F2315" s="236" t="s">
        <v>603</v>
      </c>
      <c r="G2315" s="194" t="s">
        <v>587</v>
      </c>
      <c r="H2315" s="195" t="s">
        <v>603</v>
      </c>
      <c r="I2315" s="196"/>
      <c r="J2315" s="179">
        <f>IF(A2315="RAPPI",(VLOOKUP(TRIM(D2315), CATALOGO!F:G, 2, FALSE) * C2315)+I2315,IFERROR(IF(COUNTIF('RESTAURANTESDESCUENTOS 2026'!A:A,TRIM(A2315))&gt;0,((VLOOKUP(TRIM(D2315), CATALOGO!A:B, 2, FALSE) * C2315)*(1-VALUE(SUBSTITUTE(VLOOKUP(TRIM(A2315),'RESTAURANTESDESCUENTOS 2026'!A:B,2,FALSE),"%",""))/100)+I2315),(VLOOKUP(TRIM(D2315), CATALOGO!A:B, 2, FALSE) * C2315+I2315)),""))</f>
        <v>53000</v>
      </c>
      <c r="K2315" s="196"/>
      <c r="L2315" s="87">
        <v>976.0</v>
      </c>
      <c r="M2315" s="197" t="s">
        <v>587</v>
      </c>
      <c r="N2315" s="168"/>
    </row>
    <row r="2316" ht="22.5" hidden="1" customHeight="1">
      <c r="A2316" s="137" t="s">
        <v>103</v>
      </c>
      <c r="B2316" s="90">
        <v>46125.0</v>
      </c>
      <c r="C2316" s="55">
        <v>1.0</v>
      </c>
      <c r="D2316" s="97" t="s">
        <v>178</v>
      </c>
      <c r="E2316" s="243" t="s">
        <v>1268</v>
      </c>
      <c r="F2316" s="236"/>
      <c r="G2316" s="194" t="s">
        <v>35</v>
      </c>
      <c r="H2316" s="198"/>
      <c r="I2316" s="196"/>
      <c r="J2316" s="179">
        <f>IF(A2316="RAPPI",(VLOOKUP(TRIM(D2316), CATALOGO!F:G, 2, FALSE) * C2316)+I2316,IFERROR(IF(COUNTIF('RESTAURANTESDESCUENTOS 2026'!A:A,TRIM(A2316))&gt;0,((VLOOKUP(TRIM(D2316), CATALOGO!A:B, 2, FALSE) * C2316)*(1-VALUE(SUBSTITUTE(VLOOKUP(TRIM(A2316),'RESTAURANTESDESCUENTOS 2026'!A:B,2,FALSE),"%",""))/100)+I2316),(VLOOKUP(TRIM(D2316), CATALOGO!A:B, 2, FALSE) * C2316+I2316)),""))</f>
        <v>105000</v>
      </c>
      <c r="K2316" s="196"/>
      <c r="L2316" s="87">
        <v>988.0</v>
      </c>
      <c r="M2316" s="197" t="s">
        <v>587</v>
      </c>
      <c r="N2316" s="168"/>
    </row>
    <row r="2317" ht="22.5" hidden="1" customHeight="1">
      <c r="A2317" s="137" t="s">
        <v>1084</v>
      </c>
      <c r="B2317" s="90">
        <v>46125.0</v>
      </c>
      <c r="C2317" s="55">
        <v>1.0</v>
      </c>
      <c r="D2317" s="97" t="s">
        <v>209</v>
      </c>
      <c r="E2317" s="243"/>
      <c r="F2317" s="236" t="s">
        <v>1035</v>
      </c>
      <c r="G2317" s="194" t="s">
        <v>587</v>
      </c>
      <c r="H2317" s="195" t="s">
        <v>632</v>
      </c>
      <c r="I2317" s="196">
        <v>10000.0</v>
      </c>
      <c r="J2317" s="179">
        <f>IF(A2317="RAPPI",(VLOOKUP(TRIM(D2317), CATALOGO!F:G, 2, FALSE) * C2317)+I2317,IFERROR(IF(COUNTIF('RESTAURANTESDESCUENTOS 2026'!A:A,TRIM(A2317))&gt;0,((VLOOKUP(TRIM(D2317), CATALOGO!A:B, 2, FALSE) * C2317)*(1-VALUE(SUBSTITUTE(VLOOKUP(TRIM(A2317),'RESTAURANTESDESCUENTOS 2026'!A:B,2,FALSE),"%",""))/100)+I2317),(VLOOKUP(TRIM(D2317), CATALOGO!A:B, 2, FALSE) * C2317+I2317)),""))</f>
        <v>32000</v>
      </c>
      <c r="K2317" s="196">
        <v>10000.0</v>
      </c>
      <c r="L2317" s="87">
        <v>994.0</v>
      </c>
      <c r="M2317" s="197" t="s">
        <v>587</v>
      </c>
      <c r="N2317" s="168"/>
    </row>
    <row r="2318" ht="22.5" hidden="1" customHeight="1">
      <c r="A2318" s="137" t="s">
        <v>1084</v>
      </c>
      <c r="B2318" s="90">
        <v>46125.0</v>
      </c>
      <c r="C2318" s="55">
        <v>1.0</v>
      </c>
      <c r="D2318" s="97" t="s">
        <v>207</v>
      </c>
      <c r="E2318" s="243"/>
      <c r="F2318" s="236" t="s">
        <v>1035</v>
      </c>
      <c r="G2318" s="194" t="s">
        <v>587</v>
      </c>
      <c r="H2318" s="195" t="s">
        <v>632</v>
      </c>
      <c r="I2318" s="196">
        <v>0.0</v>
      </c>
      <c r="J2318" s="179">
        <f>IF(A2318="RAPPI",(VLOOKUP(TRIM(D2318), CATALOGO!F:G, 2, FALSE) * C2318)+I2318,IFERROR(IF(COUNTIF('RESTAURANTESDESCUENTOS 2026'!A:A,TRIM(A2318))&gt;0,((VLOOKUP(TRIM(D2318), CATALOGO!A:B, 2, FALSE) * C2318)*(1-VALUE(SUBSTITUTE(VLOOKUP(TRIM(A2318),'RESTAURANTESDESCUENTOS 2026'!A:B,2,FALSE),"%",""))/100)+I2318),(VLOOKUP(TRIM(D2318), CATALOGO!A:B, 2, FALSE) * C2318+I2318)),""))</f>
        <v>22000</v>
      </c>
      <c r="K2318" s="196">
        <v>0.0</v>
      </c>
      <c r="L2318" s="87">
        <v>994.0</v>
      </c>
      <c r="M2318" s="197" t="s">
        <v>587</v>
      </c>
      <c r="N2318" s="168"/>
    </row>
    <row r="2319" ht="22.5" hidden="1" customHeight="1">
      <c r="A2319" s="137" t="s">
        <v>55</v>
      </c>
      <c r="B2319" s="90">
        <v>46125.0</v>
      </c>
      <c r="C2319" s="55">
        <v>2.0</v>
      </c>
      <c r="D2319" s="97" t="s">
        <v>178</v>
      </c>
      <c r="E2319" s="243" t="s">
        <v>1268</v>
      </c>
      <c r="F2319" s="202"/>
      <c r="G2319" s="194" t="s">
        <v>587</v>
      </c>
      <c r="H2319" s="195" t="s">
        <v>632</v>
      </c>
      <c r="I2319" s="196">
        <v>10000.0</v>
      </c>
      <c r="J2319" s="179">
        <f>IF(A2319="RAPPI",(VLOOKUP(TRIM(D2319), CATALOGO!F:G, 2, FALSE) * C2319)+I2319,IFERROR(IF(COUNTIF('RESTAURANTESDESCUENTOS 2026'!A:A,TRIM(A2319))&gt;0,((VLOOKUP(TRIM(D2319), CATALOGO!A:B, 2, FALSE) * C2319)*(1-VALUE(SUBSTITUTE(VLOOKUP(TRIM(A2319),'RESTAURANTESDESCUENTOS 2026'!A:B,2,FALSE),"%",""))/100)+I2319),(VLOOKUP(TRIM(D2319), CATALOGO!A:B, 2, FALSE) * C2319+I2319)),""))</f>
        <v>235000</v>
      </c>
      <c r="K2319" s="196">
        <v>10000.0</v>
      </c>
      <c r="L2319" s="87">
        <v>989.0</v>
      </c>
      <c r="M2319" s="197" t="s">
        <v>587</v>
      </c>
      <c r="N2319" s="168"/>
    </row>
    <row r="2320" ht="22.5" hidden="1" customHeight="1">
      <c r="A2320" s="137" t="s">
        <v>1299</v>
      </c>
      <c r="B2320" s="90">
        <v>46125.0</v>
      </c>
      <c r="C2320" s="55">
        <v>3.0</v>
      </c>
      <c r="D2320" s="97" t="s">
        <v>178</v>
      </c>
      <c r="E2320" s="243" t="s">
        <v>747</v>
      </c>
      <c r="F2320" s="202"/>
      <c r="G2320" s="194" t="s">
        <v>587</v>
      </c>
      <c r="H2320" s="195" t="s">
        <v>632</v>
      </c>
      <c r="I2320" s="196">
        <v>5000.0</v>
      </c>
      <c r="J2320" s="179">
        <f>IF(A2320="RAPPI",(VLOOKUP(TRIM(D2320), CATALOGO!F:G, 2, FALSE) * C2320)+I2320,IFERROR(IF(COUNTIF('RESTAURANTESDESCUENTOS 2026'!A:A,TRIM(A2320))&gt;0,((VLOOKUP(TRIM(D2320), CATALOGO!A:B, 2, FALSE) * C2320)*(1-VALUE(SUBSTITUTE(VLOOKUP(TRIM(A2320),'RESTAURANTESDESCUENTOS 2026'!A:B,2,FALSE),"%",""))/100)+I2320),(VLOOKUP(TRIM(D2320), CATALOGO!A:B, 2, FALSE) * C2320+I2320)),""))</f>
        <v>320000</v>
      </c>
      <c r="K2320" s="196">
        <v>10000.0</v>
      </c>
      <c r="L2320" s="87">
        <v>991.0</v>
      </c>
      <c r="M2320" s="197" t="s">
        <v>587</v>
      </c>
      <c r="N2320" s="168"/>
    </row>
    <row r="2321" ht="22.5" hidden="1" customHeight="1">
      <c r="A2321" s="137" t="s">
        <v>131</v>
      </c>
      <c r="B2321" s="90">
        <v>46125.0</v>
      </c>
      <c r="C2321" s="55">
        <v>1.0</v>
      </c>
      <c r="D2321" s="97" t="s">
        <v>178</v>
      </c>
      <c r="E2321" s="243" t="s">
        <v>747</v>
      </c>
      <c r="F2321" s="202"/>
      <c r="G2321" s="194" t="s">
        <v>587</v>
      </c>
      <c r="H2321" s="195" t="s">
        <v>632</v>
      </c>
      <c r="I2321" s="196">
        <v>5000.0</v>
      </c>
      <c r="J2321" s="179">
        <f>IF(A2321="RAPPI",(VLOOKUP(TRIM(D2321), CATALOGO!F:G, 2, FALSE) * C2321)+I2321,IFERROR(IF(COUNTIF('RESTAURANTESDESCUENTOS 2026'!A:A,TRIM(A2321))&gt;0,((VLOOKUP(TRIM(D2321), CATALOGO!A:B, 2, FALSE) * C2321)*(1-VALUE(SUBSTITUTE(VLOOKUP(TRIM(A2321),'RESTAURANTESDESCUENTOS 2026'!A:B,2,FALSE),"%",""))/100)+I2321),(VLOOKUP(TRIM(D2321), CATALOGO!A:B, 2, FALSE) * C2321+I2321)),""))</f>
        <v>110000</v>
      </c>
      <c r="K2321" s="196">
        <v>10000.0</v>
      </c>
      <c r="L2321" s="87">
        <v>990.0</v>
      </c>
      <c r="M2321" s="197" t="s">
        <v>587</v>
      </c>
      <c r="N2321" s="168"/>
    </row>
    <row r="2322" ht="22.5" hidden="1" customHeight="1">
      <c r="A2322" s="137" t="s">
        <v>1361</v>
      </c>
      <c r="B2322" s="90">
        <v>46125.0</v>
      </c>
      <c r="C2322" s="55">
        <v>1.0</v>
      </c>
      <c r="D2322" s="97" t="s">
        <v>189</v>
      </c>
      <c r="E2322" s="243"/>
      <c r="F2322" s="236" t="s">
        <v>1035</v>
      </c>
      <c r="G2322" s="194" t="s">
        <v>587</v>
      </c>
      <c r="H2322" s="195" t="s">
        <v>632</v>
      </c>
      <c r="I2322" s="196">
        <v>14000.0</v>
      </c>
      <c r="J2322" s="179">
        <f>IF(A2322="RAPPI",(VLOOKUP(TRIM(D2322), CATALOGO!F:G, 2, FALSE) * C2322)+I2322,IFERROR(IF(COUNTIF('RESTAURANTESDESCUENTOS 2026'!A:A,TRIM(A2322))&gt;0,((VLOOKUP(TRIM(D2322), CATALOGO!A:B, 2, FALSE) * C2322)*(1-VALUE(SUBSTITUTE(VLOOKUP(TRIM(A2322),'RESTAURANTESDESCUENTOS 2026'!A:B,2,FALSE),"%",""))/100)+I2322),(VLOOKUP(TRIM(D2322), CATALOGO!A:B, 2, FALSE) * C2322+I2322)),""))</f>
        <v>159000</v>
      </c>
      <c r="K2322" s="196">
        <v>14000.0</v>
      </c>
      <c r="L2322" s="87">
        <v>995.0</v>
      </c>
      <c r="M2322" s="197" t="s">
        <v>587</v>
      </c>
      <c r="N2322" s="168"/>
    </row>
    <row r="2323" ht="22.5" hidden="1" customHeight="1">
      <c r="A2323" s="137" t="s">
        <v>603</v>
      </c>
      <c r="B2323" s="90">
        <v>46125.0</v>
      </c>
      <c r="C2323" s="55">
        <v>1.0</v>
      </c>
      <c r="D2323" s="97" t="s">
        <v>177</v>
      </c>
      <c r="E2323" s="243"/>
      <c r="F2323" s="236" t="s">
        <v>603</v>
      </c>
      <c r="G2323" s="194" t="s">
        <v>587</v>
      </c>
      <c r="H2323" s="195" t="s">
        <v>603</v>
      </c>
      <c r="I2323" s="196"/>
      <c r="J2323" s="179">
        <f>IF(A2323="RAPPI",(VLOOKUP(TRIM(D2323), CATALOGO!F:G, 2, FALSE) * C2323)+I2323,IFERROR(IF(COUNTIF('RESTAURANTESDESCUENTOS 2026'!A:A,TRIM(A2323))&gt;0,((VLOOKUP(TRIM(D2323), CATALOGO!A:B, 2, FALSE) * C2323)*(1-VALUE(SUBSTITUTE(VLOOKUP(TRIM(A2323),'RESTAURANTESDESCUENTOS 2026'!A:B,2,FALSE),"%",""))/100)+I2323),(VLOOKUP(TRIM(D2323), CATALOGO!A:B, 2, FALSE) * C2323+I2323)),""))</f>
        <v>115000</v>
      </c>
      <c r="K2323" s="196"/>
      <c r="L2323" s="87">
        <v>992.0</v>
      </c>
      <c r="M2323" s="197" t="s">
        <v>587</v>
      </c>
      <c r="N2323" s="168"/>
    </row>
    <row r="2324" ht="22.5" hidden="1" customHeight="1">
      <c r="A2324" s="137" t="s">
        <v>603</v>
      </c>
      <c r="B2324" s="90">
        <v>46125.0</v>
      </c>
      <c r="C2324" s="55">
        <v>1.0</v>
      </c>
      <c r="D2324" s="97" t="s">
        <v>653</v>
      </c>
      <c r="E2324" s="243"/>
      <c r="F2324" s="236" t="s">
        <v>603</v>
      </c>
      <c r="G2324" s="194" t="s">
        <v>587</v>
      </c>
      <c r="H2324" s="195" t="s">
        <v>603</v>
      </c>
      <c r="I2324" s="196"/>
      <c r="J2324" s="179">
        <f>IF(A2324="RAPPI",(VLOOKUP(TRIM(D2324), CATALOGO!F:G, 2, FALSE) * C2324)+I2324,IFERROR(IF(COUNTIF('RESTAURANTESDESCUENTOS 2026'!A:A,TRIM(A2324))&gt;0,((VLOOKUP(TRIM(D2324), CATALOGO!A:B, 2, FALSE) * C2324)*(1-VALUE(SUBSTITUTE(VLOOKUP(TRIM(A2324),'RESTAURANTESDESCUENTOS 2026'!A:B,2,FALSE),"%",""))/100)+I2324),(VLOOKUP(TRIM(D2324), CATALOGO!A:B, 2, FALSE) * C2324+I2324)),""))</f>
        <v>123000</v>
      </c>
      <c r="K2324" s="196"/>
      <c r="L2324" s="87">
        <v>992.0</v>
      </c>
      <c r="M2324" s="197" t="s">
        <v>587</v>
      </c>
      <c r="N2324" s="168"/>
    </row>
    <row r="2325" ht="22.5" hidden="1" customHeight="1">
      <c r="A2325" s="137" t="s">
        <v>1126</v>
      </c>
      <c r="B2325" s="90">
        <v>46125.0</v>
      </c>
      <c r="C2325" s="55">
        <v>1.0</v>
      </c>
      <c r="D2325" s="97" t="s">
        <v>174</v>
      </c>
      <c r="E2325" s="243" t="s">
        <v>1362</v>
      </c>
      <c r="F2325" s="236" t="s">
        <v>1035</v>
      </c>
      <c r="G2325" s="194" t="s">
        <v>35</v>
      </c>
      <c r="H2325" s="198"/>
      <c r="I2325" s="196"/>
      <c r="J2325" s="179">
        <f>IF(A2325="RAPPI",(VLOOKUP(TRIM(D2325), CATALOGO!F:G, 2, FALSE) * C2325)+I2325,IFERROR(IF(COUNTIF('RESTAURANTESDESCUENTOS 2026'!A:A,TRIM(A2325))&gt;0,((VLOOKUP(TRIM(D2325), CATALOGO!A:B, 2, FALSE) * C2325)*(1-VALUE(SUBSTITUTE(VLOOKUP(TRIM(A2325),'RESTAURANTESDESCUENTOS 2026'!A:B,2,FALSE),"%",""))/100)+I2325),(VLOOKUP(TRIM(D2325), CATALOGO!A:B, 2, FALSE) * C2325+I2325)),""))</f>
        <v>18000</v>
      </c>
      <c r="K2325" s="196"/>
      <c r="L2325" s="87">
        <v>993.0</v>
      </c>
      <c r="M2325" s="197" t="s">
        <v>587</v>
      </c>
      <c r="N2325" s="168"/>
    </row>
    <row r="2326" ht="22.5" hidden="1" customHeight="1">
      <c r="A2326" s="137" t="s">
        <v>1363</v>
      </c>
      <c r="B2326" s="90">
        <v>46125.0</v>
      </c>
      <c r="C2326" s="55">
        <v>1.0</v>
      </c>
      <c r="D2326" s="97" t="s">
        <v>182</v>
      </c>
      <c r="E2326" s="243" t="s">
        <v>1364</v>
      </c>
      <c r="F2326" s="236" t="s">
        <v>1035</v>
      </c>
      <c r="G2326" s="194" t="s">
        <v>587</v>
      </c>
      <c r="H2326" s="195" t="s">
        <v>588</v>
      </c>
      <c r="I2326" s="196">
        <v>12000.0</v>
      </c>
      <c r="J2326" s="179">
        <f>IF(A2326="RAPPI",(VLOOKUP(TRIM(D2326), CATALOGO!F:G, 2, FALSE) * C2326)+I2326,IFERROR(IF(COUNTIF('RESTAURANTESDESCUENTOS 2026'!A:A,TRIM(A2326))&gt;0,((VLOOKUP(TRIM(D2326), CATALOGO!A:B, 2, FALSE) * C2326)*(1-VALUE(SUBSTITUTE(VLOOKUP(TRIM(A2326),'RESTAURANTESDESCUENTOS 2026'!A:B,2,FALSE),"%",""))/100)+I2326),(VLOOKUP(TRIM(D2326), CATALOGO!A:B, 2, FALSE) * C2326+I2326)),""))</f>
        <v>49000</v>
      </c>
      <c r="K2326" s="196">
        <v>20500.0</v>
      </c>
      <c r="L2326" s="87">
        <v>996.0</v>
      </c>
      <c r="M2326" s="197" t="s">
        <v>587</v>
      </c>
      <c r="N2326" s="168"/>
    </row>
    <row r="2327" ht="22.5" hidden="1" customHeight="1">
      <c r="A2327" s="137" t="s">
        <v>21</v>
      </c>
      <c r="B2327" s="90">
        <v>46126.0</v>
      </c>
      <c r="C2327" s="55">
        <v>1.0</v>
      </c>
      <c r="D2327" s="97" t="s">
        <v>178</v>
      </c>
      <c r="E2327" s="243" t="s">
        <v>747</v>
      </c>
      <c r="F2327" s="202"/>
      <c r="G2327" s="194" t="s">
        <v>587</v>
      </c>
      <c r="H2327" s="195" t="s">
        <v>632</v>
      </c>
      <c r="I2327" s="196">
        <v>15000.0</v>
      </c>
      <c r="J2327" s="179">
        <f>IF(A2327="RAPPI",(VLOOKUP(TRIM(D2327), CATALOGO!F:G, 2, FALSE) * C2327)+I2327,IFERROR(IF(COUNTIF('RESTAURANTESDESCUENTOS 2026'!A:A,TRIM(A2327))&gt;0,((VLOOKUP(TRIM(D2327), CATALOGO!A:B, 2, FALSE) * C2327)*(1-VALUE(SUBSTITUTE(VLOOKUP(TRIM(A2327),'RESTAURANTESDESCUENTOS 2026'!A:B,2,FALSE),"%",""))/100)+I2327),(VLOOKUP(TRIM(D2327), CATALOGO!A:B, 2, FALSE) * C2327+I2327)),""))</f>
        <v>127500</v>
      </c>
      <c r="K2327" s="196">
        <v>15000.0</v>
      </c>
      <c r="L2327" s="87">
        <v>997.0</v>
      </c>
      <c r="M2327" s="197" t="s">
        <v>587</v>
      </c>
      <c r="N2327" s="168"/>
    </row>
    <row r="2328" ht="22.5" hidden="1" customHeight="1">
      <c r="A2328" s="137" t="s">
        <v>109</v>
      </c>
      <c r="B2328" s="90">
        <v>46126.0</v>
      </c>
      <c r="C2328" s="55">
        <v>27.0</v>
      </c>
      <c r="D2328" s="97" t="s">
        <v>183</v>
      </c>
      <c r="E2328" s="243"/>
      <c r="F2328" s="202"/>
      <c r="G2328" s="194" t="s">
        <v>587</v>
      </c>
      <c r="H2328" s="195" t="s">
        <v>632</v>
      </c>
      <c r="I2328" s="196"/>
      <c r="J2328" s="179">
        <f>IF(A2328="RAPPI",(VLOOKUP(TRIM(D2328), CATALOGO!F:G, 2, FALSE) * C2328)+I2328,IFERROR(IF(COUNTIF('RESTAURANTESDESCUENTOS 2026'!A:A,TRIM(A2328))&gt;0,((VLOOKUP(TRIM(D2328), CATALOGO!A:B, 2, FALSE) * C2328)*(1-VALUE(SUBSTITUTE(VLOOKUP(TRIM(A2328),'RESTAURANTESDESCUENTOS 2026'!A:B,2,FALSE),"%",""))/100)+I2328),(VLOOKUP(TRIM(D2328), CATALOGO!A:B, 2, FALSE) * C2328+I2328)),""))</f>
        <v>415800</v>
      </c>
      <c r="K2328" s="196">
        <v>10000.0</v>
      </c>
      <c r="L2328" s="87">
        <v>998.0</v>
      </c>
      <c r="M2328" s="197" t="s">
        <v>587</v>
      </c>
      <c r="N2328" s="168"/>
    </row>
    <row r="2329" ht="22.5" hidden="1" customHeight="1">
      <c r="A2329" s="137" t="s">
        <v>109</v>
      </c>
      <c r="B2329" s="90">
        <v>46126.0</v>
      </c>
      <c r="C2329" s="55">
        <v>6.0</v>
      </c>
      <c r="D2329" s="97" t="s">
        <v>184</v>
      </c>
      <c r="E2329" s="243"/>
      <c r="F2329" s="202"/>
      <c r="G2329" s="194" t="s">
        <v>587</v>
      </c>
      <c r="H2329" s="195" t="s">
        <v>632</v>
      </c>
      <c r="I2329" s="196"/>
      <c r="J2329" s="179">
        <f>IF(A2329="RAPPI",(VLOOKUP(TRIM(D2329), CATALOGO!F:G, 2, FALSE) * C2329)+I2329,IFERROR(IF(COUNTIF('RESTAURANTESDESCUENTOS 2026'!A:A,TRIM(A2329))&gt;0,((VLOOKUP(TRIM(D2329), CATALOGO!A:B, 2, FALSE) * C2329)*(1-VALUE(SUBSTITUTE(VLOOKUP(TRIM(A2329),'RESTAURANTESDESCUENTOS 2026'!A:B,2,FALSE),"%",""))/100)+I2329),(VLOOKUP(TRIM(D2329), CATALOGO!A:B, 2, FALSE) * C2329+I2329)),""))</f>
        <v>144000</v>
      </c>
      <c r="K2329" s="196">
        <v>0.0</v>
      </c>
      <c r="L2329" s="87">
        <v>998.0</v>
      </c>
      <c r="M2329" s="197" t="s">
        <v>587</v>
      </c>
      <c r="N2329" s="168"/>
    </row>
    <row r="2330" ht="22.5" hidden="1" customHeight="1">
      <c r="A2330" s="137" t="s">
        <v>119</v>
      </c>
      <c r="B2330" s="90">
        <v>46126.0</v>
      </c>
      <c r="C2330" s="55">
        <v>66.0</v>
      </c>
      <c r="D2330" s="97" t="s">
        <v>183</v>
      </c>
      <c r="E2330" s="243" t="s">
        <v>1365</v>
      </c>
      <c r="F2330" s="202"/>
      <c r="G2330" s="194" t="s">
        <v>587</v>
      </c>
      <c r="H2330" s="195"/>
      <c r="I2330" s="196">
        <v>298000.0</v>
      </c>
      <c r="J2330" s="179">
        <f>IF(A2330="RAPPI",(VLOOKUP(TRIM(D2330), CATALOGO!F:G, 2, FALSE) * C2330)+I2330,IFERROR(IF(COUNTIF('RESTAURANTESDESCUENTOS 2026'!A:A,TRIM(A2330))&gt;0,((VLOOKUP(TRIM(D2330), CATALOGO!A:B, 2, FALSE) * C2330)*(1-VALUE(SUBSTITUTE(VLOOKUP(TRIM(A2330),'RESTAURANTESDESCUENTOS 2026'!A:B,2,FALSE),"%",""))/100)+I2330),(VLOOKUP(TRIM(D2330), CATALOGO!A:B, 2, FALSE) * C2330+I2330)),""))</f>
        <v>1314400</v>
      </c>
      <c r="K2330" s="196"/>
      <c r="L2330" s="87">
        <v>1002.0</v>
      </c>
      <c r="M2330" s="197" t="s">
        <v>587</v>
      </c>
      <c r="N2330" s="168"/>
    </row>
    <row r="2331" ht="22.5" hidden="1" customHeight="1">
      <c r="A2331" s="137" t="s">
        <v>119</v>
      </c>
      <c r="B2331" s="90">
        <v>46126.0</v>
      </c>
      <c r="C2331" s="55">
        <v>21.0</v>
      </c>
      <c r="D2331" s="97" t="s">
        <v>184</v>
      </c>
      <c r="E2331" s="243"/>
      <c r="F2331" s="202"/>
      <c r="G2331" s="194" t="s">
        <v>587</v>
      </c>
      <c r="H2331" s="195"/>
      <c r="I2331" s="196"/>
      <c r="J2331" s="179">
        <f>IF(A2331="RAPPI",(VLOOKUP(TRIM(D2331), CATALOGO!F:G, 2, FALSE) * C2331)+I2331,IFERROR(IF(COUNTIF('RESTAURANTESDESCUENTOS 2026'!A:A,TRIM(A2331))&gt;0,((VLOOKUP(TRIM(D2331), CATALOGO!A:B, 2, FALSE) * C2331)*(1-VALUE(SUBSTITUTE(VLOOKUP(TRIM(A2331),'RESTAURANTESDESCUENTOS 2026'!A:B,2,FALSE),"%",""))/100)+I2331),(VLOOKUP(TRIM(D2331), CATALOGO!A:B, 2, FALSE) * C2331+I2331)),""))</f>
        <v>504000</v>
      </c>
      <c r="K2331" s="196"/>
      <c r="L2331" s="87">
        <v>1002.0</v>
      </c>
      <c r="M2331" s="197" t="s">
        <v>587</v>
      </c>
      <c r="N2331" s="168"/>
    </row>
    <row r="2332" ht="22.5" hidden="1" customHeight="1">
      <c r="A2332" s="137" t="s">
        <v>119</v>
      </c>
      <c r="B2332" s="90">
        <v>46126.0</v>
      </c>
      <c r="C2332" s="55">
        <v>27.0</v>
      </c>
      <c r="D2332" s="97" t="s">
        <v>185</v>
      </c>
      <c r="E2332" s="243"/>
      <c r="F2332" s="202"/>
      <c r="G2332" s="194" t="s">
        <v>587</v>
      </c>
      <c r="H2332" s="195"/>
      <c r="I2332" s="196"/>
      <c r="J2332" s="179">
        <f>IF(A2332="RAPPI",(VLOOKUP(TRIM(D2332), CATALOGO!F:G, 2, FALSE) * C2332)+I2332,IFERROR(IF(COUNTIF('RESTAURANTESDESCUENTOS 2026'!A:A,TRIM(A2332))&gt;0,((VLOOKUP(TRIM(D2332), CATALOGO!A:B, 2, FALSE) * C2332)*(1-VALUE(SUBSTITUTE(VLOOKUP(TRIM(A2332),'RESTAURANTESDESCUENTOS 2026'!A:B,2,FALSE),"%",""))/100)+I2332),(VLOOKUP(TRIM(D2332), CATALOGO!A:B, 2, FALSE) * C2332+I2332)),""))</f>
        <v>475200</v>
      </c>
      <c r="K2332" s="196"/>
      <c r="L2332" s="87">
        <v>1002.0</v>
      </c>
      <c r="M2332" s="197" t="s">
        <v>587</v>
      </c>
      <c r="N2332" s="168"/>
    </row>
    <row r="2333" ht="22.5" hidden="1" customHeight="1">
      <c r="A2333" s="137" t="s">
        <v>116</v>
      </c>
      <c r="B2333" s="90">
        <v>46126.0</v>
      </c>
      <c r="C2333" s="55">
        <v>6.0</v>
      </c>
      <c r="D2333" s="97" t="s">
        <v>183</v>
      </c>
      <c r="E2333" s="243"/>
      <c r="F2333" s="202"/>
      <c r="G2333" s="194" t="s">
        <v>587</v>
      </c>
      <c r="H2333" s="195" t="s">
        <v>632</v>
      </c>
      <c r="I2333" s="196"/>
      <c r="J2333" s="179">
        <f>IF(A2333="RAPPI",(VLOOKUP(TRIM(D2333), CATALOGO!F:G, 2, FALSE) * C2333)+I2333,IFERROR(IF(COUNTIF('RESTAURANTESDESCUENTOS 2026'!A:A,TRIM(A2333))&gt;0,((VLOOKUP(TRIM(D2333), CATALOGO!A:B, 2, FALSE) * C2333)*(1-VALUE(SUBSTITUTE(VLOOKUP(TRIM(A2333),'RESTAURANTESDESCUENTOS 2026'!A:B,2,FALSE),"%",""))/100)+I2333),(VLOOKUP(TRIM(D2333), CATALOGO!A:B, 2, FALSE) * C2333+I2333)),""))</f>
        <v>92400</v>
      </c>
      <c r="K2333" s="196">
        <v>10000.0</v>
      </c>
      <c r="L2333" s="87">
        <v>999.0</v>
      </c>
      <c r="M2333" s="197" t="s">
        <v>587</v>
      </c>
      <c r="N2333" s="168"/>
    </row>
    <row r="2334" ht="22.5" hidden="1" customHeight="1">
      <c r="A2334" s="137" t="s">
        <v>116</v>
      </c>
      <c r="B2334" s="90">
        <v>46126.0</v>
      </c>
      <c r="C2334" s="55">
        <v>3.0</v>
      </c>
      <c r="D2334" s="97" t="s">
        <v>184</v>
      </c>
      <c r="E2334" s="243"/>
      <c r="F2334" s="202"/>
      <c r="G2334" s="194" t="s">
        <v>587</v>
      </c>
      <c r="H2334" s="195" t="s">
        <v>632</v>
      </c>
      <c r="I2334" s="196"/>
      <c r="J2334" s="199">
        <v>52800.0</v>
      </c>
      <c r="K2334" s="196">
        <v>0.0</v>
      </c>
      <c r="L2334" s="87">
        <v>999.0</v>
      </c>
      <c r="M2334" s="197" t="s">
        <v>587</v>
      </c>
      <c r="N2334" s="168"/>
    </row>
    <row r="2335" ht="22.5" hidden="1" customHeight="1">
      <c r="A2335" s="137" t="s">
        <v>116</v>
      </c>
      <c r="B2335" s="90">
        <v>46126.0</v>
      </c>
      <c r="C2335" s="55">
        <v>3.0</v>
      </c>
      <c r="D2335" s="97" t="s">
        <v>185</v>
      </c>
      <c r="E2335" s="243"/>
      <c r="F2335" s="202"/>
      <c r="G2335" s="194" t="s">
        <v>587</v>
      </c>
      <c r="H2335" s="195" t="s">
        <v>632</v>
      </c>
      <c r="I2335" s="196"/>
      <c r="J2335" s="179">
        <f>IF(A2335="RAPPI",(VLOOKUP(TRIM(D2335), CATALOGO!F:G, 2, FALSE) * C2335)+I2335,IFERROR(IF(COUNTIF('RESTAURANTESDESCUENTOS 2026'!A:A,TRIM(A2335))&gt;0,((VLOOKUP(TRIM(D2335), CATALOGO!A:B, 2, FALSE) * C2335)*(1-VALUE(SUBSTITUTE(VLOOKUP(TRIM(A2335),'RESTAURANTESDESCUENTOS 2026'!A:B,2,FALSE),"%",""))/100)+I2335),(VLOOKUP(TRIM(D2335), CATALOGO!A:B, 2, FALSE) * C2335+I2335)),""))</f>
        <v>52800</v>
      </c>
      <c r="K2335" s="196">
        <v>0.0</v>
      </c>
      <c r="L2335" s="87">
        <v>999.0</v>
      </c>
      <c r="M2335" s="197" t="s">
        <v>587</v>
      </c>
      <c r="N2335" s="168"/>
    </row>
    <row r="2336" ht="22.5" hidden="1" customHeight="1">
      <c r="A2336" s="137" t="s">
        <v>88</v>
      </c>
      <c r="B2336" s="90">
        <v>46126.0</v>
      </c>
      <c r="C2336" s="55">
        <v>1.0</v>
      </c>
      <c r="D2336" s="97" t="s">
        <v>177</v>
      </c>
      <c r="E2336" s="243" t="s">
        <v>747</v>
      </c>
      <c r="F2336" s="202"/>
      <c r="G2336" s="194" t="s">
        <v>587</v>
      </c>
      <c r="H2336" s="195" t="s">
        <v>632</v>
      </c>
      <c r="I2336" s="196">
        <v>10000.0</v>
      </c>
      <c r="J2336" s="179">
        <f>IF(A2336="RAPPI",(VLOOKUP(TRIM(D2336), CATALOGO!F:G, 2, FALSE) * C2336)+I2336,IFERROR(IF(COUNTIF('RESTAURANTESDESCUENTOS 2026'!A:A,TRIM(A2336))&gt;0,((VLOOKUP(TRIM(D2336), CATALOGO!A:B, 2, FALSE) * C2336)*(1-VALUE(SUBSTITUTE(VLOOKUP(TRIM(A2336),'RESTAURANTESDESCUENTOS 2026'!A:B,2,FALSE),"%",""))/100)+I2336),(VLOOKUP(TRIM(D2336), CATALOGO!A:B, 2, FALSE) * C2336+I2336)),""))</f>
        <v>96250</v>
      </c>
      <c r="K2336" s="196">
        <v>15000.0</v>
      </c>
      <c r="L2336" s="87">
        <v>1000.0</v>
      </c>
      <c r="M2336" s="197" t="s">
        <v>587</v>
      </c>
      <c r="N2336" s="168"/>
    </row>
    <row r="2337" ht="22.5" hidden="1" customHeight="1">
      <c r="A2337" s="137" t="s">
        <v>1366</v>
      </c>
      <c r="B2337" s="90">
        <v>46126.0</v>
      </c>
      <c r="C2337" s="55">
        <v>1.0</v>
      </c>
      <c r="D2337" s="97" t="s">
        <v>177</v>
      </c>
      <c r="E2337" s="243"/>
      <c r="F2337" s="236" t="s">
        <v>1035</v>
      </c>
      <c r="G2337" s="194" t="s">
        <v>587</v>
      </c>
      <c r="H2337" s="195" t="s">
        <v>588</v>
      </c>
      <c r="I2337" s="196">
        <v>15000.0</v>
      </c>
      <c r="J2337" s="179">
        <f>IF(A2337="RAPPI",(VLOOKUP(TRIM(D2337), CATALOGO!F:G, 2, FALSE) * C2337)+I2337,IFERROR(IF(COUNTIF('RESTAURANTESDESCUENTOS 2026'!A:A,TRIM(A2337))&gt;0,((VLOOKUP(TRIM(D2337), CATALOGO!A:B, 2, FALSE) * C2337)*(1-VALUE(SUBSTITUTE(VLOOKUP(TRIM(A2337),'RESTAURANTESDESCUENTOS 2026'!A:B,2,FALSE),"%",""))/100)+I2337),(VLOOKUP(TRIM(D2337), CATALOGO!A:B, 2, FALSE) * C2337+I2337)),""))</f>
        <v>130000</v>
      </c>
      <c r="K2337" s="196">
        <v>27000.0</v>
      </c>
      <c r="L2337" s="87">
        <v>1005.0</v>
      </c>
      <c r="M2337" s="197" t="s">
        <v>587</v>
      </c>
      <c r="N2337" s="168"/>
    </row>
    <row r="2338" ht="22.5" hidden="1" customHeight="1">
      <c r="A2338" s="137" t="s">
        <v>1367</v>
      </c>
      <c r="B2338" s="90">
        <v>46126.0</v>
      </c>
      <c r="C2338" s="55">
        <v>1.0</v>
      </c>
      <c r="D2338" s="97" t="s">
        <v>207</v>
      </c>
      <c r="E2338" s="243"/>
      <c r="F2338" s="236" t="s">
        <v>1035</v>
      </c>
      <c r="G2338" s="194" t="s">
        <v>587</v>
      </c>
      <c r="H2338" s="195" t="s">
        <v>588</v>
      </c>
      <c r="I2338" s="196">
        <v>16000.0</v>
      </c>
      <c r="J2338" s="179">
        <f>IF(A2338="RAPPI",(VLOOKUP(TRIM(D2338), CATALOGO!F:G, 2, FALSE) * C2338)+I2338,IFERROR(IF(COUNTIF('RESTAURANTESDESCUENTOS 2026'!A:A,TRIM(A2338))&gt;0,((VLOOKUP(TRIM(D2338), CATALOGO!A:B, 2, FALSE) * C2338)*(1-VALUE(SUBSTITUTE(VLOOKUP(TRIM(A2338),'RESTAURANTESDESCUENTOS 2026'!A:B,2,FALSE),"%",""))/100)+I2338),(VLOOKUP(TRIM(D2338), CATALOGO!A:B, 2, FALSE) * C2338+I2338)),""))</f>
        <v>38000</v>
      </c>
      <c r="K2338" s="196">
        <v>16400.0</v>
      </c>
      <c r="L2338" s="87">
        <v>1006.0</v>
      </c>
      <c r="M2338" s="197" t="s">
        <v>587</v>
      </c>
      <c r="N2338" s="168"/>
    </row>
    <row r="2339" ht="22.5" hidden="1" customHeight="1">
      <c r="A2339" s="137" t="s">
        <v>1126</v>
      </c>
      <c r="B2339" s="90">
        <v>46126.0</v>
      </c>
      <c r="C2339" s="55">
        <v>1.0</v>
      </c>
      <c r="D2339" s="97" t="s">
        <v>176</v>
      </c>
      <c r="E2339" s="243"/>
      <c r="F2339" s="236" t="s">
        <v>1035</v>
      </c>
      <c r="G2339" s="194" t="s">
        <v>35</v>
      </c>
      <c r="H2339" s="198"/>
      <c r="I2339" s="196"/>
      <c r="J2339" s="179">
        <f>IF(A2339="RAPPI",(VLOOKUP(TRIM(D2339), CATALOGO!F:G, 2, FALSE) * C2339)+I2339,IFERROR(IF(COUNTIF('RESTAURANTESDESCUENTOS 2026'!A:A,TRIM(A2339))&gt;0,((VLOOKUP(TRIM(D2339), CATALOGO!A:B, 2, FALSE) * C2339)*(1-VALUE(SUBSTITUTE(VLOOKUP(TRIM(A2339),'RESTAURANTESDESCUENTOS 2026'!A:B,2,FALSE),"%",""))/100)+I2339),(VLOOKUP(TRIM(D2339), CATALOGO!A:B, 2, FALSE) * C2339+I2339)),""))</f>
        <v>50000</v>
      </c>
      <c r="K2339" s="196"/>
      <c r="L2339" s="87">
        <v>1004.0</v>
      </c>
      <c r="M2339" s="197" t="s">
        <v>587</v>
      </c>
      <c r="N2339" s="168"/>
    </row>
    <row r="2340" ht="22.5" hidden="1" customHeight="1">
      <c r="A2340" s="137" t="s">
        <v>1069</v>
      </c>
      <c r="B2340" s="90">
        <v>46126.0</v>
      </c>
      <c r="C2340" s="55">
        <v>1.0</v>
      </c>
      <c r="D2340" s="97" t="s">
        <v>174</v>
      </c>
      <c r="E2340" s="243"/>
      <c r="F2340" s="236" t="s">
        <v>1036</v>
      </c>
      <c r="G2340" s="194" t="s">
        <v>35</v>
      </c>
      <c r="H2340" s="198"/>
      <c r="I2340" s="196"/>
      <c r="J2340" s="179">
        <f>IF(A2340="RAPPI",(VLOOKUP(TRIM(D2340), CATALOGO!F:G, 2, FALSE) * C2340)+I2340,IFERROR(IF(COUNTIF('RESTAURANTESDESCUENTOS 2026'!A:A,TRIM(A2340))&gt;0,((VLOOKUP(TRIM(D2340), CATALOGO!A:B, 2, FALSE) * C2340)*(1-VALUE(SUBSTITUTE(VLOOKUP(TRIM(A2340),'RESTAURANTESDESCUENTOS 2026'!A:B,2,FALSE),"%",""))/100)+I2340),(VLOOKUP(TRIM(D2340), CATALOGO!A:B, 2, FALSE) * C2340+I2340)),""))</f>
        <v>18000</v>
      </c>
      <c r="K2340" s="196"/>
      <c r="L2340" s="87">
        <v>1004.0</v>
      </c>
      <c r="M2340" s="197" t="s">
        <v>587</v>
      </c>
      <c r="N2340" s="168"/>
    </row>
    <row r="2341" ht="22.5" hidden="1" customHeight="1">
      <c r="A2341" s="137" t="s">
        <v>1069</v>
      </c>
      <c r="B2341" s="90">
        <v>46126.0</v>
      </c>
      <c r="C2341" s="55">
        <v>1.0</v>
      </c>
      <c r="D2341" s="97" t="s">
        <v>187</v>
      </c>
      <c r="E2341" s="243"/>
      <c r="F2341" s="236" t="s">
        <v>1036</v>
      </c>
      <c r="G2341" s="194" t="s">
        <v>35</v>
      </c>
      <c r="H2341" s="198"/>
      <c r="I2341" s="196"/>
      <c r="J2341" s="179">
        <f>IF(A2341="RAPPI",(VLOOKUP(TRIM(D2341), CATALOGO!F:G, 2, FALSE) * C2341)+I2341,IFERROR(IF(COUNTIF('RESTAURANTESDESCUENTOS 2026'!A:A,TRIM(A2341))&gt;0,((VLOOKUP(TRIM(D2341), CATALOGO!A:B, 2, FALSE) * C2341)*(1-VALUE(SUBSTITUTE(VLOOKUP(TRIM(A2341),'RESTAURANTESDESCUENTOS 2026'!A:B,2,FALSE),"%",""))/100)+I2341),(VLOOKUP(TRIM(D2341), CATALOGO!A:B, 2, FALSE) * C2341+I2341)),""))</f>
        <v>55000</v>
      </c>
      <c r="K2341" s="196"/>
      <c r="L2341" s="87">
        <v>1004.0</v>
      </c>
      <c r="M2341" s="197" t="s">
        <v>587</v>
      </c>
      <c r="N2341" s="168"/>
    </row>
    <row r="2342" ht="22.5" hidden="1" customHeight="1">
      <c r="A2342" s="137" t="s">
        <v>603</v>
      </c>
      <c r="B2342" s="90">
        <v>46126.0</v>
      </c>
      <c r="C2342" s="55">
        <v>1.0</v>
      </c>
      <c r="D2342" s="97" t="s">
        <v>176</v>
      </c>
      <c r="E2342" s="10"/>
      <c r="F2342" s="236" t="s">
        <v>603</v>
      </c>
      <c r="G2342" s="194" t="s">
        <v>587</v>
      </c>
      <c r="H2342" s="195" t="s">
        <v>603</v>
      </c>
      <c r="I2342" s="196"/>
      <c r="J2342" s="179">
        <f>IF(A2342="RAPPI",(VLOOKUP(TRIM(D2342), CATALOGO!F:G, 2, FALSE) * C2342)+I2342,IFERROR(IF(COUNTIF('RESTAURANTESDESCUENTOS 2026'!A:A,TRIM(A2342))&gt;0,((VLOOKUP(TRIM(D2342), CATALOGO!A:B, 2, FALSE) * C2342)*(1-VALUE(SUBSTITUTE(VLOOKUP(TRIM(A2342),'RESTAURANTESDESCUENTOS 2026'!A:B,2,FALSE),"%",""))/100)+I2342),(VLOOKUP(TRIM(D2342), CATALOGO!A:B, 2, FALSE) * C2342+I2342)),""))</f>
        <v>50000</v>
      </c>
      <c r="K2342" s="196"/>
      <c r="L2342" s="87">
        <v>1003.0</v>
      </c>
      <c r="M2342" s="197" t="s">
        <v>587</v>
      </c>
      <c r="N2342" s="168"/>
    </row>
    <row r="2343" ht="22.5" hidden="1" customHeight="1">
      <c r="A2343" s="137" t="s">
        <v>603</v>
      </c>
      <c r="B2343" s="90">
        <v>46126.0</v>
      </c>
      <c r="C2343" s="55">
        <v>1.0</v>
      </c>
      <c r="D2343" s="97" t="s">
        <v>176</v>
      </c>
      <c r="E2343" s="10"/>
      <c r="F2343" s="236" t="s">
        <v>603</v>
      </c>
      <c r="G2343" s="194" t="s">
        <v>587</v>
      </c>
      <c r="H2343" s="195" t="s">
        <v>603</v>
      </c>
      <c r="I2343" s="196"/>
      <c r="J2343" s="179">
        <f>IF(A2343="RAPPI",(VLOOKUP(TRIM(D2343), CATALOGO!F:G, 2, FALSE) * C2343)+I2343,IFERROR(IF(COUNTIF('RESTAURANTESDESCUENTOS 2026'!A:A,TRIM(A2343))&gt;0,((VLOOKUP(TRIM(D2343), CATALOGO!A:B, 2, FALSE) * C2343)*(1-VALUE(SUBSTITUTE(VLOOKUP(TRIM(A2343),'RESTAURANTESDESCUENTOS 2026'!A:B,2,FALSE),"%",""))/100)+I2343),(VLOOKUP(TRIM(D2343), CATALOGO!A:B, 2, FALSE) * C2343+I2343)),""))</f>
        <v>50000</v>
      </c>
      <c r="K2343" s="196"/>
      <c r="L2343" s="87">
        <v>1003.0</v>
      </c>
      <c r="M2343" s="197" t="s">
        <v>587</v>
      </c>
      <c r="N2343" s="168"/>
    </row>
    <row r="2344" ht="22.5" hidden="1" customHeight="1">
      <c r="A2344" s="137" t="s">
        <v>603</v>
      </c>
      <c r="B2344" s="90">
        <v>46126.0</v>
      </c>
      <c r="C2344" s="55">
        <v>1.0</v>
      </c>
      <c r="D2344" s="97" t="s">
        <v>186</v>
      </c>
      <c r="E2344" s="10"/>
      <c r="F2344" s="236" t="s">
        <v>603</v>
      </c>
      <c r="G2344" s="194" t="s">
        <v>587</v>
      </c>
      <c r="H2344" s="195" t="s">
        <v>603</v>
      </c>
      <c r="I2344" s="196"/>
      <c r="J2344" s="179">
        <f>IF(A2344="RAPPI",(VLOOKUP(TRIM(D2344), CATALOGO!F:G, 2, FALSE) * C2344)+I2344,IFERROR(IF(COUNTIF('RESTAURANTESDESCUENTOS 2026'!A:A,TRIM(A2344))&gt;0,((VLOOKUP(TRIM(D2344), CATALOGO!A:B, 2, FALSE) * C2344)*(1-VALUE(SUBSTITUTE(VLOOKUP(TRIM(A2344),'RESTAURANTESDESCUENTOS 2026'!A:B,2,FALSE),"%",""))/100)+I2344),(VLOOKUP(TRIM(D2344), CATALOGO!A:B, 2, FALSE) * C2344+I2344)),""))</f>
        <v>55000</v>
      </c>
      <c r="K2344" s="196"/>
      <c r="L2344" s="87">
        <v>1003.0</v>
      </c>
      <c r="M2344" s="197" t="s">
        <v>587</v>
      </c>
      <c r="N2344" s="168"/>
    </row>
    <row r="2345" ht="22.5" hidden="1" customHeight="1">
      <c r="A2345" s="137" t="s">
        <v>603</v>
      </c>
      <c r="B2345" s="90">
        <v>46126.0</v>
      </c>
      <c r="C2345" s="55">
        <v>1.0</v>
      </c>
      <c r="D2345" s="97" t="s">
        <v>177</v>
      </c>
      <c r="E2345" s="10"/>
      <c r="F2345" s="236" t="s">
        <v>603</v>
      </c>
      <c r="G2345" s="194" t="s">
        <v>587</v>
      </c>
      <c r="H2345" s="195" t="s">
        <v>603</v>
      </c>
      <c r="I2345" s="196"/>
      <c r="J2345" s="179">
        <f>IF(A2345="RAPPI",(VLOOKUP(TRIM(D2345), CATALOGO!F:G, 2, FALSE) * C2345)+I2345,IFERROR(IF(COUNTIF('RESTAURANTESDESCUENTOS 2026'!A:A,TRIM(A2345))&gt;0,((VLOOKUP(TRIM(D2345), CATALOGO!A:B, 2, FALSE) * C2345)*(1-VALUE(SUBSTITUTE(VLOOKUP(TRIM(A2345),'RESTAURANTESDESCUENTOS 2026'!A:B,2,FALSE),"%",""))/100)+I2345),(VLOOKUP(TRIM(D2345), CATALOGO!A:B, 2, FALSE) * C2345+I2345)),""))</f>
        <v>115000</v>
      </c>
      <c r="K2345" s="196"/>
      <c r="L2345" s="87">
        <v>1003.0</v>
      </c>
      <c r="M2345" s="197" t="s">
        <v>587</v>
      </c>
      <c r="N2345" s="168"/>
    </row>
    <row r="2346" ht="22.5" hidden="1" customHeight="1">
      <c r="A2346" s="137" t="s">
        <v>603</v>
      </c>
      <c r="B2346" s="90">
        <v>46126.0</v>
      </c>
      <c r="C2346" s="55">
        <v>1.0</v>
      </c>
      <c r="D2346" s="97" t="s">
        <v>209</v>
      </c>
      <c r="E2346" s="10"/>
      <c r="F2346" s="236" t="s">
        <v>603</v>
      </c>
      <c r="G2346" s="194" t="s">
        <v>587</v>
      </c>
      <c r="H2346" s="195" t="s">
        <v>603</v>
      </c>
      <c r="I2346" s="196"/>
      <c r="J2346" s="199">
        <v>22000.0</v>
      </c>
      <c r="K2346" s="196"/>
      <c r="L2346" s="87">
        <v>1003.0</v>
      </c>
      <c r="M2346" s="197" t="s">
        <v>587</v>
      </c>
      <c r="N2346" s="168"/>
    </row>
    <row r="2347" ht="22.5" hidden="1" customHeight="1">
      <c r="A2347" s="137" t="s">
        <v>603</v>
      </c>
      <c r="B2347" s="90">
        <v>46126.0</v>
      </c>
      <c r="C2347" s="55">
        <v>1.0</v>
      </c>
      <c r="D2347" s="97" t="s">
        <v>182</v>
      </c>
      <c r="E2347" s="10"/>
      <c r="F2347" s="236" t="s">
        <v>603</v>
      </c>
      <c r="G2347" s="194" t="s">
        <v>587</v>
      </c>
      <c r="H2347" s="195" t="s">
        <v>603</v>
      </c>
      <c r="I2347" s="196"/>
      <c r="J2347" s="179">
        <f>IF(A2347="RAPPI",(VLOOKUP(TRIM(D2347), CATALOGO!F:G, 2, FALSE) * C2347)+I2347,IFERROR(IF(COUNTIF('RESTAURANTESDESCUENTOS 2026'!A:A,TRIM(A2347))&gt;0,((VLOOKUP(TRIM(D2347), CATALOGO!A:B, 2, FALSE) * C2347)*(1-VALUE(SUBSTITUTE(VLOOKUP(TRIM(A2347),'RESTAURANTESDESCUENTOS 2026'!A:B,2,FALSE),"%",""))/100)+I2347),(VLOOKUP(TRIM(D2347), CATALOGO!A:B, 2, FALSE) * C2347+I2347)),""))</f>
        <v>37000</v>
      </c>
      <c r="K2347" s="196"/>
      <c r="L2347" s="87">
        <v>1003.0</v>
      </c>
      <c r="M2347" s="197" t="s">
        <v>587</v>
      </c>
      <c r="N2347" s="168"/>
    </row>
    <row r="2348" ht="22.5" hidden="1" customHeight="1">
      <c r="A2348" s="137" t="s">
        <v>603</v>
      </c>
      <c r="B2348" s="90">
        <v>46126.0</v>
      </c>
      <c r="C2348" s="55">
        <v>1.0</v>
      </c>
      <c r="D2348" s="97" t="s">
        <v>618</v>
      </c>
      <c r="E2348" s="10"/>
      <c r="F2348" s="236" t="s">
        <v>603</v>
      </c>
      <c r="G2348" s="194" t="s">
        <v>587</v>
      </c>
      <c r="H2348" s="195" t="s">
        <v>603</v>
      </c>
      <c r="I2348" s="196"/>
      <c r="J2348" s="179">
        <f>IF(A2348="RAPPI",(VLOOKUP(TRIM(D2348), CATALOGO!F:G, 2, FALSE) * C2348)+I2348,IFERROR(IF(COUNTIF('RESTAURANTESDESCUENTOS 2026'!A:A,TRIM(A2348))&gt;0,((VLOOKUP(TRIM(D2348), CATALOGO!A:B, 2, FALSE) * C2348)*(1-VALUE(SUBSTITUTE(VLOOKUP(TRIM(A2348),'RESTAURANTESDESCUENTOS 2026'!A:B,2,FALSE),"%",""))/100)+I2348),(VLOOKUP(TRIM(D2348), CATALOGO!A:B, 2, FALSE) * C2348+I2348)),""))</f>
        <v>53000</v>
      </c>
      <c r="K2348" s="196"/>
      <c r="L2348" s="87">
        <v>1003.0</v>
      </c>
      <c r="M2348" s="197" t="s">
        <v>587</v>
      </c>
      <c r="N2348" s="168"/>
    </row>
    <row r="2349" ht="22.5" hidden="1" customHeight="1">
      <c r="A2349" s="137" t="s">
        <v>603</v>
      </c>
      <c r="B2349" s="90">
        <v>46126.0</v>
      </c>
      <c r="C2349" s="55">
        <v>1.0</v>
      </c>
      <c r="D2349" s="97" t="s">
        <v>208</v>
      </c>
      <c r="E2349" s="10"/>
      <c r="F2349" s="236" t="s">
        <v>603</v>
      </c>
      <c r="G2349" s="194" t="s">
        <v>587</v>
      </c>
      <c r="H2349" s="195" t="s">
        <v>603</v>
      </c>
      <c r="I2349" s="196"/>
      <c r="J2349" s="199">
        <v>22000.0</v>
      </c>
      <c r="K2349" s="196"/>
      <c r="L2349" s="87">
        <v>1003.0</v>
      </c>
      <c r="M2349" s="197" t="s">
        <v>587</v>
      </c>
      <c r="N2349" s="168"/>
    </row>
    <row r="2350" ht="22.5" hidden="1" customHeight="1">
      <c r="A2350" s="137" t="s">
        <v>603</v>
      </c>
      <c r="B2350" s="90">
        <v>46126.0</v>
      </c>
      <c r="C2350" s="55">
        <v>1.0</v>
      </c>
      <c r="D2350" s="97" t="s">
        <v>174</v>
      </c>
      <c r="E2350" s="10"/>
      <c r="F2350" s="236" t="s">
        <v>603</v>
      </c>
      <c r="G2350" s="194" t="s">
        <v>587</v>
      </c>
      <c r="H2350" s="195" t="s">
        <v>603</v>
      </c>
      <c r="I2350" s="196"/>
      <c r="J2350" s="179">
        <f>IF(A2350="RAPPI",(VLOOKUP(TRIM(D2350), CATALOGO!F:G, 2, FALSE) * C2350)+I2350,IFERROR(IF(COUNTIF('RESTAURANTESDESCUENTOS 2026'!A:A,TRIM(A2350))&gt;0,((VLOOKUP(TRIM(D2350), CATALOGO!A:B, 2, FALSE) * C2350)*(1-VALUE(SUBSTITUTE(VLOOKUP(TRIM(A2350),'RESTAURANTESDESCUENTOS 2026'!A:B,2,FALSE),"%",""))/100)+I2350),(VLOOKUP(TRIM(D2350), CATALOGO!A:B, 2, FALSE) * C2350+I2350)),""))</f>
        <v>18000</v>
      </c>
      <c r="K2350" s="196"/>
      <c r="L2350" s="87">
        <v>1003.0</v>
      </c>
      <c r="M2350" s="197" t="s">
        <v>587</v>
      </c>
      <c r="N2350" s="168"/>
    </row>
    <row r="2351" ht="22.5" hidden="1" customHeight="1">
      <c r="A2351" s="137" t="s">
        <v>1368</v>
      </c>
      <c r="B2351" s="90">
        <v>46127.0</v>
      </c>
      <c r="C2351" s="55">
        <v>1.0</v>
      </c>
      <c r="D2351" s="97" t="s">
        <v>178</v>
      </c>
      <c r="E2351" s="243" t="s">
        <v>1369</v>
      </c>
      <c r="F2351" s="236" t="s">
        <v>1035</v>
      </c>
      <c r="G2351" s="194" t="s">
        <v>587</v>
      </c>
      <c r="H2351" s="195" t="s">
        <v>588</v>
      </c>
      <c r="I2351" s="196">
        <v>10000.0</v>
      </c>
      <c r="J2351" s="179">
        <f>IF(A2351="RAPPI",(VLOOKUP(TRIM(D2351), CATALOGO!F:G, 2, FALSE) * C2351)+I2351,IFERROR(IF(COUNTIF('RESTAURANTESDESCUENTOS 2026'!A:A,TRIM(A2351))&gt;0,((VLOOKUP(TRIM(D2351), CATALOGO!A:B, 2, FALSE) * C2351)*(1-VALUE(SUBSTITUTE(VLOOKUP(TRIM(A2351),'RESTAURANTESDESCUENTOS 2026'!A:B,2,FALSE),"%",""))/100)+I2351),(VLOOKUP(TRIM(D2351), CATALOGO!A:B, 2, FALSE) * C2351+I2351)),""))</f>
        <v>160000</v>
      </c>
      <c r="K2351" s="196"/>
      <c r="L2351" s="87">
        <v>1010.0</v>
      </c>
      <c r="M2351" s="197" t="s">
        <v>587</v>
      </c>
      <c r="N2351" s="168"/>
    </row>
    <row r="2352" ht="22.5" hidden="1" customHeight="1">
      <c r="A2352" s="137" t="s">
        <v>1370</v>
      </c>
      <c r="B2352" s="90">
        <v>46127.0</v>
      </c>
      <c r="C2352" s="55">
        <v>2.0</v>
      </c>
      <c r="D2352" s="193"/>
      <c r="E2352" s="10" t="s">
        <v>1371</v>
      </c>
      <c r="F2352" s="236" t="s">
        <v>1035</v>
      </c>
      <c r="G2352" s="194" t="s">
        <v>587</v>
      </c>
      <c r="H2352" s="195" t="s">
        <v>588</v>
      </c>
      <c r="I2352" s="196">
        <v>14000.0</v>
      </c>
      <c r="J2352" s="199">
        <f>18500+I2352</f>
        <v>32500</v>
      </c>
      <c r="K2352" s="196">
        <v>28000.0</v>
      </c>
      <c r="L2352" s="87">
        <v>1013.0</v>
      </c>
      <c r="M2352" s="197" t="s">
        <v>587</v>
      </c>
      <c r="N2352" s="168"/>
    </row>
    <row r="2353" ht="22.5" hidden="1" customHeight="1">
      <c r="A2353" s="137" t="s">
        <v>1370</v>
      </c>
      <c r="B2353" s="90">
        <v>46127.0</v>
      </c>
      <c r="C2353" s="55">
        <v>2.0</v>
      </c>
      <c r="D2353" s="193"/>
      <c r="E2353" s="10" t="s">
        <v>1372</v>
      </c>
      <c r="F2353" s="236" t="s">
        <v>1035</v>
      </c>
      <c r="G2353" s="194" t="s">
        <v>587</v>
      </c>
      <c r="H2353" s="195" t="s">
        <v>588</v>
      </c>
      <c r="I2353" s="196">
        <v>0.0</v>
      </c>
      <c r="J2353" s="199">
        <v>18500.0</v>
      </c>
      <c r="K2353" s="196"/>
      <c r="L2353" s="87">
        <v>1013.0</v>
      </c>
      <c r="M2353" s="194" t="s">
        <v>587</v>
      </c>
      <c r="N2353" s="168"/>
    </row>
    <row r="2354" ht="22.5" hidden="1" customHeight="1">
      <c r="A2354" s="137" t="s">
        <v>1370</v>
      </c>
      <c r="B2354" s="90">
        <v>46127.0</v>
      </c>
      <c r="C2354" s="55">
        <v>2.0</v>
      </c>
      <c r="D2354" s="193"/>
      <c r="E2354" s="243" t="s">
        <v>888</v>
      </c>
      <c r="F2354" s="236" t="s">
        <v>1035</v>
      </c>
      <c r="G2354" s="194" t="s">
        <v>587</v>
      </c>
      <c r="H2354" s="195" t="s">
        <v>588</v>
      </c>
      <c r="I2354" s="196">
        <v>0.0</v>
      </c>
      <c r="J2354" s="199">
        <v>8000.0</v>
      </c>
      <c r="K2354" s="196"/>
      <c r="L2354" s="87">
        <v>1013.0</v>
      </c>
      <c r="M2354" s="194" t="s">
        <v>587</v>
      </c>
      <c r="N2354" s="168"/>
    </row>
    <row r="2355" ht="22.5" hidden="1" customHeight="1">
      <c r="A2355" s="137" t="s">
        <v>1370</v>
      </c>
      <c r="B2355" s="90">
        <v>46127.0</v>
      </c>
      <c r="C2355" s="55">
        <v>2.0</v>
      </c>
      <c r="D2355" s="193"/>
      <c r="E2355" s="10" t="s">
        <v>1373</v>
      </c>
      <c r="F2355" s="236" t="s">
        <v>1035</v>
      </c>
      <c r="G2355" s="194" t="s">
        <v>587</v>
      </c>
      <c r="H2355" s="195" t="s">
        <v>588</v>
      </c>
      <c r="I2355" s="196">
        <v>0.0</v>
      </c>
      <c r="J2355" s="199">
        <v>8000.0</v>
      </c>
      <c r="K2355" s="196"/>
      <c r="L2355" s="87">
        <v>1013.0</v>
      </c>
      <c r="M2355" s="194" t="s">
        <v>587</v>
      </c>
      <c r="N2355" s="168"/>
    </row>
    <row r="2356" ht="22.5" hidden="1" customHeight="1">
      <c r="A2356" s="137" t="s">
        <v>1370</v>
      </c>
      <c r="B2356" s="90">
        <v>46127.0</v>
      </c>
      <c r="C2356" s="55">
        <v>2.0</v>
      </c>
      <c r="D2356" s="193"/>
      <c r="E2356" s="255" t="s">
        <v>1374</v>
      </c>
      <c r="F2356" s="236" t="s">
        <v>1035</v>
      </c>
      <c r="G2356" s="194" t="s">
        <v>587</v>
      </c>
      <c r="H2356" s="195" t="s">
        <v>588</v>
      </c>
      <c r="I2356" s="196">
        <v>0.0</v>
      </c>
      <c r="J2356" s="199">
        <v>6000.0</v>
      </c>
      <c r="K2356" s="196"/>
      <c r="L2356" s="87">
        <v>1013.0</v>
      </c>
      <c r="M2356" s="194" t="s">
        <v>587</v>
      </c>
      <c r="N2356" s="168"/>
    </row>
    <row r="2357" ht="22.5" hidden="1" customHeight="1">
      <c r="A2357" s="137" t="s">
        <v>1370</v>
      </c>
      <c r="B2357" s="90">
        <v>46127.0</v>
      </c>
      <c r="C2357" s="55">
        <v>2.0</v>
      </c>
      <c r="D2357" s="193"/>
      <c r="E2357" s="10" t="s">
        <v>1375</v>
      </c>
      <c r="F2357" s="236" t="s">
        <v>1035</v>
      </c>
      <c r="G2357" s="194" t="s">
        <v>587</v>
      </c>
      <c r="H2357" s="195" t="s">
        <v>588</v>
      </c>
      <c r="I2357" s="196">
        <v>0.0</v>
      </c>
      <c r="J2357" s="199">
        <v>6000.0</v>
      </c>
      <c r="K2357" s="196"/>
      <c r="L2357" s="87">
        <v>1013.0</v>
      </c>
      <c r="M2357" s="194" t="s">
        <v>587</v>
      </c>
      <c r="N2357" s="168"/>
    </row>
    <row r="2358" ht="22.5" hidden="1" customHeight="1">
      <c r="A2358" s="137" t="s">
        <v>1370</v>
      </c>
      <c r="B2358" s="90">
        <v>46127.0</v>
      </c>
      <c r="C2358" s="55">
        <v>2.0</v>
      </c>
      <c r="D2358" s="193"/>
      <c r="E2358" s="10" t="s">
        <v>1376</v>
      </c>
      <c r="F2358" s="236" t="s">
        <v>1035</v>
      </c>
      <c r="G2358" s="194" t="s">
        <v>587</v>
      </c>
      <c r="H2358" s="195" t="s">
        <v>588</v>
      </c>
      <c r="I2358" s="196">
        <v>0.0</v>
      </c>
      <c r="J2358" s="199">
        <v>13800.0</v>
      </c>
      <c r="K2358" s="196"/>
      <c r="L2358" s="87">
        <v>1013.0</v>
      </c>
      <c r="M2358" s="194" t="s">
        <v>587</v>
      </c>
      <c r="N2358" s="168"/>
    </row>
    <row r="2359" ht="22.5" hidden="1" customHeight="1">
      <c r="A2359" s="137" t="s">
        <v>1370</v>
      </c>
      <c r="B2359" s="90">
        <v>46127.0</v>
      </c>
      <c r="C2359" s="55">
        <v>2.0</v>
      </c>
      <c r="D2359" s="193"/>
      <c r="E2359" s="10" t="s">
        <v>1377</v>
      </c>
      <c r="F2359" s="236" t="s">
        <v>1035</v>
      </c>
      <c r="G2359" s="194" t="s">
        <v>587</v>
      </c>
      <c r="H2359" s="195" t="s">
        <v>588</v>
      </c>
      <c r="I2359" s="196">
        <v>0.0</v>
      </c>
      <c r="J2359" s="199">
        <v>13800.0</v>
      </c>
      <c r="K2359" s="196"/>
      <c r="L2359" s="87">
        <v>1013.0</v>
      </c>
      <c r="M2359" s="194" t="s">
        <v>587</v>
      </c>
      <c r="N2359" s="168"/>
    </row>
    <row r="2360" ht="22.5" hidden="1" customHeight="1">
      <c r="A2360" s="137" t="s">
        <v>1370</v>
      </c>
      <c r="B2360" s="90">
        <v>46127.0</v>
      </c>
      <c r="C2360" s="55">
        <v>2.0</v>
      </c>
      <c r="D2360" s="193"/>
      <c r="E2360" s="10" t="s">
        <v>1378</v>
      </c>
      <c r="F2360" s="236" t="s">
        <v>1035</v>
      </c>
      <c r="G2360" s="194" t="s">
        <v>587</v>
      </c>
      <c r="H2360" s="195" t="s">
        <v>588</v>
      </c>
      <c r="I2360" s="196">
        <v>0.0</v>
      </c>
      <c r="J2360" s="199">
        <v>12000.0</v>
      </c>
      <c r="K2360" s="196"/>
      <c r="L2360" s="87">
        <v>1013.0</v>
      </c>
      <c r="M2360" s="194" t="s">
        <v>587</v>
      </c>
      <c r="N2360" s="168"/>
    </row>
    <row r="2361" ht="22.5" hidden="1" customHeight="1">
      <c r="A2361" s="137" t="s">
        <v>1370</v>
      </c>
      <c r="B2361" s="90">
        <v>46127.0</v>
      </c>
      <c r="C2361" s="55">
        <v>2.0</v>
      </c>
      <c r="D2361" s="193"/>
      <c r="E2361" s="10" t="s">
        <v>1379</v>
      </c>
      <c r="F2361" s="236" t="s">
        <v>1035</v>
      </c>
      <c r="G2361" s="194" t="s">
        <v>587</v>
      </c>
      <c r="H2361" s="195" t="s">
        <v>588</v>
      </c>
      <c r="I2361" s="196">
        <v>0.0</v>
      </c>
      <c r="J2361" s="199">
        <v>5000.0</v>
      </c>
      <c r="K2361" s="196"/>
      <c r="L2361" s="87">
        <v>1013.0</v>
      </c>
      <c r="M2361" s="194" t="s">
        <v>587</v>
      </c>
      <c r="N2361" s="168"/>
    </row>
    <row r="2362" ht="22.5" hidden="1" customHeight="1">
      <c r="A2362" s="137" t="s">
        <v>1370</v>
      </c>
      <c r="B2362" s="90">
        <v>46127.0</v>
      </c>
      <c r="C2362" s="55">
        <v>2.0</v>
      </c>
      <c r="D2362" s="193"/>
      <c r="E2362" s="10" t="s">
        <v>1380</v>
      </c>
      <c r="F2362" s="236" t="s">
        <v>1035</v>
      </c>
      <c r="G2362" s="194" t="s">
        <v>587</v>
      </c>
      <c r="H2362" s="195" t="s">
        <v>588</v>
      </c>
      <c r="I2362" s="196">
        <v>0.0</v>
      </c>
      <c r="J2362" s="199">
        <v>5000.0</v>
      </c>
      <c r="K2362" s="196"/>
      <c r="L2362" s="87">
        <v>1013.0</v>
      </c>
      <c r="M2362" s="194" t="s">
        <v>587</v>
      </c>
      <c r="N2362" s="168"/>
    </row>
    <row r="2363" ht="22.5" hidden="1" customHeight="1">
      <c r="A2363" s="137" t="s">
        <v>1370</v>
      </c>
      <c r="B2363" s="90">
        <v>46127.0</v>
      </c>
      <c r="C2363" s="55">
        <v>2.0</v>
      </c>
      <c r="D2363" s="193"/>
      <c r="E2363" s="10" t="s">
        <v>1381</v>
      </c>
      <c r="F2363" s="236" t="s">
        <v>1035</v>
      </c>
      <c r="G2363" s="194" t="s">
        <v>587</v>
      </c>
      <c r="H2363" s="195" t="s">
        <v>588</v>
      </c>
      <c r="I2363" s="196">
        <v>0.0</v>
      </c>
      <c r="J2363" s="199">
        <v>5000.0</v>
      </c>
      <c r="K2363" s="196"/>
      <c r="L2363" s="87">
        <v>1013.0</v>
      </c>
      <c r="M2363" s="194" t="s">
        <v>587</v>
      </c>
      <c r="N2363" s="168"/>
    </row>
    <row r="2364" ht="22.5" hidden="1" customHeight="1">
      <c r="A2364" s="137" t="s">
        <v>55</v>
      </c>
      <c r="B2364" s="90">
        <v>46127.0</v>
      </c>
      <c r="C2364" s="55">
        <v>1.0</v>
      </c>
      <c r="D2364" s="97" t="s">
        <v>178</v>
      </c>
      <c r="E2364" s="10" t="s">
        <v>28</v>
      </c>
      <c r="F2364" s="202"/>
      <c r="G2364" s="194" t="s">
        <v>587</v>
      </c>
      <c r="H2364" s="195" t="s">
        <v>588</v>
      </c>
      <c r="I2364" s="196">
        <v>10000.0</v>
      </c>
      <c r="J2364" s="179">
        <f>IF(A2364="RAPPI",(VLOOKUP(TRIM(D2364), CATALOGO!F:G, 2, FALSE) * C2364)+I2364,IFERROR(IF(COUNTIF('RESTAURANTESDESCUENTOS 2026'!A:A,TRIM(A2364))&gt;0,((VLOOKUP(TRIM(D2364), CATALOGO!A:B, 2, FALSE) * C2364)*(1-VALUE(SUBSTITUTE(VLOOKUP(TRIM(A2364),'RESTAURANTESDESCUENTOS 2026'!A:B,2,FALSE),"%",""))/100)+I2364),(VLOOKUP(TRIM(D2364), CATALOGO!A:B, 2, FALSE) * C2364+I2364)),""))</f>
        <v>122500</v>
      </c>
      <c r="K2364" s="196">
        <v>15000.0</v>
      </c>
      <c r="L2364" s="87">
        <v>1007.0</v>
      </c>
      <c r="M2364" s="194" t="s">
        <v>587</v>
      </c>
      <c r="N2364" s="168"/>
    </row>
    <row r="2365" ht="22.5" hidden="1" customHeight="1">
      <c r="A2365" s="137" t="s">
        <v>55</v>
      </c>
      <c r="B2365" s="90">
        <v>46127.0</v>
      </c>
      <c r="C2365" s="55">
        <v>2.0</v>
      </c>
      <c r="D2365" s="97" t="s">
        <v>1382</v>
      </c>
      <c r="E2365" s="10"/>
      <c r="F2365" s="202"/>
      <c r="G2365" s="194" t="s">
        <v>587</v>
      </c>
      <c r="H2365" s="195" t="s">
        <v>588</v>
      </c>
      <c r="I2365" s="196">
        <v>0.0</v>
      </c>
      <c r="J2365" s="199">
        <v>128000.0</v>
      </c>
      <c r="K2365" s="196">
        <v>0.0</v>
      </c>
      <c r="L2365" s="87">
        <v>1007.0</v>
      </c>
      <c r="M2365" s="194" t="s">
        <v>587</v>
      </c>
      <c r="N2365" s="168"/>
    </row>
    <row r="2366" ht="22.5" hidden="1" customHeight="1">
      <c r="A2366" s="137" t="s">
        <v>10</v>
      </c>
      <c r="B2366" s="90">
        <v>46127.0</v>
      </c>
      <c r="C2366" s="55">
        <v>1.0</v>
      </c>
      <c r="D2366" s="97" t="s">
        <v>178</v>
      </c>
      <c r="E2366" s="10" t="s">
        <v>747</v>
      </c>
      <c r="F2366" s="202"/>
      <c r="G2366" s="194" t="s">
        <v>587</v>
      </c>
      <c r="H2366" s="195" t="s">
        <v>588</v>
      </c>
      <c r="I2366" s="196">
        <v>10000.0</v>
      </c>
      <c r="J2366" s="179">
        <f>IF(A2366="RAPPI",(VLOOKUP(TRIM(D2366), CATALOGO!F:G, 2, FALSE) * C2366)+I2366,IFERROR(IF(COUNTIF('RESTAURANTESDESCUENTOS 2026'!A:A,TRIM(A2366))&gt;0,((VLOOKUP(TRIM(D2366), CATALOGO!A:B, 2, FALSE) * C2366)*(1-VALUE(SUBSTITUTE(VLOOKUP(TRIM(A2366),'RESTAURANTESDESCUENTOS 2026'!A:B,2,FALSE),"%",""))/100)+I2366),(VLOOKUP(TRIM(D2366), CATALOGO!A:B, 2, FALSE) * C2366+I2366)),""))</f>
        <v>122500</v>
      </c>
      <c r="K2366" s="196">
        <v>10000.0</v>
      </c>
      <c r="L2366" s="87">
        <v>1008.0</v>
      </c>
      <c r="M2366" s="194" t="s">
        <v>587</v>
      </c>
      <c r="N2366" s="168"/>
    </row>
    <row r="2367" ht="22.5" hidden="1" customHeight="1">
      <c r="A2367" s="137" t="s">
        <v>23</v>
      </c>
      <c r="B2367" s="90">
        <v>46127.0</v>
      </c>
      <c r="C2367" s="55">
        <v>3.0</v>
      </c>
      <c r="D2367" s="97" t="s">
        <v>178</v>
      </c>
      <c r="E2367" s="10" t="s">
        <v>747</v>
      </c>
      <c r="F2367" s="202"/>
      <c r="G2367" s="194" t="s">
        <v>587</v>
      </c>
      <c r="H2367" s="195" t="s">
        <v>632</v>
      </c>
      <c r="I2367" s="196">
        <v>25000.0</v>
      </c>
      <c r="J2367" s="179">
        <f>IF(A2367="RAPPI",(VLOOKUP(TRIM(D2367), CATALOGO!F:G, 2, FALSE) * C2367)+I2367,IFERROR(IF(COUNTIF('RESTAURANTESDESCUENTOS 2026'!A:A,TRIM(A2367))&gt;0,((VLOOKUP(TRIM(D2367), CATALOGO!A:B, 2, FALSE) * C2367)*(1-VALUE(SUBSTITUTE(VLOOKUP(TRIM(A2367),'RESTAURANTESDESCUENTOS 2026'!A:B,2,FALSE),"%",""))/100)+I2367),(VLOOKUP(TRIM(D2367), CATALOGO!A:B, 2, FALSE) * C2367+I2367)),""))</f>
        <v>362500</v>
      </c>
      <c r="K2367" s="196">
        <v>30000.0</v>
      </c>
      <c r="L2367" s="87">
        <v>1009.0</v>
      </c>
      <c r="M2367" s="194" t="s">
        <v>587</v>
      </c>
      <c r="N2367" s="168"/>
    </row>
    <row r="2368" ht="22.5" hidden="1" customHeight="1">
      <c r="A2368" s="230" t="s">
        <v>1069</v>
      </c>
      <c r="B2368" s="214">
        <v>46127.0</v>
      </c>
      <c r="C2368" s="70">
        <v>1.0</v>
      </c>
      <c r="D2368" s="215" t="s">
        <v>178</v>
      </c>
      <c r="E2368" s="10"/>
      <c r="F2368" s="236" t="s">
        <v>1036</v>
      </c>
      <c r="G2368" s="194" t="s">
        <v>35</v>
      </c>
      <c r="H2368" s="198"/>
      <c r="I2368" s="196"/>
      <c r="J2368" s="179">
        <f>IF(A2368="RAPPI",(VLOOKUP(TRIM(D2368), CATALOGO!F:G, 2, FALSE) * C2368)+I2368,IFERROR(IF(COUNTIF('RESTAURANTESDESCUENTOS 2026'!A:A,TRIM(A2368))&gt;0,((VLOOKUP(TRIM(D2368), CATALOGO!A:B, 2, FALSE) * C2368)*(1-VALUE(SUBSTITUTE(VLOOKUP(TRIM(A2368),'RESTAURANTESDESCUENTOS 2026'!A:B,2,FALSE),"%",""))/100)+I2368),(VLOOKUP(TRIM(D2368), CATALOGO!A:B, 2, FALSE) * C2368+I2368)),""))</f>
        <v>150000</v>
      </c>
      <c r="K2368" s="196"/>
      <c r="L2368" s="87">
        <v>1011.0</v>
      </c>
      <c r="M2368" s="194" t="s">
        <v>587</v>
      </c>
      <c r="N2368" s="168"/>
    </row>
    <row r="2369" ht="22.5" hidden="1" customHeight="1">
      <c r="A2369" s="137" t="s">
        <v>1069</v>
      </c>
      <c r="B2369" s="90">
        <v>46127.0</v>
      </c>
      <c r="C2369" s="55">
        <v>3.0</v>
      </c>
      <c r="D2369" s="97" t="s">
        <v>176</v>
      </c>
      <c r="E2369" s="10"/>
      <c r="F2369" s="236" t="s">
        <v>1035</v>
      </c>
      <c r="G2369" s="194" t="s">
        <v>35</v>
      </c>
      <c r="H2369" s="198"/>
      <c r="I2369" s="196"/>
      <c r="J2369" s="179">
        <f>IF(A2369="RAPPI",(VLOOKUP(TRIM(D2369), CATALOGO!F:G, 2, FALSE) * C2369)+I2369,IFERROR(IF(COUNTIF('RESTAURANTESDESCUENTOS 2026'!A:A,TRIM(A2369))&gt;0,((VLOOKUP(TRIM(D2369), CATALOGO!A:B, 2, FALSE) * C2369)*(1-VALUE(SUBSTITUTE(VLOOKUP(TRIM(A2369),'RESTAURANTESDESCUENTOS 2026'!A:B,2,FALSE),"%",""))/100)+I2369),(VLOOKUP(TRIM(D2369), CATALOGO!A:B, 2, FALSE) * C2369+I2369)),""))</f>
        <v>150000</v>
      </c>
      <c r="K2369" s="196"/>
      <c r="L2369" s="87">
        <v>1011.0</v>
      </c>
      <c r="M2369" s="194" t="s">
        <v>587</v>
      </c>
      <c r="N2369" s="168"/>
    </row>
    <row r="2370" ht="22.5" hidden="1" customHeight="1">
      <c r="A2370" s="137" t="s">
        <v>1069</v>
      </c>
      <c r="B2370" s="90">
        <v>46127.0</v>
      </c>
      <c r="C2370" s="55">
        <v>1.0</v>
      </c>
      <c r="D2370" s="97" t="s">
        <v>174</v>
      </c>
      <c r="E2370" s="10"/>
      <c r="F2370" s="236" t="s">
        <v>1036</v>
      </c>
      <c r="G2370" s="194" t="s">
        <v>35</v>
      </c>
      <c r="H2370" s="198"/>
      <c r="I2370" s="196"/>
      <c r="J2370" s="179">
        <f>IF(A2370="RAPPI",(VLOOKUP(TRIM(D2370), CATALOGO!F:G, 2, FALSE) * C2370)+I2370,IFERROR(IF(COUNTIF('RESTAURANTESDESCUENTOS 2026'!A:A,TRIM(A2370))&gt;0,((VLOOKUP(TRIM(D2370), CATALOGO!A:B, 2, FALSE) * C2370)*(1-VALUE(SUBSTITUTE(VLOOKUP(TRIM(A2370),'RESTAURANTESDESCUENTOS 2026'!A:B,2,FALSE),"%",""))/100)+I2370),(VLOOKUP(TRIM(D2370), CATALOGO!A:B, 2, FALSE) * C2370+I2370)),""))</f>
        <v>18000</v>
      </c>
      <c r="K2370" s="196"/>
      <c r="L2370" s="87">
        <v>1011.0</v>
      </c>
      <c r="M2370" s="194" t="s">
        <v>587</v>
      </c>
      <c r="N2370" s="168"/>
    </row>
    <row r="2371" ht="22.5" hidden="1" customHeight="1">
      <c r="A2371" s="137" t="s">
        <v>1069</v>
      </c>
      <c r="B2371" s="90">
        <v>46127.0</v>
      </c>
      <c r="C2371" s="55">
        <v>1.0</v>
      </c>
      <c r="D2371" s="97" t="s">
        <v>207</v>
      </c>
      <c r="E2371" s="10"/>
      <c r="F2371" s="236" t="s">
        <v>1036</v>
      </c>
      <c r="G2371" s="194" t="s">
        <v>35</v>
      </c>
      <c r="H2371" s="198"/>
      <c r="I2371" s="196"/>
      <c r="J2371" s="179">
        <f>IF(A2371="RAPPI",(VLOOKUP(TRIM(D2371), CATALOGO!F:G, 2, FALSE) * C2371)+I2371,IFERROR(IF(COUNTIF('RESTAURANTESDESCUENTOS 2026'!A:A,TRIM(A2371))&gt;0,((VLOOKUP(TRIM(D2371), CATALOGO!A:B, 2, FALSE) * C2371)*(1-VALUE(SUBSTITUTE(VLOOKUP(TRIM(A2371),'RESTAURANTESDESCUENTOS 2026'!A:B,2,FALSE),"%",""))/100)+I2371),(VLOOKUP(TRIM(D2371), CATALOGO!A:B, 2, FALSE) * C2371+I2371)),""))</f>
        <v>22000</v>
      </c>
      <c r="K2371" s="196"/>
      <c r="L2371" s="87">
        <v>1011.0</v>
      </c>
      <c r="M2371" s="194" t="s">
        <v>587</v>
      </c>
      <c r="N2371" s="168"/>
    </row>
    <row r="2372" ht="22.5" hidden="1" customHeight="1">
      <c r="A2372" s="137" t="s">
        <v>1069</v>
      </c>
      <c r="B2372" s="90">
        <v>46127.0</v>
      </c>
      <c r="C2372" s="55">
        <v>1.0</v>
      </c>
      <c r="D2372" s="97" t="s">
        <v>601</v>
      </c>
      <c r="E2372" s="10"/>
      <c r="F2372" s="236" t="s">
        <v>1035</v>
      </c>
      <c r="G2372" s="194" t="s">
        <v>35</v>
      </c>
      <c r="H2372" s="198"/>
      <c r="I2372" s="196"/>
      <c r="J2372" s="179">
        <f>IF(A2372="RAPPI",(VLOOKUP(TRIM(D2372), CATALOGO!F:G, 2, FALSE) * C2372)+I2372,IFERROR(IF(COUNTIF('RESTAURANTESDESCUENTOS 2026'!A:A,TRIM(A2372))&gt;0,((VLOOKUP(TRIM(D2372), CATALOGO!A:B, 2, FALSE) * C2372)*(1-VALUE(SUBSTITUTE(VLOOKUP(TRIM(A2372),'RESTAURANTESDESCUENTOS 2026'!A:B,2,FALSE),"%",""))/100)+I2372),(VLOOKUP(TRIM(D2372), CATALOGO!A:B, 2, FALSE) * C2372+I2372)),""))</f>
        <v>53000</v>
      </c>
      <c r="K2372" s="196"/>
      <c r="L2372" s="87">
        <v>1011.0</v>
      </c>
      <c r="M2372" s="194" t="s">
        <v>587</v>
      </c>
      <c r="N2372" s="168"/>
    </row>
    <row r="2373" ht="22.5" hidden="1" customHeight="1">
      <c r="A2373" s="137" t="s">
        <v>603</v>
      </c>
      <c r="B2373" s="90">
        <v>46127.0</v>
      </c>
      <c r="C2373" s="55">
        <v>1.0</v>
      </c>
      <c r="D2373" s="97" t="s">
        <v>628</v>
      </c>
      <c r="E2373" s="10"/>
      <c r="F2373" s="236" t="s">
        <v>603</v>
      </c>
      <c r="G2373" s="194" t="s">
        <v>587</v>
      </c>
      <c r="H2373" s="195" t="s">
        <v>603</v>
      </c>
      <c r="I2373" s="196"/>
      <c r="J2373" s="179">
        <f>IF(A2373="RAPPI",(VLOOKUP(TRIM(D2373), CATALOGO!F:G, 2, FALSE) * C2373)+I2373,IFERROR(IF(COUNTIF('RESTAURANTESDESCUENTOS 2026'!A:A,TRIM(A2373))&gt;0,((VLOOKUP(TRIM(D2373), CATALOGO!A:B, 2, FALSE) * C2373)*(1-VALUE(SUBSTITUTE(VLOOKUP(TRIM(A2373),'RESTAURANTESDESCUENTOS 2026'!A:B,2,FALSE),"%",""))/100)+I2373),(VLOOKUP(TRIM(D2373), CATALOGO!A:B, 2, FALSE) * C2373+I2373)),""))</f>
        <v>22000</v>
      </c>
      <c r="K2373" s="196"/>
      <c r="L2373" s="87">
        <v>1012.0</v>
      </c>
      <c r="M2373" s="194" t="s">
        <v>587</v>
      </c>
      <c r="N2373" s="168"/>
    </row>
    <row r="2374" ht="22.5" hidden="1" customHeight="1">
      <c r="A2374" s="137" t="s">
        <v>603</v>
      </c>
      <c r="B2374" s="90">
        <v>46127.0</v>
      </c>
      <c r="C2374" s="55">
        <v>1.0</v>
      </c>
      <c r="D2374" s="97" t="s">
        <v>189</v>
      </c>
      <c r="E2374" s="10"/>
      <c r="F2374" s="236" t="s">
        <v>603</v>
      </c>
      <c r="G2374" s="194" t="s">
        <v>587</v>
      </c>
      <c r="H2374" s="195" t="s">
        <v>603</v>
      </c>
      <c r="I2374" s="196"/>
      <c r="J2374" s="179">
        <f>IF(A2374="RAPPI",(VLOOKUP(TRIM(D2374), CATALOGO!F:G, 2, FALSE) * C2374)+I2374,IFERROR(IF(COUNTIF('RESTAURANTESDESCUENTOS 2026'!A:A,TRIM(A2374))&gt;0,((VLOOKUP(TRIM(D2374), CATALOGO!A:B, 2, FALSE) * C2374)*(1-VALUE(SUBSTITUTE(VLOOKUP(TRIM(A2374),'RESTAURANTESDESCUENTOS 2026'!A:B,2,FALSE),"%",""))/100)+I2374),(VLOOKUP(TRIM(D2374), CATALOGO!A:B, 2, FALSE) * C2374+I2374)),""))</f>
        <v>145000</v>
      </c>
      <c r="K2374" s="196"/>
      <c r="L2374" s="87">
        <v>1012.0</v>
      </c>
      <c r="M2374" s="194" t="s">
        <v>587</v>
      </c>
      <c r="N2374" s="168"/>
    </row>
    <row r="2375" ht="22.5" hidden="1" customHeight="1">
      <c r="A2375" s="137" t="s">
        <v>603</v>
      </c>
      <c r="B2375" s="90">
        <v>46127.0</v>
      </c>
      <c r="C2375" s="55">
        <v>1.0</v>
      </c>
      <c r="D2375" s="97" t="s">
        <v>628</v>
      </c>
      <c r="E2375" s="10"/>
      <c r="F2375" s="236" t="s">
        <v>603</v>
      </c>
      <c r="G2375" s="194" t="s">
        <v>587</v>
      </c>
      <c r="H2375" s="195" t="s">
        <v>603</v>
      </c>
      <c r="I2375" s="196"/>
      <c r="J2375" s="179">
        <f>IF(A2375="RAPPI",(VLOOKUP(TRIM(D2375), CATALOGO!F:G, 2, FALSE) * C2375)+I2375,IFERROR(IF(COUNTIF('RESTAURANTESDESCUENTOS 2026'!A:A,TRIM(A2375))&gt;0,((VLOOKUP(TRIM(D2375), CATALOGO!A:B, 2, FALSE) * C2375)*(1-VALUE(SUBSTITUTE(VLOOKUP(TRIM(A2375),'RESTAURANTESDESCUENTOS 2026'!A:B,2,FALSE),"%",""))/100)+I2375),(VLOOKUP(TRIM(D2375), CATALOGO!A:B, 2, FALSE) * C2375+I2375)),""))</f>
        <v>22000</v>
      </c>
      <c r="K2375" s="196"/>
      <c r="L2375" s="87">
        <v>1012.0</v>
      </c>
      <c r="M2375" s="194" t="s">
        <v>587</v>
      </c>
      <c r="N2375" s="168"/>
    </row>
    <row r="2376" ht="22.5" hidden="1" customHeight="1">
      <c r="A2376" s="137" t="s">
        <v>603</v>
      </c>
      <c r="B2376" s="90">
        <v>46127.0</v>
      </c>
      <c r="C2376" s="55">
        <v>1.0</v>
      </c>
      <c r="D2376" s="97" t="s">
        <v>601</v>
      </c>
      <c r="E2376" s="10"/>
      <c r="F2376" s="236" t="s">
        <v>603</v>
      </c>
      <c r="G2376" s="194" t="s">
        <v>587</v>
      </c>
      <c r="H2376" s="195" t="s">
        <v>603</v>
      </c>
      <c r="I2376" s="196"/>
      <c r="J2376" s="179">
        <f>IF(A2376="RAPPI",(VLOOKUP(TRIM(D2376), CATALOGO!F:G, 2, FALSE) * C2376)+I2376,IFERROR(IF(COUNTIF('RESTAURANTESDESCUENTOS 2026'!A:A,TRIM(A2376))&gt;0,((VLOOKUP(TRIM(D2376), CATALOGO!A:B, 2, FALSE) * C2376)*(1-VALUE(SUBSTITUTE(VLOOKUP(TRIM(A2376),'RESTAURANTESDESCUENTOS 2026'!A:B,2,FALSE),"%",""))/100)+I2376),(VLOOKUP(TRIM(D2376), CATALOGO!A:B, 2, FALSE) * C2376+I2376)),""))</f>
        <v>53000</v>
      </c>
      <c r="K2376" s="196"/>
      <c r="L2376" s="87">
        <v>1012.0</v>
      </c>
      <c r="M2376" s="194" t="s">
        <v>587</v>
      </c>
      <c r="N2376" s="168"/>
    </row>
    <row r="2377" ht="22.5" hidden="1" customHeight="1">
      <c r="A2377" s="137" t="s">
        <v>603</v>
      </c>
      <c r="B2377" s="90">
        <v>46127.0</v>
      </c>
      <c r="C2377" s="55">
        <v>1.0</v>
      </c>
      <c r="D2377" s="97" t="s">
        <v>186</v>
      </c>
      <c r="E2377" s="10"/>
      <c r="F2377" s="236" t="s">
        <v>603</v>
      </c>
      <c r="G2377" s="194" t="s">
        <v>587</v>
      </c>
      <c r="H2377" s="195" t="s">
        <v>603</v>
      </c>
      <c r="I2377" s="196"/>
      <c r="J2377" s="179">
        <f>IF(A2377="RAPPI",(VLOOKUP(TRIM(D2377), CATALOGO!F:G, 2, FALSE) * C2377)+I2377,IFERROR(IF(COUNTIF('RESTAURANTESDESCUENTOS 2026'!A:A,TRIM(A2377))&gt;0,((VLOOKUP(TRIM(D2377), CATALOGO!A:B, 2, FALSE) * C2377)*(1-VALUE(SUBSTITUTE(VLOOKUP(TRIM(A2377),'RESTAURANTESDESCUENTOS 2026'!A:B,2,FALSE),"%",""))/100)+I2377),(VLOOKUP(TRIM(D2377), CATALOGO!A:B, 2, FALSE) * C2377+I2377)),""))</f>
        <v>55000</v>
      </c>
      <c r="K2377" s="196"/>
      <c r="L2377" s="87">
        <v>1012.0</v>
      </c>
      <c r="M2377" s="194" t="s">
        <v>587</v>
      </c>
      <c r="N2377" s="168"/>
    </row>
    <row r="2378" ht="22.5" hidden="1" customHeight="1">
      <c r="A2378" s="137" t="s">
        <v>603</v>
      </c>
      <c r="B2378" s="90">
        <v>46127.0</v>
      </c>
      <c r="C2378" s="55">
        <v>1.0</v>
      </c>
      <c r="D2378" s="97" t="s">
        <v>653</v>
      </c>
      <c r="E2378" s="10"/>
      <c r="F2378" s="236" t="s">
        <v>603</v>
      </c>
      <c r="G2378" s="194" t="s">
        <v>587</v>
      </c>
      <c r="H2378" s="195" t="s">
        <v>603</v>
      </c>
      <c r="I2378" s="196"/>
      <c r="J2378" s="179">
        <f>IF(A2378="RAPPI",(VLOOKUP(TRIM(D2378), CATALOGO!F:G, 2, FALSE) * C2378)+I2378,IFERROR(IF(COUNTIF('RESTAURANTESDESCUENTOS 2026'!A:A,TRIM(A2378))&gt;0,((VLOOKUP(TRIM(D2378), CATALOGO!A:B, 2, FALSE) * C2378)*(1-VALUE(SUBSTITUTE(VLOOKUP(TRIM(A2378),'RESTAURANTESDESCUENTOS 2026'!A:B,2,FALSE),"%",""))/100)+I2378),(VLOOKUP(TRIM(D2378), CATALOGO!A:B, 2, FALSE) * C2378+I2378)),""))</f>
        <v>123000</v>
      </c>
      <c r="K2378" s="196"/>
      <c r="L2378" s="87">
        <v>1012.0</v>
      </c>
      <c r="M2378" s="194" t="s">
        <v>587</v>
      </c>
      <c r="N2378" s="168"/>
    </row>
    <row r="2379" ht="22.5" hidden="1" customHeight="1">
      <c r="A2379" s="230" t="s">
        <v>593</v>
      </c>
      <c r="B2379" s="214">
        <v>46128.0</v>
      </c>
      <c r="C2379" s="70">
        <v>1.0</v>
      </c>
      <c r="D2379" s="215" t="s">
        <v>178</v>
      </c>
      <c r="E2379" s="10" t="s">
        <v>1268</v>
      </c>
      <c r="F2379" s="202"/>
      <c r="G2379" s="194" t="s">
        <v>35</v>
      </c>
      <c r="H2379" s="198"/>
      <c r="I2379" s="196"/>
      <c r="J2379" s="179">
        <f>IF(A2379="RAPPI",(VLOOKUP(TRIM(D2379), CATALOGO!F:G, 2, FALSE) * C2379)+I2379,IFERROR(IF(COUNTIF('RESTAURANTESDESCUENTOS 2026'!A:A,TRIM(A2379))&gt;0,((VLOOKUP(TRIM(D2379), CATALOGO!A:B, 2, FALSE) * C2379)*(1-VALUE(SUBSTITUTE(VLOOKUP(TRIM(A2379),'RESTAURANTESDESCUENTOS 2026'!A:B,2,FALSE),"%",""))/100)+I2379),(VLOOKUP(TRIM(D2379), CATALOGO!A:B, 2, FALSE) * C2379+I2379)),""))</f>
        <v>105000</v>
      </c>
      <c r="K2379" s="196"/>
      <c r="L2379" s="87">
        <v>1020.0</v>
      </c>
      <c r="M2379" s="194" t="s">
        <v>587</v>
      </c>
      <c r="N2379" s="168"/>
    </row>
    <row r="2380" ht="22.5" hidden="1" customHeight="1">
      <c r="A2380" s="230" t="s">
        <v>30</v>
      </c>
      <c r="B2380" s="214">
        <v>46128.0</v>
      </c>
      <c r="C2380" s="70">
        <v>1.0</v>
      </c>
      <c r="D2380" s="215" t="s">
        <v>178</v>
      </c>
      <c r="E2380" s="10" t="s">
        <v>14</v>
      </c>
      <c r="F2380" s="202"/>
      <c r="G2380" s="194" t="s">
        <v>587</v>
      </c>
      <c r="H2380" s="195" t="s">
        <v>632</v>
      </c>
      <c r="I2380" s="196">
        <v>25000.0</v>
      </c>
      <c r="J2380" s="179">
        <f>IF(A2380="RAPPI",(VLOOKUP(TRIM(D2380), CATALOGO!F:G, 2, FALSE) * C2380)+I2380,IFERROR(IF(COUNTIF('RESTAURANTESDESCUENTOS 2026'!A:A,TRIM(A2380))&gt;0,((VLOOKUP(TRIM(D2380), CATALOGO!A:B, 2, FALSE) * C2380)*(1-VALUE(SUBSTITUTE(VLOOKUP(TRIM(A2380),'RESTAURANTESDESCUENTOS 2026'!A:B,2,FALSE),"%",""))/100)+I2380),(VLOOKUP(TRIM(D2380), CATALOGO!A:B, 2, FALSE) * C2380+I2380)),""))</f>
        <v>137500</v>
      </c>
      <c r="K2380" s="196">
        <v>30000.0</v>
      </c>
      <c r="L2380" s="87">
        <v>1015.0</v>
      </c>
      <c r="M2380" s="194" t="s">
        <v>587</v>
      </c>
      <c r="N2380" s="168"/>
    </row>
    <row r="2381" ht="22.5" hidden="1" customHeight="1">
      <c r="A2381" s="230" t="s">
        <v>597</v>
      </c>
      <c r="B2381" s="214">
        <v>46128.0</v>
      </c>
      <c r="C2381" s="70">
        <v>5.0</v>
      </c>
      <c r="D2381" s="215" t="s">
        <v>178</v>
      </c>
      <c r="E2381" s="10"/>
      <c r="F2381" s="202"/>
      <c r="G2381" s="194" t="s">
        <v>587</v>
      </c>
      <c r="H2381" s="195" t="s">
        <v>632</v>
      </c>
      <c r="I2381" s="196"/>
      <c r="J2381" s="179"/>
      <c r="K2381" s="196">
        <v>30000.0</v>
      </c>
      <c r="L2381" s="87"/>
      <c r="M2381" s="194" t="s">
        <v>587</v>
      </c>
      <c r="N2381" s="194" t="s">
        <v>587</v>
      </c>
    </row>
    <row r="2382" ht="22.5" hidden="1" customHeight="1">
      <c r="A2382" s="137" t="s">
        <v>597</v>
      </c>
      <c r="B2382" s="90">
        <v>46128.0</v>
      </c>
      <c r="C2382" s="55">
        <v>4.0</v>
      </c>
      <c r="D2382" s="97" t="s">
        <v>177</v>
      </c>
      <c r="E2382" s="10"/>
      <c r="F2382" s="202"/>
      <c r="G2382" s="194" t="s">
        <v>587</v>
      </c>
      <c r="H2382" s="195" t="s">
        <v>632</v>
      </c>
      <c r="I2382" s="196"/>
      <c r="J2382" s="179"/>
      <c r="K2382" s="196">
        <v>0.0</v>
      </c>
      <c r="L2382" s="87"/>
      <c r="M2382" s="194" t="s">
        <v>587</v>
      </c>
      <c r="N2382" s="194" t="s">
        <v>587</v>
      </c>
    </row>
    <row r="2383" ht="22.5" hidden="1" customHeight="1">
      <c r="A2383" s="137" t="s">
        <v>597</v>
      </c>
      <c r="B2383" s="90">
        <v>46128.0</v>
      </c>
      <c r="C2383" s="55">
        <v>6.0</v>
      </c>
      <c r="D2383" s="97" t="s">
        <v>176</v>
      </c>
      <c r="E2383" s="10"/>
      <c r="F2383" s="202"/>
      <c r="G2383" s="194" t="s">
        <v>587</v>
      </c>
      <c r="H2383" s="195" t="s">
        <v>632</v>
      </c>
      <c r="I2383" s="196"/>
      <c r="J2383" s="179"/>
      <c r="K2383" s="196">
        <v>0.0</v>
      </c>
      <c r="L2383" s="87"/>
      <c r="M2383" s="194" t="s">
        <v>587</v>
      </c>
      <c r="N2383" s="194" t="s">
        <v>587</v>
      </c>
    </row>
    <row r="2384" ht="22.5" hidden="1" customHeight="1">
      <c r="A2384" s="137" t="s">
        <v>597</v>
      </c>
      <c r="B2384" s="90">
        <v>46128.0</v>
      </c>
      <c r="C2384" s="16">
        <v>5.0</v>
      </c>
      <c r="D2384" s="12" t="s">
        <v>208</v>
      </c>
      <c r="E2384" s="243"/>
      <c r="F2384" s="202"/>
      <c r="G2384" s="194" t="s">
        <v>587</v>
      </c>
      <c r="H2384" s="195" t="s">
        <v>632</v>
      </c>
      <c r="I2384" s="196"/>
      <c r="J2384" s="179">
        <f>IF(A2384="RAPPI",(VLOOKUP(TRIM(D2384), CATALOGO!F:G, 2, FALSE) * C2384)+I2384,IFERROR(IF(COUNTIF('RESTAURANTESDESCUENTOS 2026'!A:A,TRIM(A2384))&gt;0,((VLOOKUP(TRIM(D2384), CATALOGO!A:B, 2, FALSE) * C2384)*(1-VALUE(SUBSTITUTE(VLOOKUP(TRIM(A2384),'RESTAURANTESDESCUENTOS 2026'!A:B,2,FALSE),"%",""))/100)+I2384),(VLOOKUP(TRIM(D2384), CATALOGO!A:B, 2, FALSE) * C2384+I2384)),""))</f>
        <v>110000</v>
      </c>
      <c r="K2384" s="196">
        <v>0.0</v>
      </c>
      <c r="L2384" s="87"/>
      <c r="M2384" s="194" t="s">
        <v>587</v>
      </c>
      <c r="N2384" s="168"/>
    </row>
    <row r="2385" ht="22.5" hidden="1" customHeight="1">
      <c r="A2385" s="137" t="s">
        <v>597</v>
      </c>
      <c r="B2385" s="90">
        <v>46128.0</v>
      </c>
      <c r="C2385" s="16">
        <v>5.0</v>
      </c>
      <c r="D2385" s="12" t="s">
        <v>206</v>
      </c>
      <c r="E2385" s="243"/>
      <c r="F2385" s="202"/>
      <c r="G2385" s="194" t="s">
        <v>587</v>
      </c>
      <c r="H2385" s="195" t="s">
        <v>632</v>
      </c>
      <c r="I2385" s="196"/>
      <c r="J2385" s="179">
        <f>IF(A2385="RAPPI",(VLOOKUP(TRIM(D2385), CATALOGO!F:G, 2, FALSE) * C2385)+I2385,IFERROR(IF(COUNTIF('RESTAURANTESDESCUENTOS 2026'!A:A,TRIM(A2385))&gt;0,((VLOOKUP(TRIM(D2385), CATALOGO!A:B, 2, FALSE) * C2385)*(1-VALUE(SUBSTITUTE(VLOOKUP(TRIM(A2385),'RESTAURANTESDESCUENTOS 2026'!A:B,2,FALSE),"%",""))/100)+I2385),(VLOOKUP(TRIM(D2385), CATALOGO!A:B, 2, FALSE) * C2385+I2385)),""))</f>
        <v>110000</v>
      </c>
      <c r="K2385" s="196">
        <v>0.0</v>
      </c>
      <c r="L2385" s="87"/>
      <c r="M2385" s="194" t="s">
        <v>587</v>
      </c>
      <c r="N2385" s="168"/>
    </row>
    <row r="2386" ht="22.5" hidden="1" customHeight="1">
      <c r="A2386" s="137" t="s">
        <v>597</v>
      </c>
      <c r="B2386" s="90">
        <v>46128.0</v>
      </c>
      <c r="C2386" s="16">
        <v>5.0</v>
      </c>
      <c r="D2386" s="12" t="s">
        <v>207</v>
      </c>
      <c r="E2386" s="243"/>
      <c r="F2386" s="202"/>
      <c r="G2386" s="194" t="s">
        <v>587</v>
      </c>
      <c r="H2386" s="195" t="s">
        <v>632</v>
      </c>
      <c r="I2386" s="196"/>
      <c r="J2386" s="179">
        <f>IF(A2386="RAPPI",(VLOOKUP(TRIM(D2386), CATALOGO!F:G, 2, FALSE) * C2386)+I2386,IFERROR(IF(COUNTIF('RESTAURANTESDESCUENTOS 2026'!A:A,TRIM(A2386))&gt;0,((VLOOKUP(TRIM(D2386), CATALOGO!A:B, 2, FALSE) * C2386)*(1-VALUE(SUBSTITUTE(VLOOKUP(TRIM(A2386),'RESTAURANTESDESCUENTOS 2026'!A:B,2,FALSE),"%",""))/100)+I2386),(VLOOKUP(TRIM(D2386), CATALOGO!A:B, 2, FALSE) * C2386+I2386)),""))</f>
        <v>110000</v>
      </c>
      <c r="K2386" s="196">
        <v>0.0</v>
      </c>
      <c r="L2386" s="87"/>
      <c r="M2386" s="194" t="s">
        <v>587</v>
      </c>
      <c r="N2386" s="168"/>
    </row>
    <row r="2387" ht="22.5" hidden="1" customHeight="1">
      <c r="A2387" s="137" t="s">
        <v>597</v>
      </c>
      <c r="B2387" s="90">
        <v>46128.0</v>
      </c>
      <c r="C2387" s="16">
        <v>2.0</v>
      </c>
      <c r="D2387" s="12" t="s">
        <v>209</v>
      </c>
      <c r="E2387" s="243"/>
      <c r="F2387" s="202"/>
      <c r="G2387" s="194" t="s">
        <v>587</v>
      </c>
      <c r="H2387" s="195" t="s">
        <v>632</v>
      </c>
      <c r="I2387" s="196"/>
      <c r="J2387" s="179">
        <f>IF(A2387="RAPPI",(VLOOKUP(TRIM(D2387), CATALOGO!F:G, 2, FALSE) * C2387)+I2387,IFERROR(IF(COUNTIF('RESTAURANTESDESCUENTOS 2026'!A:A,TRIM(A2387))&gt;0,((VLOOKUP(TRIM(D2387), CATALOGO!A:B, 2, FALSE) * C2387)*(1-VALUE(SUBSTITUTE(VLOOKUP(TRIM(A2387),'RESTAURANTESDESCUENTOS 2026'!A:B,2,FALSE),"%",""))/100)+I2387),(VLOOKUP(TRIM(D2387), CATALOGO!A:B, 2, FALSE) * C2387+I2387)),""))</f>
        <v>44000</v>
      </c>
      <c r="K2387" s="196">
        <v>0.0</v>
      </c>
      <c r="L2387" s="87"/>
      <c r="M2387" s="194" t="s">
        <v>587</v>
      </c>
      <c r="N2387" s="168"/>
    </row>
    <row r="2388" ht="22.5" hidden="1" customHeight="1">
      <c r="A2388" s="137" t="s">
        <v>1383</v>
      </c>
      <c r="B2388" s="90">
        <v>46128.0</v>
      </c>
      <c r="C2388" s="55">
        <v>3.0</v>
      </c>
      <c r="D2388" s="97" t="s">
        <v>124</v>
      </c>
      <c r="E2388" s="243"/>
      <c r="F2388" s="202"/>
      <c r="G2388" s="194" t="s">
        <v>587</v>
      </c>
      <c r="H2388" s="195" t="s">
        <v>632</v>
      </c>
      <c r="I2388" s="196"/>
      <c r="J2388" s="179">
        <f>IF(A2388="RAPPI",(VLOOKUP(TRIM(D2388), CATALOGO!F:G, 2, FALSE) * C2388)+I2388,IFERROR(IF(COUNTIF('RESTAURANTESDESCUENTOS 2026'!A:A,TRIM(A2388))&gt;0,((VLOOKUP(TRIM(D2388), CATALOGO!A:B, 2, FALSE) * C2388)*(1-VALUE(SUBSTITUTE(VLOOKUP(TRIM(A2388),'RESTAURANTESDESCUENTOS 2026'!A:B,2,FALSE),"%",""))/100)+I2388),(VLOOKUP(TRIM(D2388), CATALOGO!A:B, 2, FALSE) * C2388+I2388)),""))</f>
        <v>192000</v>
      </c>
      <c r="K2388" s="196">
        <v>12000.0</v>
      </c>
      <c r="L2388" s="87">
        <v>1016.0</v>
      </c>
      <c r="M2388" s="194" t="s">
        <v>587</v>
      </c>
      <c r="N2388" s="168"/>
    </row>
    <row r="2389" ht="22.5" hidden="1" customHeight="1">
      <c r="A2389" s="137" t="s">
        <v>1383</v>
      </c>
      <c r="B2389" s="90">
        <v>46128.0</v>
      </c>
      <c r="C2389" s="55">
        <v>3.0</v>
      </c>
      <c r="D2389" s="97" t="s">
        <v>126</v>
      </c>
      <c r="E2389" s="243"/>
      <c r="F2389" s="202"/>
      <c r="G2389" s="194" t="s">
        <v>587</v>
      </c>
      <c r="H2389" s="195" t="s">
        <v>632</v>
      </c>
      <c r="I2389" s="196"/>
      <c r="J2389" s="179">
        <f>IF(A2389="RAPPI",(VLOOKUP(TRIM(D2389), CATALOGO!F:G, 2, FALSE) * C2389)+I2389,IFERROR(IF(COUNTIF('RESTAURANTESDESCUENTOS 2026'!A:A,TRIM(A2389))&gt;0,((VLOOKUP(TRIM(D2389), CATALOGO!A:B, 2, FALSE) * C2389)*(1-VALUE(SUBSTITUTE(VLOOKUP(TRIM(A2389),'RESTAURANTESDESCUENTOS 2026'!A:B,2,FALSE),"%",""))/100)+I2389),(VLOOKUP(TRIM(D2389), CATALOGO!A:B, 2, FALSE) * C2389+I2389)),""))</f>
        <v>192000</v>
      </c>
      <c r="K2389" s="196">
        <v>0.0</v>
      </c>
      <c r="L2389" s="87">
        <v>1016.0</v>
      </c>
      <c r="M2389" s="194" t="s">
        <v>587</v>
      </c>
      <c r="N2389" s="168"/>
    </row>
    <row r="2390" ht="22.5" hidden="1" customHeight="1">
      <c r="A2390" s="137" t="s">
        <v>1383</v>
      </c>
      <c r="B2390" s="90">
        <v>46128.0</v>
      </c>
      <c r="C2390" s="55">
        <v>3.0</v>
      </c>
      <c r="D2390" s="97" t="s">
        <v>127</v>
      </c>
      <c r="E2390" s="243"/>
      <c r="F2390" s="202"/>
      <c r="G2390" s="194" t="s">
        <v>587</v>
      </c>
      <c r="H2390" s="195" t="s">
        <v>632</v>
      </c>
      <c r="I2390" s="196"/>
      <c r="J2390" s="179">
        <f>IF(A2390="RAPPI",(VLOOKUP(TRIM(D2390), CATALOGO!F:G, 2, FALSE) * C2390)+I2390,IFERROR(IF(COUNTIF('RESTAURANTESDESCUENTOS 2026'!A:A,TRIM(A2390))&gt;0,((VLOOKUP(TRIM(D2390), CATALOGO!A:B, 2, FALSE) * C2390)*(1-VALUE(SUBSTITUTE(VLOOKUP(TRIM(A2390),'RESTAURANTESDESCUENTOS 2026'!A:B,2,FALSE),"%",""))/100)+I2390),(VLOOKUP(TRIM(D2390), CATALOGO!A:B, 2, FALSE) * C2390+I2390)),""))</f>
        <v>192000</v>
      </c>
      <c r="K2390" s="196">
        <v>0.0</v>
      </c>
      <c r="L2390" s="87">
        <v>1016.0</v>
      </c>
      <c r="M2390" s="194" t="s">
        <v>587</v>
      </c>
      <c r="N2390" s="168"/>
    </row>
    <row r="2391" ht="22.5" hidden="1" customHeight="1">
      <c r="A2391" s="230" t="s">
        <v>106</v>
      </c>
      <c r="B2391" s="214">
        <v>46128.0</v>
      </c>
      <c r="C2391" s="70">
        <v>1.0</v>
      </c>
      <c r="D2391" s="215" t="s">
        <v>178</v>
      </c>
      <c r="E2391" s="243" t="s">
        <v>747</v>
      </c>
      <c r="F2391" s="202"/>
      <c r="G2391" s="194" t="s">
        <v>587</v>
      </c>
      <c r="H2391" s="195" t="s">
        <v>632</v>
      </c>
      <c r="I2391" s="196">
        <v>8000.0</v>
      </c>
      <c r="J2391" s="179">
        <f>IF(A2391="RAPPI",(VLOOKUP(TRIM(D2391), CATALOGO!F:G, 2, FALSE) * C2391)+I2391,IFERROR(IF(COUNTIF('RESTAURANTESDESCUENTOS 2026'!A:A,TRIM(A2391))&gt;0,((VLOOKUP(TRIM(D2391), CATALOGO!A:B, 2, FALSE) * C2391)*(1-VALUE(SUBSTITUTE(VLOOKUP(TRIM(A2391),'RESTAURANTESDESCUENTOS 2026'!A:B,2,FALSE),"%",""))/100)+I2391),(VLOOKUP(TRIM(D2391), CATALOGO!A:B, 2, FALSE) * C2391+I2391)),""))</f>
        <v>105125</v>
      </c>
      <c r="K2391" s="196">
        <v>10000.0</v>
      </c>
      <c r="L2391" s="87">
        <v>1017.0</v>
      </c>
      <c r="M2391" s="194" t="s">
        <v>587</v>
      </c>
      <c r="N2391" s="168"/>
    </row>
    <row r="2392" ht="22.5" hidden="1" customHeight="1">
      <c r="A2392" s="230" t="s">
        <v>25</v>
      </c>
      <c r="B2392" s="214">
        <v>46128.0</v>
      </c>
      <c r="C2392" s="70">
        <v>2.0</v>
      </c>
      <c r="D2392" s="215" t="s">
        <v>178</v>
      </c>
      <c r="E2392" s="243" t="s">
        <v>28</v>
      </c>
      <c r="F2392" s="202"/>
      <c r="G2392" s="194" t="s">
        <v>587</v>
      </c>
      <c r="H2392" s="195" t="s">
        <v>632</v>
      </c>
      <c r="I2392" s="196"/>
      <c r="J2392" s="219">
        <f>IF(A2392="RAPPI",(VLOOKUP(TRIM(D2392), CATALOGO!F:G, 2, FALSE) * C2392)+I2392,IFERROR(IF(COUNTIF('RESTAURANTESDESCUENTOS 2026'!A:A,TRIM(A2392))&gt;0,((VLOOKUP(TRIM(D2392), CATALOGO!A:B, 2, FALSE) * C2392)*(1-VALUE(SUBSTITUTE(VLOOKUP(TRIM(A2392),'RESTAURANTESDESCUENTOS 2026'!A:B,2,FALSE),"%",""))/100)+I2392),(VLOOKUP(TRIM(D2392), CATALOGO!A:B, 2, FALSE) * C2392+I2392)),""))</f>
        <v>225000</v>
      </c>
      <c r="K2392" s="196">
        <v>30000.0</v>
      </c>
      <c r="L2392" s="87">
        <v>1019.0</v>
      </c>
      <c r="M2392" s="194" t="s">
        <v>587</v>
      </c>
      <c r="N2392" s="168"/>
    </row>
    <row r="2393" ht="22.5" hidden="1" customHeight="1">
      <c r="A2393" s="137" t="s">
        <v>1384</v>
      </c>
      <c r="B2393" s="90">
        <v>46128.0</v>
      </c>
      <c r="C2393" s="55">
        <v>1.0</v>
      </c>
      <c r="D2393" s="97" t="s">
        <v>209</v>
      </c>
      <c r="E2393" s="248"/>
      <c r="F2393" s="236" t="s">
        <v>1035</v>
      </c>
      <c r="G2393" s="194" t="s">
        <v>587</v>
      </c>
      <c r="H2393" s="195" t="s">
        <v>632</v>
      </c>
      <c r="I2393" s="196">
        <v>13000.0</v>
      </c>
      <c r="J2393" s="219">
        <f>IF(A2393="RAPPI",(VLOOKUP(TRIM(D2393), CATALOGO!F:G, 2, FALSE) * C2393)+I2393,IFERROR(IF(COUNTIF('RESTAURANTESDESCUENTOS 2026'!A:A,TRIM(A2393))&gt;0,((VLOOKUP(TRIM(D2393), CATALOGO!A:B, 2, FALSE) * C2393)*(1-VALUE(SUBSTITUTE(VLOOKUP(TRIM(A2393),'RESTAURANTESDESCUENTOS 2026'!A:B,2,FALSE),"%",""))/100)+I2393),(VLOOKUP(TRIM(D2393), CATALOGO!A:B, 2, FALSE) * C2393+I2393)),""))</f>
        <v>35000</v>
      </c>
      <c r="K2393" s="196">
        <v>14000.0</v>
      </c>
      <c r="L2393" s="87">
        <v>1023.0</v>
      </c>
      <c r="M2393" s="194" t="s">
        <v>587</v>
      </c>
      <c r="N2393" s="168"/>
    </row>
    <row r="2394" ht="22.5" hidden="1" customHeight="1">
      <c r="A2394" s="137" t="s">
        <v>1384</v>
      </c>
      <c r="B2394" s="90">
        <v>46128.0</v>
      </c>
      <c r="C2394" s="55">
        <v>1.0</v>
      </c>
      <c r="D2394" s="97" t="s">
        <v>618</v>
      </c>
      <c r="E2394" s="248"/>
      <c r="F2394" s="236" t="s">
        <v>1035</v>
      </c>
      <c r="G2394" s="194" t="s">
        <v>587</v>
      </c>
      <c r="H2394" s="195" t="s">
        <v>632</v>
      </c>
      <c r="I2394" s="196">
        <v>0.0</v>
      </c>
      <c r="J2394" s="219">
        <f>IF(A2394="RAPPI",(VLOOKUP(TRIM(D2394), CATALOGO!F:G, 2, FALSE) * C2394)+I2394,IFERROR(IF(COUNTIF('RESTAURANTESDESCUENTOS 2026'!A:A,TRIM(A2394))&gt;0,((VLOOKUP(TRIM(D2394), CATALOGO!A:B, 2, FALSE) * C2394)*(1-VALUE(SUBSTITUTE(VLOOKUP(TRIM(A2394),'RESTAURANTESDESCUENTOS 2026'!A:B,2,FALSE),"%",""))/100)+I2394),(VLOOKUP(TRIM(D2394), CATALOGO!A:B, 2, FALSE) * C2394+I2394)),""))</f>
        <v>53000</v>
      </c>
      <c r="K2394" s="196">
        <v>0.0</v>
      </c>
      <c r="L2394" s="87">
        <v>1023.0</v>
      </c>
      <c r="M2394" s="194" t="s">
        <v>587</v>
      </c>
      <c r="N2394" s="168"/>
    </row>
    <row r="2395" ht="22.5" hidden="1" customHeight="1">
      <c r="A2395" s="137" t="s">
        <v>1385</v>
      </c>
      <c r="B2395" s="90">
        <v>46128.0</v>
      </c>
      <c r="C2395" s="55">
        <v>2.0</v>
      </c>
      <c r="D2395" s="97" t="s">
        <v>177</v>
      </c>
      <c r="E2395" s="248"/>
      <c r="F2395" s="236" t="s">
        <v>1035</v>
      </c>
      <c r="G2395" s="194" t="s">
        <v>587</v>
      </c>
      <c r="H2395" s="195" t="s">
        <v>632</v>
      </c>
      <c r="I2395" s="196">
        <v>10000.0</v>
      </c>
      <c r="J2395" s="219">
        <f>IF(A2395="RAPPI",(VLOOKUP(TRIM(D2395), CATALOGO!F:G, 2, FALSE) * C2395)+I2395,IFERROR(IF(COUNTIF('RESTAURANTESDESCUENTOS 2026'!A:A,TRIM(A2395))&gt;0,((VLOOKUP(TRIM(D2395), CATALOGO!A:B, 2, FALSE) * C2395)*(1-VALUE(SUBSTITUTE(VLOOKUP(TRIM(A2395),'RESTAURANTESDESCUENTOS 2026'!A:B,2,FALSE),"%",""))/100)+I2395),(VLOOKUP(TRIM(D2395), CATALOGO!A:B, 2, FALSE) * C2395+I2395)),""))</f>
        <v>240000</v>
      </c>
      <c r="K2395" s="196">
        <v>10000.0</v>
      </c>
      <c r="L2395" s="87">
        <v>1024.0</v>
      </c>
      <c r="M2395" s="194" t="s">
        <v>587</v>
      </c>
      <c r="N2395" s="168"/>
    </row>
    <row r="2396" ht="22.5" hidden="1" customHeight="1">
      <c r="A2396" s="137" t="s">
        <v>1386</v>
      </c>
      <c r="B2396" s="90">
        <v>46128.0</v>
      </c>
      <c r="C2396" s="55">
        <v>1.0</v>
      </c>
      <c r="D2396" s="97" t="s">
        <v>186</v>
      </c>
      <c r="E2396" s="248"/>
      <c r="F2396" s="236" t="s">
        <v>1035</v>
      </c>
      <c r="G2396" s="194" t="s">
        <v>587</v>
      </c>
      <c r="H2396" s="195" t="s">
        <v>632</v>
      </c>
      <c r="I2396" s="196">
        <v>12000.0</v>
      </c>
      <c r="J2396" s="219">
        <f>IF(A2396="RAPPI",(VLOOKUP(TRIM(D2396), CATALOGO!F:G, 2, FALSE) * C2396)+I2396,IFERROR(IF(COUNTIF('RESTAURANTESDESCUENTOS 2026'!A:A,TRIM(A2396))&gt;0,((VLOOKUP(TRIM(D2396), CATALOGO!A:B, 2, FALSE) * C2396)*(1-VALUE(SUBSTITUTE(VLOOKUP(TRIM(A2396),'RESTAURANTESDESCUENTOS 2026'!A:B,2,FALSE),"%",""))/100)+I2396),(VLOOKUP(TRIM(D2396), CATALOGO!A:B, 2, FALSE) * C2396+I2396)),""))</f>
        <v>67000</v>
      </c>
      <c r="K2396" s="196">
        <v>12000.0</v>
      </c>
      <c r="L2396" s="87">
        <v>1025.0</v>
      </c>
      <c r="M2396" s="194" t="s">
        <v>587</v>
      </c>
      <c r="N2396" s="168"/>
    </row>
    <row r="2397" ht="22.5" hidden="1" customHeight="1">
      <c r="A2397" s="137" t="s">
        <v>1386</v>
      </c>
      <c r="B2397" s="90">
        <v>46128.0</v>
      </c>
      <c r="C2397" s="55">
        <v>1.0</v>
      </c>
      <c r="D2397" s="97" t="s">
        <v>708</v>
      </c>
      <c r="E2397" s="248"/>
      <c r="F2397" s="236" t="s">
        <v>1035</v>
      </c>
      <c r="G2397" s="194" t="s">
        <v>587</v>
      </c>
      <c r="H2397" s="195" t="s">
        <v>632</v>
      </c>
      <c r="I2397" s="196">
        <v>0.0</v>
      </c>
      <c r="J2397" s="219">
        <f>IF(A2397="RAPPI",(VLOOKUP(TRIM(D2397), CATALOGO!F:G, 2, FALSE) * C2397)+I2397,IFERROR(IF(COUNTIF('RESTAURANTESDESCUENTOS 2026'!A:A,TRIM(A2397))&gt;0,((VLOOKUP(TRIM(D2397), CATALOGO!A:B, 2, FALSE) * C2397)*(1-VALUE(SUBSTITUTE(VLOOKUP(TRIM(A2397),'RESTAURANTESDESCUENTOS 2026'!A:B,2,FALSE),"%",""))/100)+I2397),(VLOOKUP(TRIM(D2397), CATALOGO!A:B, 2, FALSE) * C2397+I2397)),""))</f>
        <v>53000</v>
      </c>
      <c r="K2397" s="196">
        <v>0.0</v>
      </c>
      <c r="L2397" s="87">
        <v>1025.0</v>
      </c>
      <c r="M2397" s="194" t="s">
        <v>587</v>
      </c>
      <c r="N2397" s="168"/>
    </row>
    <row r="2398" ht="22.5" hidden="1" customHeight="1">
      <c r="A2398" s="230" t="s">
        <v>1387</v>
      </c>
      <c r="B2398" s="214">
        <v>46128.0</v>
      </c>
      <c r="C2398" s="70">
        <v>1.0</v>
      </c>
      <c r="D2398" s="215" t="s">
        <v>178</v>
      </c>
      <c r="E2398" s="10"/>
      <c r="F2398" s="236" t="s">
        <v>1035</v>
      </c>
      <c r="G2398" s="194" t="s">
        <v>587</v>
      </c>
      <c r="H2398" s="195" t="s">
        <v>632</v>
      </c>
      <c r="I2398" s="196">
        <v>13000.0</v>
      </c>
      <c r="J2398" s="251">
        <f>150000+I2398</f>
        <v>163000</v>
      </c>
      <c r="K2398" s="196">
        <v>13000.0</v>
      </c>
      <c r="L2398" s="87">
        <v>1026.0</v>
      </c>
      <c r="M2398" s="194" t="s">
        <v>587</v>
      </c>
      <c r="N2398" s="168"/>
    </row>
    <row r="2399" ht="22.5" hidden="1" customHeight="1">
      <c r="A2399" s="137" t="s">
        <v>1126</v>
      </c>
      <c r="B2399" s="90">
        <v>46128.0</v>
      </c>
      <c r="C2399" s="55">
        <v>1.0</v>
      </c>
      <c r="D2399" s="97" t="s">
        <v>174</v>
      </c>
      <c r="E2399" s="248" t="s">
        <v>1388</v>
      </c>
      <c r="F2399" s="236" t="s">
        <v>1035</v>
      </c>
      <c r="G2399" s="194" t="s">
        <v>35</v>
      </c>
      <c r="H2399" s="198"/>
      <c r="I2399" s="196"/>
      <c r="J2399" s="219">
        <f>IF(A2399="RAPPI",(VLOOKUP(TRIM(D2399), CATALOGO!F:G, 2, FALSE) * C2399)+I2399,IFERROR(IF(COUNTIF('RESTAURANTESDESCUENTOS 2026'!A:A,TRIM(A2399))&gt;0,((VLOOKUP(TRIM(D2399), CATALOGO!A:B, 2, FALSE) * C2399)*(1-VALUE(SUBSTITUTE(VLOOKUP(TRIM(A2399),'RESTAURANTESDESCUENTOS 2026'!A:B,2,FALSE),"%",""))/100)+I2399),(VLOOKUP(TRIM(D2399), CATALOGO!A:B, 2, FALSE) * C2399+I2399)),""))</f>
        <v>18000</v>
      </c>
      <c r="K2399" s="196"/>
      <c r="L2399" s="87">
        <v>1022.0</v>
      </c>
      <c r="M2399" s="194" t="s">
        <v>587</v>
      </c>
      <c r="N2399" s="168"/>
    </row>
    <row r="2400" ht="22.5" hidden="1" customHeight="1">
      <c r="A2400" s="137" t="s">
        <v>603</v>
      </c>
      <c r="B2400" s="90">
        <v>46128.0</v>
      </c>
      <c r="C2400" s="55">
        <v>1.0</v>
      </c>
      <c r="D2400" s="97" t="s">
        <v>209</v>
      </c>
      <c r="E2400" s="248"/>
      <c r="F2400" s="236" t="s">
        <v>603</v>
      </c>
      <c r="G2400" s="194" t="s">
        <v>587</v>
      </c>
      <c r="H2400" s="195" t="s">
        <v>603</v>
      </c>
      <c r="I2400" s="196"/>
      <c r="J2400" s="251">
        <v>22000.0</v>
      </c>
      <c r="K2400" s="196"/>
      <c r="L2400" s="87">
        <v>1027.0</v>
      </c>
      <c r="M2400" s="194" t="s">
        <v>587</v>
      </c>
      <c r="N2400" s="168"/>
    </row>
    <row r="2401" ht="22.5" hidden="1" customHeight="1">
      <c r="A2401" s="137" t="s">
        <v>603</v>
      </c>
      <c r="B2401" s="90">
        <v>46128.0</v>
      </c>
      <c r="C2401" s="55">
        <v>1.0</v>
      </c>
      <c r="D2401" s="97" t="s">
        <v>208</v>
      </c>
      <c r="E2401" s="248"/>
      <c r="F2401" s="236" t="s">
        <v>603</v>
      </c>
      <c r="G2401" s="194" t="s">
        <v>587</v>
      </c>
      <c r="H2401" s="195" t="s">
        <v>603</v>
      </c>
      <c r="I2401" s="196"/>
      <c r="J2401" s="199">
        <v>22000.0</v>
      </c>
      <c r="K2401" s="196"/>
      <c r="L2401" s="87">
        <v>1027.0</v>
      </c>
      <c r="M2401" s="194" t="s">
        <v>587</v>
      </c>
      <c r="N2401" s="168"/>
    </row>
    <row r="2402" ht="22.5" hidden="1" customHeight="1">
      <c r="A2402" s="137" t="s">
        <v>603</v>
      </c>
      <c r="B2402" s="90">
        <v>46128.0</v>
      </c>
      <c r="C2402" s="55">
        <v>2.0</v>
      </c>
      <c r="D2402" s="97" t="s">
        <v>628</v>
      </c>
      <c r="E2402" s="248"/>
      <c r="F2402" s="236" t="s">
        <v>603</v>
      </c>
      <c r="G2402" s="194" t="s">
        <v>587</v>
      </c>
      <c r="H2402" s="195" t="s">
        <v>603</v>
      </c>
      <c r="I2402" s="196"/>
      <c r="J2402" s="179">
        <f>IF(A2402="RAPPI",(VLOOKUP(TRIM(D2402), CATALOGO!F:G, 2, FALSE) * C2402)+I2402,IFERROR(IF(COUNTIF('RESTAURANTESDESCUENTOS 2026'!A:A,TRIM(A2402))&gt;0,((VLOOKUP(TRIM(D2402), CATALOGO!A:B, 2, FALSE) * C2402)*(1-VALUE(SUBSTITUTE(VLOOKUP(TRIM(A2402),'RESTAURANTESDESCUENTOS 2026'!A:B,2,FALSE),"%",""))/100)+I2402),(VLOOKUP(TRIM(D2402), CATALOGO!A:B, 2, FALSE) * C2402+I2402)),""))</f>
        <v>44000</v>
      </c>
      <c r="K2402" s="196"/>
      <c r="L2402" s="87">
        <v>1027.0</v>
      </c>
      <c r="M2402" s="194" t="s">
        <v>587</v>
      </c>
      <c r="N2402" s="168"/>
    </row>
    <row r="2403" ht="22.5" hidden="1" customHeight="1">
      <c r="A2403" s="137" t="s">
        <v>603</v>
      </c>
      <c r="B2403" s="90">
        <v>46128.0</v>
      </c>
      <c r="C2403" s="55">
        <v>1.0</v>
      </c>
      <c r="D2403" s="97" t="s">
        <v>186</v>
      </c>
      <c r="E2403" s="248"/>
      <c r="F2403" s="236" t="s">
        <v>603</v>
      </c>
      <c r="G2403" s="194" t="s">
        <v>587</v>
      </c>
      <c r="H2403" s="195" t="s">
        <v>603</v>
      </c>
      <c r="I2403" s="196"/>
      <c r="J2403" s="179">
        <f>IF(A2403="RAPPI",(VLOOKUP(TRIM(D2403), CATALOGO!F:G, 2, FALSE) * C2403)+I2403,IFERROR(IF(COUNTIF('RESTAURANTESDESCUENTOS 2026'!A:A,TRIM(A2403))&gt;0,((VLOOKUP(TRIM(D2403), CATALOGO!A:B, 2, FALSE) * C2403)*(1-VALUE(SUBSTITUTE(VLOOKUP(TRIM(A2403),'RESTAURANTESDESCUENTOS 2026'!A:B,2,FALSE),"%",""))/100)+I2403),(VLOOKUP(TRIM(D2403), CATALOGO!A:B, 2, FALSE) * C2403+I2403)),""))</f>
        <v>55000</v>
      </c>
      <c r="K2403" s="196"/>
      <c r="L2403" s="87">
        <v>1027.0</v>
      </c>
      <c r="M2403" s="194" t="s">
        <v>587</v>
      </c>
      <c r="N2403" s="168"/>
    </row>
    <row r="2404" ht="22.5" hidden="1" customHeight="1">
      <c r="A2404" s="137" t="s">
        <v>603</v>
      </c>
      <c r="B2404" s="90">
        <v>46128.0</v>
      </c>
      <c r="C2404" s="55">
        <v>1.0</v>
      </c>
      <c r="D2404" s="97" t="s">
        <v>208</v>
      </c>
      <c r="E2404" s="248"/>
      <c r="F2404" s="236" t="s">
        <v>603</v>
      </c>
      <c r="G2404" s="194" t="s">
        <v>587</v>
      </c>
      <c r="H2404" s="195" t="s">
        <v>603</v>
      </c>
      <c r="I2404" s="196"/>
      <c r="J2404" s="199">
        <v>22000.0</v>
      </c>
      <c r="K2404" s="196"/>
      <c r="L2404" s="87">
        <v>1027.0</v>
      </c>
      <c r="M2404" s="194" t="s">
        <v>587</v>
      </c>
      <c r="N2404" s="168"/>
    </row>
    <row r="2405" ht="22.5" hidden="1" customHeight="1">
      <c r="A2405" s="137" t="s">
        <v>1389</v>
      </c>
      <c r="B2405" s="90">
        <v>46129.0</v>
      </c>
      <c r="C2405" s="55">
        <v>1.0</v>
      </c>
      <c r="D2405" s="97" t="s">
        <v>697</v>
      </c>
      <c r="E2405" s="248" t="s">
        <v>1390</v>
      </c>
      <c r="F2405" s="236" t="s">
        <v>1035</v>
      </c>
      <c r="G2405" s="194" t="s">
        <v>587</v>
      </c>
      <c r="H2405" s="195" t="s">
        <v>632</v>
      </c>
      <c r="I2405" s="196">
        <v>10000.0</v>
      </c>
      <c r="J2405" s="179">
        <f>IF(A2405="RAPPI",(VLOOKUP(TRIM(D2405), CATALOGO!F:G, 2, FALSE) * C2405)+I2405,IFERROR(IF(COUNTIF('RESTAURANTESDESCUENTOS 2026'!A:A,TRIM(A2405))&gt;0,((VLOOKUP(TRIM(D2405), CATALOGO!A:B, 2, FALSE) * C2405)*(1-VALUE(SUBSTITUTE(VLOOKUP(TRIM(A2405),'RESTAURANTESDESCUENTOS 2026'!A:B,2,FALSE),"%",""))/100)+I2405),(VLOOKUP(TRIM(D2405), CATALOGO!A:B, 2, FALSE) * C2405+I2405)),""))</f>
        <v>173000</v>
      </c>
      <c r="K2405" s="196">
        <v>14000.0</v>
      </c>
      <c r="L2405" s="87">
        <v>1035.0</v>
      </c>
      <c r="M2405" s="194" t="s">
        <v>587</v>
      </c>
      <c r="N2405" s="168"/>
    </row>
    <row r="2406" ht="22.5" hidden="1" customHeight="1">
      <c r="A2406" s="137" t="s">
        <v>17</v>
      </c>
      <c r="B2406" s="90">
        <v>46129.0</v>
      </c>
      <c r="C2406" s="55">
        <v>1.0</v>
      </c>
      <c r="D2406" s="97" t="s">
        <v>178</v>
      </c>
      <c r="E2406" s="248" t="s">
        <v>747</v>
      </c>
      <c r="F2406" s="202"/>
      <c r="G2406" s="194" t="s">
        <v>587</v>
      </c>
      <c r="H2406" s="195" t="s">
        <v>632</v>
      </c>
      <c r="I2406" s="196">
        <v>10000.0</v>
      </c>
      <c r="J2406" s="179">
        <f>IF(A2406="RAPPI",(VLOOKUP(TRIM(D2406), CATALOGO!F:G, 2, FALSE) * C2406)+I2406,IFERROR(IF(COUNTIF('RESTAURANTESDESCUENTOS 2026'!A:A,TRIM(A2406))&gt;0,((VLOOKUP(TRIM(D2406), CATALOGO!A:B, 2, FALSE) * C2406)*(1-VALUE(SUBSTITUTE(VLOOKUP(TRIM(A2406),'RESTAURANTESDESCUENTOS 2026'!A:B,2,FALSE),"%",""))/100)+I2406),(VLOOKUP(TRIM(D2406), CATALOGO!A:B, 2, FALSE) * C2406+I2406)),""))</f>
        <v>122500</v>
      </c>
      <c r="K2406" s="196">
        <v>10000.0</v>
      </c>
      <c r="L2406" s="87">
        <v>1028.0</v>
      </c>
      <c r="M2406" s="194" t="s">
        <v>587</v>
      </c>
      <c r="N2406" s="168"/>
    </row>
    <row r="2407" ht="22.5" hidden="1" customHeight="1">
      <c r="A2407" s="137" t="s">
        <v>1391</v>
      </c>
      <c r="B2407" s="90">
        <v>46129.0</v>
      </c>
      <c r="C2407" s="55">
        <v>2.0</v>
      </c>
      <c r="D2407" s="193"/>
      <c r="E2407" s="10" t="s">
        <v>1372</v>
      </c>
      <c r="F2407" s="236" t="s">
        <v>1035</v>
      </c>
      <c r="G2407" s="194"/>
      <c r="H2407" s="195" t="s">
        <v>632</v>
      </c>
      <c r="I2407" s="196"/>
      <c r="J2407" s="199">
        <v>18500.0</v>
      </c>
      <c r="K2407" s="196">
        <v>12000.0</v>
      </c>
      <c r="L2407" s="87">
        <v>1043.0</v>
      </c>
      <c r="M2407" s="194" t="s">
        <v>587</v>
      </c>
      <c r="N2407" s="168"/>
    </row>
    <row r="2408" ht="22.5" hidden="1" customHeight="1">
      <c r="A2408" s="137" t="s">
        <v>1391</v>
      </c>
      <c r="B2408" s="90">
        <v>46129.0</v>
      </c>
      <c r="C2408" s="55">
        <v>2.0</v>
      </c>
      <c r="D2408" s="193"/>
      <c r="E2408" s="10" t="s">
        <v>1392</v>
      </c>
      <c r="F2408" s="236" t="s">
        <v>1035</v>
      </c>
      <c r="G2408" s="194"/>
      <c r="H2408" s="195" t="s">
        <v>632</v>
      </c>
      <c r="I2408" s="196"/>
      <c r="J2408" s="199">
        <v>18500.0</v>
      </c>
      <c r="K2408" s="196">
        <v>0.0</v>
      </c>
      <c r="L2408" s="87">
        <v>1043.0</v>
      </c>
      <c r="M2408" s="194" t="s">
        <v>587</v>
      </c>
      <c r="N2408" s="168"/>
    </row>
    <row r="2409" ht="22.5" hidden="1" customHeight="1">
      <c r="A2409" s="137" t="s">
        <v>1391</v>
      </c>
      <c r="B2409" s="90">
        <v>46129.0</v>
      </c>
      <c r="C2409" s="55">
        <v>2.0</v>
      </c>
      <c r="D2409" s="193"/>
      <c r="E2409" s="10" t="s">
        <v>1393</v>
      </c>
      <c r="F2409" s="236" t="s">
        <v>1035</v>
      </c>
      <c r="G2409" s="194"/>
      <c r="H2409" s="195" t="s">
        <v>632</v>
      </c>
      <c r="I2409" s="196"/>
      <c r="J2409" s="199">
        <v>18500.0</v>
      </c>
      <c r="K2409" s="196">
        <v>0.0</v>
      </c>
      <c r="L2409" s="87">
        <v>1043.0</v>
      </c>
      <c r="M2409" s="194" t="s">
        <v>587</v>
      </c>
      <c r="N2409" s="168"/>
    </row>
    <row r="2410" ht="22.5" hidden="1" customHeight="1">
      <c r="A2410" s="137" t="s">
        <v>1391</v>
      </c>
      <c r="B2410" s="90">
        <v>46129.0</v>
      </c>
      <c r="C2410" s="55">
        <v>2.0</v>
      </c>
      <c r="D2410" s="193"/>
      <c r="E2410" s="10" t="s">
        <v>1394</v>
      </c>
      <c r="F2410" s="236" t="s">
        <v>1035</v>
      </c>
      <c r="G2410" s="194"/>
      <c r="H2410" s="195" t="s">
        <v>632</v>
      </c>
      <c r="I2410" s="196"/>
      <c r="J2410" s="199">
        <v>18500.0</v>
      </c>
      <c r="K2410" s="196">
        <v>0.0</v>
      </c>
      <c r="L2410" s="87">
        <v>1043.0</v>
      </c>
      <c r="M2410" s="194" t="s">
        <v>587</v>
      </c>
      <c r="N2410" s="168"/>
    </row>
    <row r="2411" ht="22.5" hidden="1" customHeight="1">
      <c r="A2411" s="137" t="s">
        <v>1391</v>
      </c>
      <c r="B2411" s="90">
        <v>46129.0</v>
      </c>
      <c r="C2411" s="55">
        <v>2.0</v>
      </c>
      <c r="D2411" s="193"/>
      <c r="E2411" s="10" t="s">
        <v>1395</v>
      </c>
      <c r="F2411" s="236" t="s">
        <v>1035</v>
      </c>
      <c r="G2411" s="194"/>
      <c r="H2411" s="195" t="s">
        <v>632</v>
      </c>
      <c r="I2411" s="196"/>
      <c r="J2411" s="199">
        <v>18500.0</v>
      </c>
      <c r="K2411" s="196">
        <v>0.0</v>
      </c>
      <c r="L2411" s="87">
        <v>1043.0</v>
      </c>
      <c r="M2411" s="194" t="s">
        <v>587</v>
      </c>
      <c r="N2411" s="168"/>
    </row>
    <row r="2412" ht="22.5" hidden="1" customHeight="1">
      <c r="A2412" s="137" t="s">
        <v>1391</v>
      </c>
      <c r="B2412" s="90">
        <v>46129.0</v>
      </c>
      <c r="C2412" s="55">
        <v>2.0</v>
      </c>
      <c r="D2412" s="193"/>
      <c r="E2412" s="10" t="s">
        <v>1376</v>
      </c>
      <c r="F2412" s="236" t="s">
        <v>1035</v>
      </c>
      <c r="G2412" s="194"/>
      <c r="H2412" s="195" t="s">
        <v>632</v>
      </c>
      <c r="I2412" s="196"/>
      <c r="J2412" s="199">
        <v>13800.0</v>
      </c>
      <c r="K2412" s="196">
        <v>0.0</v>
      </c>
      <c r="L2412" s="87">
        <v>1043.0</v>
      </c>
      <c r="M2412" s="194" t="s">
        <v>587</v>
      </c>
      <c r="N2412" s="168"/>
    </row>
    <row r="2413" ht="22.5" hidden="1" customHeight="1">
      <c r="A2413" s="137" t="s">
        <v>1391</v>
      </c>
      <c r="B2413" s="90">
        <v>46129.0</v>
      </c>
      <c r="C2413" s="55">
        <v>2.0</v>
      </c>
      <c r="D2413" s="193"/>
      <c r="E2413" s="10" t="s">
        <v>1377</v>
      </c>
      <c r="F2413" s="236" t="s">
        <v>1035</v>
      </c>
      <c r="G2413" s="194"/>
      <c r="H2413" s="195" t="s">
        <v>632</v>
      </c>
      <c r="I2413" s="196"/>
      <c r="J2413" s="199">
        <v>13800.0</v>
      </c>
      <c r="K2413" s="196">
        <v>0.0</v>
      </c>
      <c r="L2413" s="87">
        <v>1043.0</v>
      </c>
      <c r="M2413" s="194" t="s">
        <v>587</v>
      </c>
      <c r="N2413" s="168"/>
    </row>
    <row r="2414" ht="22.5" hidden="1" customHeight="1">
      <c r="A2414" s="137" t="s">
        <v>1391</v>
      </c>
      <c r="B2414" s="90">
        <v>46129.0</v>
      </c>
      <c r="C2414" s="55">
        <v>2.0</v>
      </c>
      <c r="D2414" s="193"/>
      <c r="E2414" s="10" t="s">
        <v>1379</v>
      </c>
      <c r="F2414" s="236" t="s">
        <v>1035</v>
      </c>
      <c r="G2414" s="194"/>
      <c r="H2414" s="195" t="s">
        <v>632</v>
      </c>
      <c r="I2414" s="196"/>
      <c r="J2414" s="199">
        <v>5000.0</v>
      </c>
      <c r="K2414" s="196">
        <v>0.0</v>
      </c>
      <c r="L2414" s="87">
        <v>1043.0</v>
      </c>
      <c r="M2414" s="194" t="s">
        <v>587</v>
      </c>
      <c r="N2414" s="168"/>
    </row>
    <row r="2415" ht="22.5" hidden="1" customHeight="1">
      <c r="A2415" s="137" t="s">
        <v>1391</v>
      </c>
      <c r="B2415" s="90">
        <v>46129.0</v>
      </c>
      <c r="C2415" s="55">
        <v>2.0</v>
      </c>
      <c r="D2415" s="193"/>
      <c r="E2415" s="10" t="s">
        <v>1381</v>
      </c>
      <c r="F2415" s="236" t="s">
        <v>1035</v>
      </c>
      <c r="G2415" s="194"/>
      <c r="H2415" s="195" t="s">
        <v>632</v>
      </c>
      <c r="I2415" s="196"/>
      <c r="J2415" s="199">
        <v>5000.0</v>
      </c>
      <c r="K2415" s="196">
        <v>0.0</v>
      </c>
      <c r="L2415" s="87">
        <v>1043.0</v>
      </c>
      <c r="M2415" s="194" t="s">
        <v>587</v>
      </c>
      <c r="N2415" s="168"/>
    </row>
    <row r="2416" ht="22.5" hidden="1" customHeight="1">
      <c r="A2416" s="137" t="s">
        <v>1391</v>
      </c>
      <c r="B2416" s="90">
        <v>46129.0</v>
      </c>
      <c r="C2416" s="55">
        <v>2.0</v>
      </c>
      <c r="D2416" s="193"/>
      <c r="E2416" s="10" t="s">
        <v>1375</v>
      </c>
      <c r="F2416" s="236" t="s">
        <v>1035</v>
      </c>
      <c r="G2416" s="194"/>
      <c r="H2416" s="195" t="s">
        <v>632</v>
      </c>
      <c r="I2416" s="196"/>
      <c r="J2416" s="199">
        <v>6000.0</v>
      </c>
      <c r="K2416" s="196">
        <v>0.0</v>
      </c>
      <c r="L2416" s="87">
        <v>1043.0</v>
      </c>
      <c r="M2416" s="194" t="s">
        <v>587</v>
      </c>
      <c r="N2416" s="168"/>
    </row>
    <row r="2417" ht="22.5" hidden="1" customHeight="1">
      <c r="A2417" s="137" t="s">
        <v>1391</v>
      </c>
      <c r="B2417" s="90">
        <v>46129.0</v>
      </c>
      <c r="C2417" s="55">
        <v>2.0</v>
      </c>
      <c r="D2417" s="193"/>
      <c r="E2417" s="255" t="s">
        <v>1374</v>
      </c>
      <c r="F2417" s="236" t="s">
        <v>1035</v>
      </c>
      <c r="G2417" s="194"/>
      <c r="H2417" s="195" t="s">
        <v>632</v>
      </c>
      <c r="I2417" s="196"/>
      <c r="J2417" s="199">
        <v>6000.0</v>
      </c>
      <c r="K2417" s="196">
        <v>0.0</v>
      </c>
      <c r="L2417" s="87">
        <v>1043.0</v>
      </c>
      <c r="M2417" s="194" t="s">
        <v>587</v>
      </c>
      <c r="N2417" s="168"/>
    </row>
    <row r="2418" ht="22.5" hidden="1" customHeight="1">
      <c r="A2418" s="137" t="s">
        <v>1391</v>
      </c>
      <c r="B2418" s="90">
        <v>46129.0</v>
      </c>
      <c r="C2418" s="55">
        <v>2.0</v>
      </c>
      <c r="D2418" s="193"/>
      <c r="E2418" s="10" t="s">
        <v>1378</v>
      </c>
      <c r="F2418" s="236" t="s">
        <v>1035</v>
      </c>
      <c r="G2418" s="194"/>
      <c r="H2418" s="195" t="s">
        <v>632</v>
      </c>
      <c r="I2418" s="196"/>
      <c r="J2418" s="199">
        <v>12000.0</v>
      </c>
      <c r="K2418" s="196">
        <v>0.0</v>
      </c>
      <c r="L2418" s="87">
        <v>1043.0</v>
      </c>
      <c r="M2418" s="194" t="s">
        <v>587</v>
      </c>
      <c r="N2418" s="168"/>
    </row>
    <row r="2419" ht="22.5" hidden="1" customHeight="1">
      <c r="A2419" s="137" t="s">
        <v>1396</v>
      </c>
      <c r="B2419" s="90">
        <v>46129.0</v>
      </c>
      <c r="C2419" s="55">
        <v>1.0</v>
      </c>
      <c r="D2419" s="97" t="s">
        <v>177</v>
      </c>
      <c r="E2419" s="10" t="s">
        <v>1397</v>
      </c>
      <c r="F2419" s="236" t="s">
        <v>1035</v>
      </c>
      <c r="G2419" s="194" t="s">
        <v>587</v>
      </c>
      <c r="H2419" s="195" t="s">
        <v>632</v>
      </c>
      <c r="I2419" s="196">
        <v>12000.0</v>
      </c>
      <c r="J2419" s="179">
        <f>IF(A2419="RAPPI",(VLOOKUP(TRIM(D2419), CATALOGO!F:G, 2, FALSE) * C2419)+I2419,IFERROR(IF(COUNTIF('RESTAURANTESDESCUENTOS 2026'!A:A,TRIM(A2419))&gt;0,((VLOOKUP(TRIM(D2419), CATALOGO!A:B, 2, FALSE) * C2419)*(1-VALUE(SUBSTITUTE(VLOOKUP(TRIM(A2419),'RESTAURANTESDESCUENTOS 2026'!A:B,2,FALSE),"%",""))/100)+I2419),(VLOOKUP(TRIM(D2419), CATALOGO!A:B, 2, FALSE) * C2419+I2419)),""))</f>
        <v>127000</v>
      </c>
      <c r="K2419" s="196">
        <v>13000.0</v>
      </c>
      <c r="L2419" s="87">
        <v>1036.0</v>
      </c>
      <c r="M2419" s="194" t="s">
        <v>587</v>
      </c>
      <c r="N2419" s="168"/>
    </row>
    <row r="2420" ht="22.5" hidden="1" customHeight="1">
      <c r="A2420" s="137" t="s">
        <v>86</v>
      </c>
      <c r="B2420" s="90">
        <v>46129.0</v>
      </c>
      <c r="C2420" s="55">
        <v>1.0</v>
      </c>
      <c r="D2420" s="97" t="s">
        <v>177</v>
      </c>
      <c r="E2420" s="10" t="s">
        <v>747</v>
      </c>
      <c r="F2420" s="202"/>
      <c r="G2420" s="194" t="s">
        <v>587</v>
      </c>
      <c r="H2420" s="195" t="s">
        <v>632</v>
      </c>
      <c r="I2420" s="196"/>
      <c r="J2420" s="179">
        <f>IF(A2420="RAPPI",(VLOOKUP(TRIM(D2420), CATALOGO!F:G, 2, FALSE) * C2420)+I2420,IFERROR(IF(COUNTIF('RESTAURANTESDESCUENTOS 2026'!A:A,TRIM(A2420))&gt;0,((VLOOKUP(TRIM(D2420), CATALOGO!A:B, 2, FALSE) * C2420)*(1-VALUE(SUBSTITUTE(VLOOKUP(TRIM(A2420),'RESTAURANTESDESCUENTOS 2026'!A:B,2,FALSE),"%",""))/100)+I2420),(VLOOKUP(TRIM(D2420), CATALOGO!A:B, 2, FALSE) * C2420+I2420)),""))</f>
        <v>86250</v>
      </c>
      <c r="K2420" s="196">
        <v>15000.0</v>
      </c>
      <c r="L2420" s="87">
        <v>1029.0</v>
      </c>
      <c r="M2420" s="194" t="s">
        <v>587</v>
      </c>
      <c r="N2420" s="168"/>
    </row>
    <row r="2421" ht="22.5" hidden="1" customHeight="1">
      <c r="A2421" s="137" t="s">
        <v>1398</v>
      </c>
      <c r="B2421" s="90">
        <v>46129.0</v>
      </c>
      <c r="C2421" s="55">
        <v>1.0</v>
      </c>
      <c r="D2421" s="97" t="s">
        <v>178</v>
      </c>
      <c r="E2421" s="10" t="s">
        <v>1399</v>
      </c>
      <c r="F2421" s="236" t="s">
        <v>864</v>
      </c>
      <c r="G2421" s="194" t="s">
        <v>587</v>
      </c>
      <c r="H2421" s="195" t="s">
        <v>632</v>
      </c>
      <c r="I2421" s="196">
        <v>10000.0</v>
      </c>
      <c r="J2421" s="179">
        <f>IF(A2421="RAPPI",(VLOOKUP(TRIM(D2421), CATALOGO!F:G, 2, FALSE) * C2421)+I2421,IFERROR(IF(COUNTIF('RESTAURANTESDESCUENTOS 2026'!A:A,TRIM(A2421))&gt;0,((VLOOKUP(TRIM(D2421), CATALOGO!A:B, 2, FALSE) * C2421)*(1-VALUE(SUBSTITUTE(VLOOKUP(TRIM(A2421),'RESTAURANTESDESCUENTOS 2026'!A:B,2,FALSE),"%",""))/100)+I2421),(VLOOKUP(TRIM(D2421), CATALOGO!A:B, 2, FALSE) * C2421+I2421)),""))</f>
        <v>160000</v>
      </c>
      <c r="K2421" s="196">
        <v>10000.0</v>
      </c>
      <c r="L2421" s="87">
        <v>1032.0</v>
      </c>
      <c r="M2421" s="194" t="s">
        <v>587</v>
      </c>
      <c r="N2421" s="168"/>
    </row>
    <row r="2422" ht="22.5" hidden="1" customHeight="1">
      <c r="A2422" s="137" t="s">
        <v>1400</v>
      </c>
      <c r="B2422" s="90">
        <v>46129.0</v>
      </c>
      <c r="C2422" s="55">
        <v>1.0</v>
      </c>
      <c r="D2422" s="97" t="s">
        <v>617</v>
      </c>
      <c r="E2422" s="10"/>
      <c r="F2422" s="236" t="s">
        <v>1035</v>
      </c>
      <c r="G2422" s="194" t="s">
        <v>587</v>
      </c>
      <c r="H2422" s="195" t="s">
        <v>632</v>
      </c>
      <c r="I2422" s="196">
        <v>14000.0</v>
      </c>
      <c r="J2422" s="179">
        <f>IF(A2422="RAPPI",(VLOOKUP(TRIM(D2422), CATALOGO!F:G, 2, FALSE) * C2422)+I2422,IFERROR(IF(COUNTIF('RESTAURANTESDESCUENTOS 2026'!A:A,TRIM(A2422))&gt;0,((VLOOKUP(TRIM(D2422), CATALOGO!A:B, 2, FALSE) * C2422)*(1-VALUE(SUBSTITUTE(VLOOKUP(TRIM(A2422),'RESTAURANTESDESCUENTOS 2026'!A:B,2,FALSE),"%",""))/100)+I2422),(VLOOKUP(TRIM(D2422), CATALOGO!A:B, 2, FALSE) * C2422+I2422)),""))</f>
        <v>137000</v>
      </c>
      <c r="K2422" s="196">
        <v>14000.0</v>
      </c>
      <c r="L2422" s="87">
        <v>1037.0</v>
      </c>
      <c r="M2422" s="194" t="s">
        <v>587</v>
      </c>
      <c r="N2422" s="168"/>
    </row>
    <row r="2423" ht="22.5" hidden="1" customHeight="1">
      <c r="A2423" s="137" t="s">
        <v>1400</v>
      </c>
      <c r="B2423" s="90">
        <v>46129.0</v>
      </c>
      <c r="C2423" s="55">
        <v>1.0</v>
      </c>
      <c r="D2423" s="97" t="s">
        <v>186</v>
      </c>
      <c r="E2423" s="10"/>
      <c r="F2423" s="236" t="s">
        <v>1035</v>
      </c>
      <c r="G2423" s="194" t="s">
        <v>587</v>
      </c>
      <c r="H2423" s="195" t="s">
        <v>632</v>
      </c>
      <c r="I2423" s="196">
        <v>0.0</v>
      </c>
      <c r="J2423" s="179">
        <f>IF(A2423="RAPPI",(VLOOKUP(TRIM(D2423), CATALOGO!F:G, 2, FALSE) * C2423)+I2423,IFERROR(IF(COUNTIF('RESTAURANTESDESCUENTOS 2026'!A:A,TRIM(A2423))&gt;0,((VLOOKUP(TRIM(D2423), CATALOGO!A:B, 2, FALSE) * C2423)*(1-VALUE(SUBSTITUTE(VLOOKUP(TRIM(A2423),'RESTAURANTESDESCUENTOS 2026'!A:B,2,FALSE),"%",""))/100)+I2423),(VLOOKUP(TRIM(D2423), CATALOGO!A:B, 2, FALSE) * C2423+I2423)),""))</f>
        <v>55000</v>
      </c>
      <c r="K2423" s="196">
        <v>0.0</v>
      </c>
      <c r="L2423" s="87">
        <v>1037.0</v>
      </c>
      <c r="M2423" s="194" t="s">
        <v>587</v>
      </c>
      <c r="N2423" s="168"/>
    </row>
    <row r="2424" ht="22.5" hidden="1" customHeight="1">
      <c r="A2424" s="137" t="s">
        <v>55</v>
      </c>
      <c r="B2424" s="90">
        <v>46129.0</v>
      </c>
      <c r="C2424" s="55">
        <v>2.0</v>
      </c>
      <c r="D2424" s="97" t="s">
        <v>178</v>
      </c>
      <c r="E2424" s="10" t="s">
        <v>1268</v>
      </c>
      <c r="F2424" s="202"/>
      <c r="G2424" s="194" t="s">
        <v>587</v>
      </c>
      <c r="H2424" s="195" t="s">
        <v>632</v>
      </c>
      <c r="I2424" s="196">
        <v>10000.0</v>
      </c>
      <c r="J2424" s="179">
        <f>IF(A2424="RAPPI",(VLOOKUP(TRIM(D2424), CATALOGO!F:G, 2, FALSE) * C2424)+I2424,IFERROR(IF(COUNTIF('RESTAURANTESDESCUENTOS 2026'!A:A,TRIM(A2424))&gt;0,((VLOOKUP(TRIM(D2424), CATALOGO!A:B, 2, FALSE) * C2424)*(1-VALUE(SUBSTITUTE(VLOOKUP(TRIM(A2424),'RESTAURANTESDESCUENTOS 2026'!A:B,2,FALSE),"%",""))/100)+I2424),(VLOOKUP(TRIM(D2424), CATALOGO!A:B, 2, FALSE) * C2424+I2424)),""))</f>
        <v>235000</v>
      </c>
      <c r="K2424" s="196">
        <v>10000.0</v>
      </c>
      <c r="L2424" s="87">
        <v>1030.0</v>
      </c>
      <c r="M2424" s="194" t="s">
        <v>587</v>
      </c>
      <c r="N2424" s="168"/>
    </row>
    <row r="2425" ht="22.5" hidden="1" customHeight="1">
      <c r="A2425" s="137" t="s">
        <v>10</v>
      </c>
      <c r="B2425" s="90">
        <v>46129.0</v>
      </c>
      <c r="C2425" s="55">
        <v>1.0</v>
      </c>
      <c r="D2425" s="97" t="s">
        <v>178</v>
      </c>
      <c r="E2425" s="10" t="s">
        <v>747</v>
      </c>
      <c r="F2425" s="202"/>
      <c r="G2425" s="194" t="s">
        <v>587</v>
      </c>
      <c r="H2425" s="195" t="s">
        <v>632</v>
      </c>
      <c r="I2425" s="196">
        <v>10000.0</v>
      </c>
      <c r="J2425" s="179">
        <f>IF(A2425="RAPPI",(VLOOKUP(TRIM(D2425), CATALOGO!F:G, 2, FALSE) * C2425)+I2425,IFERROR(IF(COUNTIF('RESTAURANTESDESCUENTOS 2026'!A:A,TRIM(A2425))&gt;0,((VLOOKUP(TRIM(D2425), CATALOGO!A:B, 2, FALSE) * C2425)*(1-VALUE(SUBSTITUTE(VLOOKUP(TRIM(A2425),'RESTAURANTESDESCUENTOS 2026'!A:B,2,FALSE),"%",""))/100)+I2425),(VLOOKUP(TRIM(D2425), CATALOGO!A:B, 2, FALSE) * C2425+I2425)),""))</f>
        <v>122500</v>
      </c>
      <c r="K2425" s="196">
        <v>10000.0</v>
      </c>
      <c r="L2425" s="87">
        <v>1031.0</v>
      </c>
      <c r="M2425" s="194" t="s">
        <v>587</v>
      </c>
      <c r="N2425" s="168"/>
    </row>
    <row r="2426" ht="22.5" hidden="1" customHeight="1">
      <c r="A2426" s="137" t="s">
        <v>1401</v>
      </c>
      <c r="B2426" s="90">
        <v>46129.0</v>
      </c>
      <c r="C2426" s="55">
        <v>1.0</v>
      </c>
      <c r="D2426" s="97" t="s">
        <v>678</v>
      </c>
      <c r="E2426" s="10" t="s">
        <v>1402</v>
      </c>
      <c r="F2426" s="236" t="s">
        <v>1035</v>
      </c>
      <c r="G2426" s="194" t="s">
        <v>587</v>
      </c>
      <c r="H2426" s="195" t="s">
        <v>632</v>
      </c>
      <c r="I2426" s="196">
        <v>10000.0</v>
      </c>
      <c r="J2426" s="179">
        <f>IF(A2426="RAPPI",(VLOOKUP(TRIM(D2426), CATALOGO!F:G, 2, FALSE) * C2426)+I2426,IFERROR(IF(COUNTIF('RESTAURANTESDESCUENTOS 2026'!A:A,TRIM(A2426))&gt;0,((VLOOKUP(TRIM(D2426), CATALOGO!A:B, 2, FALSE) * C2426)*(1-VALUE(SUBSTITUTE(VLOOKUP(TRIM(A2426),'RESTAURANTESDESCUENTOS 2026'!A:B,2,FALSE),"%",""))/100)+I2426),(VLOOKUP(TRIM(D2426), CATALOGO!A:B, 2, FALSE) * C2426+I2426)),""))</f>
        <v>133000</v>
      </c>
      <c r="K2426" s="196">
        <v>10000.0</v>
      </c>
      <c r="L2426" s="87">
        <v>1038.0</v>
      </c>
      <c r="M2426" s="194" t="s">
        <v>587</v>
      </c>
      <c r="N2426" s="168"/>
    </row>
    <row r="2427" ht="22.5" hidden="1" customHeight="1">
      <c r="A2427" s="137" t="s">
        <v>1403</v>
      </c>
      <c r="B2427" s="90">
        <v>46129.0</v>
      </c>
      <c r="C2427" s="55">
        <v>1.0</v>
      </c>
      <c r="D2427" s="97" t="s">
        <v>176</v>
      </c>
      <c r="E2427" s="10"/>
      <c r="F2427" s="236" t="s">
        <v>1035</v>
      </c>
      <c r="G2427" s="194" t="s">
        <v>587</v>
      </c>
      <c r="H2427" s="195" t="s">
        <v>588</v>
      </c>
      <c r="I2427" s="196">
        <v>14000.0</v>
      </c>
      <c r="J2427" s="179">
        <f>IF(A2427="RAPPI",(VLOOKUP(TRIM(D2427), CATALOGO!F:G, 2, FALSE) * C2427)+I2427,IFERROR(IF(COUNTIF('RESTAURANTESDESCUENTOS 2026'!A:A,TRIM(A2427))&gt;0,((VLOOKUP(TRIM(D2427), CATALOGO!A:B, 2, FALSE) * C2427)*(1-VALUE(SUBSTITUTE(VLOOKUP(TRIM(A2427),'RESTAURANTESDESCUENTOS 2026'!A:B,2,FALSE),"%",""))/100)+I2427),(VLOOKUP(TRIM(D2427), CATALOGO!A:B, 2, FALSE) * C2427+I2427)),""))</f>
        <v>64000</v>
      </c>
      <c r="K2427" s="196">
        <v>16700.0</v>
      </c>
      <c r="L2427" s="87">
        <v>1039.0</v>
      </c>
      <c r="M2427" s="194" t="s">
        <v>587</v>
      </c>
      <c r="N2427" s="168"/>
    </row>
    <row r="2428" ht="22.5" hidden="1" customHeight="1">
      <c r="A2428" s="137" t="s">
        <v>1404</v>
      </c>
      <c r="B2428" s="90">
        <v>46129.0</v>
      </c>
      <c r="C2428" s="55">
        <v>1.0</v>
      </c>
      <c r="D2428" s="97" t="s">
        <v>189</v>
      </c>
      <c r="E2428" s="10"/>
      <c r="F2428" s="236" t="s">
        <v>1035</v>
      </c>
      <c r="G2428" s="194" t="s">
        <v>587</v>
      </c>
      <c r="H2428" s="195" t="s">
        <v>588</v>
      </c>
      <c r="I2428" s="196">
        <v>10000.0</v>
      </c>
      <c r="J2428" s="179">
        <f>IF(A2428="RAPPI",(VLOOKUP(TRIM(D2428), CATALOGO!F:G, 2, FALSE) * C2428)+I2428,IFERROR(IF(COUNTIF('RESTAURANTESDESCUENTOS 2026'!A:A,TRIM(A2428))&gt;0,((VLOOKUP(TRIM(D2428), CATALOGO!A:B, 2, FALSE) * C2428)*(1-VALUE(SUBSTITUTE(VLOOKUP(TRIM(A2428),'RESTAURANTESDESCUENTOS 2026'!A:B,2,FALSE),"%",""))/100)+I2428),(VLOOKUP(TRIM(D2428), CATALOGO!A:B, 2, FALSE) * C2428+I2428)),""))</f>
        <v>155000</v>
      </c>
      <c r="K2428" s="196">
        <v>12300.0</v>
      </c>
      <c r="L2428" s="87">
        <v>1040.0</v>
      </c>
      <c r="M2428" s="194" t="s">
        <v>587</v>
      </c>
      <c r="N2428" s="168"/>
    </row>
    <row r="2429" ht="22.5" hidden="1" customHeight="1">
      <c r="A2429" s="137" t="s">
        <v>1405</v>
      </c>
      <c r="B2429" s="90">
        <v>46129.0</v>
      </c>
      <c r="C2429" s="55">
        <v>1.0</v>
      </c>
      <c r="D2429" s="97" t="s">
        <v>176</v>
      </c>
      <c r="E2429" s="10"/>
      <c r="F2429" s="236" t="s">
        <v>1035</v>
      </c>
      <c r="G2429" s="194" t="s">
        <v>587</v>
      </c>
      <c r="H2429" s="195" t="s">
        <v>588</v>
      </c>
      <c r="I2429" s="196">
        <v>12000.0</v>
      </c>
      <c r="J2429" s="179">
        <f>IF(A2429="RAPPI",(VLOOKUP(TRIM(D2429), CATALOGO!F:G, 2, FALSE) * C2429)+I2429,IFERROR(IF(COUNTIF('RESTAURANTESDESCUENTOS 2026'!A:A,TRIM(A2429))&gt;0,((VLOOKUP(TRIM(D2429), CATALOGO!A:B, 2, FALSE) * C2429)*(1-VALUE(SUBSTITUTE(VLOOKUP(TRIM(A2429),'RESTAURANTESDESCUENTOS 2026'!A:B,2,FALSE),"%",""))/100)+I2429),(VLOOKUP(TRIM(D2429), CATALOGO!A:B, 2, FALSE) * C2429+I2429)),""))</f>
        <v>62000</v>
      </c>
      <c r="K2429" s="196">
        <v>16900.0</v>
      </c>
      <c r="L2429" s="87">
        <v>1041.0</v>
      </c>
      <c r="M2429" s="194" t="s">
        <v>587</v>
      </c>
      <c r="N2429" s="168"/>
    </row>
    <row r="2430" ht="22.5" hidden="1" customHeight="1">
      <c r="A2430" s="137" t="s">
        <v>1406</v>
      </c>
      <c r="B2430" s="90">
        <v>46129.0</v>
      </c>
      <c r="C2430" s="55">
        <v>1.0</v>
      </c>
      <c r="D2430" s="97" t="s">
        <v>678</v>
      </c>
      <c r="E2430" s="10"/>
      <c r="F2430" s="236" t="s">
        <v>1035</v>
      </c>
      <c r="G2430" s="194" t="s">
        <v>587</v>
      </c>
      <c r="H2430" s="195" t="s">
        <v>588</v>
      </c>
      <c r="I2430" s="196">
        <v>12000.0</v>
      </c>
      <c r="J2430" s="179">
        <f>IF(A2430="RAPPI",(VLOOKUP(TRIM(D2430), CATALOGO!F:G, 2, FALSE) * C2430)+I2430,IFERROR(IF(COUNTIF('RESTAURANTESDESCUENTOS 2026'!A:A,TRIM(A2430))&gt;0,((VLOOKUP(TRIM(D2430), CATALOGO!A:B, 2, FALSE) * C2430)*(1-VALUE(SUBSTITUTE(VLOOKUP(TRIM(A2430),'RESTAURANTESDESCUENTOS 2026'!A:B,2,FALSE),"%",""))/100)+I2430),(VLOOKUP(TRIM(D2430), CATALOGO!A:B, 2, FALSE) * C2430+I2430)),""))</f>
        <v>135000</v>
      </c>
      <c r="K2430" s="196">
        <v>15300.0</v>
      </c>
      <c r="L2430" s="87">
        <v>1042.0</v>
      </c>
      <c r="M2430" s="194" t="s">
        <v>587</v>
      </c>
      <c r="N2430" s="168"/>
    </row>
    <row r="2431" ht="22.5" hidden="1" customHeight="1">
      <c r="A2431" s="137" t="s">
        <v>1126</v>
      </c>
      <c r="B2431" s="90">
        <v>46129.0</v>
      </c>
      <c r="C2431" s="55">
        <v>1.0</v>
      </c>
      <c r="D2431" s="97" t="s">
        <v>174</v>
      </c>
      <c r="E2431" s="10"/>
      <c r="F2431" s="236" t="s">
        <v>1035</v>
      </c>
      <c r="G2431" s="194" t="s">
        <v>35</v>
      </c>
      <c r="H2431" s="198"/>
      <c r="I2431" s="196"/>
      <c r="J2431" s="179">
        <f>IF(A2431="RAPPI",(VLOOKUP(TRIM(D2431), CATALOGO!F:G, 2, FALSE) * C2431)+I2431,IFERROR(IF(COUNTIF('RESTAURANTESDESCUENTOS 2026'!A:A,TRIM(A2431))&gt;0,((VLOOKUP(TRIM(D2431), CATALOGO!A:B, 2, FALSE) * C2431)*(1-VALUE(SUBSTITUTE(VLOOKUP(TRIM(A2431),'RESTAURANTESDESCUENTOS 2026'!A:B,2,FALSE),"%",""))/100)+I2431),(VLOOKUP(TRIM(D2431), CATALOGO!A:B, 2, FALSE) * C2431+I2431)),""))</f>
        <v>18000</v>
      </c>
      <c r="K2431" s="196"/>
      <c r="L2431" s="87">
        <v>1034.0</v>
      </c>
      <c r="M2431" s="194" t="s">
        <v>587</v>
      </c>
      <c r="N2431" s="168"/>
    </row>
    <row r="2432" ht="22.5" hidden="1" customHeight="1">
      <c r="A2432" s="137" t="s">
        <v>1126</v>
      </c>
      <c r="B2432" s="90">
        <v>46129.0</v>
      </c>
      <c r="C2432" s="55">
        <v>1.0</v>
      </c>
      <c r="D2432" s="97" t="s">
        <v>177</v>
      </c>
      <c r="E2432" s="10"/>
      <c r="F2432" s="236" t="s">
        <v>1036</v>
      </c>
      <c r="G2432" s="194" t="s">
        <v>35</v>
      </c>
      <c r="H2432" s="198"/>
      <c r="I2432" s="196"/>
      <c r="J2432" s="179">
        <f>IF(A2432="RAPPI",(VLOOKUP(TRIM(D2432), CATALOGO!F:G, 2, FALSE) * C2432)+I2432,IFERROR(IF(COUNTIF('RESTAURANTESDESCUENTOS 2026'!A:A,TRIM(A2432))&gt;0,((VLOOKUP(TRIM(D2432), CATALOGO!A:B, 2, FALSE) * C2432)*(1-VALUE(SUBSTITUTE(VLOOKUP(TRIM(A2432),'RESTAURANTESDESCUENTOS 2026'!A:B,2,FALSE),"%",""))/100)+I2432),(VLOOKUP(TRIM(D2432), CATALOGO!A:B, 2, FALSE) * C2432+I2432)),""))</f>
        <v>115000</v>
      </c>
      <c r="K2432" s="196"/>
      <c r="L2432" s="87">
        <v>1034.0</v>
      </c>
      <c r="M2432" s="194" t="s">
        <v>587</v>
      </c>
      <c r="N2432" s="168"/>
    </row>
    <row r="2433" ht="22.5" hidden="1" customHeight="1">
      <c r="A2433" s="137" t="s">
        <v>1126</v>
      </c>
      <c r="B2433" s="90">
        <v>46129.0</v>
      </c>
      <c r="C2433" s="55">
        <v>1.0</v>
      </c>
      <c r="D2433" s="97" t="s">
        <v>176</v>
      </c>
      <c r="E2433" s="10"/>
      <c r="F2433" s="236" t="s">
        <v>1036</v>
      </c>
      <c r="G2433" s="194" t="s">
        <v>35</v>
      </c>
      <c r="H2433" s="198"/>
      <c r="I2433" s="196"/>
      <c r="J2433" s="179">
        <f>IF(A2433="RAPPI",(VLOOKUP(TRIM(D2433), CATALOGO!F:G, 2, FALSE) * C2433)+I2433,IFERROR(IF(COUNTIF('RESTAURANTESDESCUENTOS 2026'!A:A,TRIM(A2433))&gt;0,((VLOOKUP(TRIM(D2433), CATALOGO!A:B, 2, FALSE) * C2433)*(1-VALUE(SUBSTITUTE(VLOOKUP(TRIM(A2433),'RESTAURANTESDESCUENTOS 2026'!A:B,2,FALSE),"%",""))/100)+I2433),(VLOOKUP(TRIM(D2433), CATALOGO!A:B, 2, FALSE) * C2433+I2433)),""))</f>
        <v>50000</v>
      </c>
      <c r="K2433" s="196"/>
      <c r="L2433" s="87">
        <v>1034.0</v>
      </c>
      <c r="M2433" s="194" t="s">
        <v>587</v>
      </c>
      <c r="N2433" s="168"/>
    </row>
    <row r="2434" ht="22.5" hidden="1" customHeight="1">
      <c r="A2434" s="137" t="s">
        <v>1126</v>
      </c>
      <c r="B2434" s="90">
        <v>46129.0</v>
      </c>
      <c r="C2434" s="55">
        <v>2.0</v>
      </c>
      <c r="D2434" s="97" t="s">
        <v>174</v>
      </c>
      <c r="E2434" s="10"/>
      <c r="F2434" s="236" t="s">
        <v>1036</v>
      </c>
      <c r="G2434" s="194" t="s">
        <v>35</v>
      </c>
      <c r="H2434" s="198"/>
      <c r="I2434" s="196"/>
      <c r="J2434" s="179">
        <f>IF(A2434="RAPPI",(VLOOKUP(TRIM(D2434), CATALOGO!F:G, 2, FALSE) * C2434)+I2434,IFERROR(IF(COUNTIF('RESTAURANTESDESCUENTOS 2026'!A:A,TRIM(A2434))&gt;0,((VLOOKUP(TRIM(D2434), CATALOGO!A:B, 2, FALSE) * C2434)*(1-VALUE(SUBSTITUTE(VLOOKUP(TRIM(A2434),'RESTAURANTESDESCUENTOS 2026'!A:B,2,FALSE),"%",""))/100)+I2434),(VLOOKUP(TRIM(D2434), CATALOGO!A:B, 2, FALSE) * C2434+I2434)),""))</f>
        <v>36000</v>
      </c>
      <c r="K2434" s="196"/>
      <c r="L2434" s="87">
        <v>1034.0</v>
      </c>
      <c r="M2434" s="194" t="s">
        <v>587</v>
      </c>
      <c r="N2434" s="168"/>
    </row>
    <row r="2435" ht="22.5" hidden="1" customHeight="1">
      <c r="A2435" s="137" t="s">
        <v>603</v>
      </c>
      <c r="B2435" s="90">
        <v>46129.0</v>
      </c>
      <c r="C2435" s="55">
        <v>1.0</v>
      </c>
      <c r="D2435" s="97" t="s">
        <v>206</v>
      </c>
      <c r="E2435" s="248"/>
      <c r="F2435" s="236" t="s">
        <v>603</v>
      </c>
      <c r="G2435" s="194" t="s">
        <v>587</v>
      </c>
      <c r="H2435" s="195" t="s">
        <v>603</v>
      </c>
      <c r="I2435" s="196"/>
      <c r="J2435" s="199">
        <v>22000.0</v>
      </c>
      <c r="K2435" s="196"/>
      <c r="L2435" s="87">
        <v>1033.0</v>
      </c>
      <c r="M2435" s="194" t="s">
        <v>587</v>
      </c>
      <c r="N2435" s="168"/>
    </row>
    <row r="2436" ht="22.5" hidden="1" customHeight="1">
      <c r="A2436" s="137" t="s">
        <v>603</v>
      </c>
      <c r="B2436" s="90">
        <v>46129.0</v>
      </c>
      <c r="C2436" s="55">
        <v>1.0</v>
      </c>
      <c r="D2436" s="97" t="s">
        <v>209</v>
      </c>
      <c r="E2436" s="248"/>
      <c r="F2436" s="236" t="s">
        <v>603</v>
      </c>
      <c r="G2436" s="194" t="s">
        <v>587</v>
      </c>
      <c r="H2436" s="195" t="s">
        <v>603</v>
      </c>
      <c r="I2436" s="196"/>
      <c r="J2436" s="199">
        <v>22000.0</v>
      </c>
      <c r="K2436" s="196"/>
      <c r="L2436" s="87">
        <v>1033.0</v>
      </c>
      <c r="M2436" s="194" t="s">
        <v>587</v>
      </c>
      <c r="N2436" s="168"/>
    </row>
    <row r="2437" ht="22.5" hidden="1" customHeight="1">
      <c r="A2437" s="137" t="s">
        <v>603</v>
      </c>
      <c r="B2437" s="90">
        <v>46129.0</v>
      </c>
      <c r="C2437" s="55">
        <v>1.0</v>
      </c>
      <c r="D2437" s="97" t="s">
        <v>174</v>
      </c>
      <c r="E2437" s="248"/>
      <c r="F2437" s="236" t="s">
        <v>603</v>
      </c>
      <c r="G2437" s="194" t="s">
        <v>587</v>
      </c>
      <c r="H2437" s="195" t="s">
        <v>603</v>
      </c>
      <c r="I2437" s="196"/>
      <c r="J2437" s="179">
        <f>IF(A2437="RAPPI",(VLOOKUP(TRIM(D2437), CATALOGO!F:G, 2, FALSE) * C2437)+I2437,IFERROR(IF(COUNTIF('RESTAURANTESDESCUENTOS 2026'!A:A,TRIM(A2437))&gt;0,((VLOOKUP(TRIM(D2437), CATALOGO!A:B, 2, FALSE) * C2437)*(1-VALUE(SUBSTITUTE(VLOOKUP(TRIM(A2437),'RESTAURANTESDESCUENTOS 2026'!A:B,2,FALSE),"%",""))/100)+I2437),(VLOOKUP(TRIM(D2437), CATALOGO!A:B, 2, FALSE) * C2437+I2437)),""))</f>
        <v>18000</v>
      </c>
      <c r="K2437" s="196"/>
      <c r="L2437" s="87">
        <v>1033.0</v>
      </c>
      <c r="M2437" s="194" t="s">
        <v>587</v>
      </c>
      <c r="N2437" s="168"/>
    </row>
    <row r="2438" ht="22.5" hidden="1" customHeight="1">
      <c r="A2438" s="137" t="s">
        <v>603</v>
      </c>
      <c r="B2438" s="90">
        <v>46129.0</v>
      </c>
      <c r="C2438" s="55">
        <v>1.0</v>
      </c>
      <c r="D2438" s="97" t="s">
        <v>640</v>
      </c>
      <c r="E2438" s="248"/>
      <c r="F2438" s="236" t="s">
        <v>603</v>
      </c>
      <c r="G2438" s="194" t="s">
        <v>587</v>
      </c>
      <c r="H2438" s="195" t="s">
        <v>603</v>
      </c>
      <c r="I2438" s="196"/>
      <c r="J2438" s="179">
        <f>IF(A2438="RAPPI",(VLOOKUP(TRIM(D2438), CATALOGO!F:G, 2, FALSE) * C2438)+I2438,IFERROR(IF(COUNTIF('RESTAURANTESDESCUENTOS 2026'!A:A,TRIM(A2438))&gt;0,((VLOOKUP(TRIM(D2438), CATALOGO!A:B, 2, FALSE) * C2438)*(1-VALUE(SUBSTITUTE(VLOOKUP(TRIM(A2438),'RESTAURANTESDESCUENTOS 2026'!A:B,2,FALSE),"%",""))/100)+I2438),(VLOOKUP(TRIM(D2438), CATALOGO!A:B, 2, FALSE) * C2438+I2438)),""))</f>
        <v>53000</v>
      </c>
      <c r="K2438" s="196"/>
      <c r="L2438" s="87">
        <v>1033.0</v>
      </c>
      <c r="M2438" s="194" t="s">
        <v>587</v>
      </c>
      <c r="N2438" s="168"/>
    </row>
    <row r="2439" ht="22.5" hidden="1" customHeight="1">
      <c r="A2439" s="137" t="s">
        <v>603</v>
      </c>
      <c r="B2439" s="90">
        <v>46129.0</v>
      </c>
      <c r="C2439" s="55">
        <v>1.0</v>
      </c>
      <c r="D2439" s="97" t="s">
        <v>208</v>
      </c>
      <c r="E2439" s="248"/>
      <c r="F2439" s="236" t="s">
        <v>603</v>
      </c>
      <c r="G2439" s="194" t="s">
        <v>587</v>
      </c>
      <c r="H2439" s="195" t="s">
        <v>603</v>
      </c>
      <c r="I2439" s="196"/>
      <c r="J2439" s="199">
        <v>22000.0</v>
      </c>
      <c r="K2439" s="196"/>
      <c r="L2439" s="87">
        <v>1033.0</v>
      </c>
      <c r="M2439" s="194" t="s">
        <v>587</v>
      </c>
      <c r="N2439" s="168"/>
    </row>
    <row r="2440" ht="22.5" hidden="1" customHeight="1">
      <c r="A2440" s="137" t="s">
        <v>603</v>
      </c>
      <c r="B2440" s="90">
        <v>46129.0</v>
      </c>
      <c r="C2440" s="55">
        <v>1.0</v>
      </c>
      <c r="D2440" s="97" t="s">
        <v>207</v>
      </c>
      <c r="E2440" s="248"/>
      <c r="F2440" s="236" t="s">
        <v>603</v>
      </c>
      <c r="G2440" s="194" t="s">
        <v>587</v>
      </c>
      <c r="H2440" s="195" t="s">
        <v>603</v>
      </c>
      <c r="I2440" s="196"/>
      <c r="J2440" s="199">
        <v>22000.0</v>
      </c>
      <c r="K2440" s="196"/>
      <c r="L2440" s="87">
        <v>1033.0</v>
      </c>
      <c r="M2440" s="194" t="s">
        <v>587</v>
      </c>
      <c r="N2440" s="168"/>
    </row>
    <row r="2441" ht="22.5" hidden="1" customHeight="1">
      <c r="A2441" s="137" t="s">
        <v>603</v>
      </c>
      <c r="B2441" s="90">
        <v>46129.0</v>
      </c>
      <c r="C2441" s="55">
        <v>1.0</v>
      </c>
      <c r="D2441" s="97" t="s">
        <v>208</v>
      </c>
      <c r="E2441" s="248"/>
      <c r="F2441" s="236" t="s">
        <v>603</v>
      </c>
      <c r="G2441" s="194" t="s">
        <v>587</v>
      </c>
      <c r="H2441" s="195" t="s">
        <v>603</v>
      </c>
      <c r="I2441" s="196"/>
      <c r="J2441" s="199">
        <v>22000.0</v>
      </c>
      <c r="K2441" s="196"/>
      <c r="L2441" s="87">
        <v>1033.0</v>
      </c>
      <c r="M2441" s="194" t="s">
        <v>587</v>
      </c>
      <c r="N2441" s="168"/>
    </row>
    <row r="2442" ht="22.5" hidden="1" customHeight="1">
      <c r="A2442" s="137" t="s">
        <v>603</v>
      </c>
      <c r="B2442" s="90">
        <v>46129.0</v>
      </c>
      <c r="C2442" s="55">
        <v>1.0</v>
      </c>
      <c r="D2442" s="97" t="s">
        <v>209</v>
      </c>
      <c r="E2442" s="248"/>
      <c r="F2442" s="236" t="s">
        <v>603</v>
      </c>
      <c r="G2442" s="194" t="s">
        <v>587</v>
      </c>
      <c r="H2442" s="195" t="s">
        <v>603</v>
      </c>
      <c r="I2442" s="196"/>
      <c r="J2442" s="199">
        <v>22000.0</v>
      </c>
      <c r="K2442" s="196"/>
      <c r="L2442" s="87">
        <v>1033.0</v>
      </c>
      <c r="M2442" s="194" t="s">
        <v>587</v>
      </c>
      <c r="N2442" s="168"/>
    </row>
    <row r="2443" ht="22.5" hidden="1" customHeight="1">
      <c r="A2443" s="137" t="s">
        <v>603</v>
      </c>
      <c r="B2443" s="90">
        <v>46129.0</v>
      </c>
      <c r="C2443" s="55">
        <v>1.0</v>
      </c>
      <c r="D2443" s="97" t="s">
        <v>187</v>
      </c>
      <c r="E2443" s="248"/>
      <c r="F2443" s="236" t="s">
        <v>603</v>
      </c>
      <c r="G2443" s="194" t="s">
        <v>587</v>
      </c>
      <c r="H2443" s="195" t="s">
        <v>603</v>
      </c>
      <c r="I2443" s="196"/>
      <c r="J2443" s="179">
        <f>IF(A2443="RAPPI",(VLOOKUP(TRIM(D2443), CATALOGO!F:G, 2, FALSE) * C2443)+I2443,IFERROR(IF(COUNTIF('RESTAURANTESDESCUENTOS 2026'!A:A,TRIM(A2443))&gt;0,((VLOOKUP(TRIM(D2443), CATALOGO!A:B, 2, FALSE) * C2443)*(1-VALUE(SUBSTITUTE(VLOOKUP(TRIM(A2443),'RESTAURANTESDESCUENTOS 2026'!A:B,2,FALSE),"%",""))/100)+I2443),(VLOOKUP(TRIM(D2443), CATALOGO!A:B, 2, FALSE) * C2443+I2443)),""))</f>
        <v>55000</v>
      </c>
      <c r="K2443" s="196"/>
      <c r="L2443" s="87">
        <v>1033.0</v>
      </c>
      <c r="M2443" s="194" t="s">
        <v>587</v>
      </c>
      <c r="N2443" s="168"/>
    </row>
    <row r="2444" ht="22.5" customHeight="1">
      <c r="A2444" s="137" t="s">
        <v>1407</v>
      </c>
      <c r="B2444" s="90">
        <v>46130.0</v>
      </c>
      <c r="C2444" s="55">
        <v>1.0</v>
      </c>
      <c r="D2444" s="97" t="s">
        <v>177</v>
      </c>
      <c r="E2444" s="248" t="s">
        <v>1408</v>
      </c>
      <c r="F2444" s="236" t="s">
        <v>1035</v>
      </c>
      <c r="G2444" s="194" t="s">
        <v>587</v>
      </c>
      <c r="H2444" s="195" t="s">
        <v>632</v>
      </c>
      <c r="I2444" s="196">
        <v>10000.0</v>
      </c>
      <c r="J2444" s="179">
        <f>IF(A2444="RAPPI",(VLOOKUP(TRIM(D2444), CATALOGO!F:G, 2, FALSE) * C2444)+I2444,IFERROR(IF(COUNTIF('RESTAURANTESDESCUENTOS 2026'!A:A,TRIM(A2444))&gt;0,((VLOOKUP(TRIM(D2444), CATALOGO!A:B, 2, FALSE) * C2444)*(1-VALUE(SUBSTITUTE(VLOOKUP(TRIM(A2444),'RESTAURANTESDESCUENTOS 2026'!A:B,2,FALSE),"%",""))/100)+I2444),(VLOOKUP(TRIM(D2444), CATALOGO!A:B, 2, FALSE) * C2444+I2444)),""))</f>
        <v>125000</v>
      </c>
      <c r="K2444" s="196"/>
      <c r="L2444" s="87"/>
      <c r="M2444" s="194" t="s">
        <v>35</v>
      </c>
      <c r="N2444" s="168"/>
    </row>
    <row r="2445" ht="22.5" customHeight="1">
      <c r="A2445" s="137" t="s">
        <v>1409</v>
      </c>
      <c r="B2445" s="90">
        <v>46130.0</v>
      </c>
      <c r="C2445" s="55">
        <v>1.0</v>
      </c>
      <c r="D2445" s="97" t="s">
        <v>178</v>
      </c>
      <c r="E2445" s="243" t="s">
        <v>1410</v>
      </c>
      <c r="F2445" s="236" t="s">
        <v>1035</v>
      </c>
      <c r="G2445" s="194" t="s">
        <v>35</v>
      </c>
      <c r="H2445" s="198"/>
      <c r="I2445" s="196"/>
      <c r="J2445" s="179">
        <f>IF(A2445="RAPPI",(VLOOKUP(TRIM(D2445), CATALOGO!F:G, 2, FALSE) * C2445)+I2445,IFERROR(IF(COUNTIF('RESTAURANTESDESCUENTOS 2026'!A:A,TRIM(A2445))&gt;0,((VLOOKUP(TRIM(D2445), CATALOGO!A:B, 2, FALSE) * C2445)*(1-VALUE(SUBSTITUTE(VLOOKUP(TRIM(A2445),'RESTAURANTESDESCUENTOS 2026'!A:B,2,FALSE),"%",""))/100)+I2445),(VLOOKUP(TRIM(D2445), CATALOGO!A:B, 2, FALSE) * C2445+I2445)),""))</f>
        <v>150000</v>
      </c>
      <c r="K2445" s="196"/>
      <c r="L2445" s="87"/>
      <c r="M2445" s="194" t="s">
        <v>35</v>
      </c>
      <c r="N2445" s="168"/>
    </row>
    <row r="2446" ht="22.5" customHeight="1">
      <c r="A2446" s="137" t="s">
        <v>1411</v>
      </c>
      <c r="B2446" s="90">
        <v>46130.0</v>
      </c>
      <c r="C2446" s="55">
        <v>1.0</v>
      </c>
      <c r="D2446" s="97" t="s">
        <v>678</v>
      </c>
      <c r="E2446" s="10" t="s">
        <v>1412</v>
      </c>
      <c r="F2446" s="236" t="s">
        <v>1035</v>
      </c>
      <c r="G2446" s="194" t="s">
        <v>587</v>
      </c>
      <c r="H2446" s="195" t="s">
        <v>632</v>
      </c>
      <c r="I2446" s="196">
        <v>12000.0</v>
      </c>
      <c r="J2446" s="179">
        <f>IF(A2446="RAPPI",(VLOOKUP(TRIM(D2446), CATALOGO!F:G, 2, FALSE) * C2446)+I2446,IFERROR(IF(COUNTIF('RESTAURANTESDESCUENTOS 2026'!A:A,TRIM(A2446))&gt;0,((VLOOKUP(TRIM(D2446), CATALOGO!A:B, 2, FALSE) * C2446)*(1-VALUE(SUBSTITUTE(VLOOKUP(TRIM(A2446),'RESTAURANTESDESCUENTOS 2026'!A:B,2,FALSE),"%",""))/100)+I2446),(VLOOKUP(TRIM(D2446), CATALOGO!A:B, 2, FALSE) * C2446+I2446)),""))</f>
        <v>135000</v>
      </c>
      <c r="K2446" s="196"/>
      <c r="L2446" s="87"/>
      <c r="M2446" s="194" t="s">
        <v>35</v>
      </c>
      <c r="N2446" s="168"/>
    </row>
    <row r="2447" ht="22.5" customHeight="1">
      <c r="A2447" s="137" t="s">
        <v>106</v>
      </c>
      <c r="B2447" s="90">
        <v>46130.0</v>
      </c>
      <c r="C2447" s="55">
        <v>1.0</v>
      </c>
      <c r="D2447" s="97" t="s">
        <v>178</v>
      </c>
      <c r="E2447" s="10" t="s">
        <v>747</v>
      </c>
      <c r="F2447" s="202"/>
      <c r="G2447" s="194" t="s">
        <v>587</v>
      </c>
      <c r="H2447" s="195" t="s">
        <v>632</v>
      </c>
      <c r="I2447" s="196">
        <v>8000.0</v>
      </c>
      <c r="J2447" s="179">
        <f>IF(A2447="RAPPI",(VLOOKUP(TRIM(D2447), CATALOGO!F:G, 2, FALSE) * C2447)+I2447,IFERROR(IF(COUNTIF('RESTAURANTESDESCUENTOS 2026'!A:A,TRIM(A2447))&gt;0,((VLOOKUP(TRIM(D2447), CATALOGO!A:B, 2, FALSE) * C2447)*(1-VALUE(SUBSTITUTE(VLOOKUP(TRIM(A2447),'RESTAURANTESDESCUENTOS 2026'!A:B,2,FALSE),"%",""))/100)+I2447),(VLOOKUP(TRIM(D2447), CATALOGO!A:B, 2, FALSE) * C2447+I2447)),""))</f>
        <v>105125</v>
      </c>
      <c r="K2447" s="196"/>
      <c r="L2447" s="87">
        <v>1044.0</v>
      </c>
      <c r="M2447" s="194" t="s">
        <v>35</v>
      </c>
      <c r="N2447" s="168"/>
    </row>
    <row r="2448" ht="22.5" customHeight="1">
      <c r="A2448" s="137" t="s">
        <v>1401</v>
      </c>
      <c r="B2448" s="90">
        <v>46130.0</v>
      </c>
      <c r="C2448" s="55">
        <v>1.0</v>
      </c>
      <c r="D2448" s="97" t="s">
        <v>177</v>
      </c>
      <c r="E2448" s="10"/>
      <c r="F2448" s="236" t="s">
        <v>1035</v>
      </c>
      <c r="G2448" s="194" t="s">
        <v>587</v>
      </c>
      <c r="H2448" s="195" t="s">
        <v>632</v>
      </c>
      <c r="I2448" s="196">
        <v>10000.0</v>
      </c>
      <c r="J2448" s="179">
        <f>IF(A2448="RAPPI",(VLOOKUP(TRIM(D2448), CATALOGO!F:G, 2, FALSE) * C2448)+I2448,IFERROR(IF(COUNTIF('RESTAURANTESDESCUENTOS 2026'!A:A,TRIM(A2448))&gt;0,((VLOOKUP(TRIM(D2448), CATALOGO!A:B, 2, FALSE) * C2448)*(1-VALUE(SUBSTITUTE(VLOOKUP(TRIM(A2448),'RESTAURANTESDESCUENTOS 2026'!A:B,2,FALSE),"%",""))/100)+I2448),(VLOOKUP(TRIM(D2448), CATALOGO!A:B, 2, FALSE) * C2448+I2448)),""))</f>
        <v>125000</v>
      </c>
      <c r="K2448" s="196"/>
      <c r="L2448" s="87"/>
      <c r="M2448" s="194" t="s">
        <v>35</v>
      </c>
      <c r="N2448" s="168"/>
    </row>
    <row r="2449" ht="22.5" customHeight="1">
      <c r="A2449" s="137" t="s">
        <v>1069</v>
      </c>
      <c r="B2449" s="90">
        <v>46130.0</v>
      </c>
      <c r="C2449" s="55">
        <v>1.0</v>
      </c>
      <c r="D2449" s="97" t="s">
        <v>601</v>
      </c>
      <c r="E2449" s="10"/>
      <c r="F2449" s="236" t="s">
        <v>1035</v>
      </c>
      <c r="G2449" s="194"/>
      <c r="H2449" s="198"/>
      <c r="I2449" s="196"/>
      <c r="J2449" s="179">
        <f>IF(A2449="RAPPI",(VLOOKUP(TRIM(D2449), CATALOGO!F:G, 2, FALSE) * C2449)+I2449,IFERROR(IF(COUNTIF('RESTAURANTESDESCUENTOS 2026'!A:A,TRIM(A2449))&gt;0,((VLOOKUP(TRIM(D2449), CATALOGO!A:B, 2, FALSE) * C2449)*(1-VALUE(SUBSTITUTE(VLOOKUP(TRIM(A2449),'RESTAURANTESDESCUENTOS 2026'!A:B,2,FALSE),"%",""))/100)+I2449),(VLOOKUP(TRIM(D2449), CATALOGO!A:B, 2, FALSE) * C2449+I2449)),""))</f>
        <v>53000</v>
      </c>
      <c r="K2449" s="196"/>
      <c r="L2449" s="87"/>
      <c r="M2449" s="194" t="s">
        <v>587</v>
      </c>
      <c r="N2449" s="168"/>
    </row>
    <row r="2450" ht="22.5" hidden="1" customHeight="1">
      <c r="A2450" s="137" t="s">
        <v>623</v>
      </c>
      <c r="B2450" s="90">
        <v>46132.0</v>
      </c>
      <c r="C2450" s="55">
        <v>1.0</v>
      </c>
      <c r="D2450" s="97" t="s">
        <v>189</v>
      </c>
      <c r="E2450" s="10"/>
      <c r="F2450" s="236" t="s">
        <v>1035</v>
      </c>
      <c r="G2450" s="194"/>
      <c r="H2450" s="195" t="s">
        <v>632</v>
      </c>
      <c r="I2450" s="196"/>
      <c r="J2450" s="179">
        <f>IF(A2450="RAPPI",(VLOOKUP(TRIM(D2450), CATALOGO!F:G, 2, FALSE) * C2450)+I2450,IFERROR(IF(COUNTIF('RESTAURANTESDESCUENTOS 2026'!A:A,TRIM(A2450))&gt;0,((VLOOKUP(TRIM(D2450), CATALOGO!A:B, 2, FALSE) * C2450)*(1-VALUE(SUBSTITUTE(VLOOKUP(TRIM(A2450),'RESTAURANTESDESCUENTOS 2026'!A:B,2,FALSE),"%",""))/100)+I2450),(VLOOKUP(TRIM(D2450), CATALOGO!A:B, 2, FALSE) * C2450+I2450)),""))</f>
        <v>145000</v>
      </c>
      <c r="K2450" s="196"/>
      <c r="L2450" s="87"/>
      <c r="M2450" s="194" t="s">
        <v>35</v>
      </c>
      <c r="N2450" s="168"/>
    </row>
    <row r="2451" ht="22.5" hidden="1" customHeight="1">
      <c r="A2451" s="137" t="s">
        <v>123</v>
      </c>
      <c r="B2451" s="90">
        <v>46132.0</v>
      </c>
      <c r="C2451" s="55">
        <v>2.0</v>
      </c>
      <c r="D2451" s="97" t="s">
        <v>124</v>
      </c>
      <c r="E2451" s="10"/>
      <c r="F2451" s="202"/>
      <c r="G2451" s="194" t="s">
        <v>587</v>
      </c>
      <c r="H2451" s="195" t="s">
        <v>632</v>
      </c>
      <c r="I2451" s="196"/>
      <c r="J2451" s="179">
        <f>IF(A2451="RAPPI",(VLOOKUP(TRIM(D2451), CATALOGO!F:G, 2, FALSE) * C2451)+I2451,IFERROR(IF(COUNTIF('RESTAURANTESDESCUENTOS 2026'!A:A,TRIM(A2451))&gt;0,((VLOOKUP(TRIM(D2451), CATALOGO!A:B, 2, FALSE) * C2451)*(1-VALUE(SUBSTITUTE(VLOOKUP(TRIM(A2451),'RESTAURANTESDESCUENTOS 2026'!A:B,2,FALSE),"%",""))/100)+I2451),(VLOOKUP(TRIM(D2451), CATALOGO!A:B, 2, FALSE) * C2451+I2451)),""))</f>
        <v>128000</v>
      </c>
      <c r="K2451" s="196"/>
      <c r="L2451" s="87"/>
      <c r="M2451" s="194" t="s">
        <v>35</v>
      </c>
      <c r="N2451" s="168"/>
    </row>
    <row r="2452" ht="22.5" hidden="1" customHeight="1">
      <c r="A2452" s="137" t="s">
        <v>123</v>
      </c>
      <c r="B2452" s="90">
        <v>46132.0</v>
      </c>
      <c r="C2452" s="55">
        <v>2.0</v>
      </c>
      <c r="D2452" s="97" t="s">
        <v>127</v>
      </c>
      <c r="E2452" s="10"/>
      <c r="F2452" s="202"/>
      <c r="G2452" s="194" t="s">
        <v>587</v>
      </c>
      <c r="H2452" s="195" t="s">
        <v>632</v>
      </c>
      <c r="I2452" s="196"/>
      <c r="J2452" s="179">
        <f>IF(A2452="RAPPI",(VLOOKUP(TRIM(D2452), CATALOGO!F:G, 2, FALSE) * C2452)+I2452,IFERROR(IF(COUNTIF('RESTAURANTESDESCUENTOS 2026'!A:A,TRIM(A2452))&gt;0,((VLOOKUP(TRIM(D2452), CATALOGO!A:B, 2, FALSE) * C2452)*(1-VALUE(SUBSTITUTE(VLOOKUP(TRIM(A2452),'RESTAURANTESDESCUENTOS 2026'!A:B,2,FALSE),"%",""))/100)+I2452),(VLOOKUP(TRIM(D2452), CATALOGO!A:B, 2, FALSE) * C2452+I2452)),""))</f>
        <v>128000</v>
      </c>
      <c r="K2452" s="196"/>
      <c r="L2452" s="87"/>
      <c r="M2452" s="194" t="s">
        <v>35</v>
      </c>
      <c r="N2452" s="168"/>
    </row>
    <row r="2453" ht="22.5" hidden="1" customHeight="1">
      <c r="A2453" s="137" t="s">
        <v>123</v>
      </c>
      <c r="B2453" s="90">
        <v>46132.0</v>
      </c>
      <c r="C2453" s="55">
        <v>1.0</v>
      </c>
      <c r="D2453" s="97" t="s">
        <v>126</v>
      </c>
      <c r="E2453" s="10"/>
      <c r="F2453" s="202"/>
      <c r="G2453" s="194" t="s">
        <v>587</v>
      </c>
      <c r="H2453" s="195" t="s">
        <v>632</v>
      </c>
      <c r="I2453" s="196"/>
      <c r="J2453" s="179">
        <f>IF(A2453="RAPPI",(VLOOKUP(TRIM(D2453), CATALOGO!F:G, 2, FALSE) * C2453)+I2453,IFERROR(IF(COUNTIF('RESTAURANTESDESCUENTOS 2026'!A:A,TRIM(A2453))&gt;0,((VLOOKUP(TRIM(D2453), CATALOGO!A:B, 2, FALSE) * C2453)*(1-VALUE(SUBSTITUTE(VLOOKUP(TRIM(A2453),'RESTAURANTESDESCUENTOS 2026'!A:B,2,FALSE),"%",""))/100)+I2453),(VLOOKUP(TRIM(D2453), CATALOGO!A:B, 2, FALSE) * C2453+I2453)),""))</f>
        <v>64000</v>
      </c>
      <c r="K2453" s="196"/>
      <c r="L2453" s="87"/>
      <c r="M2453" s="194" t="s">
        <v>35</v>
      </c>
      <c r="N2453" s="168"/>
    </row>
    <row r="2454" ht="22.5" hidden="1" customHeight="1">
      <c r="A2454" s="137" t="s">
        <v>1398</v>
      </c>
      <c r="B2454" s="90">
        <v>46134.0</v>
      </c>
      <c r="C2454" s="55">
        <v>2.0</v>
      </c>
      <c r="D2454" s="97" t="s">
        <v>178</v>
      </c>
      <c r="E2454" s="10"/>
      <c r="F2454" s="236" t="s">
        <v>864</v>
      </c>
      <c r="G2454" s="194" t="s">
        <v>587</v>
      </c>
      <c r="H2454" s="198"/>
      <c r="I2454" s="196"/>
      <c r="J2454" s="179">
        <f>IF(A2454="RAPPI",(VLOOKUP(TRIM(D2454), CATALOGO!F:G, 2, FALSE) * C2454)+I2454,IFERROR(IF(COUNTIF('RESTAURANTESDESCUENTOS 2026'!A:A,TRIM(A2454))&gt;0,((VLOOKUP(TRIM(D2454), CATALOGO!A:B, 2, FALSE) * C2454)*(1-VALUE(SUBSTITUTE(VLOOKUP(TRIM(A2454),'RESTAURANTESDESCUENTOS 2026'!A:B,2,FALSE),"%",""))/100)+I2454),(VLOOKUP(TRIM(D2454), CATALOGO!A:B, 2, FALSE) * C2454+I2454)),""))</f>
        <v>300000</v>
      </c>
      <c r="K2454" s="196"/>
      <c r="L2454" s="87"/>
      <c r="M2454" s="194" t="s">
        <v>35</v>
      </c>
      <c r="N2454" s="168"/>
    </row>
    <row r="2455" ht="22.5" hidden="1" customHeight="1">
      <c r="A2455" s="137" t="s">
        <v>1413</v>
      </c>
      <c r="B2455" s="90">
        <v>46135.0</v>
      </c>
      <c r="C2455" s="55">
        <v>1.0</v>
      </c>
      <c r="D2455" s="97" t="s">
        <v>678</v>
      </c>
      <c r="E2455" s="243"/>
      <c r="F2455" s="236" t="s">
        <v>1035</v>
      </c>
      <c r="G2455" s="194" t="s">
        <v>35</v>
      </c>
      <c r="H2455" s="198"/>
      <c r="I2455" s="196"/>
      <c r="J2455" s="179">
        <f>IF(A2455="RAPPI",(VLOOKUP(TRIM(D2455), CATALOGO!F:G, 2, FALSE) * C2455)+I2455,IFERROR(IF(COUNTIF('RESTAURANTESDESCUENTOS 2026'!A:A,TRIM(A2455))&gt;0,((VLOOKUP(TRIM(D2455), CATALOGO!A:B, 2, FALSE) * C2455)*(1-VALUE(SUBSTITUTE(VLOOKUP(TRIM(A2455),'RESTAURANTESDESCUENTOS 2026'!A:B,2,FALSE),"%",""))/100)+I2455),(VLOOKUP(TRIM(D2455), CATALOGO!A:B, 2, FALSE) * C2455+I2455)),""))</f>
        <v>123000</v>
      </c>
      <c r="K2455" s="196"/>
      <c r="L2455" s="87"/>
      <c r="M2455" s="194" t="s">
        <v>35</v>
      </c>
      <c r="N2455" s="168"/>
    </row>
    <row r="2456" ht="22.5" hidden="1" customHeight="1">
      <c r="A2456" s="26" t="s">
        <v>1414</v>
      </c>
      <c r="B2456" s="90">
        <v>46137.0</v>
      </c>
      <c r="C2456" s="55">
        <v>16.0</v>
      </c>
      <c r="D2456" s="193"/>
      <c r="E2456" s="26" t="s">
        <v>1415</v>
      </c>
      <c r="F2456" s="202"/>
      <c r="G2456" s="194"/>
      <c r="H2456" s="198"/>
      <c r="I2456" s="196"/>
      <c r="J2456" s="199">
        <v>80000.0</v>
      </c>
      <c r="K2456" s="196"/>
      <c r="L2456" s="87"/>
      <c r="M2456" s="194" t="s">
        <v>35</v>
      </c>
      <c r="N2456" s="168"/>
    </row>
    <row r="2457" ht="22.5" hidden="1" customHeight="1">
      <c r="A2457" s="26" t="s">
        <v>1414</v>
      </c>
      <c r="B2457" s="90">
        <v>46137.0</v>
      </c>
      <c r="C2457" s="55">
        <v>128.0</v>
      </c>
      <c r="D2457" s="193"/>
      <c r="E2457" s="26" t="s">
        <v>1416</v>
      </c>
      <c r="F2457" s="202"/>
      <c r="G2457" s="194"/>
      <c r="H2457" s="198"/>
      <c r="I2457" s="196"/>
      <c r="J2457" s="199">
        <v>0.0</v>
      </c>
      <c r="K2457" s="196"/>
      <c r="L2457" s="87"/>
      <c r="M2457" s="194" t="s">
        <v>35</v>
      </c>
      <c r="N2457" s="168"/>
    </row>
    <row r="2458" ht="22.5" hidden="1" customHeight="1">
      <c r="A2458" s="26" t="s">
        <v>1414</v>
      </c>
      <c r="B2458" s="90">
        <v>46137.0</v>
      </c>
      <c r="C2458" s="55">
        <v>16.0</v>
      </c>
      <c r="D2458" s="193"/>
      <c r="E2458" s="26" t="s">
        <v>1394</v>
      </c>
      <c r="F2458" s="202"/>
      <c r="G2458" s="194"/>
      <c r="H2458" s="198"/>
      <c r="I2458" s="196"/>
      <c r="J2458" s="199">
        <v>80000.0</v>
      </c>
      <c r="K2458" s="196"/>
      <c r="L2458" s="87"/>
      <c r="M2458" s="194" t="s">
        <v>35</v>
      </c>
      <c r="N2458" s="168"/>
    </row>
    <row r="2459" ht="22.5" hidden="1" customHeight="1">
      <c r="A2459" s="26" t="s">
        <v>1414</v>
      </c>
      <c r="B2459" s="90">
        <v>46137.0</v>
      </c>
      <c r="C2459" s="55">
        <v>1.0</v>
      </c>
      <c r="D2459" s="193"/>
      <c r="E2459" s="26" t="s">
        <v>286</v>
      </c>
      <c r="F2459" s="202"/>
      <c r="G2459" s="194"/>
      <c r="H2459" s="198"/>
      <c r="I2459" s="196"/>
      <c r="J2459" s="199">
        <v>96000.0</v>
      </c>
      <c r="K2459" s="196"/>
      <c r="L2459" s="87"/>
      <c r="M2459" s="194" t="s">
        <v>35</v>
      </c>
      <c r="N2459" s="168"/>
    </row>
    <row r="2460" ht="22.5" hidden="1" customHeight="1">
      <c r="A2460" s="26" t="s">
        <v>1414</v>
      </c>
      <c r="B2460" s="90">
        <v>46137.0</v>
      </c>
      <c r="C2460" s="55">
        <v>1.0</v>
      </c>
      <c r="D2460" s="193"/>
      <c r="E2460" s="26" t="s">
        <v>288</v>
      </c>
      <c r="F2460" s="202"/>
      <c r="G2460" s="194"/>
      <c r="H2460" s="198"/>
      <c r="I2460" s="196"/>
      <c r="J2460" s="199">
        <v>241500.0</v>
      </c>
      <c r="K2460" s="196"/>
      <c r="L2460" s="87"/>
      <c r="M2460" s="194" t="s">
        <v>35</v>
      </c>
      <c r="N2460" s="168"/>
    </row>
    <row r="2461" ht="22.5" hidden="1" customHeight="1">
      <c r="A2461" s="26" t="s">
        <v>1414</v>
      </c>
      <c r="B2461" s="90">
        <v>46137.0</v>
      </c>
      <c r="C2461" s="55">
        <v>1.0</v>
      </c>
      <c r="D2461" s="193"/>
      <c r="E2461" s="26" t="s">
        <v>1417</v>
      </c>
      <c r="F2461" s="202"/>
      <c r="G2461" s="194"/>
      <c r="H2461" s="198"/>
      <c r="I2461" s="196"/>
      <c r="J2461" s="199">
        <v>105000.0</v>
      </c>
      <c r="K2461" s="196"/>
      <c r="L2461" s="87"/>
      <c r="M2461" s="194" t="s">
        <v>35</v>
      </c>
      <c r="N2461" s="168"/>
    </row>
    <row r="2462" ht="22.5" hidden="1" customHeight="1">
      <c r="A2462" s="26" t="s">
        <v>1414</v>
      </c>
      <c r="B2462" s="90">
        <v>46137.0</v>
      </c>
      <c r="C2462" s="55">
        <v>1.0</v>
      </c>
      <c r="D2462" s="193"/>
      <c r="E2462" s="26" t="s">
        <v>284</v>
      </c>
      <c r="F2462" s="202"/>
      <c r="G2462" s="194"/>
      <c r="H2462" s="198"/>
      <c r="I2462" s="196"/>
      <c r="J2462" s="199">
        <v>72000.0</v>
      </c>
      <c r="K2462" s="196"/>
      <c r="L2462" s="87"/>
      <c r="M2462" s="194" t="s">
        <v>35</v>
      </c>
      <c r="N2462" s="168"/>
    </row>
    <row r="2463" ht="22.5" hidden="1" customHeight="1">
      <c r="A2463" s="137"/>
      <c r="B2463" s="90"/>
      <c r="C2463" s="55"/>
      <c r="D2463" s="193"/>
      <c r="E2463" s="10"/>
      <c r="F2463" s="202"/>
      <c r="G2463" s="194"/>
      <c r="H2463" s="198"/>
      <c r="I2463" s="196"/>
      <c r="J2463" s="179" t="str">
        <f>IF(A2463="RAPPI",(VLOOKUP(TRIM(D2463), CATALOGO!F:G, 2, FALSE) * C2463)+I2463,IFERROR(IF(COUNTIF('RESTAURANTESDESCUENTOS 2026'!A:A,TRIM(A2463))&gt;0,((VLOOKUP(TRIM(D2463), CATALOGO!A:B, 2, FALSE) * C2463)*(1-VALUE(SUBSTITUTE(VLOOKUP(TRIM(A2463),'RESTAURANTESDESCUENTOS 2026'!A:B,2,FALSE),"%",""))/100)+I2463),(VLOOKUP(TRIM(D2463), CATALOGO!A:B, 2, FALSE) * C2463+I2463)),""))</f>
        <v/>
      </c>
      <c r="K2463" s="196"/>
      <c r="L2463" s="87"/>
      <c r="M2463" s="256"/>
      <c r="N2463" s="168"/>
    </row>
    <row r="2464" ht="22.5" hidden="1" customHeight="1">
      <c r="A2464" s="137"/>
      <c r="B2464" s="90"/>
      <c r="C2464" s="55"/>
      <c r="D2464" s="193"/>
      <c r="E2464" s="10"/>
      <c r="F2464" s="202"/>
      <c r="G2464" s="194"/>
      <c r="H2464" s="198"/>
      <c r="I2464" s="196"/>
      <c r="J2464" s="179" t="str">
        <f>IF(A2464="RAPPI",(VLOOKUP(TRIM(D2464), CATALOGO!F:G, 2, FALSE) * C2464)+I2464,IFERROR(IF(COUNTIF('RESTAURANTESDESCUENTOS 2026'!A:A,TRIM(A2464))&gt;0,((VLOOKUP(TRIM(D2464), CATALOGO!A:B, 2, FALSE) * C2464)*(1-VALUE(SUBSTITUTE(VLOOKUP(TRIM(A2464),'RESTAURANTESDESCUENTOS 2026'!A:B,2,FALSE),"%",""))/100)+I2464),(VLOOKUP(TRIM(D2464), CATALOGO!A:B, 2, FALSE) * C2464+I2464)),""))</f>
        <v/>
      </c>
      <c r="K2464" s="196"/>
      <c r="L2464" s="87"/>
      <c r="M2464" s="256"/>
      <c r="N2464" s="168"/>
    </row>
    <row r="2465" ht="22.5" hidden="1" customHeight="1">
      <c r="A2465" s="137"/>
      <c r="B2465" s="90"/>
      <c r="C2465" s="55"/>
      <c r="D2465" s="193"/>
      <c r="E2465" s="10"/>
      <c r="F2465" s="202"/>
      <c r="G2465" s="194"/>
      <c r="H2465" s="198"/>
      <c r="I2465" s="196"/>
      <c r="J2465" s="179" t="str">
        <f>IF(A2465="RAPPI",(VLOOKUP(TRIM(D2465), CATALOGO!F:G, 2, FALSE) * C2465)+I2465,IFERROR(IF(COUNTIF('RESTAURANTESDESCUENTOS 2026'!A:A,TRIM(A2465))&gt;0,((VLOOKUP(TRIM(D2465), CATALOGO!A:B, 2, FALSE) * C2465)*(1-VALUE(SUBSTITUTE(VLOOKUP(TRIM(A2465),'RESTAURANTESDESCUENTOS 2026'!A:B,2,FALSE),"%",""))/100)+I2465),(VLOOKUP(TRIM(D2465), CATALOGO!A:B, 2, FALSE) * C2465+I2465)),""))</f>
        <v/>
      </c>
      <c r="K2465" s="196"/>
      <c r="L2465" s="87"/>
      <c r="M2465" s="256"/>
      <c r="N2465" s="168"/>
    </row>
    <row r="2466" ht="22.5" hidden="1" customHeight="1">
      <c r="A2466" s="137"/>
      <c r="B2466" s="90"/>
      <c r="C2466" s="55"/>
      <c r="D2466" s="193"/>
      <c r="E2466" s="10"/>
      <c r="F2466" s="202"/>
      <c r="G2466" s="194"/>
      <c r="H2466" s="198"/>
      <c r="I2466" s="196"/>
      <c r="J2466" s="199"/>
      <c r="K2466" s="196"/>
      <c r="L2466" s="87"/>
      <c r="M2466" s="256"/>
      <c r="N2466" s="168"/>
    </row>
    <row r="2467" ht="22.5" hidden="1" customHeight="1">
      <c r="A2467" s="137"/>
      <c r="B2467" s="90"/>
      <c r="C2467" s="55"/>
      <c r="D2467" s="193"/>
      <c r="E2467" s="10"/>
      <c r="F2467" s="202"/>
      <c r="G2467" s="194"/>
      <c r="H2467" s="198"/>
      <c r="I2467" s="196"/>
      <c r="J2467" s="199"/>
      <c r="K2467" s="196"/>
      <c r="L2467" s="87"/>
      <c r="M2467" s="256"/>
      <c r="N2467" s="168"/>
    </row>
    <row r="2468" ht="22.5" hidden="1" customHeight="1">
      <c r="A2468" s="137"/>
      <c r="B2468" s="90"/>
      <c r="C2468" s="55"/>
      <c r="D2468" s="193"/>
      <c r="E2468" s="201"/>
      <c r="F2468" s="202"/>
      <c r="G2468" s="194"/>
      <c r="H2468" s="198"/>
      <c r="I2468" s="196"/>
      <c r="J2468" s="179" t="str">
        <f>IF(A2468="RAPPI",(VLOOKUP(TRIM(D2468), CATALOGO!F:G, 2, FALSE) * C2468)+I2468,IFERROR(IF(COUNTIF('RESTAURANTESDESCUENTOS 2026'!A:A,TRIM(A2468))&gt;0,((VLOOKUP(TRIM(D2468), CATALOGO!A:B, 2, FALSE) * C2468)*(1-VALUE(SUBSTITUTE(VLOOKUP(TRIM(A2468),'RESTAURANTESDESCUENTOS 2026'!A:B,2,FALSE),"%",""))/100)+I2468),(VLOOKUP(TRIM(D2468), CATALOGO!A:B, 2, FALSE) * C2468+I2468)),""))</f>
        <v/>
      </c>
      <c r="K2468" s="196"/>
      <c r="L2468" s="87"/>
      <c r="M2468" s="245"/>
      <c r="N2468" s="168"/>
    </row>
    <row r="2469" ht="22.5" hidden="1" customHeight="1">
      <c r="A2469" s="137"/>
      <c r="B2469" s="90"/>
      <c r="C2469" s="55"/>
      <c r="D2469" s="193"/>
      <c r="E2469" s="201"/>
      <c r="F2469" s="202"/>
      <c r="G2469" s="194"/>
      <c r="H2469" s="198"/>
      <c r="I2469" s="196"/>
      <c r="J2469" s="179" t="str">
        <f>IF(A2469="RAPPI",(VLOOKUP(TRIM(D2469), CATALOGO!F:G, 2, FALSE) * C2469)+I2469,IFERROR(IF(COUNTIF('RESTAURANTESDESCUENTOS 2026'!A:A,TRIM(A2469))&gt;0,((VLOOKUP(TRIM(D2469), CATALOGO!A:B, 2, FALSE) * C2469)*(1-VALUE(SUBSTITUTE(VLOOKUP(TRIM(A2469),'RESTAURANTESDESCUENTOS 2026'!A:B,2,FALSE),"%",""))/100)+I2469),(VLOOKUP(TRIM(D2469), CATALOGO!A:B, 2, FALSE) * C2469+I2469)),""))</f>
        <v/>
      </c>
      <c r="K2469" s="196"/>
      <c r="L2469" s="87"/>
      <c r="M2469" s="245"/>
      <c r="N2469" s="168"/>
    </row>
    <row r="2470" ht="22.5" hidden="1" customHeight="1">
      <c r="A2470" s="137"/>
      <c r="B2470" s="90"/>
      <c r="C2470" s="55"/>
      <c r="D2470" s="193"/>
      <c r="E2470" s="201"/>
      <c r="F2470" s="202"/>
      <c r="G2470" s="194"/>
      <c r="H2470" s="198"/>
      <c r="I2470" s="196"/>
      <c r="J2470" s="179" t="str">
        <f>IF(A2470="RAPPI",(VLOOKUP(TRIM(D2470), CATALOGO!F:G, 2, FALSE) * C2470)+I2470,IFERROR(IF(COUNTIF('RESTAURANTESDESCUENTOS 2026'!A:A,TRIM(A2470))&gt;0,((VLOOKUP(TRIM(D2470), CATALOGO!A:B, 2, FALSE) * C2470)*(1-VALUE(SUBSTITUTE(VLOOKUP(TRIM(A2470),'RESTAURANTESDESCUENTOS 2026'!A:B,2,FALSE),"%",""))/100)+I2470),(VLOOKUP(TRIM(D2470), CATALOGO!A:B, 2, FALSE) * C2470+I2470)),""))</f>
        <v/>
      </c>
      <c r="K2470" s="196"/>
      <c r="L2470" s="87"/>
      <c r="M2470" s="245"/>
      <c r="N2470" s="168"/>
    </row>
    <row r="2471" ht="22.5" hidden="1" customHeight="1">
      <c r="A2471" s="137"/>
      <c r="B2471" s="90"/>
      <c r="C2471" s="55"/>
      <c r="D2471" s="193"/>
      <c r="E2471" s="201"/>
      <c r="F2471" s="202"/>
      <c r="G2471" s="194"/>
      <c r="H2471" s="198"/>
      <c r="I2471" s="196"/>
      <c r="J2471" s="179" t="str">
        <f>IF(A2471="RAPPI",(VLOOKUP(TRIM(D2471), CATALOGO!F:G, 2, FALSE) * C2471)+I2471,IFERROR(IF(COUNTIF('RESTAURANTESDESCUENTOS 2026'!A:A,TRIM(A2471))&gt;0,((VLOOKUP(TRIM(D2471), CATALOGO!A:B, 2, FALSE) * C2471)*(1-VALUE(SUBSTITUTE(VLOOKUP(TRIM(A2471),'RESTAURANTESDESCUENTOS 2026'!A:B,2,FALSE),"%",""))/100)+I2471),(VLOOKUP(TRIM(D2471), CATALOGO!A:B, 2, FALSE) * C2471+I2471)),""))</f>
        <v/>
      </c>
      <c r="K2471" s="196"/>
      <c r="L2471" s="87"/>
      <c r="M2471" s="245"/>
      <c r="N2471" s="168"/>
    </row>
    <row r="2472" ht="22.5" hidden="1" customHeight="1">
      <c r="A2472" s="137"/>
      <c r="B2472" s="90"/>
      <c r="C2472" s="55"/>
      <c r="D2472" s="193"/>
      <c r="E2472" s="201"/>
      <c r="F2472" s="202"/>
      <c r="G2472" s="194"/>
      <c r="H2472" s="198"/>
      <c r="I2472" s="196"/>
      <c r="J2472" s="179" t="str">
        <f>IF(A2472="RAPPI",(VLOOKUP(TRIM(D2472), CATALOGO!F:G, 2, FALSE) * C2472)+I2472,IFERROR(IF(COUNTIF('RESTAURANTESDESCUENTOS 2026'!A:A,TRIM(A2472))&gt;0,((VLOOKUP(TRIM(D2472), CATALOGO!A:B, 2, FALSE) * C2472)*(1-VALUE(SUBSTITUTE(VLOOKUP(TRIM(A2472),'RESTAURANTESDESCUENTOS 2026'!A:B,2,FALSE),"%",""))/100)+I2472),(VLOOKUP(TRIM(D2472), CATALOGO!A:B, 2, FALSE) * C2472+I2472)),""))</f>
        <v/>
      </c>
      <c r="K2472" s="196"/>
      <c r="L2472" s="87"/>
      <c r="M2472" s="245"/>
      <c r="N2472" s="168"/>
    </row>
    <row r="2473" ht="22.5" hidden="1" customHeight="1">
      <c r="A2473" s="137"/>
      <c r="B2473" s="90"/>
      <c r="C2473" s="55"/>
      <c r="D2473" s="193"/>
      <c r="E2473" s="201"/>
      <c r="F2473" s="202"/>
      <c r="G2473" s="194"/>
      <c r="H2473" s="198"/>
      <c r="I2473" s="196"/>
      <c r="J2473" s="179" t="str">
        <f>IF(A2473="RAPPI",(VLOOKUP(TRIM(D2473), CATALOGO!F:G, 2, FALSE) * C2473)+I2473,IFERROR(IF(COUNTIF('RESTAURANTESDESCUENTOS 2026'!A:A,TRIM(A2473))&gt;0,((VLOOKUP(TRIM(D2473), CATALOGO!A:B, 2, FALSE) * C2473)*(1-VALUE(SUBSTITUTE(VLOOKUP(TRIM(A2473),'RESTAURANTESDESCUENTOS 2026'!A:B,2,FALSE),"%",""))/100)+I2473),(VLOOKUP(TRIM(D2473), CATALOGO!A:B, 2, FALSE) * C2473+I2473)),""))</f>
        <v/>
      </c>
      <c r="K2473" s="196"/>
      <c r="L2473" s="87"/>
      <c r="M2473" s="245"/>
      <c r="N2473" s="168"/>
    </row>
    <row r="2474" ht="22.5" hidden="1" customHeight="1">
      <c r="A2474" s="137"/>
      <c r="B2474" s="90"/>
      <c r="C2474" s="55"/>
      <c r="D2474" s="193"/>
      <c r="E2474" s="201"/>
      <c r="F2474" s="202"/>
      <c r="G2474" s="194"/>
      <c r="H2474" s="198"/>
      <c r="I2474" s="196"/>
      <c r="J2474" s="179" t="str">
        <f>IF(A2474="RAPPI",(VLOOKUP(TRIM(D2474), CATALOGO!F:G, 2, FALSE) * C2474)+I2474,IFERROR(IF(COUNTIF('RESTAURANTESDESCUENTOS 2026'!A:A,TRIM(A2474))&gt;0,((VLOOKUP(TRIM(D2474), CATALOGO!A:B, 2, FALSE) * C2474)*(1-VALUE(SUBSTITUTE(VLOOKUP(TRIM(A2474),'RESTAURANTESDESCUENTOS 2026'!A:B,2,FALSE),"%",""))/100)+I2474),(VLOOKUP(TRIM(D2474), CATALOGO!A:B, 2, FALSE) * C2474+I2474)),""))</f>
        <v/>
      </c>
      <c r="K2474" s="196"/>
      <c r="L2474" s="87"/>
      <c r="M2474" s="245"/>
      <c r="N2474" s="168"/>
    </row>
    <row r="2475" ht="22.5" hidden="1" customHeight="1">
      <c r="A2475" s="137"/>
      <c r="B2475" s="90"/>
      <c r="C2475" s="55"/>
      <c r="D2475" s="193"/>
      <c r="E2475" s="201"/>
      <c r="F2475" s="202"/>
      <c r="G2475" s="194"/>
      <c r="H2475" s="198"/>
      <c r="I2475" s="196"/>
      <c r="J2475" s="179" t="str">
        <f>IF(A2475="RAPPI",(VLOOKUP(TRIM(D2475), CATALOGO!F:G, 2, FALSE) * C2475)+I2475,IFERROR(IF(COUNTIF('RESTAURANTESDESCUENTOS 2026'!A:A,TRIM(A2475))&gt;0,((VLOOKUP(TRIM(D2475), CATALOGO!A:B, 2, FALSE) * C2475)*(1-VALUE(SUBSTITUTE(VLOOKUP(TRIM(A2475),'RESTAURANTESDESCUENTOS 2026'!A:B,2,FALSE),"%",""))/100)+I2475),(VLOOKUP(TRIM(D2475), CATALOGO!A:B, 2, FALSE) * C2475+I2475)),""))</f>
        <v/>
      </c>
      <c r="K2475" s="196"/>
      <c r="L2475" s="87"/>
      <c r="M2475" s="245"/>
      <c r="N2475" s="168"/>
    </row>
    <row r="2476" ht="22.5" hidden="1" customHeight="1">
      <c r="A2476" s="137"/>
      <c r="B2476" s="90"/>
      <c r="C2476" s="55"/>
      <c r="D2476" s="193"/>
      <c r="E2476" s="201"/>
      <c r="F2476" s="202"/>
      <c r="G2476" s="194"/>
      <c r="H2476" s="198"/>
      <c r="I2476" s="196"/>
      <c r="J2476" s="179" t="str">
        <f>IF(A2476="RAPPI",(VLOOKUP(TRIM(D2476), CATALOGO!F:G, 2, FALSE) * C2476)+I2476,IFERROR(IF(COUNTIF('RESTAURANTESDESCUENTOS 2026'!A:A,TRIM(A2476))&gt;0,((VLOOKUP(TRIM(D2476), CATALOGO!A:B, 2, FALSE) * C2476)*(1-VALUE(SUBSTITUTE(VLOOKUP(TRIM(A2476),'RESTAURANTESDESCUENTOS 2026'!A:B,2,FALSE),"%",""))/100)+I2476),(VLOOKUP(TRIM(D2476), CATALOGO!A:B, 2, FALSE) * C2476+I2476)),""))</f>
        <v/>
      </c>
      <c r="K2476" s="196"/>
      <c r="L2476" s="87"/>
      <c r="M2476" s="245"/>
      <c r="N2476" s="168"/>
    </row>
    <row r="2477" ht="22.5" hidden="1" customHeight="1">
      <c r="A2477" s="137"/>
      <c r="B2477" s="90"/>
      <c r="C2477" s="55"/>
      <c r="D2477" s="193"/>
      <c r="E2477" s="201"/>
      <c r="F2477" s="202"/>
      <c r="G2477" s="194"/>
      <c r="H2477" s="198"/>
      <c r="I2477" s="196"/>
      <c r="J2477" s="179" t="str">
        <f>IF(A2477="RAPPI",(VLOOKUP(TRIM(D2477), CATALOGO!F:G, 2, FALSE) * C2477)+I2477,IFERROR(IF(COUNTIF('RESTAURANTESDESCUENTOS 2026'!A:A,TRIM(A2477))&gt;0,((VLOOKUP(TRIM(D2477), CATALOGO!A:B, 2, FALSE) * C2477)*(1-VALUE(SUBSTITUTE(VLOOKUP(TRIM(A2477),'RESTAURANTESDESCUENTOS 2026'!A:B,2,FALSE),"%",""))/100)+I2477),(VLOOKUP(TRIM(D2477), CATALOGO!A:B, 2, FALSE) * C2477+I2477)),""))</f>
        <v/>
      </c>
      <c r="K2477" s="196"/>
      <c r="L2477" s="87"/>
      <c r="M2477" s="245"/>
      <c r="N2477" s="168"/>
    </row>
    <row r="2478" ht="22.5" hidden="1" customHeight="1">
      <c r="A2478" s="137"/>
      <c r="B2478" s="90"/>
      <c r="C2478" s="55"/>
      <c r="D2478" s="193"/>
      <c r="E2478" s="201"/>
      <c r="F2478" s="202"/>
      <c r="G2478" s="194"/>
      <c r="H2478" s="198"/>
      <c r="I2478" s="196"/>
      <c r="J2478" s="179" t="str">
        <f>IF(A2478="RAPPI",(VLOOKUP(TRIM(D2478), CATALOGO!F:G, 2, FALSE) * C2478)+I2478,IFERROR(IF(COUNTIF('RESTAURANTESDESCUENTOS 2026'!A:A,TRIM(A2478))&gt;0,((VLOOKUP(TRIM(D2478), CATALOGO!A:B, 2, FALSE) * C2478)*(1-VALUE(SUBSTITUTE(VLOOKUP(TRIM(A2478),'RESTAURANTESDESCUENTOS 2026'!A:B,2,FALSE),"%",""))/100)+I2478),(VLOOKUP(TRIM(D2478), CATALOGO!A:B, 2, FALSE) * C2478+I2478)),""))</f>
        <v/>
      </c>
      <c r="K2478" s="196"/>
      <c r="L2478" s="87"/>
      <c r="M2478" s="245"/>
      <c r="N2478" s="168"/>
    </row>
    <row r="2479" ht="22.5" hidden="1" customHeight="1">
      <c r="A2479" s="137"/>
      <c r="B2479" s="90"/>
      <c r="C2479" s="55"/>
      <c r="D2479" s="193"/>
      <c r="E2479" s="201"/>
      <c r="F2479" s="202"/>
      <c r="G2479" s="194"/>
      <c r="H2479" s="198"/>
      <c r="I2479" s="196"/>
      <c r="J2479" s="179" t="str">
        <f>IF(A2479="RAPPI",(VLOOKUP(TRIM(D2479), CATALOGO!F:G, 2, FALSE) * C2479)+I2479,IFERROR(IF(COUNTIF('RESTAURANTESDESCUENTOS 2026'!A:A,TRIM(A2479))&gt;0,((VLOOKUP(TRIM(D2479), CATALOGO!A:B, 2, FALSE) * C2479)*(1-VALUE(SUBSTITUTE(VLOOKUP(TRIM(A2479),'RESTAURANTESDESCUENTOS 2026'!A:B,2,FALSE),"%",""))/100)+I2479),(VLOOKUP(TRIM(D2479), CATALOGO!A:B, 2, FALSE) * C2479+I2479)),""))</f>
        <v/>
      </c>
      <c r="K2479" s="196"/>
      <c r="L2479" s="87"/>
      <c r="M2479" s="245"/>
      <c r="N2479" s="168"/>
    </row>
    <row r="2480" ht="22.5" hidden="1" customHeight="1">
      <c r="A2480" s="137"/>
      <c r="B2480" s="90"/>
      <c r="C2480" s="55"/>
      <c r="D2480" s="193"/>
      <c r="E2480" s="201"/>
      <c r="F2480" s="202"/>
      <c r="G2480" s="194"/>
      <c r="H2480" s="198"/>
      <c r="I2480" s="196"/>
      <c r="J2480" s="179" t="str">
        <f>IF(A2480="RAPPI",(VLOOKUP(TRIM(D2480), CATALOGO!F:G, 2, FALSE) * C2480)+I2480,IFERROR(IF(COUNTIF('RESTAURANTESDESCUENTOS 2026'!A:A,TRIM(A2480))&gt;0,((VLOOKUP(TRIM(D2480), CATALOGO!A:B, 2, FALSE) * C2480)*(1-VALUE(SUBSTITUTE(VLOOKUP(TRIM(A2480),'RESTAURANTESDESCUENTOS 2026'!A:B,2,FALSE),"%",""))/100)+I2480),(VLOOKUP(TRIM(D2480), CATALOGO!A:B, 2, FALSE) * C2480+I2480)),""))</f>
        <v/>
      </c>
      <c r="K2480" s="196"/>
      <c r="L2480" s="87"/>
      <c r="M2480" s="245"/>
      <c r="N2480" s="168"/>
    </row>
    <row r="2481" ht="22.5" hidden="1" customHeight="1">
      <c r="A2481" s="137"/>
      <c r="B2481" s="90"/>
      <c r="C2481" s="55"/>
      <c r="D2481" s="193"/>
      <c r="E2481" s="201"/>
      <c r="F2481" s="202"/>
      <c r="G2481" s="194"/>
      <c r="H2481" s="198"/>
      <c r="I2481" s="196"/>
      <c r="J2481" s="179" t="str">
        <f>IF(A2481="RAPPI",(VLOOKUP(TRIM(D2481), CATALOGO!F:G, 2, FALSE) * C2481)+I2481,IFERROR(IF(COUNTIF('RESTAURANTESDESCUENTOS 2026'!A:A,TRIM(A2481))&gt;0,((VLOOKUP(TRIM(D2481), CATALOGO!A:B, 2, FALSE) * C2481)*(1-VALUE(SUBSTITUTE(VLOOKUP(TRIM(A2481),'RESTAURANTESDESCUENTOS 2026'!A:B,2,FALSE),"%",""))/100)+I2481),(VLOOKUP(TRIM(D2481), CATALOGO!A:B, 2, FALSE) * C2481+I2481)),""))</f>
        <v/>
      </c>
      <c r="K2481" s="196"/>
      <c r="L2481" s="87"/>
      <c r="M2481" s="245"/>
      <c r="N2481" s="168"/>
    </row>
    <row r="2482" ht="22.5" hidden="1" customHeight="1">
      <c r="A2482" s="137"/>
      <c r="B2482" s="90"/>
      <c r="C2482" s="55"/>
      <c r="D2482" s="193"/>
      <c r="E2482" s="201"/>
      <c r="F2482" s="202"/>
      <c r="G2482" s="194"/>
      <c r="H2482" s="198"/>
      <c r="I2482" s="196"/>
      <c r="J2482" s="179" t="str">
        <f>IF(A2482="RAPPI",(VLOOKUP(TRIM(D2482), CATALOGO!F:G, 2, FALSE) * C2482)+I2482,IFERROR(IF(COUNTIF('RESTAURANTESDESCUENTOS 2026'!A:A,TRIM(A2482))&gt;0,((VLOOKUP(TRIM(D2482), CATALOGO!A:B, 2, FALSE) * C2482)*(1-VALUE(SUBSTITUTE(VLOOKUP(TRIM(A2482),'RESTAURANTESDESCUENTOS 2026'!A:B,2,FALSE),"%",""))/100)+I2482),(VLOOKUP(TRIM(D2482), CATALOGO!A:B, 2, FALSE) * C2482+I2482)),""))</f>
        <v/>
      </c>
      <c r="K2482" s="196"/>
      <c r="L2482" s="87"/>
      <c r="M2482" s="245"/>
      <c r="N2482" s="168"/>
    </row>
    <row r="2483" ht="22.5" hidden="1" customHeight="1">
      <c r="A2483" s="137"/>
      <c r="B2483" s="90"/>
      <c r="C2483" s="55"/>
      <c r="D2483" s="193"/>
      <c r="E2483" s="201"/>
      <c r="F2483" s="202"/>
      <c r="G2483" s="194"/>
      <c r="H2483" s="198"/>
      <c r="I2483" s="196"/>
      <c r="J2483" s="179" t="str">
        <f>IF(A2483="RAPPI",(VLOOKUP(TRIM(D2483), CATALOGO!F:G, 2, FALSE) * C2483)+I2483,IFERROR(IF(COUNTIF('RESTAURANTESDESCUENTOS 2026'!A:A,TRIM(A2483))&gt;0,((VLOOKUP(TRIM(D2483), CATALOGO!A:B, 2, FALSE) * C2483)*(1-VALUE(SUBSTITUTE(VLOOKUP(TRIM(A2483),'RESTAURANTESDESCUENTOS 2026'!A:B,2,FALSE),"%",""))/100)+I2483),(VLOOKUP(TRIM(D2483), CATALOGO!A:B, 2, FALSE) * C2483+I2483)),""))</f>
        <v/>
      </c>
      <c r="K2483" s="196"/>
      <c r="L2483" s="87"/>
      <c r="M2483" s="245"/>
      <c r="N2483" s="168"/>
    </row>
    <row r="2484" ht="22.5" hidden="1" customHeight="1">
      <c r="A2484" s="137"/>
      <c r="B2484" s="90"/>
      <c r="C2484" s="55"/>
      <c r="D2484" s="193"/>
      <c r="E2484" s="201"/>
      <c r="F2484" s="202"/>
      <c r="G2484" s="194"/>
      <c r="H2484" s="198"/>
      <c r="I2484" s="196"/>
      <c r="J2484" s="179" t="str">
        <f>IF(A2484="RAPPI",(VLOOKUP(TRIM(D2484), CATALOGO!F:G, 2, FALSE) * C2484)+I2484,IFERROR(IF(COUNTIF('RESTAURANTESDESCUENTOS 2026'!A:A,TRIM(A2484))&gt;0,((VLOOKUP(TRIM(D2484), CATALOGO!A:B, 2, FALSE) * C2484)*(1-VALUE(SUBSTITUTE(VLOOKUP(TRIM(A2484),'RESTAURANTESDESCUENTOS 2026'!A:B,2,FALSE),"%",""))/100)+I2484),(VLOOKUP(TRIM(D2484), CATALOGO!A:B, 2, FALSE) * C2484+I2484)),""))</f>
        <v/>
      </c>
      <c r="K2484" s="196"/>
      <c r="L2484" s="87"/>
      <c r="M2484" s="245"/>
      <c r="N2484" s="168"/>
    </row>
    <row r="2485" ht="22.5" hidden="1" customHeight="1">
      <c r="A2485" s="137"/>
      <c r="B2485" s="90"/>
      <c r="C2485" s="55"/>
      <c r="D2485" s="193"/>
      <c r="E2485" s="201"/>
      <c r="F2485" s="202"/>
      <c r="G2485" s="194"/>
      <c r="H2485" s="198"/>
      <c r="I2485" s="196"/>
      <c r="J2485" s="179" t="str">
        <f>IF(A2485="RAPPI",(VLOOKUP(TRIM(D2485), CATALOGO!F:G, 2, FALSE) * C2485)+I2485,IFERROR(IF(COUNTIF('RESTAURANTESDESCUENTOS 2026'!A:A,TRIM(A2485))&gt;0,((VLOOKUP(TRIM(D2485), CATALOGO!A:B, 2, FALSE) * C2485)*(1-VALUE(SUBSTITUTE(VLOOKUP(TRIM(A2485),'RESTAURANTESDESCUENTOS 2026'!A:B,2,FALSE),"%",""))/100)+I2485),(VLOOKUP(TRIM(D2485), CATALOGO!A:B, 2, FALSE) * C2485+I2485)),""))</f>
        <v/>
      </c>
      <c r="K2485" s="196"/>
      <c r="L2485" s="87"/>
      <c r="M2485" s="245"/>
      <c r="N2485" s="168"/>
    </row>
    <row r="2486" ht="22.5" hidden="1" customHeight="1">
      <c r="A2486" s="137"/>
      <c r="B2486" s="90"/>
      <c r="C2486" s="55"/>
      <c r="D2486" s="193"/>
      <c r="E2486" s="201"/>
      <c r="F2486" s="202"/>
      <c r="G2486" s="194"/>
      <c r="H2486" s="198"/>
      <c r="I2486" s="196"/>
      <c r="J2486" s="179" t="str">
        <f>IF(A2486="RAPPI",(VLOOKUP(TRIM(D2486), CATALOGO!F:G, 2, FALSE) * C2486)+I2486,IFERROR(IF(COUNTIF('RESTAURANTESDESCUENTOS 2026'!A:A,TRIM(A2486))&gt;0,((VLOOKUP(TRIM(D2486), CATALOGO!A:B, 2, FALSE) * C2486)*(1-VALUE(SUBSTITUTE(VLOOKUP(TRIM(A2486),'RESTAURANTESDESCUENTOS 2026'!A:B,2,FALSE),"%",""))/100)+I2486),(VLOOKUP(TRIM(D2486), CATALOGO!A:B, 2, FALSE) * C2486+I2486)),""))</f>
        <v/>
      </c>
      <c r="K2486" s="196"/>
      <c r="L2486" s="87"/>
      <c r="M2486" s="245"/>
      <c r="N2486" s="168"/>
    </row>
    <row r="2487" ht="22.5" hidden="1" customHeight="1">
      <c r="A2487" s="137"/>
      <c r="B2487" s="90"/>
      <c r="C2487" s="55"/>
      <c r="D2487" s="193"/>
      <c r="E2487" s="201"/>
      <c r="F2487" s="202"/>
      <c r="G2487" s="194"/>
      <c r="H2487" s="198"/>
      <c r="I2487" s="196"/>
      <c r="J2487" s="179" t="str">
        <f>IF(A2487="RAPPI",(VLOOKUP(TRIM(D2487), CATALOGO!F:G, 2, FALSE) * C2487)+I2487,IFERROR(IF(COUNTIF('RESTAURANTESDESCUENTOS 2026'!A:A,TRIM(A2487))&gt;0,((VLOOKUP(TRIM(D2487), CATALOGO!A:B, 2, FALSE) * C2487)*(1-VALUE(SUBSTITUTE(VLOOKUP(TRIM(A2487),'RESTAURANTESDESCUENTOS 2026'!A:B,2,FALSE),"%",""))/100)+I2487),(VLOOKUP(TRIM(D2487), CATALOGO!A:B, 2, FALSE) * C2487+I2487)),""))</f>
        <v/>
      </c>
      <c r="K2487" s="196"/>
      <c r="L2487" s="87"/>
      <c r="M2487" s="245"/>
      <c r="N2487" s="168"/>
    </row>
    <row r="2488" ht="22.5" hidden="1" customHeight="1">
      <c r="A2488" s="137"/>
      <c r="B2488" s="90"/>
      <c r="C2488" s="55"/>
      <c r="D2488" s="193"/>
      <c r="E2488" s="201"/>
      <c r="F2488" s="202"/>
      <c r="G2488" s="194"/>
      <c r="H2488" s="198"/>
      <c r="I2488" s="196"/>
      <c r="J2488" s="179" t="str">
        <f>IF(A2488="RAPPI",(VLOOKUP(TRIM(D2488), CATALOGO!F:G, 2, FALSE) * C2488)+I2488,IFERROR(IF(COUNTIF('RESTAURANTESDESCUENTOS 2026'!A:A,TRIM(A2488))&gt;0,((VLOOKUP(TRIM(D2488), CATALOGO!A:B, 2, FALSE) * C2488)*(1-VALUE(SUBSTITUTE(VLOOKUP(TRIM(A2488),'RESTAURANTESDESCUENTOS 2026'!A:B,2,FALSE),"%",""))/100)+I2488),(VLOOKUP(TRIM(D2488), CATALOGO!A:B, 2, FALSE) * C2488+I2488)),""))</f>
        <v/>
      </c>
      <c r="K2488" s="196"/>
      <c r="L2488" s="87"/>
      <c r="M2488" s="245"/>
      <c r="N2488" s="168"/>
    </row>
    <row r="2489" ht="22.5" hidden="1" customHeight="1">
      <c r="A2489" s="137"/>
      <c r="B2489" s="90"/>
      <c r="C2489" s="55"/>
      <c r="D2489" s="193"/>
      <c r="E2489" s="201"/>
      <c r="F2489" s="202"/>
      <c r="G2489" s="194"/>
      <c r="H2489" s="198"/>
      <c r="I2489" s="196"/>
      <c r="J2489" s="179" t="str">
        <f>IF(A2489="RAPPI",(VLOOKUP(TRIM(D2489), CATALOGO!F:G, 2, FALSE) * C2489)+I2489,IFERROR(IF(COUNTIF('RESTAURANTESDESCUENTOS 2026'!A:A,TRIM(A2489))&gt;0,((VLOOKUP(TRIM(D2489), CATALOGO!A:B, 2, FALSE) * C2489)*(1-VALUE(SUBSTITUTE(VLOOKUP(TRIM(A2489),'RESTAURANTESDESCUENTOS 2026'!A:B,2,FALSE),"%",""))/100)+I2489),(VLOOKUP(TRIM(D2489), CATALOGO!A:B, 2, FALSE) * C2489+I2489)),""))</f>
        <v/>
      </c>
      <c r="K2489" s="196"/>
      <c r="L2489" s="87"/>
      <c r="M2489" s="245"/>
      <c r="N2489" s="168"/>
    </row>
    <row r="2490" ht="22.5" hidden="1" customHeight="1">
      <c r="A2490" s="137"/>
      <c r="B2490" s="90"/>
      <c r="C2490" s="55"/>
      <c r="D2490" s="193"/>
      <c r="E2490" s="201"/>
      <c r="F2490" s="202"/>
      <c r="G2490" s="194"/>
      <c r="H2490" s="198"/>
      <c r="I2490" s="196"/>
      <c r="J2490" s="179" t="str">
        <f>IF(A2490="RAPPI",(VLOOKUP(TRIM(D2490), CATALOGO!F:G, 2, FALSE) * C2490)+I2490,IFERROR(IF(COUNTIF('RESTAURANTESDESCUENTOS 2026'!A:A,TRIM(A2490))&gt;0,((VLOOKUP(TRIM(D2490), CATALOGO!A:B, 2, FALSE) * C2490)*(1-VALUE(SUBSTITUTE(VLOOKUP(TRIM(A2490),'RESTAURANTESDESCUENTOS 2026'!A:B,2,FALSE),"%",""))/100)+I2490),(VLOOKUP(TRIM(D2490), CATALOGO!A:B, 2, FALSE) * C2490+I2490)),""))</f>
        <v/>
      </c>
      <c r="K2490" s="196"/>
      <c r="L2490" s="87"/>
      <c r="M2490" s="245"/>
      <c r="N2490" s="168"/>
    </row>
    <row r="2491" ht="22.5" hidden="1" customHeight="1">
      <c r="A2491" s="137"/>
      <c r="B2491" s="90"/>
      <c r="C2491" s="55"/>
      <c r="D2491" s="193"/>
      <c r="E2491" s="201"/>
      <c r="F2491" s="202"/>
      <c r="G2491" s="194"/>
      <c r="H2491" s="198"/>
      <c r="I2491" s="196"/>
      <c r="J2491" s="179" t="str">
        <f>IF(A2491="RAPPI",(VLOOKUP(TRIM(D2491), CATALOGO!F:G, 2, FALSE) * C2491)+I2491,IFERROR(IF(COUNTIF('RESTAURANTESDESCUENTOS 2026'!A:A,TRIM(A2491))&gt;0,((VLOOKUP(TRIM(D2491), CATALOGO!A:B, 2, FALSE) * C2491)*(1-VALUE(SUBSTITUTE(VLOOKUP(TRIM(A2491),'RESTAURANTESDESCUENTOS 2026'!A:B,2,FALSE),"%",""))/100)+I2491),(VLOOKUP(TRIM(D2491), CATALOGO!A:B, 2, FALSE) * C2491+I2491)),""))</f>
        <v/>
      </c>
      <c r="K2491" s="196"/>
      <c r="L2491" s="87"/>
      <c r="M2491" s="245"/>
      <c r="N2491" s="168"/>
    </row>
    <row r="2492" ht="22.5" hidden="1" customHeight="1">
      <c r="A2492" s="137"/>
      <c r="B2492" s="90"/>
      <c r="C2492" s="55"/>
      <c r="D2492" s="193"/>
      <c r="E2492" s="201"/>
      <c r="F2492" s="202"/>
      <c r="G2492" s="194"/>
      <c r="H2492" s="198"/>
      <c r="I2492" s="196"/>
      <c r="J2492" s="179" t="str">
        <f>IF(A2492="RAPPI",(VLOOKUP(TRIM(D2492), CATALOGO!F:G, 2, FALSE) * C2492)+I2492,IFERROR(IF(COUNTIF('RESTAURANTESDESCUENTOS 2026'!A:A,TRIM(A2492))&gt;0,((VLOOKUP(TRIM(D2492), CATALOGO!A:B, 2, FALSE) * C2492)*(1-VALUE(SUBSTITUTE(VLOOKUP(TRIM(A2492),'RESTAURANTESDESCUENTOS 2026'!A:B,2,FALSE),"%",""))/100)+I2492),(VLOOKUP(TRIM(D2492), CATALOGO!A:B, 2, FALSE) * C2492+I2492)),""))</f>
        <v/>
      </c>
      <c r="K2492" s="196"/>
      <c r="L2492" s="87"/>
      <c r="M2492" s="245"/>
      <c r="N2492" s="168"/>
    </row>
    <row r="2493" ht="22.5" hidden="1" customHeight="1">
      <c r="A2493" s="137"/>
      <c r="B2493" s="90"/>
      <c r="C2493" s="55"/>
      <c r="D2493" s="193"/>
      <c r="E2493" s="201"/>
      <c r="F2493" s="202"/>
      <c r="G2493" s="194"/>
      <c r="H2493" s="198"/>
      <c r="I2493" s="196"/>
      <c r="J2493" s="179" t="str">
        <f>IF(A2493="RAPPI",(VLOOKUP(TRIM(D2493), CATALOGO!F:G, 2, FALSE) * C2493)+I2493,IFERROR(IF(COUNTIF('RESTAURANTESDESCUENTOS 2026'!A:A,TRIM(A2493))&gt;0,((VLOOKUP(TRIM(D2493), CATALOGO!A:B, 2, FALSE) * C2493)*(1-VALUE(SUBSTITUTE(VLOOKUP(TRIM(A2493),'RESTAURANTESDESCUENTOS 2026'!A:B,2,FALSE),"%",""))/100)+I2493),(VLOOKUP(TRIM(D2493), CATALOGO!A:B, 2, FALSE) * C2493+I2493)),""))</f>
        <v/>
      </c>
      <c r="K2493" s="196"/>
      <c r="L2493" s="87"/>
      <c r="M2493" s="245"/>
      <c r="N2493" s="168"/>
    </row>
    <row r="2494" ht="22.5" hidden="1" customHeight="1">
      <c r="A2494" s="137"/>
      <c r="B2494" s="90"/>
      <c r="C2494" s="55"/>
      <c r="D2494" s="193"/>
      <c r="E2494" s="201"/>
      <c r="F2494" s="202"/>
      <c r="G2494" s="194"/>
      <c r="H2494" s="198"/>
      <c r="I2494" s="196"/>
      <c r="J2494" s="179" t="str">
        <f>IF(A2494="RAPPI",(VLOOKUP(TRIM(D2494), CATALOGO!F:G, 2, FALSE) * C2494)+I2494,IFERROR(IF(COUNTIF('RESTAURANTESDESCUENTOS 2026'!A:A,TRIM(A2494))&gt;0,((VLOOKUP(TRIM(D2494), CATALOGO!A:B, 2, FALSE) * C2494)*(1-VALUE(SUBSTITUTE(VLOOKUP(TRIM(A2494),'RESTAURANTESDESCUENTOS 2026'!A:B,2,FALSE),"%",""))/100)+I2494),(VLOOKUP(TRIM(D2494), CATALOGO!A:B, 2, FALSE) * C2494+I2494)),""))</f>
        <v/>
      </c>
      <c r="K2494" s="196"/>
      <c r="L2494" s="87"/>
      <c r="M2494" s="245"/>
      <c r="N2494" s="168"/>
    </row>
    <row r="2495" ht="22.5" hidden="1" customHeight="1">
      <c r="A2495" s="137"/>
      <c r="B2495" s="90"/>
      <c r="C2495" s="55"/>
      <c r="D2495" s="193"/>
      <c r="E2495" s="201"/>
      <c r="F2495" s="202"/>
      <c r="G2495" s="194"/>
      <c r="H2495" s="198"/>
      <c r="I2495" s="196"/>
      <c r="J2495" s="179" t="str">
        <f>IF(A2495="RAPPI",(VLOOKUP(TRIM(D2495), CATALOGO!F:G, 2, FALSE) * C2495)+I2495,IFERROR(IF(COUNTIF('RESTAURANTESDESCUENTOS 2026'!A:A,TRIM(A2495))&gt;0,((VLOOKUP(TRIM(D2495), CATALOGO!A:B, 2, FALSE) * C2495)*(1-VALUE(SUBSTITUTE(VLOOKUP(TRIM(A2495),'RESTAURANTESDESCUENTOS 2026'!A:B,2,FALSE),"%",""))/100)+I2495),(VLOOKUP(TRIM(D2495), CATALOGO!A:B, 2, FALSE) * C2495+I2495)),""))</f>
        <v/>
      </c>
      <c r="K2495" s="196"/>
      <c r="L2495" s="87"/>
      <c r="M2495" s="245"/>
      <c r="N2495" s="168"/>
    </row>
    <row r="2496" ht="22.5" hidden="1" customHeight="1">
      <c r="A2496" s="137"/>
      <c r="B2496" s="90"/>
      <c r="C2496" s="55"/>
      <c r="D2496" s="193"/>
      <c r="E2496" s="201"/>
      <c r="F2496" s="202"/>
      <c r="G2496" s="194"/>
      <c r="H2496" s="198"/>
      <c r="I2496" s="196"/>
      <c r="J2496" s="179" t="str">
        <f>IF(A2496="RAPPI",(VLOOKUP(TRIM(D2496), CATALOGO!F:G, 2, FALSE) * C2496)+I2496,IFERROR(IF(COUNTIF('RESTAURANTESDESCUENTOS 2026'!A:A,TRIM(A2496))&gt;0,((VLOOKUP(TRIM(D2496), CATALOGO!A:B, 2, FALSE) * C2496)*(1-VALUE(SUBSTITUTE(VLOOKUP(TRIM(A2496),'RESTAURANTESDESCUENTOS 2026'!A:B,2,FALSE),"%",""))/100)+I2496),(VLOOKUP(TRIM(D2496), CATALOGO!A:B, 2, FALSE) * C2496+I2496)),""))</f>
        <v/>
      </c>
      <c r="K2496" s="196"/>
      <c r="L2496" s="87"/>
      <c r="M2496" s="245"/>
      <c r="N2496" s="168"/>
    </row>
    <row r="2497" ht="22.5" hidden="1" customHeight="1">
      <c r="A2497" s="137"/>
      <c r="B2497" s="90"/>
      <c r="C2497" s="55"/>
      <c r="D2497" s="193"/>
      <c r="E2497" s="201"/>
      <c r="F2497" s="202"/>
      <c r="G2497" s="194"/>
      <c r="H2497" s="198"/>
      <c r="I2497" s="196"/>
      <c r="J2497" s="179" t="str">
        <f>IF(A2497="RAPPI",(VLOOKUP(TRIM(D2497), CATALOGO!F:G, 2, FALSE) * C2497)+I2497,IFERROR(IF(COUNTIF('RESTAURANTESDESCUENTOS 2026'!A:A,TRIM(A2497))&gt;0,((VLOOKUP(TRIM(D2497), CATALOGO!A:B, 2, FALSE) * C2497)*(1-VALUE(SUBSTITUTE(VLOOKUP(TRIM(A2497),'RESTAURANTESDESCUENTOS 2026'!A:B,2,FALSE),"%",""))/100)+I2497),(VLOOKUP(TRIM(D2497), CATALOGO!A:B, 2, FALSE) * C2497+I2497)),""))</f>
        <v/>
      </c>
      <c r="K2497" s="196"/>
      <c r="L2497" s="87"/>
      <c r="M2497" s="245"/>
      <c r="N2497" s="168"/>
    </row>
    <row r="2498" ht="22.5" hidden="1" customHeight="1">
      <c r="A2498" s="137"/>
      <c r="B2498" s="90"/>
      <c r="C2498" s="55"/>
      <c r="D2498" s="193"/>
      <c r="E2498" s="201"/>
      <c r="F2498" s="202"/>
      <c r="G2498" s="194"/>
      <c r="H2498" s="198"/>
      <c r="I2498" s="196"/>
      <c r="J2498" s="179" t="str">
        <f>IF(A2498="RAPPI",(VLOOKUP(TRIM(D2498), CATALOGO!F:G, 2, FALSE) * C2498)+I2498,IFERROR(IF(COUNTIF('RESTAURANTESDESCUENTOS 2026'!A:A,TRIM(A2498))&gt;0,((VLOOKUP(TRIM(D2498), CATALOGO!A:B, 2, FALSE) * C2498)*(1-VALUE(SUBSTITUTE(VLOOKUP(TRIM(A2498),'RESTAURANTESDESCUENTOS 2026'!A:B,2,FALSE),"%",""))/100)+I2498),(VLOOKUP(TRIM(D2498), CATALOGO!A:B, 2, FALSE) * C2498+I2498)),""))</f>
        <v/>
      </c>
      <c r="K2498" s="196"/>
      <c r="L2498" s="87"/>
      <c r="M2498" s="245"/>
      <c r="N2498" s="168"/>
    </row>
    <row r="2499" ht="22.5" hidden="1" customHeight="1">
      <c r="A2499" s="137"/>
      <c r="B2499" s="90"/>
      <c r="C2499" s="55"/>
      <c r="D2499" s="193"/>
      <c r="E2499" s="201"/>
      <c r="F2499" s="202"/>
      <c r="G2499" s="194"/>
      <c r="H2499" s="198"/>
      <c r="I2499" s="196"/>
      <c r="J2499" s="179" t="str">
        <f>IF(A2499="RAPPI",(VLOOKUP(TRIM(D2499), CATALOGO!F:G, 2, FALSE) * C2499)+I2499,IFERROR(IF(COUNTIF('RESTAURANTESDESCUENTOS 2026'!A:A,TRIM(A2499))&gt;0,((VLOOKUP(TRIM(D2499), CATALOGO!A:B, 2, FALSE) * C2499)*(1-VALUE(SUBSTITUTE(VLOOKUP(TRIM(A2499),'RESTAURANTESDESCUENTOS 2026'!A:B,2,FALSE),"%",""))/100)+I2499),(VLOOKUP(TRIM(D2499), CATALOGO!A:B, 2, FALSE) * C2499+I2499)),""))</f>
        <v/>
      </c>
      <c r="K2499" s="196"/>
      <c r="L2499" s="87"/>
      <c r="M2499" s="245"/>
      <c r="N2499" s="168"/>
    </row>
    <row r="2500" ht="22.5" hidden="1" customHeight="1">
      <c r="A2500" s="137"/>
      <c r="B2500" s="90"/>
      <c r="C2500" s="55"/>
      <c r="D2500" s="193"/>
      <c r="E2500" s="201"/>
      <c r="F2500" s="202"/>
      <c r="G2500" s="194"/>
      <c r="H2500" s="198"/>
      <c r="I2500" s="196"/>
      <c r="J2500" s="179" t="str">
        <f>IF(A2500="RAPPI",(VLOOKUP(TRIM(D2500), CATALOGO!F:G, 2, FALSE) * C2500)+I2500,IFERROR(IF(COUNTIF('RESTAURANTESDESCUENTOS 2026'!A:A,TRIM(A2500))&gt;0,((VLOOKUP(TRIM(D2500), CATALOGO!A:B, 2, FALSE) * C2500)*(1-VALUE(SUBSTITUTE(VLOOKUP(TRIM(A2500),'RESTAURANTESDESCUENTOS 2026'!A:B,2,FALSE),"%",""))/100)+I2500),(VLOOKUP(TRIM(D2500), CATALOGO!A:B, 2, FALSE) * C2500+I2500)),""))</f>
        <v/>
      </c>
      <c r="K2500" s="196"/>
      <c r="L2500" s="87"/>
      <c r="M2500" s="245"/>
      <c r="N2500" s="168"/>
    </row>
    <row r="2501" ht="22.5" hidden="1" customHeight="1">
      <c r="A2501" s="137"/>
      <c r="B2501" s="90"/>
      <c r="C2501" s="55"/>
      <c r="D2501" s="193"/>
      <c r="E2501" s="201"/>
      <c r="F2501" s="202"/>
      <c r="G2501" s="194"/>
      <c r="H2501" s="198"/>
      <c r="I2501" s="196"/>
      <c r="J2501" s="179" t="str">
        <f>IF(A2501="RAPPI",(VLOOKUP(TRIM(D2501), CATALOGO!F:G, 2, FALSE) * C2501)+I2501,IFERROR(IF(COUNTIF('RESTAURANTESDESCUENTOS 2026'!A:A,TRIM(A2501))&gt;0,((VLOOKUP(TRIM(D2501), CATALOGO!A:B, 2, FALSE) * C2501)*(1-VALUE(SUBSTITUTE(VLOOKUP(TRIM(A2501),'RESTAURANTESDESCUENTOS 2026'!A:B,2,FALSE),"%",""))/100)+I2501),(VLOOKUP(TRIM(D2501), CATALOGO!A:B, 2, FALSE) * C2501+I2501)),""))</f>
        <v/>
      </c>
      <c r="K2501" s="196"/>
      <c r="L2501" s="87"/>
      <c r="M2501" s="245"/>
      <c r="N2501" s="168"/>
    </row>
    <row r="2502" ht="22.5" hidden="1" customHeight="1">
      <c r="A2502" s="137"/>
      <c r="B2502" s="90"/>
      <c r="C2502" s="55"/>
      <c r="D2502" s="193"/>
      <c r="E2502" s="201"/>
      <c r="F2502" s="202"/>
      <c r="G2502" s="194"/>
      <c r="H2502" s="198"/>
      <c r="I2502" s="196"/>
      <c r="J2502" s="179" t="str">
        <f>IF(A2502="RAPPI",(VLOOKUP(TRIM(D2502), CATALOGO!F:G, 2, FALSE) * C2502)+I2502,IFERROR(IF(COUNTIF('RESTAURANTESDESCUENTOS 2026'!A:A,TRIM(A2502))&gt;0,((VLOOKUP(TRIM(D2502), CATALOGO!A:B, 2, FALSE) * C2502)*(1-VALUE(SUBSTITUTE(VLOOKUP(TRIM(A2502),'RESTAURANTESDESCUENTOS 2026'!A:B,2,FALSE),"%",""))/100)+I2502),(VLOOKUP(TRIM(D2502), CATALOGO!A:B, 2, FALSE) * C2502+I2502)),""))</f>
        <v/>
      </c>
      <c r="K2502" s="196"/>
      <c r="L2502" s="87"/>
      <c r="M2502" s="245"/>
      <c r="N2502" s="168"/>
    </row>
    <row r="2503" ht="22.5" hidden="1" customHeight="1">
      <c r="A2503" s="137"/>
      <c r="B2503" s="90"/>
      <c r="C2503" s="55"/>
      <c r="D2503" s="193"/>
      <c r="E2503" s="201"/>
      <c r="F2503" s="202"/>
      <c r="G2503" s="194"/>
      <c r="H2503" s="198"/>
      <c r="I2503" s="196"/>
      <c r="J2503" s="179" t="str">
        <f>IF(A2503="RAPPI",(VLOOKUP(TRIM(D2503), CATALOGO!F:G, 2, FALSE) * C2503)+I2503,IFERROR(IF(COUNTIF('RESTAURANTESDESCUENTOS 2026'!A:A,TRIM(A2503))&gt;0,((VLOOKUP(TRIM(D2503), CATALOGO!A:B, 2, FALSE) * C2503)*(1-VALUE(SUBSTITUTE(VLOOKUP(TRIM(A2503),'RESTAURANTESDESCUENTOS 2026'!A:B,2,FALSE),"%",""))/100)+I2503),(VLOOKUP(TRIM(D2503), CATALOGO!A:B, 2, FALSE) * C2503+I2503)),""))</f>
        <v/>
      </c>
      <c r="K2503" s="196"/>
      <c r="L2503" s="87"/>
      <c r="M2503" s="245"/>
      <c r="N2503" s="168"/>
    </row>
    <row r="2504" ht="22.5" hidden="1" customHeight="1">
      <c r="A2504" s="137"/>
      <c r="B2504" s="90"/>
      <c r="C2504" s="55"/>
      <c r="D2504" s="193"/>
      <c r="E2504" s="201"/>
      <c r="F2504" s="202"/>
      <c r="G2504" s="194"/>
      <c r="H2504" s="198"/>
      <c r="I2504" s="196"/>
      <c r="J2504" s="179" t="str">
        <f>IF(A2504="RAPPI",(VLOOKUP(TRIM(D2504), CATALOGO!F:G, 2, FALSE) * C2504)+I2504,IFERROR(IF(COUNTIF('RESTAURANTESDESCUENTOS 2026'!A:A,TRIM(A2504))&gt;0,((VLOOKUP(TRIM(D2504), CATALOGO!A:B, 2, FALSE) * C2504)*(1-VALUE(SUBSTITUTE(VLOOKUP(TRIM(A2504),'RESTAURANTESDESCUENTOS 2026'!A:B,2,FALSE),"%",""))/100)+I2504),(VLOOKUP(TRIM(D2504), CATALOGO!A:B, 2, FALSE) * C2504+I2504)),""))</f>
        <v/>
      </c>
      <c r="K2504" s="196"/>
      <c r="L2504" s="87"/>
      <c r="M2504" s="245"/>
      <c r="N2504" s="168"/>
    </row>
    <row r="2505" ht="22.5" hidden="1" customHeight="1">
      <c r="A2505" s="137"/>
      <c r="B2505" s="90"/>
      <c r="C2505" s="55"/>
      <c r="D2505" s="193"/>
      <c r="E2505" s="201"/>
      <c r="F2505" s="202"/>
      <c r="G2505" s="194"/>
      <c r="H2505" s="198"/>
      <c r="I2505" s="196"/>
      <c r="J2505" s="179" t="str">
        <f>IF(A2505="RAPPI",(VLOOKUP(TRIM(D2505), CATALOGO!F:G, 2, FALSE) * C2505)+I2505,IFERROR(IF(COUNTIF('RESTAURANTESDESCUENTOS 2026'!A:A,TRIM(A2505))&gt;0,((VLOOKUP(TRIM(D2505), CATALOGO!A:B, 2, FALSE) * C2505)*(1-VALUE(SUBSTITUTE(VLOOKUP(TRIM(A2505),'RESTAURANTESDESCUENTOS 2026'!A:B,2,FALSE),"%",""))/100)+I2505),(VLOOKUP(TRIM(D2505), CATALOGO!A:B, 2, FALSE) * C2505+I2505)),""))</f>
        <v/>
      </c>
      <c r="K2505" s="196"/>
      <c r="L2505" s="87"/>
      <c r="M2505" s="245"/>
      <c r="N2505" s="168"/>
    </row>
    <row r="2506" ht="22.5" hidden="1" customHeight="1">
      <c r="A2506" s="137"/>
      <c r="B2506" s="90"/>
      <c r="C2506" s="55"/>
      <c r="D2506" s="193"/>
      <c r="E2506" s="201"/>
      <c r="F2506" s="202"/>
      <c r="G2506" s="194"/>
      <c r="H2506" s="198"/>
      <c r="I2506" s="196"/>
      <c r="J2506" s="179" t="str">
        <f>IF(A2506="RAPPI",(VLOOKUP(TRIM(D2506), CATALOGO!F:G, 2, FALSE) * C2506)+I2506,IFERROR(IF(COUNTIF('RESTAURANTESDESCUENTOS 2026'!A:A,TRIM(A2506))&gt;0,((VLOOKUP(TRIM(D2506), CATALOGO!A:B, 2, FALSE) * C2506)*(1-VALUE(SUBSTITUTE(VLOOKUP(TRIM(A2506),'RESTAURANTESDESCUENTOS 2026'!A:B,2,FALSE),"%",""))/100)+I2506),(VLOOKUP(TRIM(D2506), CATALOGO!A:B, 2, FALSE) * C2506+I2506)),""))</f>
        <v/>
      </c>
      <c r="K2506" s="196"/>
      <c r="L2506" s="87"/>
      <c r="M2506" s="245"/>
      <c r="N2506" s="168"/>
    </row>
    <row r="2507" ht="22.5" hidden="1" customHeight="1">
      <c r="A2507" s="137"/>
      <c r="B2507" s="90"/>
      <c r="C2507" s="55"/>
      <c r="D2507" s="193"/>
      <c r="E2507" s="201"/>
      <c r="F2507" s="202"/>
      <c r="G2507" s="194"/>
      <c r="H2507" s="198"/>
      <c r="I2507" s="196"/>
      <c r="J2507" s="179" t="str">
        <f>IF(A2507="RAPPI",(VLOOKUP(TRIM(D2507), CATALOGO!F:G, 2, FALSE) * C2507)+I2507,IFERROR(IF(COUNTIF('RESTAURANTESDESCUENTOS 2026'!A:A,TRIM(A2507))&gt;0,((VLOOKUP(TRIM(D2507), CATALOGO!A:B, 2, FALSE) * C2507)*(1-VALUE(SUBSTITUTE(VLOOKUP(TRIM(A2507),'RESTAURANTESDESCUENTOS 2026'!A:B,2,FALSE),"%",""))/100)+I2507),(VLOOKUP(TRIM(D2507), CATALOGO!A:B, 2, FALSE) * C2507+I2507)),""))</f>
        <v/>
      </c>
      <c r="K2507" s="196"/>
      <c r="L2507" s="87"/>
      <c r="M2507" s="245"/>
      <c r="N2507" s="168"/>
    </row>
    <row r="2508" ht="22.5" hidden="1" customHeight="1">
      <c r="A2508" s="137"/>
      <c r="B2508" s="90"/>
      <c r="C2508" s="55"/>
      <c r="D2508" s="193"/>
      <c r="E2508" s="201"/>
      <c r="F2508" s="202"/>
      <c r="G2508" s="194"/>
      <c r="H2508" s="198"/>
      <c r="I2508" s="196"/>
      <c r="J2508" s="179" t="str">
        <f>IF(A2508="RAPPI",(VLOOKUP(TRIM(D2508), CATALOGO!F:G, 2, FALSE) * C2508)+I2508,IFERROR(IF(COUNTIF('RESTAURANTESDESCUENTOS 2026'!A:A,TRIM(A2508))&gt;0,((VLOOKUP(TRIM(D2508), CATALOGO!A:B, 2, FALSE) * C2508)*(1-VALUE(SUBSTITUTE(VLOOKUP(TRIM(A2508),'RESTAURANTESDESCUENTOS 2026'!A:B,2,FALSE),"%",""))/100)+I2508),(VLOOKUP(TRIM(D2508), CATALOGO!A:B, 2, FALSE) * C2508+I2508)),""))</f>
        <v/>
      </c>
      <c r="K2508" s="196"/>
      <c r="L2508" s="87"/>
      <c r="M2508" s="245"/>
      <c r="N2508" s="168"/>
    </row>
    <row r="2509" ht="22.5" hidden="1" customHeight="1">
      <c r="A2509" s="137"/>
      <c r="B2509" s="90"/>
      <c r="C2509" s="55"/>
      <c r="D2509" s="193"/>
      <c r="E2509" s="201"/>
      <c r="F2509" s="202"/>
      <c r="G2509" s="194"/>
      <c r="H2509" s="198"/>
      <c r="I2509" s="196"/>
      <c r="J2509" s="179" t="str">
        <f>IF(A2509="RAPPI",(VLOOKUP(TRIM(D2509), CATALOGO!F:G, 2, FALSE) * C2509)+I2509,IFERROR(IF(COUNTIF('RESTAURANTESDESCUENTOS 2026'!A:A,TRIM(A2509))&gt;0,((VLOOKUP(TRIM(D2509), CATALOGO!A:B, 2, FALSE) * C2509)*(1-VALUE(SUBSTITUTE(VLOOKUP(TRIM(A2509),'RESTAURANTESDESCUENTOS 2026'!A:B,2,FALSE),"%",""))/100)+I2509),(VLOOKUP(TRIM(D2509), CATALOGO!A:B, 2, FALSE) * C2509+I2509)),""))</f>
        <v/>
      </c>
      <c r="K2509" s="196"/>
      <c r="L2509" s="87"/>
      <c r="M2509" s="245"/>
      <c r="N2509" s="168"/>
    </row>
    <row r="2510" ht="22.5" hidden="1" customHeight="1">
      <c r="A2510" s="137"/>
      <c r="B2510" s="90"/>
      <c r="C2510" s="55"/>
      <c r="D2510" s="193"/>
      <c r="E2510" s="201"/>
      <c r="F2510" s="202"/>
      <c r="G2510" s="194"/>
      <c r="H2510" s="198"/>
      <c r="I2510" s="196"/>
      <c r="J2510" s="179" t="str">
        <f>IF(A2510="RAPPI",(VLOOKUP(TRIM(D2510), CATALOGO!F:G, 2, FALSE) * C2510)+I2510,IFERROR(IF(COUNTIF('RESTAURANTESDESCUENTOS 2026'!A:A,TRIM(A2510))&gt;0,((VLOOKUP(TRIM(D2510), CATALOGO!A:B, 2, FALSE) * C2510)*(1-VALUE(SUBSTITUTE(VLOOKUP(TRIM(A2510),'RESTAURANTESDESCUENTOS 2026'!A:B,2,FALSE),"%",""))/100)+I2510),(VLOOKUP(TRIM(D2510), CATALOGO!A:B, 2, FALSE) * C2510+I2510)),""))</f>
        <v/>
      </c>
      <c r="K2510" s="196"/>
      <c r="L2510" s="87"/>
      <c r="M2510" s="245"/>
      <c r="N2510" s="168"/>
    </row>
    <row r="2511" ht="22.5" hidden="1" customHeight="1">
      <c r="A2511" s="137"/>
      <c r="B2511" s="90"/>
      <c r="C2511" s="55"/>
      <c r="D2511" s="193"/>
      <c r="E2511" s="201"/>
      <c r="F2511" s="202"/>
      <c r="G2511" s="194"/>
      <c r="H2511" s="198"/>
      <c r="I2511" s="196"/>
      <c r="J2511" s="179" t="str">
        <f>IF(A2511="RAPPI",(VLOOKUP(TRIM(D2511), CATALOGO!F:G, 2, FALSE) * C2511)+I2511,IFERROR(IF(COUNTIF('RESTAURANTESDESCUENTOS 2026'!A:A,TRIM(A2511))&gt;0,((VLOOKUP(TRIM(D2511), CATALOGO!A:B, 2, FALSE) * C2511)*(1-VALUE(SUBSTITUTE(VLOOKUP(TRIM(A2511),'RESTAURANTESDESCUENTOS 2026'!A:B,2,FALSE),"%",""))/100)+I2511),(VLOOKUP(TRIM(D2511), CATALOGO!A:B, 2, FALSE) * C2511+I2511)),""))</f>
        <v/>
      </c>
      <c r="K2511" s="196"/>
      <c r="L2511" s="87"/>
      <c r="M2511" s="245"/>
      <c r="N2511" s="168"/>
    </row>
    <row r="2512" ht="22.5" hidden="1" customHeight="1">
      <c r="A2512" s="137"/>
      <c r="B2512" s="90"/>
      <c r="C2512" s="55"/>
      <c r="D2512" s="193"/>
      <c r="E2512" s="201"/>
      <c r="F2512" s="202"/>
      <c r="G2512" s="194"/>
      <c r="H2512" s="198"/>
      <c r="I2512" s="196"/>
      <c r="J2512" s="179" t="str">
        <f>IF(A2512="RAPPI",(VLOOKUP(TRIM(D2512), CATALOGO!F:G, 2, FALSE) * C2512)+I2512,IFERROR(IF(COUNTIF('RESTAURANTESDESCUENTOS 2026'!A:A,TRIM(A2512))&gt;0,((VLOOKUP(TRIM(D2512), CATALOGO!A:B, 2, FALSE) * C2512)*(1-VALUE(SUBSTITUTE(VLOOKUP(TRIM(A2512),'RESTAURANTESDESCUENTOS 2026'!A:B,2,FALSE),"%",""))/100)+I2512),(VLOOKUP(TRIM(D2512), CATALOGO!A:B, 2, FALSE) * C2512+I2512)),""))</f>
        <v/>
      </c>
      <c r="K2512" s="196"/>
      <c r="L2512" s="87"/>
      <c r="M2512" s="245"/>
      <c r="N2512" s="168"/>
    </row>
    <row r="2513" ht="22.5" hidden="1" customHeight="1">
      <c r="A2513" s="137"/>
      <c r="B2513" s="90"/>
      <c r="C2513" s="55"/>
      <c r="D2513" s="193"/>
      <c r="E2513" s="201"/>
      <c r="F2513" s="202"/>
      <c r="G2513" s="194"/>
      <c r="H2513" s="198"/>
      <c r="I2513" s="196"/>
      <c r="J2513" s="179" t="str">
        <f>IF(A2513="RAPPI",(VLOOKUP(TRIM(D2513), CATALOGO!F:G, 2, FALSE) * C2513)+I2513,IFERROR(IF(COUNTIF('RESTAURANTESDESCUENTOS 2026'!A:A,TRIM(A2513))&gt;0,((VLOOKUP(TRIM(D2513), CATALOGO!A:B, 2, FALSE) * C2513)*(1-VALUE(SUBSTITUTE(VLOOKUP(TRIM(A2513),'RESTAURANTESDESCUENTOS 2026'!A:B,2,FALSE),"%",""))/100)+I2513),(VLOOKUP(TRIM(D2513), CATALOGO!A:B, 2, FALSE) * C2513+I2513)),""))</f>
        <v/>
      </c>
      <c r="K2513" s="196"/>
      <c r="L2513" s="87"/>
      <c r="M2513" s="245"/>
      <c r="N2513" s="168"/>
    </row>
    <row r="2514" ht="22.5" hidden="1" customHeight="1">
      <c r="A2514" s="137"/>
      <c r="B2514" s="90"/>
      <c r="C2514" s="55"/>
      <c r="D2514" s="193"/>
      <c r="E2514" s="201"/>
      <c r="F2514" s="202"/>
      <c r="G2514" s="194"/>
      <c r="H2514" s="198"/>
      <c r="I2514" s="196"/>
      <c r="J2514" s="179" t="str">
        <f>IF(A2514="RAPPI",(VLOOKUP(TRIM(D2514), CATALOGO!F:G, 2, FALSE) * C2514)+I2514,IFERROR(IF(COUNTIF('RESTAURANTESDESCUENTOS 2026'!A:A,TRIM(A2514))&gt;0,((VLOOKUP(TRIM(D2514), CATALOGO!A:B, 2, FALSE) * C2514)*(1-VALUE(SUBSTITUTE(VLOOKUP(TRIM(A2514),'RESTAURANTESDESCUENTOS 2026'!A:B,2,FALSE),"%",""))/100)+I2514),(VLOOKUP(TRIM(D2514), CATALOGO!A:B, 2, FALSE) * C2514+I2514)),""))</f>
        <v/>
      </c>
      <c r="K2514" s="196"/>
      <c r="L2514" s="87"/>
      <c r="M2514" s="245"/>
      <c r="N2514" s="168"/>
    </row>
    <row r="2515" ht="22.5" hidden="1" customHeight="1">
      <c r="A2515" s="137"/>
      <c r="B2515" s="90"/>
      <c r="C2515" s="55"/>
      <c r="D2515" s="193"/>
      <c r="E2515" s="201"/>
      <c r="F2515" s="202"/>
      <c r="G2515" s="194"/>
      <c r="H2515" s="198"/>
      <c r="I2515" s="196"/>
      <c r="J2515" s="179" t="str">
        <f>IF(A2515="RAPPI",(VLOOKUP(TRIM(D2515), CATALOGO!F:G, 2, FALSE) * C2515)+I2515,IFERROR(IF(COUNTIF('RESTAURANTESDESCUENTOS 2026'!A:A,TRIM(A2515))&gt;0,((VLOOKUP(TRIM(D2515), CATALOGO!A:B, 2, FALSE) * C2515)*(1-VALUE(SUBSTITUTE(VLOOKUP(TRIM(A2515),'RESTAURANTESDESCUENTOS 2026'!A:B,2,FALSE),"%",""))/100)+I2515),(VLOOKUP(TRIM(D2515), CATALOGO!A:B, 2, FALSE) * C2515+I2515)),""))</f>
        <v/>
      </c>
      <c r="K2515" s="196"/>
      <c r="L2515" s="87"/>
      <c r="M2515" s="245"/>
      <c r="N2515" s="168"/>
    </row>
    <row r="2516" ht="22.5" hidden="1" customHeight="1">
      <c r="A2516" s="137"/>
      <c r="B2516" s="90"/>
      <c r="C2516" s="55"/>
      <c r="D2516" s="193"/>
      <c r="E2516" s="201"/>
      <c r="F2516" s="202"/>
      <c r="G2516" s="194"/>
      <c r="H2516" s="198"/>
      <c r="I2516" s="196"/>
      <c r="J2516" s="179" t="str">
        <f>IF(A2516="RAPPI",(VLOOKUP(TRIM(D2516), CATALOGO!F:G, 2, FALSE) * C2516)+I2516,IFERROR(IF(COUNTIF('RESTAURANTESDESCUENTOS 2026'!A:A,TRIM(A2516))&gt;0,((VLOOKUP(TRIM(D2516), CATALOGO!A:B, 2, FALSE) * C2516)*(1-VALUE(SUBSTITUTE(VLOOKUP(TRIM(A2516),'RESTAURANTESDESCUENTOS 2026'!A:B,2,FALSE),"%",""))/100)+I2516),(VLOOKUP(TRIM(D2516), CATALOGO!A:B, 2, FALSE) * C2516+I2516)),""))</f>
        <v/>
      </c>
      <c r="K2516" s="196"/>
      <c r="L2516" s="87"/>
      <c r="M2516" s="245"/>
      <c r="N2516" s="168"/>
    </row>
    <row r="2517" ht="22.5" hidden="1" customHeight="1">
      <c r="A2517" s="137"/>
      <c r="B2517" s="90"/>
      <c r="C2517" s="55"/>
      <c r="D2517" s="193"/>
      <c r="E2517" s="201"/>
      <c r="F2517" s="202"/>
      <c r="G2517" s="194"/>
      <c r="H2517" s="198"/>
      <c r="I2517" s="196"/>
      <c r="J2517" s="179" t="str">
        <f>IF(A2517="RAPPI",(VLOOKUP(TRIM(D2517), CATALOGO!F:G, 2, FALSE) * C2517)+I2517,IFERROR(IF(COUNTIF('RESTAURANTESDESCUENTOS 2026'!A:A,TRIM(A2517))&gt;0,((VLOOKUP(TRIM(D2517), CATALOGO!A:B, 2, FALSE) * C2517)*(1-VALUE(SUBSTITUTE(VLOOKUP(TRIM(A2517),'RESTAURANTESDESCUENTOS 2026'!A:B,2,FALSE),"%",""))/100)+I2517),(VLOOKUP(TRIM(D2517), CATALOGO!A:B, 2, FALSE) * C2517+I2517)),""))</f>
        <v/>
      </c>
      <c r="K2517" s="196"/>
      <c r="L2517" s="87"/>
      <c r="M2517" s="245"/>
      <c r="N2517" s="168"/>
    </row>
    <row r="2518" ht="22.5" hidden="1" customHeight="1">
      <c r="A2518" s="137"/>
      <c r="B2518" s="90"/>
      <c r="C2518" s="55"/>
      <c r="D2518" s="193"/>
      <c r="E2518" s="201"/>
      <c r="F2518" s="202"/>
      <c r="G2518" s="194"/>
      <c r="H2518" s="198"/>
      <c r="I2518" s="196"/>
      <c r="J2518" s="179" t="str">
        <f>IF(A2518="RAPPI",(VLOOKUP(TRIM(D2518), CATALOGO!F:G, 2, FALSE) * C2518)+I2518,IFERROR(IF(COUNTIF('RESTAURANTESDESCUENTOS 2026'!A:A,TRIM(A2518))&gt;0,((VLOOKUP(TRIM(D2518), CATALOGO!A:B, 2, FALSE) * C2518)*(1-VALUE(SUBSTITUTE(VLOOKUP(TRIM(A2518),'RESTAURANTESDESCUENTOS 2026'!A:B,2,FALSE),"%",""))/100)+I2518),(VLOOKUP(TRIM(D2518), CATALOGO!A:B, 2, FALSE) * C2518+I2518)),""))</f>
        <v/>
      </c>
      <c r="K2518" s="196"/>
      <c r="L2518" s="87"/>
      <c r="M2518" s="245"/>
      <c r="N2518" s="168"/>
    </row>
    <row r="2519" ht="22.5" hidden="1" customHeight="1">
      <c r="A2519" s="137"/>
      <c r="B2519" s="90"/>
      <c r="C2519" s="55"/>
      <c r="D2519" s="193"/>
      <c r="E2519" s="201"/>
      <c r="F2519" s="202"/>
      <c r="G2519" s="194"/>
      <c r="H2519" s="198"/>
      <c r="I2519" s="196"/>
      <c r="J2519" s="179" t="str">
        <f>IF(A2519="RAPPI",(VLOOKUP(TRIM(D2519), CATALOGO!F:G, 2, FALSE) * C2519)+I2519,IFERROR(IF(COUNTIF('RESTAURANTESDESCUENTOS 2026'!A:A,TRIM(A2519))&gt;0,((VLOOKUP(TRIM(D2519), CATALOGO!A:B, 2, FALSE) * C2519)*(1-VALUE(SUBSTITUTE(VLOOKUP(TRIM(A2519),'RESTAURANTESDESCUENTOS 2026'!A:B,2,FALSE),"%",""))/100)+I2519),(VLOOKUP(TRIM(D2519), CATALOGO!A:B, 2, FALSE) * C2519+I2519)),""))</f>
        <v/>
      </c>
      <c r="K2519" s="196"/>
      <c r="L2519" s="87"/>
      <c r="M2519" s="245"/>
      <c r="N2519" s="168"/>
    </row>
    <row r="2520" ht="22.5" hidden="1" customHeight="1">
      <c r="A2520" s="137"/>
      <c r="B2520" s="90"/>
      <c r="C2520" s="55"/>
      <c r="D2520" s="193"/>
      <c r="E2520" s="201"/>
      <c r="F2520" s="202"/>
      <c r="G2520" s="194"/>
      <c r="H2520" s="198"/>
      <c r="I2520" s="196"/>
      <c r="J2520" s="179" t="str">
        <f>IF(A2520="RAPPI",(VLOOKUP(TRIM(D2520), CATALOGO!F:G, 2, FALSE) * C2520)+I2520,IFERROR(IF(COUNTIF('RESTAURANTESDESCUENTOS 2026'!A:A,TRIM(A2520))&gt;0,((VLOOKUP(TRIM(D2520), CATALOGO!A:B, 2, FALSE) * C2520)*(1-VALUE(SUBSTITUTE(VLOOKUP(TRIM(A2520),'RESTAURANTESDESCUENTOS 2026'!A:B,2,FALSE),"%",""))/100)+I2520),(VLOOKUP(TRIM(D2520), CATALOGO!A:B, 2, FALSE) * C2520+I2520)),""))</f>
        <v/>
      </c>
      <c r="K2520" s="196"/>
      <c r="L2520" s="87"/>
      <c r="M2520" s="245"/>
      <c r="N2520" s="168"/>
    </row>
    <row r="2521" ht="22.5" hidden="1" customHeight="1">
      <c r="A2521" s="137"/>
      <c r="B2521" s="90"/>
      <c r="C2521" s="55"/>
      <c r="D2521" s="193"/>
      <c r="E2521" s="201"/>
      <c r="F2521" s="202"/>
      <c r="G2521" s="194"/>
      <c r="H2521" s="198"/>
      <c r="I2521" s="196"/>
      <c r="J2521" s="179" t="str">
        <f>IF(A2521="RAPPI",(VLOOKUP(TRIM(D2521), CATALOGO!F:G, 2, FALSE) * C2521)+I2521,IFERROR(IF(COUNTIF('RESTAURANTESDESCUENTOS 2026'!A:A,TRIM(A2521))&gt;0,((VLOOKUP(TRIM(D2521), CATALOGO!A:B, 2, FALSE) * C2521)*(1-VALUE(SUBSTITUTE(VLOOKUP(TRIM(A2521),'RESTAURANTESDESCUENTOS 2026'!A:B,2,FALSE),"%",""))/100)+I2521),(VLOOKUP(TRIM(D2521), CATALOGO!A:B, 2, FALSE) * C2521+I2521)),""))</f>
        <v/>
      </c>
      <c r="K2521" s="196"/>
      <c r="L2521" s="87"/>
      <c r="M2521" s="245"/>
      <c r="N2521" s="168"/>
    </row>
    <row r="2522" ht="22.5" hidden="1" customHeight="1">
      <c r="A2522" s="137"/>
      <c r="B2522" s="90"/>
      <c r="C2522" s="55"/>
      <c r="D2522" s="193"/>
      <c r="E2522" s="201"/>
      <c r="F2522" s="202"/>
      <c r="G2522" s="194"/>
      <c r="H2522" s="198"/>
      <c r="I2522" s="196"/>
      <c r="J2522" s="179" t="str">
        <f>IF(A2522="RAPPI",(VLOOKUP(TRIM(D2522), CATALOGO!F:G, 2, FALSE) * C2522)+I2522,IFERROR(IF(COUNTIF('RESTAURANTESDESCUENTOS 2026'!A:A,TRIM(A2522))&gt;0,((VLOOKUP(TRIM(D2522), CATALOGO!A:B, 2, FALSE) * C2522)*(1-VALUE(SUBSTITUTE(VLOOKUP(TRIM(A2522),'RESTAURANTESDESCUENTOS 2026'!A:B,2,FALSE),"%",""))/100)+I2522),(VLOOKUP(TRIM(D2522), CATALOGO!A:B, 2, FALSE) * C2522+I2522)),""))</f>
        <v/>
      </c>
      <c r="K2522" s="196"/>
      <c r="L2522" s="87"/>
      <c r="M2522" s="245"/>
      <c r="N2522" s="168"/>
    </row>
    <row r="2523" ht="22.5" hidden="1" customHeight="1">
      <c r="A2523" s="137"/>
      <c r="B2523" s="90"/>
      <c r="C2523" s="55"/>
      <c r="D2523" s="193"/>
      <c r="E2523" s="201"/>
      <c r="F2523" s="202"/>
      <c r="G2523" s="194"/>
      <c r="H2523" s="198"/>
      <c r="I2523" s="196"/>
      <c r="J2523" s="179" t="str">
        <f>IF(A2523="RAPPI",(VLOOKUP(TRIM(D2523), CATALOGO!F:G, 2, FALSE) * C2523)+I2523,IFERROR(IF(COUNTIF('RESTAURANTESDESCUENTOS 2026'!A:A,TRIM(A2523))&gt;0,((VLOOKUP(TRIM(D2523), CATALOGO!A:B, 2, FALSE) * C2523)*(1-VALUE(SUBSTITUTE(VLOOKUP(TRIM(A2523),'RESTAURANTESDESCUENTOS 2026'!A:B,2,FALSE),"%",""))/100)+I2523),(VLOOKUP(TRIM(D2523), CATALOGO!A:B, 2, FALSE) * C2523+I2523)),""))</f>
        <v/>
      </c>
      <c r="K2523" s="196"/>
      <c r="L2523" s="87"/>
      <c r="M2523" s="245"/>
      <c r="N2523" s="168"/>
    </row>
    <row r="2524" ht="22.5" hidden="1" customHeight="1">
      <c r="A2524" s="137"/>
      <c r="B2524" s="90"/>
      <c r="C2524" s="55"/>
      <c r="D2524" s="193"/>
      <c r="E2524" s="201"/>
      <c r="F2524" s="202"/>
      <c r="G2524" s="194"/>
      <c r="H2524" s="198"/>
      <c r="I2524" s="196"/>
      <c r="J2524" s="179" t="str">
        <f>IF(A2524="RAPPI",(VLOOKUP(TRIM(D2524), CATALOGO!F:G, 2, FALSE) * C2524)+I2524,IFERROR(IF(COUNTIF('RESTAURANTESDESCUENTOS 2026'!A:A,TRIM(A2524))&gt;0,((VLOOKUP(TRIM(D2524), CATALOGO!A:B, 2, FALSE) * C2524)*(1-VALUE(SUBSTITUTE(VLOOKUP(TRIM(A2524),'RESTAURANTESDESCUENTOS 2026'!A:B,2,FALSE),"%",""))/100)+I2524),(VLOOKUP(TRIM(D2524), CATALOGO!A:B, 2, FALSE) * C2524+I2524)),""))</f>
        <v/>
      </c>
      <c r="K2524" s="196"/>
      <c r="L2524" s="87"/>
      <c r="M2524" s="245"/>
      <c r="N2524" s="168"/>
    </row>
    <row r="2525" ht="22.5" hidden="1" customHeight="1">
      <c r="A2525" s="137"/>
      <c r="B2525" s="90"/>
      <c r="C2525" s="55"/>
      <c r="D2525" s="193"/>
      <c r="E2525" s="201"/>
      <c r="F2525" s="202"/>
      <c r="G2525" s="194"/>
      <c r="H2525" s="198"/>
      <c r="I2525" s="196"/>
      <c r="J2525" s="179" t="str">
        <f>IF(A2525="RAPPI",(VLOOKUP(TRIM(D2525), CATALOGO!F:G, 2, FALSE) * C2525)+I2525,IFERROR(IF(COUNTIF('RESTAURANTESDESCUENTOS 2026'!A:A,TRIM(A2525))&gt;0,((VLOOKUP(TRIM(D2525), CATALOGO!A:B, 2, FALSE) * C2525)*(1-VALUE(SUBSTITUTE(VLOOKUP(TRIM(A2525),'RESTAURANTESDESCUENTOS 2026'!A:B,2,FALSE),"%",""))/100)+I2525),(VLOOKUP(TRIM(D2525), CATALOGO!A:B, 2, FALSE) * C2525+I2525)),""))</f>
        <v/>
      </c>
      <c r="K2525" s="196"/>
      <c r="L2525" s="87"/>
      <c r="M2525" s="245"/>
      <c r="N2525" s="168"/>
    </row>
    <row r="2526" ht="22.5" hidden="1" customHeight="1">
      <c r="A2526" s="137"/>
      <c r="B2526" s="90"/>
      <c r="C2526" s="55"/>
      <c r="D2526" s="193"/>
      <c r="E2526" s="201"/>
      <c r="F2526" s="202"/>
      <c r="G2526" s="194"/>
      <c r="H2526" s="198"/>
      <c r="I2526" s="196"/>
      <c r="J2526" s="179" t="str">
        <f>IF(A2526="RAPPI",(VLOOKUP(TRIM(D2526), CATALOGO!F:G, 2, FALSE) * C2526)+I2526,IFERROR(IF(COUNTIF('RESTAURANTESDESCUENTOS 2026'!A:A,TRIM(A2526))&gt;0,((VLOOKUP(TRIM(D2526), CATALOGO!A:B, 2, FALSE) * C2526)*(1-VALUE(SUBSTITUTE(VLOOKUP(TRIM(A2526),'RESTAURANTESDESCUENTOS 2026'!A:B,2,FALSE),"%",""))/100)+I2526),(VLOOKUP(TRIM(D2526), CATALOGO!A:B, 2, FALSE) * C2526+I2526)),""))</f>
        <v/>
      </c>
      <c r="K2526" s="196"/>
      <c r="L2526" s="87"/>
      <c r="M2526" s="245"/>
      <c r="N2526" s="168"/>
    </row>
    <row r="2527" ht="22.5" hidden="1" customHeight="1">
      <c r="A2527" s="137"/>
      <c r="B2527" s="90"/>
      <c r="C2527" s="55"/>
      <c r="D2527" s="193"/>
      <c r="E2527" s="201"/>
      <c r="F2527" s="202"/>
      <c r="G2527" s="194"/>
      <c r="H2527" s="198"/>
      <c r="I2527" s="196"/>
      <c r="J2527" s="179" t="str">
        <f>IF(A2527="RAPPI",(VLOOKUP(TRIM(D2527), CATALOGO!F:G, 2, FALSE) * C2527)+I2527,IFERROR(IF(COUNTIF('RESTAURANTESDESCUENTOS 2026'!A:A,TRIM(A2527))&gt;0,((VLOOKUP(TRIM(D2527), CATALOGO!A:B, 2, FALSE) * C2527)*(1-VALUE(SUBSTITUTE(VLOOKUP(TRIM(A2527),'RESTAURANTESDESCUENTOS 2026'!A:B,2,FALSE),"%",""))/100)+I2527),(VLOOKUP(TRIM(D2527), CATALOGO!A:B, 2, FALSE) * C2527+I2527)),""))</f>
        <v/>
      </c>
      <c r="K2527" s="196"/>
      <c r="L2527" s="87"/>
      <c r="M2527" s="245"/>
      <c r="N2527" s="168"/>
    </row>
    <row r="2528" ht="22.5" hidden="1" customHeight="1">
      <c r="A2528" s="137"/>
      <c r="B2528" s="90"/>
      <c r="C2528" s="55"/>
      <c r="D2528" s="193"/>
      <c r="E2528" s="201"/>
      <c r="F2528" s="202"/>
      <c r="G2528" s="194"/>
      <c r="H2528" s="198"/>
      <c r="I2528" s="196"/>
      <c r="J2528" s="179" t="str">
        <f>IF(A2528="RAPPI",(VLOOKUP(TRIM(D2528), CATALOGO!F:G, 2, FALSE) * C2528)+I2528,IFERROR(IF(COUNTIF('RESTAURANTESDESCUENTOS 2026'!A:A,TRIM(A2528))&gt;0,((VLOOKUP(TRIM(D2528), CATALOGO!A:B, 2, FALSE) * C2528)*(1-VALUE(SUBSTITUTE(VLOOKUP(TRIM(A2528),'RESTAURANTESDESCUENTOS 2026'!A:B,2,FALSE),"%",""))/100)+I2528),(VLOOKUP(TRIM(D2528), CATALOGO!A:B, 2, FALSE) * C2528+I2528)),""))</f>
        <v/>
      </c>
      <c r="K2528" s="196"/>
      <c r="L2528" s="87"/>
      <c r="M2528" s="245"/>
      <c r="N2528" s="168"/>
    </row>
    <row r="2529" ht="22.5" hidden="1" customHeight="1">
      <c r="A2529" s="137"/>
      <c r="B2529" s="90"/>
      <c r="C2529" s="55"/>
      <c r="D2529" s="193"/>
      <c r="E2529" s="201"/>
      <c r="F2529" s="202"/>
      <c r="G2529" s="194"/>
      <c r="H2529" s="198"/>
      <c r="I2529" s="196"/>
      <c r="J2529" s="179" t="str">
        <f>IF(A2529="RAPPI",(VLOOKUP(TRIM(D2529), CATALOGO!F:G, 2, FALSE) * C2529)+I2529,IFERROR(IF(COUNTIF('RESTAURANTESDESCUENTOS 2026'!A:A,TRIM(A2529))&gt;0,((VLOOKUP(TRIM(D2529), CATALOGO!A:B, 2, FALSE) * C2529)*(1-VALUE(SUBSTITUTE(VLOOKUP(TRIM(A2529),'RESTAURANTESDESCUENTOS 2026'!A:B,2,FALSE),"%",""))/100)+I2529),(VLOOKUP(TRIM(D2529), CATALOGO!A:B, 2, FALSE) * C2529+I2529)),""))</f>
        <v/>
      </c>
      <c r="K2529" s="196"/>
      <c r="L2529" s="87"/>
      <c r="M2529" s="245"/>
      <c r="N2529" s="168"/>
    </row>
    <row r="2530" ht="22.5" hidden="1" customHeight="1">
      <c r="A2530" s="137"/>
      <c r="B2530" s="90"/>
      <c r="C2530" s="55"/>
      <c r="D2530" s="193"/>
      <c r="E2530" s="201"/>
      <c r="F2530" s="202"/>
      <c r="G2530" s="194"/>
      <c r="H2530" s="198"/>
      <c r="I2530" s="196"/>
      <c r="J2530" s="179" t="str">
        <f>IF(A2530="RAPPI",(VLOOKUP(TRIM(D2530), CATALOGO!F:G, 2, FALSE) * C2530)+I2530,IFERROR(IF(COUNTIF('RESTAURANTESDESCUENTOS 2026'!A:A,TRIM(A2530))&gt;0,((VLOOKUP(TRIM(D2530), CATALOGO!A:B, 2, FALSE) * C2530)*(1-VALUE(SUBSTITUTE(VLOOKUP(TRIM(A2530),'RESTAURANTESDESCUENTOS 2026'!A:B,2,FALSE),"%",""))/100)+I2530),(VLOOKUP(TRIM(D2530), CATALOGO!A:B, 2, FALSE) * C2530+I2530)),""))</f>
        <v/>
      </c>
      <c r="K2530" s="196"/>
      <c r="L2530" s="87"/>
      <c r="M2530" s="245"/>
      <c r="N2530" s="168"/>
    </row>
    <row r="2531" ht="22.5" hidden="1" customHeight="1">
      <c r="A2531" s="137"/>
      <c r="B2531" s="90"/>
      <c r="C2531" s="55"/>
      <c r="D2531" s="193"/>
      <c r="E2531" s="201"/>
      <c r="F2531" s="202"/>
      <c r="G2531" s="194"/>
      <c r="H2531" s="198"/>
      <c r="I2531" s="196"/>
      <c r="J2531" s="179" t="str">
        <f>IF(A2531="RAPPI",(VLOOKUP(TRIM(D2531), CATALOGO!F:G, 2, FALSE) * C2531)+I2531,IFERROR(IF(COUNTIF('RESTAURANTESDESCUENTOS 2026'!A:A,TRIM(A2531))&gt;0,((VLOOKUP(TRIM(D2531), CATALOGO!A:B, 2, FALSE) * C2531)*(1-VALUE(SUBSTITUTE(VLOOKUP(TRIM(A2531),'RESTAURANTESDESCUENTOS 2026'!A:B,2,FALSE),"%",""))/100)+I2531),(VLOOKUP(TRIM(D2531), CATALOGO!A:B, 2, FALSE) * C2531+I2531)),""))</f>
        <v/>
      </c>
      <c r="K2531" s="196"/>
      <c r="L2531" s="87"/>
      <c r="M2531" s="245"/>
      <c r="N2531" s="168"/>
    </row>
    <row r="2532" ht="22.5" hidden="1" customHeight="1">
      <c r="A2532" s="137"/>
      <c r="B2532" s="90"/>
      <c r="C2532" s="55"/>
      <c r="D2532" s="193"/>
      <c r="E2532" s="201"/>
      <c r="F2532" s="202"/>
      <c r="G2532" s="194"/>
      <c r="H2532" s="198"/>
      <c r="I2532" s="196"/>
      <c r="J2532" s="179" t="str">
        <f>IF(A2532="RAPPI",(VLOOKUP(TRIM(D2532), CATALOGO!F:G, 2, FALSE) * C2532)+I2532,IFERROR(IF(COUNTIF('RESTAURANTESDESCUENTOS 2026'!A:A,TRIM(A2532))&gt;0,((VLOOKUP(TRIM(D2532), CATALOGO!A:B, 2, FALSE) * C2532)*(1-VALUE(SUBSTITUTE(VLOOKUP(TRIM(A2532),'RESTAURANTESDESCUENTOS 2026'!A:B,2,FALSE),"%",""))/100)+I2532),(VLOOKUP(TRIM(D2532), CATALOGO!A:B, 2, FALSE) * C2532+I2532)),""))</f>
        <v/>
      </c>
      <c r="K2532" s="196"/>
      <c r="L2532" s="87"/>
      <c r="M2532" s="245"/>
      <c r="N2532" s="168"/>
    </row>
    <row r="2533" ht="22.5" hidden="1" customHeight="1">
      <c r="A2533" s="137"/>
      <c r="B2533" s="90"/>
      <c r="C2533" s="55"/>
      <c r="D2533" s="193"/>
      <c r="E2533" s="201"/>
      <c r="F2533" s="202"/>
      <c r="G2533" s="194"/>
      <c r="H2533" s="198"/>
      <c r="I2533" s="196"/>
      <c r="J2533" s="179" t="str">
        <f>IF(A2533="RAPPI",(VLOOKUP(TRIM(D2533), CATALOGO!F:G, 2, FALSE) * C2533)+I2533,IFERROR(IF(COUNTIF('RESTAURANTESDESCUENTOS 2026'!A:A,TRIM(A2533))&gt;0,((VLOOKUP(TRIM(D2533), CATALOGO!A:B, 2, FALSE) * C2533)*(1-VALUE(SUBSTITUTE(VLOOKUP(TRIM(A2533),'RESTAURANTESDESCUENTOS 2026'!A:B,2,FALSE),"%",""))/100)+I2533),(VLOOKUP(TRIM(D2533), CATALOGO!A:B, 2, FALSE) * C2533+I2533)),""))</f>
        <v/>
      </c>
      <c r="K2533" s="196"/>
      <c r="L2533" s="87"/>
      <c r="M2533" s="245"/>
      <c r="N2533" s="168"/>
    </row>
    <row r="2534" ht="22.5" hidden="1" customHeight="1">
      <c r="A2534" s="137"/>
      <c r="B2534" s="90"/>
      <c r="C2534" s="55"/>
      <c r="D2534" s="193"/>
      <c r="E2534" s="201"/>
      <c r="F2534" s="202"/>
      <c r="G2534" s="194"/>
      <c r="H2534" s="198"/>
      <c r="I2534" s="196"/>
      <c r="J2534" s="179" t="str">
        <f>IF(A2534="RAPPI",(VLOOKUP(TRIM(D2534), CATALOGO!F:G, 2, FALSE) * C2534)+I2534,IFERROR(IF(COUNTIF('RESTAURANTESDESCUENTOS 2026'!A:A,TRIM(A2534))&gt;0,((VLOOKUP(TRIM(D2534), CATALOGO!A:B, 2, FALSE) * C2534)*(1-VALUE(SUBSTITUTE(VLOOKUP(TRIM(A2534),'RESTAURANTESDESCUENTOS 2026'!A:B,2,FALSE),"%",""))/100)+I2534),(VLOOKUP(TRIM(D2534), CATALOGO!A:B, 2, FALSE) * C2534+I2534)),""))</f>
        <v/>
      </c>
      <c r="K2534" s="196"/>
      <c r="L2534" s="87"/>
      <c r="M2534" s="245"/>
      <c r="N2534" s="168"/>
    </row>
    <row r="2535" ht="22.5" hidden="1" customHeight="1">
      <c r="A2535" s="137"/>
      <c r="B2535" s="90"/>
      <c r="C2535" s="55"/>
      <c r="D2535" s="193"/>
      <c r="E2535" s="201"/>
      <c r="F2535" s="202"/>
      <c r="G2535" s="194"/>
      <c r="H2535" s="198"/>
      <c r="I2535" s="196"/>
      <c r="J2535" s="179" t="str">
        <f>IF(A2535="RAPPI",(VLOOKUP(TRIM(D2535), CATALOGO!F:G, 2, FALSE) * C2535)+I2535,IFERROR(IF(COUNTIF('RESTAURANTESDESCUENTOS 2026'!A:A,TRIM(A2535))&gt;0,((VLOOKUP(TRIM(D2535), CATALOGO!A:B, 2, FALSE) * C2535)*(1-VALUE(SUBSTITUTE(VLOOKUP(TRIM(A2535),'RESTAURANTESDESCUENTOS 2026'!A:B,2,FALSE),"%",""))/100)+I2535),(VLOOKUP(TRIM(D2535), CATALOGO!A:B, 2, FALSE) * C2535+I2535)),""))</f>
        <v/>
      </c>
      <c r="K2535" s="196"/>
      <c r="L2535" s="87"/>
      <c r="M2535" s="245"/>
      <c r="N2535" s="168"/>
    </row>
    <row r="2536" ht="22.5" hidden="1" customHeight="1">
      <c r="A2536" s="137"/>
      <c r="B2536" s="90"/>
      <c r="C2536" s="55"/>
      <c r="D2536" s="193"/>
      <c r="E2536" s="201"/>
      <c r="F2536" s="202"/>
      <c r="G2536" s="194"/>
      <c r="H2536" s="198"/>
      <c r="I2536" s="196"/>
      <c r="J2536" s="179" t="str">
        <f>IF(A2536="RAPPI",(VLOOKUP(TRIM(D2536), CATALOGO!F:G, 2, FALSE) * C2536)+I2536,IFERROR(IF(COUNTIF('RESTAURANTESDESCUENTOS 2026'!A:A,TRIM(A2536))&gt;0,((VLOOKUP(TRIM(D2536), CATALOGO!A:B, 2, FALSE) * C2536)*(1-VALUE(SUBSTITUTE(VLOOKUP(TRIM(A2536),'RESTAURANTESDESCUENTOS 2026'!A:B,2,FALSE),"%",""))/100)+I2536),(VLOOKUP(TRIM(D2536), CATALOGO!A:B, 2, FALSE) * C2536+I2536)),""))</f>
        <v/>
      </c>
      <c r="K2536" s="196"/>
      <c r="L2536" s="87"/>
      <c r="M2536" s="245"/>
      <c r="N2536" s="168"/>
    </row>
    <row r="2537" ht="22.5" hidden="1" customHeight="1">
      <c r="A2537" s="137"/>
      <c r="B2537" s="90"/>
      <c r="C2537" s="55"/>
      <c r="D2537" s="193"/>
      <c r="E2537" s="201"/>
      <c r="F2537" s="202"/>
      <c r="G2537" s="194"/>
      <c r="H2537" s="198"/>
      <c r="I2537" s="196"/>
      <c r="J2537" s="179" t="str">
        <f>IF(A2537="RAPPI",(VLOOKUP(TRIM(D2537), CATALOGO!F:G, 2, FALSE) * C2537)+I2537,IFERROR(IF(COUNTIF('RESTAURANTESDESCUENTOS 2026'!A:A,TRIM(A2537))&gt;0,((VLOOKUP(TRIM(D2537), CATALOGO!A:B, 2, FALSE) * C2537)*(1-VALUE(SUBSTITUTE(VLOOKUP(TRIM(A2537),'RESTAURANTESDESCUENTOS 2026'!A:B,2,FALSE),"%",""))/100)+I2537),(VLOOKUP(TRIM(D2537), CATALOGO!A:B, 2, FALSE) * C2537+I2537)),""))</f>
        <v/>
      </c>
      <c r="K2537" s="196"/>
      <c r="L2537" s="87"/>
      <c r="M2537" s="245"/>
      <c r="N2537" s="168"/>
    </row>
    <row r="2538" ht="22.5" hidden="1" customHeight="1">
      <c r="A2538" s="137"/>
      <c r="B2538" s="90"/>
      <c r="C2538" s="55"/>
      <c r="D2538" s="193"/>
      <c r="E2538" s="201"/>
      <c r="F2538" s="202"/>
      <c r="G2538" s="194"/>
      <c r="H2538" s="198"/>
      <c r="I2538" s="196"/>
      <c r="J2538" s="179" t="str">
        <f>IF(A2538="RAPPI",(VLOOKUP(TRIM(D2538), CATALOGO!F:G, 2, FALSE) * C2538)+I2538,IFERROR(IF(COUNTIF('RESTAURANTESDESCUENTOS 2026'!A:A,TRIM(A2538))&gt;0,((VLOOKUP(TRIM(D2538), CATALOGO!A:B, 2, FALSE) * C2538)*(1-VALUE(SUBSTITUTE(VLOOKUP(TRIM(A2538),'RESTAURANTESDESCUENTOS 2026'!A:B,2,FALSE),"%",""))/100)+I2538),(VLOOKUP(TRIM(D2538), CATALOGO!A:B, 2, FALSE) * C2538+I2538)),""))</f>
        <v/>
      </c>
      <c r="K2538" s="196"/>
      <c r="L2538" s="87"/>
      <c r="M2538" s="245"/>
      <c r="N2538" s="168"/>
    </row>
    <row r="2539" ht="22.5" hidden="1" customHeight="1">
      <c r="A2539" s="137"/>
      <c r="B2539" s="90"/>
      <c r="C2539" s="55"/>
      <c r="D2539" s="193"/>
      <c r="E2539" s="201"/>
      <c r="F2539" s="202"/>
      <c r="G2539" s="194"/>
      <c r="H2539" s="198"/>
      <c r="I2539" s="196"/>
      <c r="J2539" s="179" t="str">
        <f>IF(A2539="RAPPI",(VLOOKUP(TRIM(D2539), CATALOGO!F:G, 2, FALSE) * C2539)+I2539,IFERROR(IF(COUNTIF('RESTAURANTESDESCUENTOS 2026'!A:A,TRIM(A2539))&gt;0,((VLOOKUP(TRIM(D2539), CATALOGO!A:B, 2, FALSE) * C2539)*(1-VALUE(SUBSTITUTE(VLOOKUP(TRIM(A2539),'RESTAURANTESDESCUENTOS 2026'!A:B,2,FALSE),"%",""))/100)+I2539),(VLOOKUP(TRIM(D2539), CATALOGO!A:B, 2, FALSE) * C2539+I2539)),""))</f>
        <v/>
      </c>
      <c r="K2539" s="196"/>
      <c r="L2539" s="87"/>
      <c r="M2539" s="245"/>
      <c r="N2539" s="168"/>
    </row>
    <row r="2540" ht="22.5" hidden="1" customHeight="1">
      <c r="A2540" s="137"/>
      <c r="B2540" s="90"/>
      <c r="C2540" s="55"/>
      <c r="D2540" s="193"/>
      <c r="E2540" s="201"/>
      <c r="F2540" s="202"/>
      <c r="G2540" s="194"/>
      <c r="H2540" s="198"/>
      <c r="I2540" s="196"/>
      <c r="J2540" s="179" t="str">
        <f>IF(A2540="RAPPI",(VLOOKUP(TRIM(D2540), CATALOGO!F:G, 2, FALSE) * C2540)+I2540,IFERROR(IF(COUNTIF('RESTAURANTESDESCUENTOS 2026'!A:A,TRIM(A2540))&gt;0,((VLOOKUP(TRIM(D2540), CATALOGO!A:B, 2, FALSE) * C2540)*(1-VALUE(SUBSTITUTE(VLOOKUP(TRIM(A2540),'RESTAURANTESDESCUENTOS 2026'!A:B,2,FALSE),"%",""))/100)+I2540),(VLOOKUP(TRIM(D2540), CATALOGO!A:B, 2, FALSE) * C2540+I2540)),""))</f>
        <v/>
      </c>
      <c r="K2540" s="196"/>
      <c r="L2540" s="87"/>
      <c r="M2540" s="245"/>
      <c r="N2540" s="168"/>
    </row>
    <row r="2541" ht="22.5" hidden="1" customHeight="1">
      <c r="A2541" s="137"/>
      <c r="B2541" s="90"/>
      <c r="C2541" s="55"/>
      <c r="D2541" s="193"/>
      <c r="E2541" s="201"/>
      <c r="F2541" s="202"/>
      <c r="G2541" s="194"/>
      <c r="H2541" s="198"/>
      <c r="I2541" s="196"/>
      <c r="J2541" s="179" t="str">
        <f>IF(A2541="RAPPI",(VLOOKUP(TRIM(D2541), CATALOGO!F:G, 2, FALSE) * C2541)+I2541,IFERROR(IF(COUNTIF('RESTAURANTESDESCUENTOS 2026'!A:A,TRIM(A2541))&gt;0,((VLOOKUP(TRIM(D2541), CATALOGO!A:B, 2, FALSE) * C2541)*(1-VALUE(SUBSTITUTE(VLOOKUP(TRIM(A2541),'RESTAURANTESDESCUENTOS 2026'!A:B,2,FALSE),"%",""))/100)+I2541),(VLOOKUP(TRIM(D2541), CATALOGO!A:B, 2, FALSE) * C2541+I2541)),""))</f>
        <v/>
      </c>
      <c r="K2541" s="196"/>
      <c r="L2541" s="87"/>
      <c r="M2541" s="245"/>
      <c r="N2541" s="168"/>
    </row>
    <row r="2542" ht="22.5" hidden="1" customHeight="1">
      <c r="A2542" s="137"/>
      <c r="B2542" s="90"/>
      <c r="C2542" s="55"/>
      <c r="D2542" s="193"/>
      <c r="E2542" s="201"/>
      <c r="F2542" s="202"/>
      <c r="G2542" s="194"/>
      <c r="H2542" s="198"/>
      <c r="I2542" s="196"/>
      <c r="J2542" s="179" t="str">
        <f>IF(A2542="RAPPI",(VLOOKUP(TRIM(D2542), CATALOGO!F:G, 2, FALSE) * C2542)+I2542,IFERROR(IF(COUNTIF('RESTAURANTESDESCUENTOS 2026'!A:A,TRIM(A2542))&gt;0,((VLOOKUP(TRIM(D2542), CATALOGO!A:B, 2, FALSE) * C2542)*(1-VALUE(SUBSTITUTE(VLOOKUP(TRIM(A2542),'RESTAURANTESDESCUENTOS 2026'!A:B,2,FALSE),"%",""))/100)+I2542),(VLOOKUP(TRIM(D2542), CATALOGO!A:B, 2, FALSE) * C2542+I2542)),""))</f>
        <v/>
      </c>
      <c r="K2542" s="196"/>
      <c r="L2542" s="87"/>
      <c r="M2542" s="245"/>
      <c r="N2542" s="168"/>
    </row>
    <row r="2543" ht="22.5" hidden="1" customHeight="1">
      <c r="A2543" s="137"/>
      <c r="B2543" s="90"/>
      <c r="C2543" s="55"/>
      <c r="D2543" s="193"/>
      <c r="E2543" s="201"/>
      <c r="F2543" s="202"/>
      <c r="G2543" s="194"/>
      <c r="H2543" s="198"/>
      <c r="I2543" s="196"/>
      <c r="J2543" s="179" t="str">
        <f>IF(A2543="RAPPI",(VLOOKUP(TRIM(D2543), CATALOGO!F:G, 2, FALSE) * C2543)+I2543,IFERROR(IF(COUNTIF('RESTAURANTESDESCUENTOS 2026'!A:A,TRIM(A2543))&gt;0,((VLOOKUP(TRIM(D2543), CATALOGO!A:B, 2, FALSE) * C2543)*(1-VALUE(SUBSTITUTE(VLOOKUP(TRIM(A2543),'RESTAURANTESDESCUENTOS 2026'!A:B,2,FALSE),"%",""))/100)+I2543),(VLOOKUP(TRIM(D2543), CATALOGO!A:B, 2, FALSE) * C2543+I2543)),""))</f>
        <v/>
      </c>
      <c r="K2543" s="196"/>
      <c r="L2543" s="87"/>
      <c r="M2543" s="245"/>
      <c r="N2543" s="168"/>
    </row>
    <row r="2544" ht="22.5" hidden="1" customHeight="1">
      <c r="A2544" s="137"/>
      <c r="B2544" s="90"/>
      <c r="C2544" s="55"/>
      <c r="D2544" s="193"/>
      <c r="E2544" s="201"/>
      <c r="F2544" s="202"/>
      <c r="G2544" s="194"/>
      <c r="H2544" s="198"/>
      <c r="I2544" s="196"/>
      <c r="J2544" s="179" t="str">
        <f>IF(A2544="RAPPI",(VLOOKUP(TRIM(D2544), CATALOGO!F:G, 2, FALSE) * C2544)+I2544,IFERROR(IF(COUNTIF('RESTAURANTESDESCUENTOS 2026'!A:A,TRIM(A2544))&gt;0,((VLOOKUP(TRIM(D2544), CATALOGO!A:B, 2, FALSE) * C2544)*(1-VALUE(SUBSTITUTE(VLOOKUP(TRIM(A2544),'RESTAURANTESDESCUENTOS 2026'!A:B,2,FALSE),"%",""))/100)+I2544),(VLOOKUP(TRIM(D2544), CATALOGO!A:B, 2, FALSE) * C2544+I2544)),""))</f>
        <v/>
      </c>
      <c r="K2544" s="196"/>
      <c r="L2544" s="87"/>
      <c r="M2544" s="245"/>
      <c r="N2544" s="168"/>
    </row>
    <row r="2545" ht="22.5" hidden="1" customHeight="1">
      <c r="A2545" s="137"/>
      <c r="B2545" s="90"/>
      <c r="C2545" s="55"/>
      <c r="D2545" s="193"/>
      <c r="E2545" s="201"/>
      <c r="F2545" s="202"/>
      <c r="G2545" s="194"/>
      <c r="H2545" s="198"/>
      <c r="I2545" s="196"/>
      <c r="J2545" s="179" t="str">
        <f>IF(A2545="RAPPI",(VLOOKUP(TRIM(D2545), CATALOGO!F:G, 2, FALSE) * C2545)+I2545,IFERROR(IF(COUNTIF('RESTAURANTESDESCUENTOS 2026'!A:A,TRIM(A2545))&gt;0,((VLOOKUP(TRIM(D2545), CATALOGO!A:B, 2, FALSE) * C2545)*(1-VALUE(SUBSTITUTE(VLOOKUP(TRIM(A2545),'RESTAURANTESDESCUENTOS 2026'!A:B,2,FALSE),"%",""))/100)+I2545),(VLOOKUP(TRIM(D2545), CATALOGO!A:B, 2, FALSE) * C2545+I2545)),""))</f>
        <v/>
      </c>
      <c r="K2545" s="196"/>
      <c r="L2545" s="87"/>
      <c r="M2545" s="245"/>
      <c r="N2545" s="168"/>
    </row>
    <row r="2546" ht="22.5" hidden="1" customHeight="1">
      <c r="A2546" s="137"/>
      <c r="B2546" s="90"/>
      <c r="C2546" s="55"/>
      <c r="D2546" s="193"/>
      <c r="E2546" s="201"/>
      <c r="F2546" s="202"/>
      <c r="G2546" s="194"/>
      <c r="H2546" s="198"/>
      <c r="I2546" s="196"/>
      <c r="J2546" s="179" t="str">
        <f>IF(A2546="RAPPI",(VLOOKUP(TRIM(D2546), CATALOGO!F:G, 2, FALSE) * C2546)+I2546,IFERROR(IF(COUNTIF('RESTAURANTESDESCUENTOS 2026'!A:A,TRIM(A2546))&gt;0,((VLOOKUP(TRIM(D2546), CATALOGO!A:B, 2, FALSE) * C2546)*(1-VALUE(SUBSTITUTE(VLOOKUP(TRIM(A2546),'RESTAURANTESDESCUENTOS 2026'!A:B,2,FALSE),"%",""))/100)+I2546),(VLOOKUP(TRIM(D2546), CATALOGO!A:B, 2, FALSE) * C2546+I2546)),""))</f>
        <v/>
      </c>
      <c r="K2546" s="196"/>
      <c r="L2546" s="87"/>
      <c r="M2546" s="245"/>
      <c r="N2546" s="168"/>
    </row>
    <row r="2547" ht="22.5" hidden="1" customHeight="1">
      <c r="A2547" s="137"/>
      <c r="B2547" s="90"/>
      <c r="C2547" s="55"/>
      <c r="D2547" s="193"/>
      <c r="E2547" s="201"/>
      <c r="F2547" s="202"/>
      <c r="G2547" s="194"/>
      <c r="H2547" s="198"/>
      <c r="I2547" s="196"/>
      <c r="J2547" s="179" t="str">
        <f>IF(A2547="RAPPI",(VLOOKUP(TRIM(D2547), CATALOGO!F:G, 2, FALSE) * C2547)+I2547,IFERROR(IF(COUNTIF('RESTAURANTESDESCUENTOS 2026'!A:A,TRIM(A2547))&gt;0,((VLOOKUP(TRIM(D2547), CATALOGO!A:B, 2, FALSE) * C2547)*(1-VALUE(SUBSTITUTE(VLOOKUP(TRIM(A2547),'RESTAURANTESDESCUENTOS 2026'!A:B,2,FALSE),"%",""))/100)+I2547),(VLOOKUP(TRIM(D2547), CATALOGO!A:B, 2, FALSE) * C2547+I2547)),""))</f>
        <v/>
      </c>
      <c r="K2547" s="196"/>
      <c r="L2547" s="87"/>
      <c r="M2547" s="245"/>
      <c r="N2547" s="168"/>
    </row>
    <row r="2548" ht="22.5" hidden="1" customHeight="1">
      <c r="A2548" s="137"/>
      <c r="B2548" s="90"/>
      <c r="C2548" s="55"/>
      <c r="D2548" s="193"/>
      <c r="E2548" s="201"/>
      <c r="F2548" s="202"/>
      <c r="G2548" s="194"/>
      <c r="H2548" s="198"/>
      <c r="I2548" s="196"/>
      <c r="J2548" s="179" t="str">
        <f>IF(A2548="RAPPI",(VLOOKUP(TRIM(D2548), CATALOGO!F:G, 2, FALSE) * C2548)+I2548,IFERROR(IF(COUNTIF('RESTAURANTESDESCUENTOS 2026'!A:A,TRIM(A2548))&gt;0,((VLOOKUP(TRIM(D2548), CATALOGO!A:B, 2, FALSE) * C2548)*(1-VALUE(SUBSTITUTE(VLOOKUP(TRIM(A2548),'RESTAURANTESDESCUENTOS 2026'!A:B,2,FALSE),"%",""))/100)+I2548),(VLOOKUP(TRIM(D2548), CATALOGO!A:B, 2, FALSE) * C2548+I2548)),""))</f>
        <v/>
      </c>
      <c r="K2548" s="196"/>
      <c r="L2548" s="87"/>
      <c r="M2548" s="245"/>
      <c r="N2548" s="168"/>
    </row>
    <row r="2549" ht="22.5" hidden="1" customHeight="1">
      <c r="A2549" s="137"/>
      <c r="B2549" s="90"/>
      <c r="C2549" s="55"/>
      <c r="D2549" s="193"/>
      <c r="E2549" s="201"/>
      <c r="F2549" s="202"/>
      <c r="G2549" s="194"/>
      <c r="H2549" s="198"/>
      <c r="I2549" s="196"/>
      <c r="J2549" s="179" t="str">
        <f>IF(A2549="RAPPI",(VLOOKUP(TRIM(D2549), CATALOGO!F:G, 2, FALSE) * C2549)+I2549,IFERROR(IF(COUNTIF('RESTAURANTESDESCUENTOS 2026'!A:A,TRIM(A2549))&gt;0,((VLOOKUP(TRIM(D2549), CATALOGO!A:B, 2, FALSE) * C2549)*(1-VALUE(SUBSTITUTE(VLOOKUP(TRIM(A2549),'RESTAURANTESDESCUENTOS 2026'!A:B,2,FALSE),"%",""))/100)+I2549),(VLOOKUP(TRIM(D2549), CATALOGO!A:B, 2, FALSE) * C2549+I2549)),""))</f>
        <v/>
      </c>
      <c r="K2549" s="196"/>
      <c r="L2549" s="87"/>
      <c r="M2549" s="245"/>
      <c r="N2549" s="168"/>
    </row>
    <row r="2550" ht="22.5" hidden="1" customHeight="1">
      <c r="A2550" s="137"/>
      <c r="B2550" s="90"/>
      <c r="C2550" s="55"/>
      <c r="D2550" s="193"/>
      <c r="E2550" s="201"/>
      <c r="F2550" s="202"/>
      <c r="G2550" s="194"/>
      <c r="H2550" s="198"/>
      <c r="I2550" s="196"/>
      <c r="J2550" s="179" t="str">
        <f>IF(A2550="RAPPI",(VLOOKUP(TRIM(D2550), CATALOGO!F:G, 2, FALSE) * C2550)+I2550,IFERROR(IF(COUNTIF('RESTAURANTESDESCUENTOS 2026'!A:A,TRIM(A2550))&gt;0,((VLOOKUP(TRIM(D2550), CATALOGO!A:B, 2, FALSE) * C2550)*(1-VALUE(SUBSTITUTE(VLOOKUP(TRIM(A2550),'RESTAURANTESDESCUENTOS 2026'!A:B,2,FALSE),"%",""))/100)+I2550),(VLOOKUP(TRIM(D2550), CATALOGO!A:B, 2, FALSE) * C2550+I2550)),""))</f>
        <v/>
      </c>
      <c r="K2550" s="196"/>
      <c r="L2550" s="87"/>
      <c r="M2550" s="245"/>
      <c r="N2550" s="168"/>
    </row>
    <row r="2551" ht="22.5" hidden="1" customHeight="1">
      <c r="A2551" s="137"/>
      <c r="B2551" s="90"/>
      <c r="C2551" s="55"/>
      <c r="D2551" s="193"/>
      <c r="E2551" s="201"/>
      <c r="F2551" s="202"/>
      <c r="G2551" s="194"/>
      <c r="H2551" s="198"/>
      <c r="I2551" s="196"/>
      <c r="J2551" s="179" t="str">
        <f>IF(A2551="RAPPI",(VLOOKUP(TRIM(D2551), CATALOGO!F:G, 2, FALSE) * C2551)+I2551,IFERROR(IF(COUNTIF('RESTAURANTESDESCUENTOS 2026'!A:A,TRIM(A2551))&gt;0,((VLOOKUP(TRIM(D2551), CATALOGO!A:B, 2, FALSE) * C2551)*(1-VALUE(SUBSTITUTE(VLOOKUP(TRIM(A2551),'RESTAURANTESDESCUENTOS 2026'!A:B,2,FALSE),"%",""))/100)+I2551),(VLOOKUP(TRIM(D2551), CATALOGO!A:B, 2, FALSE) * C2551+I2551)),""))</f>
        <v/>
      </c>
      <c r="K2551" s="196"/>
      <c r="L2551" s="87"/>
      <c r="M2551" s="245"/>
      <c r="N2551" s="168"/>
    </row>
    <row r="2552" ht="22.5" hidden="1" customHeight="1">
      <c r="A2552" s="137"/>
      <c r="B2552" s="90"/>
      <c r="C2552" s="55"/>
      <c r="D2552" s="193"/>
      <c r="E2552" s="201"/>
      <c r="F2552" s="202"/>
      <c r="G2552" s="194"/>
      <c r="H2552" s="198"/>
      <c r="I2552" s="196"/>
      <c r="J2552" s="179" t="str">
        <f>IF(A2552="RAPPI",(VLOOKUP(TRIM(D2552), CATALOGO!F:G, 2, FALSE) * C2552)+I2552,IFERROR(IF(COUNTIF('RESTAURANTESDESCUENTOS 2026'!A:A,TRIM(A2552))&gt;0,((VLOOKUP(TRIM(D2552), CATALOGO!A:B, 2, FALSE) * C2552)*(1-VALUE(SUBSTITUTE(VLOOKUP(TRIM(A2552),'RESTAURANTESDESCUENTOS 2026'!A:B,2,FALSE),"%",""))/100)+I2552),(VLOOKUP(TRIM(D2552), CATALOGO!A:B, 2, FALSE) * C2552+I2552)),""))</f>
        <v/>
      </c>
      <c r="K2552" s="196"/>
      <c r="L2552" s="87"/>
      <c r="M2552" s="245"/>
      <c r="N2552" s="168"/>
    </row>
    <row r="2553" ht="22.5" hidden="1" customHeight="1">
      <c r="A2553" s="137"/>
      <c r="B2553" s="90"/>
      <c r="C2553" s="55"/>
      <c r="D2553" s="193"/>
      <c r="E2553" s="201"/>
      <c r="F2553" s="202"/>
      <c r="G2553" s="194"/>
      <c r="H2553" s="198"/>
      <c r="I2553" s="196"/>
      <c r="J2553" s="179" t="str">
        <f>IF(A2553="RAPPI",(VLOOKUP(TRIM(D2553), CATALOGO!F:G, 2, FALSE) * C2553)+I2553,IFERROR(IF(COUNTIF('RESTAURANTESDESCUENTOS 2026'!A:A,TRIM(A2553))&gt;0,((VLOOKUP(TRIM(D2553), CATALOGO!A:B, 2, FALSE) * C2553)*(1-VALUE(SUBSTITUTE(VLOOKUP(TRIM(A2553),'RESTAURANTESDESCUENTOS 2026'!A:B,2,FALSE),"%",""))/100)+I2553),(VLOOKUP(TRIM(D2553), CATALOGO!A:B, 2, FALSE) * C2553+I2553)),""))</f>
        <v/>
      </c>
      <c r="K2553" s="196"/>
      <c r="L2553" s="87"/>
      <c r="M2553" s="245"/>
      <c r="N2553" s="168"/>
    </row>
    <row r="2554" ht="22.5" hidden="1" customHeight="1">
      <c r="A2554" s="137"/>
      <c r="B2554" s="90"/>
      <c r="C2554" s="55"/>
      <c r="D2554" s="193"/>
      <c r="E2554" s="201"/>
      <c r="F2554" s="202"/>
      <c r="G2554" s="194"/>
      <c r="H2554" s="198"/>
      <c r="I2554" s="196"/>
      <c r="J2554" s="179" t="str">
        <f>IF(A2554="RAPPI",(VLOOKUP(TRIM(D2554), CATALOGO!F:G, 2, FALSE) * C2554)+I2554,IFERROR(IF(COUNTIF('RESTAURANTESDESCUENTOS 2026'!A:A,TRIM(A2554))&gt;0,((VLOOKUP(TRIM(D2554), CATALOGO!A:B, 2, FALSE) * C2554)*(1-VALUE(SUBSTITUTE(VLOOKUP(TRIM(A2554),'RESTAURANTESDESCUENTOS 2026'!A:B,2,FALSE),"%",""))/100)+I2554),(VLOOKUP(TRIM(D2554), CATALOGO!A:B, 2, FALSE) * C2554+I2554)),""))</f>
        <v/>
      </c>
      <c r="K2554" s="196"/>
      <c r="L2554" s="87"/>
      <c r="M2554" s="245"/>
      <c r="N2554" s="168"/>
    </row>
    <row r="2555" ht="22.5" hidden="1" customHeight="1">
      <c r="A2555" s="137"/>
      <c r="B2555" s="90"/>
      <c r="C2555" s="55"/>
      <c r="D2555" s="193"/>
      <c r="E2555" s="201"/>
      <c r="F2555" s="202"/>
      <c r="G2555" s="194"/>
      <c r="H2555" s="198"/>
      <c r="I2555" s="196"/>
      <c r="J2555" s="179" t="str">
        <f>IF(A2555="RAPPI",(VLOOKUP(TRIM(D2555), CATALOGO!F:G, 2, FALSE) * C2555)+I2555,IFERROR(IF(COUNTIF('RESTAURANTESDESCUENTOS 2026'!A:A,TRIM(A2555))&gt;0,((VLOOKUP(TRIM(D2555), CATALOGO!A:B, 2, FALSE) * C2555)*(1-VALUE(SUBSTITUTE(VLOOKUP(TRIM(A2555),'RESTAURANTESDESCUENTOS 2026'!A:B,2,FALSE),"%",""))/100)+I2555),(VLOOKUP(TRIM(D2555), CATALOGO!A:B, 2, FALSE) * C2555+I2555)),""))</f>
        <v/>
      </c>
      <c r="K2555" s="196"/>
      <c r="L2555" s="87"/>
      <c r="M2555" s="245"/>
      <c r="N2555" s="168"/>
    </row>
    <row r="2556" ht="22.5" hidden="1" customHeight="1">
      <c r="A2556" s="137"/>
      <c r="B2556" s="90"/>
      <c r="C2556" s="55"/>
      <c r="D2556" s="193"/>
      <c r="E2556" s="201"/>
      <c r="F2556" s="202"/>
      <c r="G2556" s="194"/>
      <c r="H2556" s="198"/>
      <c r="I2556" s="196"/>
      <c r="J2556" s="179" t="str">
        <f>IF(A2556="RAPPI",(VLOOKUP(TRIM(D2556), CATALOGO!F:G, 2, FALSE) * C2556)+I2556,IFERROR(IF(COUNTIF('RESTAURANTESDESCUENTOS 2026'!A:A,TRIM(A2556))&gt;0,((VLOOKUP(TRIM(D2556), CATALOGO!A:B, 2, FALSE) * C2556)*(1-VALUE(SUBSTITUTE(VLOOKUP(TRIM(A2556),'RESTAURANTESDESCUENTOS 2026'!A:B,2,FALSE),"%",""))/100)+I2556),(VLOOKUP(TRIM(D2556), CATALOGO!A:B, 2, FALSE) * C2556+I2556)),""))</f>
        <v/>
      </c>
      <c r="K2556" s="196"/>
      <c r="L2556" s="87"/>
      <c r="M2556" s="245"/>
      <c r="N2556" s="168"/>
    </row>
    <row r="2557" ht="22.5" hidden="1" customHeight="1">
      <c r="A2557" s="137"/>
      <c r="B2557" s="90"/>
      <c r="C2557" s="55"/>
      <c r="D2557" s="193"/>
      <c r="E2557" s="201"/>
      <c r="F2557" s="202"/>
      <c r="G2557" s="194"/>
      <c r="H2557" s="198"/>
      <c r="I2557" s="196"/>
      <c r="J2557" s="179" t="str">
        <f>IF(A2557="RAPPI",(VLOOKUP(TRIM(D2557), CATALOGO!F:G, 2, FALSE) * C2557)+I2557,IFERROR(IF(COUNTIF('RESTAURANTESDESCUENTOS 2026'!A:A,TRIM(A2557))&gt;0,((VLOOKUP(TRIM(D2557), CATALOGO!A:B, 2, FALSE) * C2557)*(1-VALUE(SUBSTITUTE(VLOOKUP(TRIM(A2557),'RESTAURANTESDESCUENTOS 2026'!A:B,2,FALSE),"%",""))/100)+I2557),(VLOOKUP(TRIM(D2557), CATALOGO!A:B, 2, FALSE) * C2557+I2557)),""))</f>
        <v/>
      </c>
      <c r="K2557" s="196"/>
      <c r="L2557" s="87"/>
      <c r="M2557" s="245"/>
      <c r="N2557" s="168"/>
    </row>
    <row r="2558" ht="22.5" hidden="1" customHeight="1">
      <c r="A2558" s="137"/>
      <c r="B2558" s="90"/>
      <c r="C2558" s="55"/>
      <c r="D2558" s="193"/>
      <c r="E2558" s="201"/>
      <c r="F2558" s="202"/>
      <c r="G2558" s="194"/>
      <c r="H2558" s="198"/>
      <c r="I2558" s="196"/>
      <c r="J2558" s="179" t="str">
        <f>IF(A2558="RAPPI",(VLOOKUP(TRIM(D2558), CATALOGO!F:G, 2, FALSE) * C2558)+I2558,IFERROR(IF(COUNTIF('RESTAURANTESDESCUENTOS 2026'!A:A,TRIM(A2558))&gt;0,((VLOOKUP(TRIM(D2558), CATALOGO!A:B, 2, FALSE) * C2558)*(1-VALUE(SUBSTITUTE(VLOOKUP(TRIM(A2558),'RESTAURANTESDESCUENTOS 2026'!A:B,2,FALSE),"%",""))/100)+I2558),(VLOOKUP(TRIM(D2558), CATALOGO!A:B, 2, FALSE) * C2558+I2558)),""))</f>
        <v/>
      </c>
      <c r="K2558" s="196"/>
      <c r="L2558" s="87"/>
      <c r="M2558" s="245"/>
      <c r="N2558" s="168"/>
    </row>
    <row r="2559" ht="22.5" hidden="1" customHeight="1">
      <c r="A2559" s="137"/>
      <c r="B2559" s="90"/>
      <c r="C2559" s="55"/>
      <c r="D2559" s="193"/>
      <c r="E2559" s="201"/>
      <c r="F2559" s="202"/>
      <c r="G2559" s="194"/>
      <c r="H2559" s="198"/>
      <c r="I2559" s="196"/>
      <c r="J2559" s="179" t="str">
        <f>IF(A2559="RAPPI",(VLOOKUP(TRIM(D2559), CATALOGO!F:G, 2, FALSE) * C2559)+I2559,IFERROR(IF(COUNTIF('RESTAURANTESDESCUENTOS 2026'!A:A,TRIM(A2559))&gt;0,((VLOOKUP(TRIM(D2559), CATALOGO!A:B, 2, FALSE) * C2559)*(1-VALUE(SUBSTITUTE(VLOOKUP(TRIM(A2559),'RESTAURANTESDESCUENTOS 2026'!A:B,2,FALSE),"%",""))/100)+I2559),(VLOOKUP(TRIM(D2559), CATALOGO!A:B, 2, FALSE) * C2559+I2559)),""))</f>
        <v/>
      </c>
      <c r="K2559" s="196"/>
      <c r="L2559" s="87"/>
      <c r="M2559" s="245"/>
      <c r="N2559" s="168"/>
    </row>
    <row r="2560" ht="22.5" hidden="1" customHeight="1">
      <c r="A2560" s="137"/>
      <c r="B2560" s="90"/>
      <c r="C2560" s="55"/>
      <c r="D2560" s="193"/>
      <c r="E2560" s="201"/>
      <c r="F2560" s="202"/>
      <c r="G2560" s="194"/>
      <c r="H2560" s="198"/>
      <c r="I2560" s="196"/>
      <c r="J2560" s="179" t="str">
        <f>IF(A2560="RAPPI",(VLOOKUP(TRIM(D2560), CATALOGO!F:G, 2, FALSE) * C2560)+I2560,IFERROR(IF(COUNTIF('RESTAURANTESDESCUENTOS 2026'!A:A,TRIM(A2560))&gt;0,((VLOOKUP(TRIM(D2560), CATALOGO!A:B, 2, FALSE) * C2560)*(1-VALUE(SUBSTITUTE(VLOOKUP(TRIM(A2560),'RESTAURANTESDESCUENTOS 2026'!A:B,2,FALSE),"%",""))/100)+I2560),(VLOOKUP(TRIM(D2560), CATALOGO!A:B, 2, FALSE) * C2560+I2560)),""))</f>
        <v/>
      </c>
      <c r="K2560" s="196"/>
      <c r="L2560" s="87"/>
      <c r="M2560" s="245"/>
      <c r="N2560" s="168"/>
    </row>
    <row r="2561" ht="22.5" hidden="1" customHeight="1">
      <c r="A2561" s="137"/>
      <c r="B2561" s="90"/>
      <c r="C2561" s="55"/>
      <c r="D2561" s="193"/>
      <c r="E2561" s="201"/>
      <c r="F2561" s="202"/>
      <c r="G2561" s="194"/>
      <c r="H2561" s="198"/>
      <c r="I2561" s="196"/>
      <c r="J2561" s="179" t="str">
        <f>IF(A2561="RAPPI",(VLOOKUP(TRIM(D2561), CATALOGO!F:G, 2, FALSE) * C2561)+I2561,IFERROR(IF(COUNTIF('RESTAURANTESDESCUENTOS 2026'!A:A,TRIM(A2561))&gt;0,((VLOOKUP(TRIM(D2561), CATALOGO!A:B, 2, FALSE) * C2561)*(1-VALUE(SUBSTITUTE(VLOOKUP(TRIM(A2561),'RESTAURANTESDESCUENTOS 2026'!A:B,2,FALSE),"%",""))/100)+I2561),(VLOOKUP(TRIM(D2561), CATALOGO!A:B, 2, FALSE) * C2561+I2561)),""))</f>
        <v/>
      </c>
      <c r="K2561" s="196"/>
      <c r="L2561" s="87"/>
      <c r="M2561" s="245"/>
      <c r="N2561" s="168"/>
    </row>
    <row r="2562" ht="22.5" hidden="1" customHeight="1">
      <c r="A2562" s="137"/>
      <c r="B2562" s="90"/>
      <c r="C2562" s="55"/>
      <c r="D2562" s="193"/>
      <c r="E2562" s="201"/>
      <c r="F2562" s="202"/>
      <c r="G2562" s="194"/>
      <c r="H2562" s="198"/>
      <c r="I2562" s="196"/>
      <c r="J2562" s="179" t="str">
        <f>IF(A2562="RAPPI",(VLOOKUP(TRIM(D2562), CATALOGO!F:G, 2, FALSE) * C2562)+I2562,IFERROR(IF(COUNTIF('RESTAURANTESDESCUENTOS 2026'!A:A,TRIM(A2562))&gt;0,((VLOOKUP(TRIM(D2562), CATALOGO!A:B, 2, FALSE) * C2562)*(1-VALUE(SUBSTITUTE(VLOOKUP(TRIM(A2562),'RESTAURANTESDESCUENTOS 2026'!A:B,2,FALSE),"%",""))/100)+I2562),(VLOOKUP(TRIM(D2562), CATALOGO!A:B, 2, FALSE) * C2562+I2562)),""))</f>
        <v/>
      </c>
      <c r="K2562" s="196"/>
      <c r="L2562" s="87"/>
      <c r="M2562" s="245"/>
      <c r="N2562" s="168"/>
    </row>
    <row r="2563" ht="22.5" hidden="1" customHeight="1">
      <c r="A2563" s="137"/>
      <c r="B2563" s="90"/>
      <c r="C2563" s="55"/>
      <c r="D2563" s="193"/>
      <c r="E2563" s="201"/>
      <c r="F2563" s="202"/>
      <c r="G2563" s="194"/>
      <c r="H2563" s="198"/>
      <c r="I2563" s="196"/>
      <c r="J2563" s="179" t="str">
        <f>IF(A2563="RAPPI",(VLOOKUP(TRIM(D2563), CATALOGO!F:G, 2, FALSE) * C2563)+I2563,IFERROR(IF(COUNTIF('RESTAURANTESDESCUENTOS 2026'!A:A,TRIM(A2563))&gt;0,((VLOOKUP(TRIM(D2563), CATALOGO!A:B, 2, FALSE) * C2563)*(1-VALUE(SUBSTITUTE(VLOOKUP(TRIM(A2563),'RESTAURANTESDESCUENTOS 2026'!A:B,2,FALSE),"%",""))/100)+I2563),(VLOOKUP(TRIM(D2563), CATALOGO!A:B, 2, FALSE) * C2563+I2563)),""))</f>
        <v/>
      </c>
      <c r="K2563" s="196"/>
      <c r="L2563" s="87"/>
      <c r="M2563" s="245"/>
      <c r="N2563" s="168"/>
    </row>
    <row r="2564" ht="22.5" hidden="1" customHeight="1">
      <c r="A2564" s="137"/>
      <c r="B2564" s="90"/>
      <c r="C2564" s="55"/>
      <c r="D2564" s="193"/>
      <c r="E2564" s="201"/>
      <c r="F2564" s="202"/>
      <c r="G2564" s="194"/>
      <c r="H2564" s="198"/>
      <c r="I2564" s="196"/>
      <c r="J2564" s="179" t="str">
        <f>IF(A2564="RAPPI",(VLOOKUP(TRIM(D2564), CATALOGO!F:G, 2, FALSE) * C2564)+I2564,IFERROR(IF(COUNTIF('RESTAURANTESDESCUENTOS 2026'!A:A,TRIM(A2564))&gt;0,((VLOOKUP(TRIM(D2564), CATALOGO!A:B, 2, FALSE) * C2564)*(1-VALUE(SUBSTITUTE(VLOOKUP(TRIM(A2564),'RESTAURANTESDESCUENTOS 2026'!A:B,2,FALSE),"%",""))/100)+I2564),(VLOOKUP(TRIM(D2564), CATALOGO!A:B, 2, FALSE) * C2564+I2564)),""))</f>
        <v/>
      </c>
      <c r="K2564" s="196"/>
      <c r="L2564" s="87"/>
      <c r="M2564" s="245"/>
      <c r="N2564" s="168"/>
    </row>
    <row r="2565" ht="22.5" hidden="1" customHeight="1">
      <c r="A2565" s="137"/>
      <c r="B2565" s="90"/>
      <c r="C2565" s="55"/>
      <c r="D2565" s="193"/>
      <c r="E2565" s="201"/>
      <c r="F2565" s="202"/>
      <c r="G2565" s="194"/>
      <c r="H2565" s="198"/>
      <c r="I2565" s="196"/>
      <c r="J2565" s="179" t="str">
        <f>IF(A2565="RAPPI",(VLOOKUP(TRIM(D2565), CATALOGO!F:G, 2, FALSE) * C2565)+I2565,IFERROR(IF(COUNTIF('RESTAURANTESDESCUENTOS 2026'!A:A,TRIM(A2565))&gt;0,((VLOOKUP(TRIM(D2565), CATALOGO!A:B, 2, FALSE) * C2565)*(1-VALUE(SUBSTITUTE(VLOOKUP(TRIM(A2565),'RESTAURANTESDESCUENTOS 2026'!A:B,2,FALSE),"%",""))/100)+I2565),(VLOOKUP(TRIM(D2565), CATALOGO!A:B, 2, FALSE) * C2565+I2565)),""))</f>
        <v/>
      </c>
      <c r="K2565" s="196"/>
      <c r="L2565" s="87"/>
      <c r="M2565" s="245"/>
      <c r="N2565" s="168"/>
    </row>
    <row r="2566" ht="22.5" hidden="1" customHeight="1">
      <c r="A2566" s="137"/>
      <c r="B2566" s="90"/>
      <c r="C2566" s="55"/>
      <c r="D2566" s="193"/>
      <c r="E2566" s="201"/>
      <c r="F2566" s="202"/>
      <c r="G2566" s="194"/>
      <c r="H2566" s="198"/>
      <c r="I2566" s="196"/>
      <c r="J2566" s="179" t="str">
        <f>IF(A2566="RAPPI",(VLOOKUP(TRIM(D2566), CATALOGO!F:G, 2, FALSE) * C2566)+I2566,IFERROR(IF(COUNTIF('RESTAURANTESDESCUENTOS 2026'!A:A,TRIM(A2566))&gt;0,((VLOOKUP(TRIM(D2566), CATALOGO!A:B, 2, FALSE) * C2566)*(1-VALUE(SUBSTITUTE(VLOOKUP(TRIM(A2566),'RESTAURANTESDESCUENTOS 2026'!A:B,2,FALSE),"%",""))/100)+I2566),(VLOOKUP(TRIM(D2566), CATALOGO!A:B, 2, FALSE) * C2566+I2566)),""))</f>
        <v/>
      </c>
      <c r="K2566" s="196"/>
      <c r="L2566" s="87"/>
      <c r="M2566" s="245"/>
      <c r="N2566" s="168"/>
    </row>
    <row r="2567" ht="22.5" hidden="1" customHeight="1">
      <c r="A2567" s="137"/>
      <c r="B2567" s="90"/>
      <c r="C2567" s="55"/>
      <c r="D2567" s="193"/>
      <c r="E2567" s="201"/>
      <c r="F2567" s="202"/>
      <c r="G2567" s="194"/>
      <c r="H2567" s="198"/>
      <c r="I2567" s="196"/>
      <c r="J2567" s="179" t="str">
        <f>IF(A2567="RAPPI",(VLOOKUP(TRIM(D2567), CATALOGO!F:G, 2, FALSE) * C2567)+I2567,IFERROR(IF(COUNTIF('RESTAURANTESDESCUENTOS 2026'!A:A,TRIM(A2567))&gt;0,((VLOOKUP(TRIM(D2567), CATALOGO!A:B, 2, FALSE) * C2567)*(1-VALUE(SUBSTITUTE(VLOOKUP(TRIM(A2567),'RESTAURANTESDESCUENTOS 2026'!A:B,2,FALSE),"%",""))/100)+I2567),(VLOOKUP(TRIM(D2567), CATALOGO!A:B, 2, FALSE) * C2567+I2567)),""))</f>
        <v/>
      </c>
      <c r="K2567" s="196"/>
      <c r="L2567" s="87"/>
      <c r="M2567" s="245"/>
      <c r="N2567" s="168"/>
    </row>
    <row r="2568" ht="22.5" hidden="1" customHeight="1">
      <c r="A2568" s="137"/>
      <c r="B2568" s="90"/>
      <c r="C2568" s="55"/>
      <c r="D2568" s="193"/>
      <c r="E2568" s="201"/>
      <c r="F2568" s="202"/>
      <c r="G2568" s="194"/>
      <c r="H2568" s="198"/>
      <c r="I2568" s="196"/>
      <c r="J2568" s="179" t="str">
        <f>IF(A2568="RAPPI",(VLOOKUP(TRIM(D2568), CATALOGO!F:G, 2, FALSE) * C2568)+I2568,IFERROR(IF(COUNTIF('RESTAURANTESDESCUENTOS 2026'!A:A,TRIM(A2568))&gt;0,((VLOOKUP(TRIM(D2568), CATALOGO!A:B, 2, FALSE) * C2568)*(1-VALUE(SUBSTITUTE(VLOOKUP(TRIM(A2568),'RESTAURANTESDESCUENTOS 2026'!A:B,2,FALSE),"%",""))/100)+I2568),(VLOOKUP(TRIM(D2568), CATALOGO!A:B, 2, FALSE) * C2568+I2568)),""))</f>
        <v/>
      </c>
      <c r="K2568" s="196"/>
      <c r="L2568" s="87"/>
      <c r="M2568" s="245"/>
      <c r="N2568" s="168"/>
    </row>
    <row r="2569" ht="22.5" hidden="1" customHeight="1">
      <c r="A2569" s="137"/>
      <c r="B2569" s="90"/>
      <c r="C2569" s="55"/>
      <c r="D2569" s="193"/>
      <c r="E2569" s="201"/>
      <c r="F2569" s="202"/>
      <c r="G2569" s="194"/>
      <c r="H2569" s="198"/>
      <c r="I2569" s="196"/>
      <c r="J2569" s="179" t="str">
        <f>IF(A2569="RAPPI",(VLOOKUP(TRIM(D2569), CATALOGO!F:G, 2, FALSE) * C2569)+I2569,IFERROR(IF(COUNTIF('RESTAURANTESDESCUENTOS 2026'!A:A,TRIM(A2569))&gt;0,((VLOOKUP(TRIM(D2569), CATALOGO!A:B, 2, FALSE) * C2569)*(1-VALUE(SUBSTITUTE(VLOOKUP(TRIM(A2569),'RESTAURANTESDESCUENTOS 2026'!A:B,2,FALSE),"%",""))/100)+I2569),(VLOOKUP(TRIM(D2569), CATALOGO!A:B, 2, FALSE) * C2569+I2569)),""))</f>
        <v/>
      </c>
      <c r="K2569" s="196"/>
      <c r="L2569" s="87"/>
      <c r="M2569" s="245"/>
      <c r="N2569" s="168"/>
    </row>
    <row r="2570" ht="22.5" hidden="1" customHeight="1">
      <c r="A2570" s="137"/>
      <c r="B2570" s="90"/>
      <c r="C2570" s="55"/>
      <c r="D2570" s="193"/>
      <c r="E2570" s="201"/>
      <c r="F2570" s="202"/>
      <c r="G2570" s="194"/>
      <c r="H2570" s="198"/>
      <c r="I2570" s="196"/>
      <c r="J2570" s="179" t="str">
        <f>IF(A2570="RAPPI",(VLOOKUP(TRIM(D2570), CATALOGO!F:G, 2, FALSE) * C2570)+I2570,IFERROR(IF(COUNTIF('RESTAURANTESDESCUENTOS 2026'!A:A,TRIM(A2570))&gt;0,((VLOOKUP(TRIM(D2570), CATALOGO!A:B, 2, FALSE) * C2570)*(1-VALUE(SUBSTITUTE(VLOOKUP(TRIM(A2570),'RESTAURANTESDESCUENTOS 2026'!A:B,2,FALSE),"%",""))/100)+I2570),(VLOOKUP(TRIM(D2570), CATALOGO!A:B, 2, FALSE) * C2570+I2570)),""))</f>
        <v/>
      </c>
      <c r="K2570" s="196"/>
      <c r="L2570" s="87"/>
      <c r="M2570" s="245"/>
      <c r="N2570" s="168"/>
    </row>
    <row r="2571" ht="22.5" hidden="1" customHeight="1">
      <c r="A2571" s="137"/>
      <c r="B2571" s="90"/>
      <c r="C2571" s="55"/>
      <c r="D2571" s="193"/>
      <c r="E2571" s="201"/>
      <c r="F2571" s="202"/>
      <c r="G2571" s="194"/>
      <c r="H2571" s="198"/>
      <c r="I2571" s="196"/>
      <c r="J2571" s="179" t="str">
        <f>IF(A2571="RAPPI",(VLOOKUP(TRIM(D2571), CATALOGO!F:G, 2, FALSE) * C2571)+I2571,IFERROR(IF(COUNTIF('RESTAURANTESDESCUENTOS 2026'!A:A,TRIM(A2571))&gt;0,((VLOOKUP(TRIM(D2571), CATALOGO!A:B, 2, FALSE) * C2571)*(1-VALUE(SUBSTITUTE(VLOOKUP(TRIM(A2571),'RESTAURANTESDESCUENTOS 2026'!A:B,2,FALSE),"%",""))/100)+I2571),(VLOOKUP(TRIM(D2571), CATALOGO!A:B, 2, FALSE) * C2571+I2571)),""))</f>
        <v/>
      </c>
      <c r="K2571" s="196"/>
      <c r="L2571" s="87"/>
      <c r="M2571" s="245"/>
      <c r="N2571" s="168"/>
    </row>
    <row r="2572" ht="22.5" hidden="1" customHeight="1">
      <c r="A2572" s="137"/>
      <c r="B2572" s="90"/>
      <c r="C2572" s="55"/>
      <c r="D2572" s="193"/>
      <c r="E2572" s="201"/>
      <c r="F2572" s="202"/>
      <c r="G2572" s="194"/>
      <c r="H2572" s="198"/>
      <c r="I2572" s="196"/>
      <c r="J2572" s="179" t="str">
        <f>IF(A2572="RAPPI",(VLOOKUP(TRIM(D2572), CATALOGO!F:G, 2, FALSE) * C2572)+I2572,IFERROR(IF(COUNTIF('RESTAURANTESDESCUENTOS 2026'!A:A,TRIM(A2572))&gt;0,((VLOOKUP(TRIM(D2572), CATALOGO!A:B, 2, FALSE) * C2572)*(1-VALUE(SUBSTITUTE(VLOOKUP(TRIM(A2572),'RESTAURANTESDESCUENTOS 2026'!A:B,2,FALSE),"%",""))/100)+I2572),(VLOOKUP(TRIM(D2572), CATALOGO!A:B, 2, FALSE) * C2572+I2572)),""))</f>
        <v/>
      </c>
      <c r="K2572" s="196"/>
      <c r="L2572" s="87"/>
      <c r="M2572" s="245"/>
      <c r="N2572" s="168"/>
    </row>
    <row r="2573" ht="22.5" hidden="1" customHeight="1">
      <c r="A2573" s="137"/>
      <c r="B2573" s="90"/>
      <c r="C2573" s="55"/>
      <c r="D2573" s="193"/>
      <c r="E2573" s="201"/>
      <c r="F2573" s="202"/>
      <c r="G2573" s="194"/>
      <c r="H2573" s="198"/>
      <c r="I2573" s="196"/>
      <c r="J2573" s="179" t="str">
        <f>IF(A2573="RAPPI",(VLOOKUP(TRIM(D2573), CATALOGO!F:G, 2, FALSE) * C2573)+I2573,IFERROR(IF(COUNTIF('RESTAURANTESDESCUENTOS 2026'!A:A,TRIM(A2573))&gt;0,((VLOOKUP(TRIM(D2573), CATALOGO!A:B, 2, FALSE) * C2573)*(1-VALUE(SUBSTITUTE(VLOOKUP(TRIM(A2573),'RESTAURANTESDESCUENTOS 2026'!A:B,2,FALSE),"%",""))/100)+I2573),(VLOOKUP(TRIM(D2573), CATALOGO!A:B, 2, FALSE) * C2573+I2573)),""))</f>
        <v/>
      </c>
      <c r="K2573" s="196"/>
      <c r="L2573" s="87"/>
      <c r="M2573" s="245"/>
      <c r="N2573" s="168"/>
    </row>
    <row r="2574" ht="22.5" hidden="1" customHeight="1">
      <c r="A2574" s="137"/>
      <c r="B2574" s="90"/>
      <c r="C2574" s="55"/>
      <c r="D2574" s="193"/>
      <c r="E2574" s="201"/>
      <c r="F2574" s="202"/>
      <c r="G2574" s="194"/>
      <c r="H2574" s="198"/>
      <c r="I2574" s="196"/>
      <c r="J2574" s="179" t="str">
        <f>IF(A2574="RAPPI",(VLOOKUP(TRIM(D2574), CATALOGO!F:G, 2, FALSE) * C2574)+I2574,IFERROR(IF(COUNTIF('RESTAURANTESDESCUENTOS 2026'!A:A,TRIM(A2574))&gt;0,((VLOOKUP(TRIM(D2574), CATALOGO!A:B, 2, FALSE) * C2574)*(1-VALUE(SUBSTITUTE(VLOOKUP(TRIM(A2574),'RESTAURANTESDESCUENTOS 2026'!A:B,2,FALSE),"%",""))/100)+I2574),(VLOOKUP(TRIM(D2574), CATALOGO!A:B, 2, FALSE) * C2574+I2574)),""))</f>
        <v/>
      </c>
      <c r="K2574" s="196"/>
      <c r="L2574" s="87"/>
      <c r="M2574" s="245"/>
      <c r="N2574" s="168"/>
    </row>
    <row r="2575" ht="22.5" hidden="1" customHeight="1">
      <c r="A2575" s="137"/>
      <c r="B2575" s="90"/>
      <c r="C2575" s="55"/>
      <c r="D2575" s="193"/>
      <c r="E2575" s="201"/>
      <c r="F2575" s="202"/>
      <c r="G2575" s="194"/>
      <c r="H2575" s="198"/>
      <c r="I2575" s="196"/>
      <c r="J2575" s="179" t="str">
        <f>IF(A2575="RAPPI",(VLOOKUP(TRIM(D2575), CATALOGO!F:G, 2, FALSE) * C2575)+I2575,IFERROR(IF(COUNTIF('RESTAURANTESDESCUENTOS 2026'!A:A,TRIM(A2575))&gt;0,((VLOOKUP(TRIM(D2575), CATALOGO!A:B, 2, FALSE) * C2575)*(1-VALUE(SUBSTITUTE(VLOOKUP(TRIM(A2575),'RESTAURANTESDESCUENTOS 2026'!A:B,2,FALSE),"%",""))/100)+I2575),(VLOOKUP(TRIM(D2575), CATALOGO!A:B, 2, FALSE) * C2575+I2575)),""))</f>
        <v/>
      </c>
      <c r="K2575" s="196"/>
      <c r="L2575" s="87"/>
      <c r="M2575" s="245"/>
      <c r="N2575" s="168"/>
    </row>
    <row r="2576" ht="22.5" hidden="1" customHeight="1">
      <c r="A2576" s="137"/>
      <c r="B2576" s="90"/>
      <c r="C2576" s="55"/>
      <c r="D2576" s="193"/>
      <c r="E2576" s="201"/>
      <c r="F2576" s="202"/>
      <c r="G2576" s="194"/>
      <c r="H2576" s="198"/>
      <c r="I2576" s="196"/>
      <c r="J2576" s="179" t="str">
        <f>IF(A2576="RAPPI",(VLOOKUP(TRIM(D2576), CATALOGO!F:G, 2, FALSE) * C2576)+I2576,IFERROR(IF(COUNTIF('RESTAURANTESDESCUENTOS 2026'!A:A,TRIM(A2576))&gt;0,((VLOOKUP(TRIM(D2576), CATALOGO!A:B, 2, FALSE) * C2576)*(1-VALUE(SUBSTITUTE(VLOOKUP(TRIM(A2576),'RESTAURANTESDESCUENTOS 2026'!A:B,2,FALSE),"%",""))/100)+I2576),(VLOOKUP(TRIM(D2576), CATALOGO!A:B, 2, FALSE) * C2576+I2576)),""))</f>
        <v/>
      </c>
      <c r="K2576" s="196"/>
      <c r="L2576" s="87"/>
      <c r="M2576" s="245"/>
      <c r="N2576" s="168"/>
    </row>
    <row r="2577" ht="22.5" hidden="1" customHeight="1">
      <c r="A2577" s="137"/>
      <c r="B2577" s="90"/>
      <c r="C2577" s="55"/>
      <c r="D2577" s="193"/>
      <c r="E2577" s="201"/>
      <c r="F2577" s="202"/>
      <c r="G2577" s="194"/>
      <c r="H2577" s="198"/>
      <c r="I2577" s="196"/>
      <c r="J2577" s="179" t="str">
        <f>IF(A2577="RAPPI",(VLOOKUP(TRIM(D2577), CATALOGO!F:G, 2, FALSE) * C2577)+I2577,IFERROR(IF(COUNTIF('RESTAURANTESDESCUENTOS 2026'!A:A,TRIM(A2577))&gt;0,((VLOOKUP(TRIM(D2577), CATALOGO!A:B, 2, FALSE) * C2577)*(1-VALUE(SUBSTITUTE(VLOOKUP(TRIM(A2577),'RESTAURANTESDESCUENTOS 2026'!A:B,2,FALSE),"%",""))/100)+I2577),(VLOOKUP(TRIM(D2577), CATALOGO!A:B, 2, FALSE) * C2577+I2577)),""))</f>
        <v/>
      </c>
      <c r="K2577" s="196"/>
      <c r="L2577" s="87"/>
      <c r="M2577" s="245"/>
      <c r="N2577" s="168"/>
    </row>
    <row r="2578" ht="22.5" hidden="1" customHeight="1">
      <c r="A2578" s="137"/>
      <c r="B2578" s="90"/>
      <c r="C2578" s="55"/>
      <c r="D2578" s="193"/>
      <c r="E2578" s="201"/>
      <c r="F2578" s="202"/>
      <c r="G2578" s="194"/>
      <c r="H2578" s="198"/>
      <c r="I2578" s="196"/>
      <c r="J2578" s="179" t="str">
        <f>IF(A2578="RAPPI",(VLOOKUP(TRIM(D2578), CATALOGO!F:G, 2, FALSE) * C2578)+I2578,IFERROR(IF(COUNTIF('RESTAURANTESDESCUENTOS 2026'!A:A,TRIM(A2578))&gt;0,((VLOOKUP(TRIM(D2578), CATALOGO!A:B, 2, FALSE) * C2578)*(1-VALUE(SUBSTITUTE(VLOOKUP(TRIM(A2578),'RESTAURANTESDESCUENTOS 2026'!A:B,2,FALSE),"%",""))/100)+I2578),(VLOOKUP(TRIM(D2578), CATALOGO!A:B, 2, FALSE) * C2578+I2578)),""))</f>
        <v/>
      </c>
      <c r="K2578" s="196"/>
      <c r="L2578" s="87"/>
      <c r="M2578" s="245"/>
      <c r="N2578" s="168"/>
    </row>
    <row r="2579" ht="22.5" hidden="1" customHeight="1">
      <c r="A2579" s="137"/>
      <c r="B2579" s="90"/>
      <c r="C2579" s="55"/>
      <c r="D2579" s="193"/>
      <c r="E2579" s="201"/>
      <c r="F2579" s="202"/>
      <c r="G2579" s="194"/>
      <c r="H2579" s="198"/>
      <c r="I2579" s="196"/>
      <c r="J2579" s="179" t="str">
        <f>IF(A2579="RAPPI",(VLOOKUP(TRIM(D2579), CATALOGO!F:G, 2, FALSE) * C2579)+I2579,IFERROR(IF(COUNTIF('RESTAURANTESDESCUENTOS 2026'!A:A,TRIM(A2579))&gt;0,((VLOOKUP(TRIM(D2579), CATALOGO!A:B, 2, FALSE) * C2579)*(1-VALUE(SUBSTITUTE(VLOOKUP(TRIM(A2579),'RESTAURANTESDESCUENTOS 2026'!A:B,2,FALSE),"%",""))/100)+I2579),(VLOOKUP(TRIM(D2579), CATALOGO!A:B, 2, FALSE) * C2579+I2579)),""))</f>
        <v/>
      </c>
      <c r="K2579" s="196"/>
      <c r="L2579" s="87"/>
      <c r="M2579" s="245"/>
      <c r="N2579" s="168"/>
    </row>
    <row r="2580" ht="22.5" hidden="1" customHeight="1">
      <c r="A2580" s="137"/>
      <c r="B2580" s="90"/>
      <c r="C2580" s="55"/>
      <c r="D2580" s="193"/>
      <c r="E2580" s="201"/>
      <c r="F2580" s="202"/>
      <c r="G2580" s="194"/>
      <c r="H2580" s="198"/>
      <c r="I2580" s="196"/>
      <c r="J2580" s="179" t="str">
        <f>IF(A2580="RAPPI",(VLOOKUP(TRIM(D2580), CATALOGO!F:G, 2, FALSE) * C2580)+I2580,IFERROR(IF(COUNTIF('RESTAURANTESDESCUENTOS 2026'!A:A,TRIM(A2580))&gt;0,((VLOOKUP(TRIM(D2580), CATALOGO!A:B, 2, FALSE) * C2580)*(1-VALUE(SUBSTITUTE(VLOOKUP(TRIM(A2580),'RESTAURANTESDESCUENTOS 2026'!A:B,2,FALSE),"%",""))/100)+I2580),(VLOOKUP(TRIM(D2580), CATALOGO!A:B, 2, FALSE) * C2580+I2580)),""))</f>
        <v/>
      </c>
      <c r="K2580" s="196"/>
      <c r="L2580" s="87"/>
      <c r="M2580" s="245"/>
      <c r="N2580" s="168"/>
    </row>
    <row r="2581" ht="22.5" hidden="1" customHeight="1">
      <c r="A2581" s="137"/>
      <c r="B2581" s="90"/>
      <c r="C2581" s="55"/>
      <c r="D2581" s="193"/>
      <c r="E2581" s="201"/>
      <c r="F2581" s="202"/>
      <c r="G2581" s="194"/>
      <c r="H2581" s="198"/>
      <c r="I2581" s="196"/>
      <c r="J2581" s="179" t="str">
        <f>IF(A2581="RAPPI",(VLOOKUP(TRIM(D2581), CATALOGO!F:G, 2, FALSE) * C2581)+I2581,IFERROR(IF(COUNTIF('RESTAURANTESDESCUENTOS 2026'!A:A,TRIM(A2581))&gt;0,((VLOOKUP(TRIM(D2581), CATALOGO!A:B, 2, FALSE) * C2581)*(1-VALUE(SUBSTITUTE(VLOOKUP(TRIM(A2581),'RESTAURANTESDESCUENTOS 2026'!A:B,2,FALSE),"%",""))/100)+I2581),(VLOOKUP(TRIM(D2581), CATALOGO!A:B, 2, FALSE) * C2581+I2581)),""))</f>
        <v/>
      </c>
      <c r="K2581" s="196"/>
      <c r="L2581" s="87"/>
      <c r="M2581" s="245"/>
      <c r="N2581" s="168"/>
    </row>
    <row r="2582" ht="22.5" hidden="1" customHeight="1">
      <c r="A2582" s="137"/>
      <c r="B2582" s="90"/>
      <c r="C2582" s="55"/>
      <c r="D2582" s="193"/>
      <c r="E2582" s="201"/>
      <c r="F2582" s="202"/>
      <c r="G2582" s="194"/>
      <c r="H2582" s="198"/>
      <c r="I2582" s="196"/>
      <c r="J2582" s="179" t="str">
        <f>IF(A2582="RAPPI",(VLOOKUP(TRIM(D2582), CATALOGO!F:G, 2, FALSE) * C2582)+I2582,IFERROR(IF(COUNTIF('RESTAURANTESDESCUENTOS 2026'!A:A,TRIM(A2582))&gt;0,((VLOOKUP(TRIM(D2582), CATALOGO!A:B, 2, FALSE) * C2582)*(1-VALUE(SUBSTITUTE(VLOOKUP(TRIM(A2582),'RESTAURANTESDESCUENTOS 2026'!A:B,2,FALSE),"%",""))/100)+I2582),(VLOOKUP(TRIM(D2582), CATALOGO!A:B, 2, FALSE) * C2582+I2582)),""))</f>
        <v/>
      </c>
      <c r="K2582" s="196"/>
      <c r="L2582" s="87"/>
      <c r="M2582" s="245"/>
      <c r="N2582" s="168"/>
    </row>
    <row r="2583" ht="22.5" hidden="1" customHeight="1">
      <c r="A2583" s="137"/>
      <c r="B2583" s="90"/>
      <c r="C2583" s="55"/>
      <c r="D2583" s="193"/>
      <c r="E2583" s="201"/>
      <c r="F2583" s="202"/>
      <c r="G2583" s="194"/>
      <c r="H2583" s="198"/>
      <c r="I2583" s="196"/>
      <c r="J2583" s="179" t="str">
        <f>IF(A2583="RAPPI",(VLOOKUP(TRIM(D2583), CATALOGO!F:G, 2, FALSE) * C2583)+I2583,IFERROR(IF(COUNTIF('RESTAURANTESDESCUENTOS 2026'!A:A,TRIM(A2583))&gt;0,((VLOOKUP(TRIM(D2583), CATALOGO!A:B, 2, FALSE) * C2583)*(1-VALUE(SUBSTITUTE(VLOOKUP(TRIM(A2583),'RESTAURANTESDESCUENTOS 2026'!A:B,2,FALSE),"%",""))/100)+I2583),(VLOOKUP(TRIM(D2583), CATALOGO!A:B, 2, FALSE) * C2583+I2583)),""))</f>
        <v/>
      </c>
      <c r="K2583" s="196"/>
      <c r="L2583" s="87"/>
      <c r="M2583" s="245"/>
      <c r="N2583" s="168"/>
    </row>
    <row r="2584" ht="22.5" hidden="1" customHeight="1">
      <c r="A2584" s="137"/>
      <c r="B2584" s="90"/>
      <c r="C2584" s="55"/>
      <c r="D2584" s="193"/>
      <c r="E2584" s="201"/>
      <c r="F2584" s="202"/>
      <c r="G2584" s="194"/>
      <c r="H2584" s="198"/>
      <c r="I2584" s="196"/>
      <c r="J2584" s="179" t="str">
        <f>IF(A2584="RAPPI",(VLOOKUP(TRIM(D2584), CATALOGO!F:G, 2, FALSE) * C2584)+I2584,IFERROR(IF(COUNTIF('RESTAURANTESDESCUENTOS 2026'!A:A,TRIM(A2584))&gt;0,((VLOOKUP(TRIM(D2584), CATALOGO!A:B, 2, FALSE) * C2584)*(1-VALUE(SUBSTITUTE(VLOOKUP(TRIM(A2584),'RESTAURANTESDESCUENTOS 2026'!A:B,2,FALSE),"%",""))/100)+I2584),(VLOOKUP(TRIM(D2584), CATALOGO!A:B, 2, FALSE) * C2584+I2584)),""))</f>
        <v/>
      </c>
      <c r="K2584" s="196"/>
      <c r="L2584" s="87"/>
      <c r="M2584" s="245"/>
      <c r="N2584" s="168"/>
    </row>
    <row r="2585" ht="22.5" hidden="1" customHeight="1">
      <c r="A2585" s="137"/>
      <c r="B2585" s="90"/>
      <c r="C2585" s="55"/>
      <c r="D2585" s="193"/>
      <c r="E2585" s="201"/>
      <c r="F2585" s="202"/>
      <c r="G2585" s="194"/>
      <c r="H2585" s="198"/>
      <c r="I2585" s="196"/>
      <c r="J2585" s="179" t="str">
        <f>IF(A2585="RAPPI",(VLOOKUP(TRIM(D2585), CATALOGO!F:G, 2, FALSE) * C2585)+I2585,IFERROR(IF(COUNTIF('RESTAURANTESDESCUENTOS 2026'!A:A,TRIM(A2585))&gt;0,((VLOOKUP(TRIM(D2585), CATALOGO!A:B, 2, FALSE) * C2585)*(1-VALUE(SUBSTITUTE(VLOOKUP(TRIM(A2585),'RESTAURANTESDESCUENTOS 2026'!A:B,2,FALSE),"%",""))/100)+I2585),(VLOOKUP(TRIM(D2585), CATALOGO!A:B, 2, FALSE) * C2585+I2585)),""))</f>
        <v/>
      </c>
      <c r="K2585" s="196"/>
      <c r="L2585" s="87"/>
      <c r="M2585" s="245"/>
      <c r="N2585" s="168"/>
    </row>
    <row r="2586" ht="22.5" hidden="1" customHeight="1">
      <c r="A2586" s="137"/>
      <c r="B2586" s="90"/>
      <c r="C2586" s="55"/>
      <c r="D2586" s="193"/>
      <c r="E2586" s="201"/>
      <c r="F2586" s="202"/>
      <c r="G2586" s="194"/>
      <c r="H2586" s="198"/>
      <c r="I2586" s="196"/>
      <c r="J2586" s="179" t="str">
        <f>IF(A2586="RAPPI",(VLOOKUP(TRIM(D2586), CATALOGO!F:G, 2, FALSE) * C2586)+I2586,IFERROR(IF(COUNTIF('RESTAURANTESDESCUENTOS 2026'!A:A,TRIM(A2586))&gt;0,((VLOOKUP(TRIM(D2586), CATALOGO!A:B, 2, FALSE) * C2586)*(1-VALUE(SUBSTITUTE(VLOOKUP(TRIM(A2586),'RESTAURANTESDESCUENTOS 2026'!A:B,2,FALSE),"%",""))/100)+I2586),(VLOOKUP(TRIM(D2586), CATALOGO!A:B, 2, FALSE) * C2586+I2586)),""))</f>
        <v/>
      </c>
      <c r="K2586" s="196"/>
      <c r="L2586" s="87"/>
      <c r="M2586" s="245"/>
      <c r="N2586" s="168"/>
    </row>
    <row r="2587" ht="22.5" hidden="1" customHeight="1">
      <c r="A2587" s="137"/>
      <c r="B2587" s="90"/>
      <c r="C2587" s="55"/>
      <c r="D2587" s="193"/>
      <c r="E2587" s="201"/>
      <c r="F2587" s="202"/>
      <c r="G2587" s="194"/>
      <c r="H2587" s="198"/>
      <c r="I2587" s="196"/>
      <c r="J2587" s="179" t="str">
        <f>IF(A2587="RAPPI",(VLOOKUP(TRIM(D2587), CATALOGO!F:G, 2, FALSE) * C2587)+I2587,IFERROR(IF(COUNTIF('RESTAURANTESDESCUENTOS 2026'!A:A,TRIM(A2587))&gt;0,((VLOOKUP(TRIM(D2587), CATALOGO!A:B, 2, FALSE) * C2587)*(1-VALUE(SUBSTITUTE(VLOOKUP(TRIM(A2587),'RESTAURANTESDESCUENTOS 2026'!A:B,2,FALSE),"%",""))/100)+I2587),(VLOOKUP(TRIM(D2587), CATALOGO!A:B, 2, FALSE) * C2587+I2587)),""))</f>
        <v/>
      </c>
      <c r="K2587" s="196"/>
      <c r="L2587" s="87"/>
      <c r="M2587" s="245"/>
      <c r="N2587" s="168"/>
    </row>
    <row r="2588" ht="22.5" hidden="1" customHeight="1">
      <c r="A2588" s="137"/>
      <c r="B2588" s="90"/>
      <c r="C2588" s="55"/>
      <c r="D2588" s="193"/>
      <c r="E2588" s="201"/>
      <c r="F2588" s="202"/>
      <c r="G2588" s="194"/>
      <c r="H2588" s="198"/>
      <c r="I2588" s="196"/>
      <c r="J2588" s="179" t="str">
        <f>IF(A2588="RAPPI",(VLOOKUP(TRIM(D2588), CATALOGO!F:G, 2, FALSE) * C2588)+I2588,IFERROR(IF(COUNTIF('RESTAURANTESDESCUENTOS 2026'!A:A,TRIM(A2588))&gt;0,((VLOOKUP(TRIM(D2588), CATALOGO!A:B, 2, FALSE) * C2588)*(1-VALUE(SUBSTITUTE(VLOOKUP(TRIM(A2588),'RESTAURANTESDESCUENTOS 2026'!A:B,2,FALSE),"%",""))/100)+I2588),(VLOOKUP(TRIM(D2588), CATALOGO!A:B, 2, FALSE) * C2588+I2588)),""))</f>
        <v/>
      </c>
      <c r="K2588" s="196"/>
      <c r="L2588" s="87"/>
      <c r="M2588" s="245"/>
      <c r="N2588" s="168"/>
    </row>
    <row r="2589" ht="22.5" hidden="1" customHeight="1">
      <c r="A2589" s="137"/>
      <c r="B2589" s="90"/>
      <c r="C2589" s="55"/>
      <c r="D2589" s="193"/>
      <c r="E2589" s="201"/>
      <c r="F2589" s="202"/>
      <c r="G2589" s="194"/>
      <c r="H2589" s="198"/>
      <c r="I2589" s="196"/>
      <c r="J2589" s="179" t="str">
        <f>IF(A2589="RAPPI",(VLOOKUP(TRIM(D2589), CATALOGO!F:G, 2, FALSE) * C2589)+I2589,IFERROR(IF(COUNTIF('RESTAURANTESDESCUENTOS 2026'!A:A,TRIM(A2589))&gt;0,((VLOOKUP(TRIM(D2589), CATALOGO!A:B, 2, FALSE) * C2589)*(1-VALUE(SUBSTITUTE(VLOOKUP(TRIM(A2589),'RESTAURANTESDESCUENTOS 2026'!A:B,2,FALSE),"%",""))/100)+I2589),(VLOOKUP(TRIM(D2589), CATALOGO!A:B, 2, FALSE) * C2589+I2589)),""))</f>
        <v/>
      </c>
      <c r="K2589" s="196"/>
      <c r="L2589" s="87"/>
      <c r="M2589" s="245"/>
      <c r="N2589" s="168"/>
    </row>
    <row r="2590" ht="22.5" hidden="1" customHeight="1">
      <c r="A2590" s="137"/>
      <c r="B2590" s="90"/>
      <c r="C2590" s="55"/>
      <c r="D2590" s="193"/>
      <c r="E2590" s="201"/>
      <c r="F2590" s="202"/>
      <c r="G2590" s="194"/>
      <c r="H2590" s="198"/>
      <c r="I2590" s="196"/>
      <c r="J2590" s="179" t="str">
        <f>IF(A2590="RAPPI",(VLOOKUP(TRIM(D2590), CATALOGO!F:G, 2, FALSE) * C2590)+I2590,IFERROR(IF(COUNTIF('RESTAURANTESDESCUENTOS 2026'!A:A,TRIM(A2590))&gt;0,((VLOOKUP(TRIM(D2590), CATALOGO!A:B, 2, FALSE) * C2590)*(1-VALUE(SUBSTITUTE(VLOOKUP(TRIM(A2590),'RESTAURANTESDESCUENTOS 2026'!A:B,2,FALSE),"%",""))/100)+I2590),(VLOOKUP(TRIM(D2590), CATALOGO!A:B, 2, FALSE) * C2590+I2590)),""))</f>
        <v/>
      </c>
      <c r="K2590" s="196"/>
      <c r="L2590" s="87"/>
      <c r="M2590" s="245"/>
      <c r="N2590" s="168"/>
    </row>
    <row r="2591" ht="22.5" hidden="1" customHeight="1">
      <c r="A2591" s="137"/>
      <c r="B2591" s="90"/>
      <c r="C2591" s="55"/>
      <c r="D2591" s="193"/>
      <c r="E2591" s="201"/>
      <c r="F2591" s="202"/>
      <c r="G2591" s="194"/>
      <c r="H2591" s="198"/>
      <c r="I2591" s="196"/>
      <c r="J2591" s="179" t="str">
        <f>IF(A2591="RAPPI",(VLOOKUP(TRIM(D2591), CATALOGO!F:G, 2, FALSE) * C2591)+I2591,IFERROR(IF(COUNTIF('RESTAURANTESDESCUENTOS 2026'!A:A,TRIM(A2591))&gt;0,((VLOOKUP(TRIM(D2591), CATALOGO!A:B, 2, FALSE) * C2591)*(1-VALUE(SUBSTITUTE(VLOOKUP(TRIM(A2591),'RESTAURANTESDESCUENTOS 2026'!A:B,2,FALSE),"%",""))/100)+I2591),(VLOOKUP(TRIM(D2591), CATALOGO!A:B, 2, FALSE) * C2591+I2591)),""))</f>
        <v/>
      </c>
      <c r="K2591" s="196"/>
      <c r="L2591" s="87"/>
      <c r="M2591" s="245"/>
      <c r="N2591" s="168"/>
    </row>
    <row r="2592" ht="22.5" hidden="1" customHeight="1">
      <c r="A2592" s="137"/>
      <c r="B2592" s="90"/>
      <c r="C2592" s="55"/>
      <c r="D2592" s="193"/>
      <c r="E2592" s="201"/>
      <c r="F2592" s="202"/>
      <c r="G2592" s="194"/>
      <c r="H2592" s="198"/>
      <c r="I2592" s="196"/>
      <c r="J2592" s="179" t="str">
        <f>IF(A2592="RAPPI",(VLOOKUP(TRIM(D2592), CATALOGO!F:G, 2, FALSE) * C2592)+I2592,IFERROR(IF(COUNTIF('RESTAURANTESDESCUENTOS 2026'!A:A,TRIM(A2592))&gt;0,((VLOOKUP(TRIM(D2592), CATALOGO!A:B, 2, FALSE) * C2592)*(1-VALUE(SUBSTITUTE(VLOOKUP(TRIM(A2592),'RESTAURANTESDESCUENTOS 2026'!A:B,2,FALSE),"%",""))/100)+I2592),(VLOOKUP(TRIM(D2592), CATALOGO!A:B, 2, FALSE) * C2592+I2592)),""))</f>
        <v/>
      </c>
      <c r="K2592" s="196"/>
      <c r="L2592" s="87"/>
      <c r="M2592" s="245"/>
      <c r="N2592" s="168"/>
    </row>
    <row r="2593" ht="22.5" hidden="1" customHeight="1">
      <c r="A2593" s="137"/>
      <c r="B2593" s="90"/>
      <c r="C2593" s="55"/>
      <c r="D2593" s="193"/>
      <c r="E2593" s="201"/>
      <c r="F2593" s="202"/>
      <c r="G2593" s="194"/>
      <c r="H2593" s="198"/>
      <c r="I2593" s="196"/>
      <c r="J2593" s="179" t="str">
        <f>IF(A2593="RAPPI",(VLOOKUP(TRIM(D2593), CATALOGO!F:G, 2, FALSE) * C2593)+I2593,IFERROR(IF(COUNTIF('RESTAURANTESDESCUENTOS 2026'!A:A,TRIM(A2593))&gt;0,((VLOOKUP(TRIM(D2593), CATALOGO!A:B, 2, FALSE) * C2593)*(1-VALUE(SUBSTITUTE(VLOOKUP(TRIM(A2593),'RESTAURANTESDESCUENTOS 2026'!A:B,2,FALSE),"%",""))/100)+I2593),(VLOOKUP(TRIM(D2593), CATALOGO!A:B, 2, FALSE) * C2593+I2593)),""))</f>
        <v/>
      </c>
      <c r="K2593" s="196"/>
      <c r="L2593" s="87"/>
      <c r="M2593" s="245"/>
      <c r="N2593" s="168"/>
    </row>
    <row r="2594" ht="22.5" hidden="1" customHeight="1">
      <c r="A2594" s="137"/>
      <c r="B2594" s="90"/>
      <c r="C2594" s="55"/>
      <c r="D2594" s="193"/>
      <c r="E2594" s="201"/>
      <c r="F2594" s="202"/>
      <c r="G2594" s="194"/>
      <c r="H2594" s="198"/>
      <c r="I2594" s="196"/>
      <c r="J2594" s="179" t="str">
        <f>IF(A2594="RAPPI",(VLOOKUP(TRIM(D2594), CATALOGO!F:G, 2, FALSE) * C2594)+I2594,IFERROR(IF(COUNTIF('RESTAURANTESDESCUENTOS 2026'!A:A,TRIM(A2594))&gt;0,((VLOOKUP(TRIM(D2594), CATALOGO!A:B, 2, FALSE) * C2594)*(1-VALUE(SUBSTITUTE(VLOOKUP(TRIM(A2594),'RESTAURANTESDESCUENTOS 2026'!A:B,2,FALSE),"%",""))/100)+I2594),(VLOOKUP(TRIM(D2594), CATALOGO!A:B, 2, FALSE) * C2594+I2594)),""))</f>
        <v/>
      </c>
      <c r="K2594" s="196"/>
      <c r="L2594" s="87"/>
      <c r="M2594" s="245"/>
      <c r="N2594" s="168"/>
    </row>
    <row r="2595" ht="22.5" hidden="1" customHeight="1">
      <c r="A2595" s="137"/>
      <c r="B2595" s="90"/>
      <c r="C2595" s="55"/>
      <c r="D2595" s="193"/>
      <c r="E2595" s="201"/>
      <c r="F2595" s="202"/>
      <c r="G2595" s="194"/>
      <c r="H2595" s="198"/>
      <c r="I2595" s="196"/>
      <c r="J2595" s="179" t="str">
        <f>IF(A2595="RAPPI",(VLOOKUP(TRIM(D2595), CATALOGO!F:G, 2, FALSE) * C2595)+I2595,IFERROR(IF(COUNTIF('RESTAURANTESDESCUENTOS 2026'!A:A,TRIM(A2595))&gt;0,((VLOOKUP(TRIM(D2595), CATALOGO!A:B, 2, FALSE) * C2595)*(1-VALUE(SUBSTITUTE(VLOOKUP(TRIM(A2595),'RESTAURANTESDESCUENTOS 2026'!A:B,2,FALSE),"%",""))/100)+I2595),(VLOOKUP(TRIM(D2595), CATALOGO!A:B, 2, FALSE) * C2595+I2595)),""))</f>
        <v/>
      </c>
      <c r="K2595" s="196"/>
      <c r="L2595" s="87"/>
      <c r="M2595" s="245"/>
      <c r="N2595" s="168"/>
    </row>
    <row r="2596" ht="22.5" hidden="1" customHeight="1">
      <c r="A2596" s="137"/>
      <c r="B2596" s="90"/>
      <c r="C2596" s="55"/>
      <c r="D2596" s="193"/>
      <c r="E2596" s="201"/>
      <c r="F2596" s="202"/>
      <c r="G2596" s="194"/>
      <c r="H2596" s="198"/>
      <c r="I2596" s="196"/>
      <c r="J2596" s="179" t="str">
        <f>IF(A2596="RAPPI",(VLOOKUP(TRIM(D2596), CATALOGO!F:G, 2, FALSE) * C2596)+I2596,IFERROR(IF(COUNTIF('RESTAURANTESDESCUENTOS 2026'!A:A,TRIM(A2596))&gt;0,((VLOOKUP(TRIM(D2596), CATALOGO!A:B, 2, FALSE) * C2596)*(1-VALUE(SUBSTITUTE(VLOOKUP(TRIM(A2596),'RESTAURANTESDESCUENTOS 2026'!A:B,2,FALSE),"%",""))/100)+I2596),(VLOOKUP(TRIM(D2596), CATALOGO!A:B, 2, FALSE) * C2596+I2596)),""))</f>
        <v/>
      </c>
      <c r="K2596" s="196"/>
      <c r="L2596" s="87"/>
      <c r="M2596" s="245"/>
      <c r="N2596" s="168"/>
    </row>
    <row r="2597" ht="22.5" hidden="1" customHeight="1">
      <c r="A2597" s="137"/>
      <c r="B2597" s="90"/>
      <c r="C2597" s="55"/>
      <c r="D2597" s="193"/>
      <c r="E2597" s="201"/>
      <c r="F2597" s="202"/>
      <c r="G2597" s="194"/>
      <c r="H2597" s="198"/>
      <c r="I2597" s="196"/>
      <c r="J2597" s="179" t="str">
        <f>IF(A2597="RAPPI",(VLOOKUP(TRIM(D2597), CATALOGO!F:G, 2, FALSE) * C2597)+I2597,IFERROR(IF(COUNTIF('RESTAURANTESDESCUENTOS 2026'!A:A,TRIM(A2597))&gt;0,((VLOOKUP(TRIM(D2597), CATALOGO!A:B, 2, FALSE) * C2597)*(1-VALUE(SUBSTITUTE(VLOOKUP(TRIM(A2597),'RESTAURANTESDESCUENTOS 2026'!A:B,2,FALSE),"%",""))/100)+I2597),(VLOOKUP(TRIM(D2597), CATALOGO!A:B, 2, FALSE) * C2597+I2597)),""))</f>
        <v/>
      </c>
      <c r="K2597" s="196"/>
      <c r="L2597" s="87"/>
      <c r="M2597" s="245"/>
      <c r="N2597" s="168"/>
    </row>
    <row r="2598" ht="22.5" hidden="1" customHeight="1">
      <c r="A2598" s="137"/>
      <c r="B2598" s="90"/>
      <c r="C2598" s="55"/>
      <c r="D2598" s="193"/>
      <c r="E2598" s="201"/>
      <c r="F2598" s="202"/>
      <c r="G2598" s="194"/>
      <c r="H2598" s="198"/>
      <c r="I2598" s="196"/>
      <c r="J2598" s="179" t="str">
        <f>IF(A2598="RAPPI",(VLOOKUP(TRIM(D2598), CATALOGO!F:G, 2, FALSE) * C2598)+I2598,IFERROR(IF(COUNTIF('RESTAURANTESDESCUENTOS 2026'!A:A,TRIM(A2598))&gt;0,((VLOOKUP(TRIM(D2598), CATALOGO!A:B, 2, FALSE) * C2598)*(1-VALUE(SUBSTITUTE(VLOOKUP(TRIM(A2598),'RESTAURANTESDESCUENTOS 2026'!A:B,2,FALSE),"%",""))/100)+I2598),(VLOOKUP(TRIM(D2598), CATALOGO!A:B, 2, FALSE) * C2598+I2598)),""))</f>
        <v/>
      </c>
      <c r="K2598" s="196"/>
      <c r="L2598" s="87"/>
      <c r="M2598" s="245"/>
      <c r="N2598" s="168"/>
    </row>
    <row r="2599" ht="22.5" hidden="1" customHeight="1">
      <c r="A2599" s="137"/>
      <c r="B2599" s="90"/>
      <c r="C2599" s="55"/>
      <c r="D2599" s="193"/>
      <c r="E2599" s="201"/>
      <c r="F2599" s="202"/>
      <c r="G2599" s="194"/>
      <c r="H2599" s="198"/>
      <c r="I2599" s="196"/>
      <c r="J2599" s="179" t="str">
        <f>IF(A2599="RAPPI",(VLOOKUP(TRIM(D2599), CATALOGO!F:G, 2, FALSE) * C2599)+I2599,IFERROR(IF(COUNTIF('RESTAURANTESDESCUENTOS 2026'!A:A,TRIM(A2599))&gt;0,((VLOOKUP(TRIM(D2599), CATALOGO!A:B, 2, FALSE) * C2599)*(1-VALUE(SUBSTITUTE(VLOOKUP(TRIM(A2599),'RESTAURANTESDESCUENTOS 2026'!A:B,2,FALSE),"%",""))/100)+I2599),(VLOOKUP(TRIM(D2599), CATALOGO!A:B, 2, FALSE) * C2599+I2599)),""))</f>
        <v/>
      </c>
      <c r="K2599" s="196"/>
      <c r="L2599" s="87"/>
      <c r="M2599" s="245"/>
      <c r="N2599" s="168"/>
    </row>
    <row r="2600" ht="22.5" hidden="1" customHeight="1">
      <c r="A2600" s="137"/>
      <c r="B2600" s="90"/>
      <c r="C2600" s="55"/>
      <c r="D2600" s="193"/>
      <c r="E2600" s="201"/>
      <c r="F2600" s="202"/>
      <c r="G2600" s="194"/>
      <c r="H2600" s="198"/>
      <c r="I2600" s="196"/>
      <c r="J2600" s="179" t="str">
        <f>IF(A2600="RAPPI",(VLOOKUP(TRIM(D2600), CATALOGO!F:G, 2, FALSE) * C2600)+I2600,IFERROR(IF(COUNTIF('RESTAURANTESDESCUENTOS 2026'!A:A,TRIM(A2600))&gt;0,((VLOOKUP(TRIM(D2600), CATALOGO!A:B, 2, FALSE) * C2600)*(1-VALUE(SUBSTITUTE(VLOOKUP(TRIM(A2600),'RESTAURANTESDESCUENTOS 2026'!A:B,2,FALSE),"%",""))/100)+I2600),(VLOOKUP(TRIM(D2600), CATALOGO!A:B, 2, FALSE) * C2600+I2600)),""))</f>
        <v/>
      </c>
      <c r="K2600" s="196"/>
      <c r="L2600" s="87"/>
      <c r="M2600" s="245"/>
      <c r="N2600" s="168"/>
    </row>
    <row r="2601" ht="22.5" hidden="1" customHeight="1">
      <c r="A2601" s="137"/>
      <c r="B2601" s="90"/>
      <c r="C2601" s="55"/>
      <c r="D2601" s="193"/>
      <c r="E2601" s="201"/>
      <c r="F2601" s="202"/>
      <c r="G2601" s="194"/>
      <c r="H2601" s="198"/>
      <c r="I2601" s="196"/>
      <c r="J2601" s="179" t="str">
        <f>IF(A2601="RAPPI",(VLOOKUP(TRIM(D2601), CATALOGO!F:G, 2, FALSE) * C2601)+I2601,IFERROR(IF(COUNTIF('RESTAURANTESDESCUENTOS 2026'!A:A,TRIM(A2601))&gt;0,((VLOOKUP(TRIM(D2601), CATALOGO!A:B, 2, FALSE) * C2601)*(1-VALUE(SUBSTITUTE(VLOOKUP(TRIM(A2601),'RESTAURANTESDESCUENTOS 2026'!A:B,2,FALSE),"%",""))/100)+I2601),(VLOOKUP(TRIM(D2601), CATALOGO!A:B, 2, FALSE) * C2601+I2601)),""))</f>
        <v/>
      </c>
      <c r="K2601" s="196"/>
      <c r="L2601" s="87"/>
      <c r="M2601" s="245"/>
      <c r="N2601" s="168"/>
    </row>
    <row r="2602" ht="22.5" hidden="1" customHeight="1">
      <c r="A2602" s="137"/>
      <c r="B2602" s="90"/>
      <c r="C2602" s="55"/>
      <c r="D2602" s="193"/>
      <c r="E2602" s="201"/>
      <c r="F2602" s="202"/>
      <c r="G2602" s="194"/>
      <c r="H2602" s="198"/>
      <c r="I2602" s="196"/>
      <c r="J2602" s="179" t="str">
        <f>IF(A2602="RAPPI",(VLOOKUP(TRIM(D2602), CATALOGO!F:G, 2, FALSE) * C2602)+I2602,IFERROR(IF(COUNTIF('RESTAURANTESDESCUENTOS 2026'!A:A,TRIM(A2602))&gt;0,((VLOOKUP(TRIM(D2602), CATALOGO!A:B, 2, FALSE) * C2602)*(1-VALUE(SUBSTITUTE(VLOOKUP(TRIM(A2602),'RESTAURANTESDESCUENTOS 2026'!A:B,2,FALSE),"%",""))/100)+I2602),(VLOOKUP(TRIM(D2602), CATALOGO!A:B, 2, FALSE) * C2602+I2602)),""))</f>
        <v/>
      </c>
      <c r="K2602" s="196"/>
      <c r="L2602" s="87"/>
      <c r="M2602" s="245"/>
      <c r="N2602" s="168"/>
    </row>
    <row r="2603" ht="22.5" hidden="1" customHeight="1">
      <c r="A2603" s="137"/>
      <c r="B2603" s="90"/>
      <c r="C2603" s="55"/>
      <c r="D2603" s="193"/>
      <c r="E2603" s="201"/>
      <c r="F2603" s="202"/>
      <c r="G2603" s="194"/>
      <c r="H2603" s="198"/>
      <c r="I2603" s="196"/>
      <c r="J2603" s="179" t="str">
        <f>IF(A2603="RAPPI",(VLOOKUP(TRIM(D2603), CATALOGO!F:G, 2, FALSE) * C2603)+I2603,IFERROR(IF(COUNTIF('RESTAURANTESDESCUENTOS 2026'!A:A,TRIM(A2603))&gt;0,((VLOOKUP(TRIM(D2603), CATALOGO!A:B, 2, FALSE) * C2603)*(1-VALUE(SUBSTITUTE(VLOOKUP(TRIM(A2603),'RESTAURANTESDESCUENTOS 2026'!A:B,2,FALSE),"%",""))/100)+I2603),(VLOOKUP(TRIM(D2603), CATALOGO!A:B, 2, FALSE) * C2603+I2603)),""))</f>
        <v/>
      </c>
      <c r="K2603" s="196"/>
      <c r="L2603" s="87"/>
      <c r="M2603" s="245"/>
      <c r="N2603" s="168"/>
    </row>
    <row r="2604" ht="22.5" hidden="1" customHeight="1">
      <c r="A2604" s="137"/>
      <c r="B2604" s="90"/>
      <c r="C2604" s="55"/>
      <c r="D2604" s="193"/>
      <c r="E2604" s="201"/>
      <c r="F2604" s="202"/>
      <c r="G2604" s="194"/>
      <c r="H2604" s="198"/>
      <c r="I2604" s="196"/>
      <c r="J2604" s="179" t="str">
        <f>IF(A2604="RAPPI",(VLOOKUP(TRIM(D2604), CATALOGO!F:G, 2, FALSE) * C2604)+I2604,IFERROR(IF(COUNTIF('RESTAURANTESDESCUENTOS 2026'!A:A,TRIM(A2604))&gt;0,((VLOOKUP(TRIM(D2604), CATALOGO!A:B, 2, FALSE) * C2604)*(1-VALUE(SUBSTITUTE(VLOOKUP(TRIM(A2604),'RESTAURANTESDESCUENTOS 2026'!A:B,2,FALSE),"%",""))/100)+I2604),(VLOOKUP(TRIM(D2604), CATALOGO!A:B, 2, FALSE) * C2604+I2604)),""))</f>
        <v/>
      </c>
      <c r="K2604" s="196"/>
      <c r="L2604" s="87"/>
      <c r="M2604" s="245"/>
      <c r="N2604" s="168"/>
    </row>
    <row r="2605" ht="22.5" hidden="1" customHeight="1">
      <c r="A2605" s="137"/>
      <c r="B2605" s="90"/>
      <c r="C2605" s="55"/>
      <c r="D2605" s="193"/>
      <c r="E2605" s="201"/>
      <c r="F2605" s="202"/>
      <c r="G2605" s="194"/>
      <c r="H2605" s="198"/>
      <c r="I2605" s="196"/>
      <c r="J2605" s="179" t="str">
        <f>IF(A2605="RAPPI",(VLOOKUP(TRIM(D2605), CATALOGO!F:G, 2, FALSE) * C2605)+I2605,IFERROR(IF(COUNTIF('RESTAURANTESDESCUENTOS 2026'!A:A,TRIM(A2605))&gt;0,((VLOOKUP(TRIM(D2605), CATALOGO!A:B, 2, FALSE) * C2605)*(1-VALUE(SUBSTITUTE(VLOOKUP(TRIM(A2605),'RESTAURANTESDESCUENTOS 2026'!A:B,2,FALSE),"%",""))/100)+I2605),(VLOOKUP(TRIM(D2605), CATALOGO!A:B, 2, FALSE) * C2605+I2605)),""))</f>
        <v/>
      </c>
      <c r="K2605" s="196"/>
      <c r="L2605" s="87"/>
      <c r="M2605" s="245"/>
      <c r="N2605" s="168"/>
    </row>
    <row r="2606" ht="22.5" hidden="1" customHeight="1">
      <c r="A2606" s="137"/>
      <c r="B2606" s="90"/>
      <c r="C2606" s="55"/>
      <c r="D2606" s="193"/>
      <c r="E2606" s="201"/>
      <c r="F2606" s="202"/>
      <c r="G2606" s="194"/>
      <c r="H2606" s="198"/>
      <c r="I2606" s="196"/>
      <c r="J2606" s="179" t="str">
        <f>IF(A2606="RAPPI",(VLOOKUP(TRIM(D2606), CATALOGO!F:G, 2, FALSE) * C2606)+I2606,IFERROR(IF(COUNTIF('RESTAURANTESDESCUENTOS 2026'!A:A,TRIM(A2606))&gt;0,((VLOOKUP(TRIM(D2606), CATALOGO!A:B, 2, FALSE) * C2606)*(1-VALUE(SUBSTITUTE(VLOOKUP(TRIM(A2606),'RESTAURANTESDESCUENTOS 2026'!A:B,2,FALSE),"%",""))/100)+I2606),(VLOOKUP(TRIM(D2606), CATALOGO!A:B, 2, FALSE) * C2606+I2606)),""))</f>
        <v/>
      </c>
      <c r="K2606" s="196"/>
      <c r="L2606" s="87"/>
      <c r="M2606" s="245"/>
      <c r="N2606" s="168"/>
    </row>
    <row r="2607" ht="22.5" hidden="1" customHeight="1">
      <c r="A2607" s="137"/>
      <c r="B2607" s="90"/>
      <c r="C2607" s="55"/>
      <c r="D2607" s="193"/>
      <c r="E2607" s="201"/>
      <c r="F2607" s="202"/>
      <c r="G2607" s="194"/>
      <c r="H2607" s="198"/>
      <c r="I2607" s="196"/>
      <c r="J2607" s="179" t="str">
        <f>IF(A2607="RAPPI",(VLOOKUP(TRIM(D2607), CATALOGO!F:G, 2, FALSE) * C2607)+I2607,IFERROR(IF(COUNTIF('RESTAURANTESDESCUENTOS 2026'!A:A,TRIM(A2607))&gt;0,((VLOOKUP(TRIM(D2607), CATALOGO!A:B, 2, FALSE) * C2607)*(1-VALUE(SUBSTITUTE(VLOOKUP(TRIM(A2607),'RESTAURANTESDESCUENTOS 2026'!A:B,2,FALSE),"%",""))/100)+I2607),(VLOOKUP(TRIM(D2607), CATALOGO!A:B, 2, FALSE) * C2607+I2607)),""))</f>
        <v/>
      </c>
      <c r="K2607" s="196"/>
      <c r="L2607" s="87"/>
      <c r="M2607" s="245"/>
      <c r="N2607" s="168"/>
    </row>
    <row r="2608" ht="22.5" hidden="1" customHeight="1">
      <c r="A2608" s="137"/>
      <c r="B2608" s="90"/>
      <c r="C2608" s="55"/>
      <c r="D2608" s="193"/>
      <c r="E2608" s="201"/>
      <c r="F2608" s="202"/>
      <c r="G2608" s="194"/>
      <c r="H2608" s="198"/>
      <c r="I2608" s="196"/>
      <c r="J2608" s="179" t="str">
        <f>IF(A2608="RAPPI",(VLOOKUP(TRIM(D2608), CATALOGO!F:G, 2, FALSE) * C2608)+I2608,IFERROR(IF(COUNTIF('RESTAURANTESDESCUENTOS 2026'!A:A,TRIM(A2608))&gt;0,((VLOOKUP(TRIM(D2608), CATALOGO!A:B, 2, FALSE) * C2608)*(1-VALUE(SUBSTITUTE(VLOOKUP(TRIM(A2608),'RESTAURANTESDESCUENTOS 2026'!A:B,2,FALSE),"%",""))/100)+I2608),(VLOOKUP(TRIM(D2608), CATALOGO!A:B, 2, FALSE) * C2608+I2608)),""))</f>
        <v/>
      </c>
      <c r="K2608" s="196"/>
      <c r="L2608" s="87"/>
      <c r="M2608" s="245"/>
      <c r="N2608" s="168"/>
    </row>
    <row r="2609" ht="22.5" hidden="1" customHeight="1">
      <c r="A2609" s="137"/>
      <c r="B2609" s="90"/>
      <c r="C2609" s="55"/>
      <c r="D2609" s="193"/>
      <c r="E2609" s="201"/>
      <c r="F2609" s="202"/>
      <c r="G2609" s="194"/>
      <c r="H2609" s="198"/>
      <c r="I2609" s="196"/>
      <c r="J2609" s="179" t="str">
        <f>IF(A2609="RAPPI",(VLOOKUP(TRIM(D2609), CATALOGO!F:G, 2, FALSE) * C2609)+I2609,IFERROR(IF(COUNTIF('RESTAURANTESDESCUENTOS 2026'!A:A,TRIM(A2609))&gt;0,((VLOOKUP(TRIM(D2609), CATALOGO!A:B, 2, FALSE) * C2609)*(1-VALUE(SUBSTITUTE(VLOOKUP(TRIM(A2609),'RESTAURANTESDESCUENTOS 2026'!A:B,2,FALSE),"%",""))/100)+I2609),(VLOOKUP(TRIM(D2609), CATALOGO!A:B, 2, FALSE) * C2609+I2609)),""))</f>
        <v/>
      </c>
      <c r="K2609" s="196"/>
      <c r="L2609" s="87"/>
      <c r="M2609" s="245"/>
      <c r="N2609" s="168"/>
    </row>
    <row r="2610" ht="22.5" hidden="1" customHeight="1">
      <c r="A2610" s="137"/>
      <c r="B2610" s="90"/>
      <c r="C2610" s="55"/>
      <c r="D2610" s="193"/>
      <c r="E2610" s="201"/>
      <c r="F2610" s="202"/>
      <c r="G2610" s="194"/>
      <c r="H2610" s="198"/>
      <c r="I2610" s="196"/>
      <c r="J2610" s="179" t="str">
        <f>IF(A2610="RAPPI",(VLOOKUP(TRIM(D2610), CATALOGO!F:G, 2, FALSE) * C2610)+I2610,IFERROR(IF(COUNTIF('RESTAURANTESDESCUENTOS 2026'!A:A,TRIM(A2610))&gt;0,((VLOOKUP(TRIM(D2610), CATALOGO!A:B, 2, FALSE) * C2610)*(1-VALUE(SUBSTITUTE(VLOOKUP(TRIM(A2610),'RESTAURANTESDESCUENTOS 2026'!A:B,2,FALSE),"%",""))/100)+I2610),(VLOOKUP(TRIM(D2610), CATALOGO!A:B, 2, FALSE) * C2610+I2610)),""))</f>
        <v/>
      </c>
      <c r="K2610" s="196"/>
      <c r="L2610" s="87"/>
      <c r="M2610" s="245"/>
      <c r="N2610" s="168"/>
    </row>
    <row r="2611" ht="22.5" hidden="1" customHeight="1">
      <c r="A2611" s="137"/>
      <c r="B2611" s="90"/>
      <c r="C2611" s="55"/>
      <c r="D2611" s="193"/>
      <c r="E2611" s="201"/>
      <c r="F2611" s="202"/>
      <c r="G2611" s="194"/>
      <c r="H2611" s="198"/>
      <c r="I2611" s="196"/>
      <c r="J2611" s="179" t="str">
        <f>IF(A2611="RAPPI",(VLOOKUP(TRIM(D2611), CATALOGO!F:G, 2, FALSE) * C2611)+I2611,IFERROR(IF(COUNTIF('RESTAURANTESDESCUENTOS 2026'!A:A,TRIM(A2611))&gt;0,((VLOOKUP(TRIM(D2611), CATALOGO!A:B, 2, FALSE) * C2611)*(1-VALUE(SUBSTITUTE(VLOOKUP(TRIM(A2611),'RESTAURANTESDESCUENTOS 2026'!A:B,2,FALSE),"%",""))/100)+I2611),(VLOOKUP(TRIM(D2611), CATALOGO!A:B, 2, FALSE) * C2611+I2611)),""))</f>
        <v/>
      </c>
      <c r="K2611" s="196"/>
      <c r="L2611" s="87"/>
      <c r="M2611" s="245"/>
      <c r="N2611" s="168"/>
    </row>
    <row r="2612" ht="22.5" hidden="1" customHeight="1">
      <c r="A2612" s="137"/>
      <c r="B2612" s="90"/>
      <c r="C2612" s="55"/>
      <c r="D2612" s="193"/>
      <c r="E2612" s="201"/>
      <c r="F2612" s="202"/>
      <c r="G2612" s="194"/>
      <c r="H2612" s="198"/>
      <c r="I2612" s="196"/>
      <c r="J2612" s="179" t="str">
        <f>IF(A2612="RAPPI",(VLOOKUP(TRIM(D2612), CATALOGO!F:G, 2, FALSE) * C2612)+I2612,IFERROR(IF(COUNTIF('RESTAURANTESDESCUENTOS 2026'!A:A,TRIM(A2612))&gt;0,((VLOOKUP(TRIM(D2612), CATALOGO!A:B, 2, FALSE) * C2612)*(1-VALUE(SUBSTITUTE(VLOOKUP(TRIM(A2612),'RESTAURANTESDESCUENTOS 2026'!A:B,2,FALSE),"%",""))/100)+I2612),(VLOOKUP(TRIM(D2612), CATALOGO!A:B, 2, FALSE) * C2612+I2612)),""))</f>
        <v/>
      </c>
      <c r="K2612" s="196"/>
      <c r="L2612" s="87"/>
      <c r="M2612" s="245"/>
      <c r="N2612" s="168"/>
    </row>
    <row r="2613" ht="22.5" hidden="1" customHeight="1">
      <c r="A2613" s="137"/>
      <c r="B2613" s="90"/>
      <c r="C2613" s="55"/>
      <c r="D2613" s="193"/>
      <c r="E2613" s="201"/>
      <c r="F2613" s="202"/>
      <c r="G2613" s="194"/>
      <c r="H2613" s="198"/>
      <c r="I2613" s="196"/>
      <c r="J2613" s="179" t="str">
        <f>IF(A2613="RAPPI",(VLOOKUP(TRIM(D2613), CATALOGO!F:G, 2, FALSE) * C2613)+I2613,IFERROR(IF(COUNTIF('RESTAURANTESDESCUENTOS 2026'!A:A,TRIM(A2613))&gt;0,((VLOOKUP(TRIM(D2613), CATALOGO!A:B, 2, FALSE) * C2613)*(1-VALUE(SUBSTITUTE(VLOOKUP(TRIM(A2613),'RESTAURANTESDESCUENTOS 2026'!A:B,2,FALSE),"%",""))/100)+I2613),(VLOOKUP(TRIM(D2613), CATALOGO!A:B, 2, FALSE) * C2613+I2613)),""))</f>
        <v/>
      </c>
      <c r="K2613" s="196"/>
      <c r="L2613" s="87"/>
      <c r="M2613" s="245"/>
      <c r="N2613" s="168"/>
    </row>
    <row r="2614" ht="22.5" hidden="1" customHeight="1">
      <c r="A2614" s="137"/>
      <c r="B2614" s="90"/>
      <c r="C2614" s="55"/>
      <c r="D2614" s="193"/>
      <c r="E2614" s="201"/>
      <c r="F2614" s="202"/>
      <c r="G2614" s="194"/>
      <c r="H2614" s="198"/>
      <c r="I2614" s="196"/>
      <c r="J2614" s="179" t="str">
        <f>IF(A2614="RAPPI",(VLOOKUP(TRIM(D2614), CATALOGO!F:G, 2, FALSE) * C2614)+I2614,IFERROR(IF(COUNTIF('RESTAURANTESDESCUENTOS 2026'!A:A,TRIM(A2614))&gt;0,((VLOOKUP(TRIM(D2614), CATALOGO!A:B, 2, FALSE) * C2614)*(1-VALUE(SUBSTITUTE(VLOOKUP(TRIM(A2614),'RESTAURANTESDESCUENTOS 2026'!A:B,2,FALSE),"%",""))/100)+I2614),(VLOOKUP(TRIM(D2614), CATALOGO!A:B, 2, FALSE) * C2614+I2614)),""))</f>
        <v/>
      </c>
      <c r="K2614" s="196"/>
      <c r="L2614" s="87"/>
      <c r="M2614" s="245"/>
      <c r="N2614" s="168"/>
    </row>
    <row r="2615" ht="22.5" hidden="1" customHeight="1">
      <c r="A2615" s="137"/>
      <c r="B2615" s="90"/>
      <c r="C2615" s="55"/>
      <c r="D2615" s="193"/>
      <c r="E2615" s="201"/>
      <c r="F2615" s="202"/>
      <c r="G2615" s="194"/>
      <c r="H2615" s="198"/>
      <c r="I2615" s="196"/>
      <c r="J2615" s="179" t="str">
        <f>IF(A2615="RAPPI",(VLOOKUP(TRIM(D2615), CATALOGO!F:G, 2, FALSE) * C2615)+I2615,IFERROR(IF(COUNTIF('RESTAURANTESDESCUENTOS 2026'!A:A,TRIM(A2615))&gt;0,((VLOOKUP(TRIM(D2615), CATALOGO!A:B, 2, FALSE) * C2615)*(1-VALUE(SUBSTITUTE(VLOOKUP(TRIM(A2615),'RESTAURANTESDESCUENTOS 2026'!A:B,2,FALSE),"%",""))/100)+I2615),(VLOOKUP(TRIM(D2615), CATALOGO!A:B, 2, FALSE) * C2615+I2615)),""))</f>
        <v/>
      </c>
      <c r="K2615" s="196"/>
      <c r="L2615" s="87"/>
      <c r="M2615" s="245"/>
      <c r="N2615" s="168"/>
    </row>
    <row r="2616" ht="22.5" hidden="1" customHeight="1">
      <c r="A2616" s="137"/>
      <c r="B2616" s="90"/>
      <c r="C2616" s="55"/>
      <c r="D2616" s="193"/>
      <c r="E2616" s="201"/>
      <c r="F2616" s="202"/>
      <c r="G2616" s="194"/>
      <c r="H2616" s="198"/>
      <c r="I2616" s="196"/>
      <c r="J2616" s="179" t="str">
        <f>IF(A2616="RAPPI",(VLOOKUP(TRIM(D2616), CATALOGO!F:G, 2, FALSE) * C2616)+I2616,IFERROR(IF(COUNTIF('RESTAURANTESDESCUENTOS 2026'!A:A,TRIM(A2616))&gt;0,((VLOOKUP(TRIM(D2616), CATALOGO!A:B, 2, FALSE) * C2616)*(1-VALUE(SUBSTITUTE(VLOOKUP(TRIM(A2616),'RESTAURANTESDESCUENTOS 2026'!A:B,2,FALSE),"%",""))/100)+I2616),(VLOOKUP(TRIM(D2616), CATALOGO!A:B, 2, FALSE) * C2616+I2616)),""))</f>
        <v/>
      </c>
      <c r="K2616" s="196"/>
      <c r="L2616" s="87"/>
      <c r="M2616" s="245"/>
      <c r="N2616" s="168"/>
    </row>
    <row r="2617" ht="22.5" hidden="1" customHeight="1">
      <c r="A2617" s="137"/>
      <c r="B2617" s="90"/>
      <c r="C2617" s="55"/>
      <c r="D2617" s="193"/>
      <c r="E2617" s="201"/>
      <c r="F2617" s="202"/>
      <c r="G2617" s="194"/>
      <c r="H2617" s="198"/>
      <c r="I2617" s="196"/>
      <c r="J2617" s="179" t="str">
        <f>IF(A2617="RAPPI",(VLOOKUP(TRIM(D2617), CATALOGO!F:G, 2, FALSE) * C2617)+I2617,IFERROR(IF(COUNTIF('RESTAURANTESDESCUENTOS 2026'!A:A,TRIM(A2617))&gt;0,((VLOOKUP(TRIM(D2617), CATALOGO!A:B, 2, FALSE) * C2617)*(1-VALUE(SUBSTITUTE(VLOOKUP(TRIM(A2617),'RESTAURANTESDESCUENTOS 2026'!A:B,2,FALSE),"%",""))/100)+I2617),(VLOOKUP(TRIM(D2617), CATALOGO!A:B, 2, FALSE) * C2617+I2617)),""))</f>
        <v/>
      </c>
      <c r="K2617" s="196"/>
      <c r="L2617" s="87"/>
      <c r="M2617" s="245"/>
      <c r="N2617" s="168"/>
    </row>
    <row r="2618" ht="22.5" hidden="1" customHeight="1">
      <c r="A2618" s="137"/>
      <c r="B2618" s="90"/>
      <c r="C2618" s="55"/>
      <c r="D2618" s="193"/>
      <c r="E2618" s="201"/>
      <c r="F2618" s="202"/>
      <c r="G2618" s="194"/>
      <c r="H2618" s="198"/>
      <c r="I2618" s="196"/>
      <c r="J2618" s="179" t="str">
        <f>IF(A2618="RAPPI",(VLOOKUP(TRIM(D2618), CATALOGO!F:G, 2, FALSE) * C2618)+I2618,IFERROR(IF(COUNTIF('RESTAURANTESDESCUENTOS 2026'!A:A,TRIM(A2618))&gt;0,((VLOOKUP(TRIM(D2618), CATALOGO!A:B, 2, FALSE) * C2618)*(1-VALUE(SUBSTITUTE(VLOOKUP(TRIM(A2618),'RESTAURANTESDESCUENTOS 2026'!A:B,2,FALSE),"%",""))/100)+I2618),(VLOOKUP(TRIM(D2618), CATALOGO!A:B, 2, FALSE) * C2618+I2618)),""))</f>
        <v/>
      </c>
      <c r="K2618" s="196"/>
      <c r="L2618" s="87"/>
      <c r="M2618" s="245"/>
      <c r="N2618" s="168"/>
    </row>
    <row r="2619" ht="22.5" hidden="1" customHeight="1">
      <c r="A2619" s="137"/>
      <c r="B2619" s="90"/>
      <c r="C2619" s="55"/>
      <c r="D2619" s="193"/>
      <c r="E2619" s="201"/>
      <c r="F2619" s="202"/>
      <c r="G2619" s="194"/>
      <c r="H2619" s="198"/>
      <c r="I2619" s="196"/>
      <c r="J2619" s="179" t="str">
        <f>IF(A2619="RAPPI",(VLOOKUP(TRIM(D2619), CATALOGO!F:G, 2, FALSE) * C2619)+I2619,IFERROR(IF(COUNTIF('RESTAURANTESDESCUENTOS 2026'!A:A,TRIM(A2619))&gt;0,((VLOOKUP(TRIM(D2619), CATALOGO!A:B, 2, FALSE) * C2619)*(1-VALUE(SUBSTITUTE(VLOOKUP(TRIM(A2619),'RESTAURANTESDESCUENTOS 2026'!A:B,2,FALSE),"%",""))/100)+I2619),(VLOOKUP(TRIM(D2619), CATALOGO!A:B, 2, FALSE) * C2619+I2619)),""))</f>
        <v/>
      </c>
      <c r="K2619" s="196"/>
      <c r="L2619" s="87"/>
      <c r="M2619" s="245"/>
      <c r="N2619" s="168"/>
    </row>
    <row r="2620" ht="22.5" hidden="1" customHeight="1">
      <c r="A2620" s="137"/>
      <c r="B2620" s="90"/>
      <c r="C2620" s="55"/>
      <c r="D2620" s="193"/>
      <c r="E2620" s="201"/>
      <c r="F2620" s="202"/>
      <c r="G2620" s="194"/>
      <c r="H2620" s="198"/>
      <c r="I2620" s="196"/>
      <c r="J2620" s="179" t="str">
        <f>IF(A2620="RAPPI",(VLOOKUP(TRIM(D2620), CATALOGO!F:G, 2, FALSE) * C2620)+I2620,IFERROR(IF(COUNTIF('RESTAURANTESDESCUENTOS 2026'!A:A,TRIM(A2620))&gt;0,((VLOOKUP(TRIM(D2620), CATALOGO!A:B, 2, FALSE) * C2620)*(1-VALUE(SUBSTITUTE(VLOOKUP(TRIM(A2620),'RESTAURANTESDESCUENTOS 2026'!A:B,2,FALSE),"%",""))/100)+I2620),(VLOOKUP(TRIM(D2620), CATALOGO!A:B, 2, FALSE) * C2620+I2620)),""))</f>
        <v/>
      </c>
      <c r="K2620" s="196"/>
      <c r="L2620" s="87"/>
      <c r="M2620" s="245"/>
      <c r="N2620" s="168"/>
    </row>
    <row r="2621" ht="22.5" hidden="1" customHeight="1">
      <c r="A2621" s="137"/>
      <c r="B2621" s="90"/>
      <c r="C2621" s="55"/>
      <c r="D2621" s="193"/>
      <c r="E2621" s="201"/>
      <c r="F2621" s="202"/>
      <c r="G2621" s="194"/>
      <c r="H2621" s="198"/>
      <c r="I2621" s="196"/>
      <c r="J2621" s="179" t="str">
        <f>IF(A2621="RAPPI",(VLOOKUP(TRIM(D2621), CATALOGO!F:G, 2, FALSE) * C2621)+I2621,IFERROR(IF(COUNTIF('RESTAURANTESDESCUENTOS 2026'!A:A,TRIM(A2621))&gt;0,((VLOOKUP(TRIM(D2621), CATALOGO!A:B, 2, FALSE) * C2621)*(1-VALUE(SUBSTITUTE(VLOOKUP(TRIM(A2621),'RESTAURANTESDESCUENTOS 2026'!A:B,2,FALSE),"%",""))/100)+I2621),(VLOOKUP(TRIM(D2621), CATALOGO!A:B, 2, FALSE) * C2621+I2621)),""))</f>
        <v/>
      </c>
      <c r="K2621" s="196"/>
      <c r="L2621" s="87"/>
      <c r="M2621" s="245"/>
      <c r="N2621" s="168"/>
    </row>
    <row r="2622" ht="22.5" hidden="1" customHeight="1">
      <c r="A2622" s="137"/>
      <c r="B2622" s="90"/>
      <c r="C2622" s="55"/>
      <c r="D2622" s="193"/>
      <c r="E2622" s="201"/>
      <c r="F2622" s="202"/>
      <c r="G2622" s="194"/>
      <c r="H2622" s="198"/>
      <c r="I2622" s="196"/>
      <c r="J2622" s="179" t="str">
        <f>IF(A2622="RAPPI",(VLOOKUP(TRIM(D2622), CATALOGO!F:G, 2, FALSE) * C2622)+I2622,IFERROR(IF(COUNTIF('RESTAURANTESDESCUENTOS 2026'!A:A,TRIM(A2622))&gt;0,((VLOOKUP(TRIM(D2622), CATALOGO!A:B, 2, FALSE) * C2622)*(1-VALUE(SUBSTITUTE(VLOOKUP(TRIM(A2622),'RESTAURANTESDESCUENTOS 2026'!A:B,2,FALSE),"%",""))/100)+I2622),(VLOOKUP(TRIM(D2622), CATALOGO!A:B, 2, FALSE) * C2622+I2622)),""))</f>
        <v/>
      </c>
      <c r="K2622" s="196"/>
      <c r="L2622" s="87"/>
      <c r="M2622" s="245"/>
      <c r="N2622" s="168"/>
    </row>
    <row r="2623" ht="22.5" hidden="1" customHeight="1">
      <c r="A2623" s="137"/>
      <c r="B2623" s="90"/>
      <c r="C2623" s="55"/>
      <c r="D2623" s="193"/>
      <c r="E2623" s="201"/>
      <c r="F2623" s="202"/>
      <c r="G2623" s="194"/>
      <c r="H2623" s="198"/>
      <c r="I2623" s="196"/>
      <c r="J2623" s="179" t="str">
        <f>IF(A2623="RAPPI",(VLOOKUP(TRIM(D2623), CATALOGO!F:G, 2, FALSE) * C2623)+I2623,IFERROR(IF(COUNTIF('RESTAURANTESDESCUENTOS 2026'!A:A,TRIM(A2623))&gt;0,((VLOOKUP(TRIM(D2623), CATALOGO!A:B, 2, FALSE) * C2623)*(1-VALUE(SUBSTITUTE(VLOOKUP(TRIM(A2623),'RESTAURANTESDESCUENTOS 2026'!A:B,2,FALSE),"%",""))/100)+I2623),(VLOOKUP(TRIM(D2623), CATALOGO!A:B, 2, FALSE) * C2623+I2623)),""))</f>
        <v/>
      </c>
      <c r="K2623" s="196"/>
      <c r="L2623" s="87"/>
      <c r="M2623" s="245"/>
      <c r="N2623" s="168"/>
    </row>
    <row r="2624" ht="22.5" hidden="1" customHeight="1">
      <c r="A2624" s="137"/>
      <c r="B2624" s="90"/>
      <c r="C2624" s="55"/>
      <c r="D2624" s="193"/>
      <c r="E2624" s="201"/>
      <c r="F2624" s="202"/>
      <c r="G2624" s="194"/>
      <c r="H2624" s="198"/>
      <c r="I2624" s="196"/>
      <c r="J2624" s="179" t="str">
        <f>IF(A2624="RAPPI",(VLOOKUP(TRIM(D2624), CATALOGO!F:G, 2, FALSE) * C2624)+I2624,IFERROR(IF(COUNTIF('RESTAURANTESDESCUENTOS 2026'!A:A,TRIM(A2624))&gt;0,((VLOOKUP(TRIM(D2624), CATALOGO!A:B, 2, FALSE) * C2624)*(1-VALUE(SUBSTITUTE(VLOOKUP(TRIM(A2624),'RESTAURANTESDESCUENTOS 2026'!A:B,2,FALSE),"%",""))/100)+I2624),(VLOOKUP(TRIM(D2624), CATALOGO!A:B, 2, FALSE) * C2624+I2624)),""))</f>
        <v/>
      </c>
      <c r="K2624" s="196"/>
      <c r="L2624" s="87"/>
      <c r="M2624" s="245"/>
      <c r="N2624" s="168"/>
    </row>
    <row r="2625" ht="22.5" hidden="1" customHeight="1">
      <c r="A2625" s="137"/>
      <c r="B2625" s="90"/>
      <c r="C2625" s="55"/>
      <c r="D2625" s="193"/>
      <c r="E2625" s="201"/>
      <c r="F2625" s="202"/>
      <c r="G2625" s="194"/>
      <c r="H2625" s="198"/>
      <c r="I2625" s="196"/>
      <c r="J2625" s="179" t="str">
        <f>IF(A2625="RAPPI",(VLOOKUP(TRIM(D2625), CATALOGO!F:G, 2, FALSE) * C2625)+I2625,IFERROR(IF(COUNTIF('RESTAURANTESDESCUENTOS 2026'!A:A,TRIM(A2625))&gt;0,((VLOOKUP(TRIM(D2625), CATALOGO!A:B, 2, FALSE) * C2625)*(1-VALUE(SUBSTITUTE(VLOOKUP(TRIM(A2625),'RESTAURANTESDESCUENTOS 2026'!A:B,2,FALSE),"%",""))/100)+I2625),(VLOOKUP(TRIM(D2625), CATALOGO!A:B, 2, FALSE) * C2625+I2625)),""))</f>
        <v/>
      </c>
      <c r="K2625" s="196"/>
      <c r="L2625" s="87"/>
      <c r="M2625" s="245"/>
      <c r="N2625" s="168"/>
    </row>
    <row r="2626" ht="22.5" hidden="1" customHeight="1">
      <c r="A2626" s="137"/>
      <c r="B2626" s="90"/>
      <c r="C2626" s="55"/>
      <c r="D2626" s="193"/>
      <c r="E2626" s="201"/>
      <c r="F2626" s="202"/>
      <c r="G2626" s="194"/>
      <c r="H2626" s="198"/>
      <c r="I2626" s="196"/>
      <c r="J2626" s="179" t="str">
        <f>IF(A2626="RAPPI",(VLOOKUP(TRIM(D2626), CATALOGO!F:G, 2, FALSE) * C2626)+I2626,IFERROR(IF(COUNTIF('RESTAURANTESDESCUENTOS 2026'!A:A,TRIM(A2626))&gt;0,((VLOOKUP(TRIM(D2626), CATALOGO!A:B, 2, FALSE) * C2626)*(1-VALUE(SUBSTITUTE(VLOOKUP(TRIM(A2626),'RESTAURANTESDESCUENTOS 2026'!A:B,2,FALSE),"%",""))/100)+I2626),(VLOOKUP(TRIM(D2626), CATALOGO!A:B, 2, FALSE) * C2626+I2626)),""))</f>
        <v/>
      </c>
      <c r="K2626" s="196"/>
      <c r="L2626" s="87"/>
      <c r="M2626" s="245"/>
      <c r="N2626" s="168"/>
    </row>
    <row r="2627" ht="22.5" hidden="1" customHeight="1">
      <c r="A2627" s="137"/>
      <c r="B2627" s="90"/>
      <c r="C2627" s="55"/>
      <c r="D2627" s="193"/>
      <c r="E2627" s="201"/>
      <c r="F2627" s="202"/>
      <c r="G2627" s="194"/>
      <c r="H2627" s="198"/>
      <c r="I2627" s="196"/>
      <c r="J2627" s="179" t="str">
        <f>IF(A2627="RAPPI",(VLOOKUP(TRIM(D2627), CATALOGO!F:G, 2, FALSE) * C2627)+I2627,IFERROR(IF(COUNTIF('RESTAURANTESDESCUENTOS 2026'!A:A,TRIM(A2627))&gt;0,((VLOOKUP(TRIM(D2627), CATALOGO!A:B, 2, FALSE) * C2627)*(1-VALUE(SUBSTITUTE(VLOOKUP(TRIM(A2627),'RESTAURANTESDESCUENTOS 2026'!A:B,2,FALSE),"%",""))/100)+I2627),(VLOOKUP(TRIM(D2627), CATALOGO!A:B, 2, FALSE) * C2627+I2627)),""))</f>
        <v/>
      </c>
      <c r="K2627" s="196"/>
      <c r="L2627" s="87"/>
      <c r="M2627" s="245"/>
      <c r="N2627" s="168"/>
    </row>
    <row r="2628" ht="22.5" hidden="1" customHeight="1">
      <c r="A2628" s="137"/>
      <c r="B2628" s="90"/>
      <c r="C2628" s="55"/>
      <c r="D2628" s="193"/>
      <c r="E2628" s="201"/>
      <c r="F2628" s="202"/>
      <c r="G2628" s="194"/>
      <c r="H2628" s="198"/>
      <c r="I2628" s="196"/>
      <c r="J2628" s="179" t="str">
        <f>IF(A2628="RAPPI",(VLOOKUP(TRIM(D2628), CATALOGO!F:G, 2, FALSE) * C2628)+I2628,IFERROR(IF(COUNTIF('RESTAURANTESDESCUENTOS 2026'!A:A,TRIM(A2628))&gt;0,((VLOOKUP(TRIM(D2628), CATALOGO!A:B, 2, FALSE) * C2628)*(1-VALUE(SUBSTITUTE(VLOOKUP(TRIM(A2628),'RESTAURANTESDESCUENTOS 2026'!A:B,2,FALSE),"%",""))/100)+I2628),(VLOOKUP(TRIM(D2628), CATALOGO!A:B, 2, FALSE) * C2628+I2628)),""))</f>
        <v/>
      </c>
      <c r="K2628" s="196"/>
      <c r="L2628" s="87"/>
      <c r="M2628" s="245"/>
      <c r="N2628" s="168"/>
    </row>
    <row r="2629" ht="22.5" hidden="1" customHeight="1">
      <c r="A2629" s="137"/>
      <c r="B2629" s="90"/>
      <c r="C2629" s="55"/>
      <c r="D2629" s="193"/>
      <c r="E2629" s="201"/>
      <c r="F2629" s="202"/>
      <c r="G2629" s="194"/>
      <c r="H2629" s="198"/>
      <c r="I2629" s="196"/>
      <c r="J2629" s="179" t="str">
        <f>IF(A2629="RAPPI",(VLOOKUP(TRIM(D2629), CATALOGO!F:G, 2, FALSE) * C2629)+I2629,IFERROR(IF(COUNTIF('RESTAURANTESDESCUENTOS 2026'!A:A,TRIM(A2629))&gt;0,((VLOOKUP(TRIM(D2629), CATALOGO!A:B, 2, FALSE) * C2629)*(1-VALUE(SUBSTITUTE(VLOOKUP(TRIM(A2629),'RESTAURANTESDESCUENTOS 2026'!A:B,2,FALSE),"%",""))/100)+I2629),(VLOOKUP(TRIM(D2629), CATALOGO!A:B, 2, FALSE) * C2629+I2629)),""))</f>
        <v/>
      </c>
      <c r="K2629" s="196"/>
      <c r="L2629" s="87"/>
      <c r="M2629" s="245"/>
      <c r="N2629" s="168"/>
    </row>
    <row r="2630" ht="22.5" hidden="1" customHeight="1">
      <c r="A2630" s="137"/>
      <c r="B2630" s="90"/>
      <c r="C2630" s="55"/>
      <c r="D2630" s="193"/>
      <c r="E2630" s="201"/>
      <c r="F2630" s="202"/>
      <c r="G2630" s="194"/>
      <c r="H2630" s="198"/>
      <c r="I2630" s="196"/>
      <c r="J2630" s="179" t="str">
        <f>IF(A2630="RAPPI",(VLOOKUP(TRIM(D2630), CATALOGO!F:G, 2, FALSE) * C2630)+I2630,IFERROR(IF(COUNTIF('RESTAURANTESDESCUENTOS 2026'!A:A,TRIM(A2630))&gt;0,((VLOOKUP(TRIM(D2630), CATALOGO!A:B, 2, FALSE) * C2630)*(1-VALUE(SUBSTITUTE(VLOOKUP(TRIM(A2630),'RESTAURANTESDESCUENTOS 2026'!A:B,2,FALSE),"%",""))/100)+I2630),(VLOOKUP(TRIM(D2630), CATALOGO!A:B, 2, FALSE) * C2630+I2630)),""))</f>
        <v/>
      </c>
      <c r="K2630" s="196"/>
      <c r="L2630" s="87"/>
      <c r="M2630" s="245"/>
      <c r="N2630" s="168"/>
    </row>
    <row r="2631" ht="22.5" hidden="1" customHeight="1">
      <c r="A2631" s="137"/>
      <c r="B2631" s="90"/>
      <c r="C2631" s="55"/>
      <c r="D2631" s="193"/>
      <c r="E2631" s="201"/>
      <c r="F2631" s="202"/>
      <c r="G2631" s="194"/>
      <c r="H2631" s="198"/>
      <c r="I2631" s="196"/>
      <c r="J2631" s="179" t="str">
        <f>IF(A2631="RAPPI",(VLOOKUP(TRIM(D2631), CATALOGO!F:G, 2, FALSE) * C2631)+I2631,IFERROR(IF(COUNTIF('RESTAURANTESDESCUENTOS 2026'!A:A,TRIM(A2631))&gt;0,((VLOOKUP(TRIM(D2631), CATALOGO!A:B, 2, FALSE) * C2631)*(1-VALUE(SUBSTITUTE(VLOOKUP(TRIM(A2631),'RESTAURANTESDESCUENTOS 2026'!A:B,2,FALSE),"%",""))/100)+I2631),(VLOOKUP(TRIM(D2631), CATALOGO!A:B, 2, FALSE) * C2631+I2631)),""))</f>
        <v/>
      </c>
      <c r="K2631" s="196"/>
      <c r="L2631" s="87"/>
      <c r="M2631" s="245"/>
      <c r="N2631" s="168"/>
    </row>
    <row r="2632" ht="22.5" hidden="1" customHeight="1">
      <c r="A2632" s="137"/>
      <c r="B2632" s="90"/>
      <c r="C2632" s="55"/>
      <c r="D2632" s="193"/>
      <c r="E2632" s="201"/>
      <c r="F2632" s="202"/>
      <c r="G2632" s="194"/>
      <c r="H2632" s="198"/>
      <c r="I2632" s="196"/>
      <c r="J2632" s="179" t="str">
        <f>IF(A2632="RAPPI",(VLOOKUP(TRIM(D2632), CATALOGO!F:G, 2, FALSE) * C2632)+I2632,IFERROR(IF(COUNTIF('RESTAURANTESDESCUENTOS 2026'!A:A,TRIM(A2632))&gt;0,((VLOOKUP(TRIM(D2632), CATALOGO!A:B, 2, FALSE) * C2632)*(1-VALUE(SUBSTITUTE(VLOOKUP(TRIM(A2632),'RESTAURANTESDESCUENTOS 2026'!A:B,2,FALSE),"%",""))/100)+I2632),(VLOOKUP(TRIM(D2632), CATALOGO!A:B, 2, FALSE) * C2632+I2632)),""))</f>
        <v/>
      </c>
      <c r="K2632" s="196"/>
      <c r="L2632" s="87"/>
      <c r="M2632" s="245"/>
      <c r="N2632" s="168"/>
    </row>
    <row r="2633" ht="22.5" hidden="1" customHeight="1">
      <c r="A2633" s="137"/>
      <c r="B2633" s="90"/>
      <c r="C2633" s="55"/>
      <c r="D2633" s="193"/>
      <c r="E2633" s="201"/>
      <c r="F2633" s="202"/>
      <c r="G2633" s="194"/>
      <c r="H2633" s="198"/>
      <c r="I2633" s="196"/>
      <c r="J2633" s="179" t="str">
        <f>IF(A2633="RAPPI",(VLOOKUP(TRIM(D2633), CATALOGO!F:G, 2, FALSE) * C2633)+I2633,IFERROR(IF(COUNTIF('RESTAURANTESDESCUENTOS 2026'!A:A,TRIM(A2633))&gt;0,((VLOOKUP(TRIM(D2633), CATALOGO!A:B, 2, FALSE) * C2633)*(1-VALUE(SUBSTITUTE(VLOOKUP(TRIM(A2633),'RESTAURANTESDESCUENTOS 2026'!A:B,2,FALSE),"%",""))/100)+I2633),(VLOOKUP(TRIM(D2633), CATALOGO!A:B, 2, FALSE) * C2633+I2633)),""))</f>
        <v/>
      </c>
      <c r="K2633" s="196"/>
      <c r="L2633" s="87"/>
      <c r="M2633" s="245"/>
      <c r="N2633" s="168"/>
    </row>
    <row r="2634" ht="22.5" hidden="1" customHeight="1">
      <c r="A2634" s="137"/>
      <c r="B2634" s="90"/>
      <c r="C2634" s="55"/>
      <c r="D2634" s="193"/>
      <c r="E2634" s="201"/>
      <c r="F2634" s="202"/>
      <c r="G2634" s="194"/>
      <c r="H2634" s="198"/>
      <c r="I2634" s="196"/>
      <c r="J2634" s="179" t="str">
        <f>IF(A2634="RAPPI",(VLOOKUP(TRIM(D2634), CATALOGO!F:G, 2, FALSE) * C2634)+I2634,IFERROR(IF(COUNTIF('RESTAURANTESDESCUENTOS 2026'!A:A,TRIM(A2634))&gt;0,((VLOOKUP(TRIM(D2634), CATALOGO!A:B, 2, FALSE) * C2634)*(1-VALUE(SUBSTITUTE(VLOOKUP(TRIM(A2634),'RESTAURANTESDESCUENTOS 2026'!A:B,2,FALSE),"%",""))/100)+I2634),(VLOOKUP(TRIM(D2634), CATALOGO!A:B, 2, FALSE) * C2634+I2634)),""))</f>
        <v/>
      </c>
      <c r="K2634" s="196"/>
      <c r="L2634" s="87"/>
      <c r="M2634" s="245"/>
      <c r="N2634" s="168"/>
    </row>
    <row r="2635" ht="22.5" hidden="1" customHeight="1">
      <c r="A2635" s="137"/>
      <c r="B2635" s="90"/>
      <c r="C2635" s="55"/>
      <c r="D2635" s="193"/>
      <c r="E2635" s="201"/>
      <c r="F2635" s="202"/>
      <c r="G2635" s="194"/>
      <c r="H2635" s="198"/>
      <c r="I2635" s="196"/>
      <c r="J2635" s="179" t="str">
        <f>IF(A2635="RAPPI",(VLOOKUP(TRIM(D2635), CATALOGO!F:G, 2, FALSE) * C2635)+I2635,IFERROR(IF(COUNTIF('RESTAURANTESDESCUENTOS 2026'!A:A,TRIM(A2635))&gt;0,((VLOOKUP(TRIM(D2635), CATALOGO!A:B, 2, FALSE) * C2635)*(1-VALUE(SUBSTITUTE(VLOOKUP(TRIM(A2635),'RESTAURANTESDESCUENTOS 2026'!A:B,2,FALSE),"%",""))/100)+I2635),(VLOOKUP(TRIM(D2635), CATALOGO!A:B, 2, FALSE) * C2635+I2635)),""))</f>
        <v/>
      </c>
      <c r="K2635" s="196"/>
      <c r="L2635" s="87"/>
      <c r="M2635" s="245"/>
      <c r="N2635" s="168"/>
    </row>
    <row r="2636" ht="22.5" hidden="1" customHeight="1">
      <c r="A2636" s="137"/>
      <c r="B2636" s="90"/>
      <c r="C2636" s="55"/>
      <c r="D2636" s="193"/>
      <c r="E2636" s="201"/>
      <c r="F2636" s="202"/>
      <c r="G2636" s="194"/>
      <c r="H2636" s="198"/>
      <c r="I2636" s="196"/>
      <c r="J2636" s="179" t="str">
        <f>IF(A2636="RAPPI",(VLOOKUP(TRIM(D2636), CATALOGO!F:G, 2, FALSE) * C2636)+I2636,IFERROR(IF(COUNTIF('RESTAURANTESDESCUENTOS 2026'!A:A,TRIM(A2636))&gt;0,((VLOOKUP(TRIM(D2636), CATALOGO!A:B, 2, FALSE) * C2636)*(1-VALUE(SUBSTITUTE(VLOOKUP(TRIM(A2636),'RESTAURANTESDESCUENTOS 2026'!A:B,2,FALSE),"%",""))/100)+I2636),(VLOOKUP(TRIM(D2636), CATALOGO!A:B, 2, FALSE) * C2636+I2636)),""))</f>
        <v/>
      </c>
      <c r="K2636" s="196"/>
      <c r="L2636" s="87"/>
      <c r="M2636" s="245"/>
      <c r="N2636" s="168"/>
    </row>
    <row r="2637" ht="22.5" hidden="1" customHeight="1">
      <c r="A2637" s="137"/>
      <c r="B2637" s="90"/>
      <c r="C2637" s="55"/>
      <c r="D2637" s="193"/>
      <c r="E2637" s="201"/>
      <c r="F2637" s="202"/>
      <c r="G2637" s="194"/>
      <c r="H2637" s="198"/>
      <c r="I2637" s="196"/>
      <c r="J2637" s="179" t="str">
        <f>IF(A2637="RAPPI",(VLOOKUP(TRIM(D2637), CATALOGO!F:G, 2, FALSE) * C2637)+I2637,IFERROR(IF(COUNTIF('RESTAURANTESDESCUENTOS 2026'!A:A,TRIM(A2637))&gt;0,((VLOOKUP(TRIM(D2637), CATALOGO!A:B, 2, FALSE) * C2637)*(1-VALUE(SUBSTITUTE(VLOOKUP(TRIM(A2637),'RESTAURANTESDESCUENTOS 2026'!A:B,2,FALSE),"%",""))/100)+I2637),(VLOOKUP(TRIM(D2637), CATALOGO!A:B, 2, FALSE) * C2637+I2637)),""))</f>
        <v/>
      </c>
      <c r="K2637" s="196"/>
      <c r="L2637" s="87"/>
      <c r="M2637" s="245"/>
      <c r="N2637" s="168"/>
    </row>
    <row r="2638" ht="22.5" hidden="1" customHeight="1">
      <c r="A2638" s="137"/>
      <c r="B2638" s="90"/>
      <c r="C2638" s="55"/>
      <c r="D2638" s="193"/>
      <c r="E2638" s="201"/>
      <c r="F2638" s="202"/>
      <c r="G2638" s="194"/>
      <c r="H2638" s="198"/>
      <c r="I2638" s="196"/>
      <c r="J2638" s="179" t="str">
        <f>IF(A2638="RAPPI",(VLOOKUP(TRIM(D2638), CATALOGO!F:G, 2, FALSE) * C2638)+I2638,IFERROR(IF(COUNTIF('RESTAURANTESDESCUENTOS 2026'!A:A,TRIM(A2638))&gt;0,((VLOOKUP(TRIM(D2638), CATALOGO!A:B, 2, FALSE) * C2638)*(1-VALUE(SUBSTITUTE(VLOOKUP(TRIM(A2638),'RESTAURANTESDESCUENTOS 2026'!A:B,2,FALSE),"%",""))/100)+I2638),(VLOOKUP(TRIM(D2638), CATALOGO!A:B, 2, FALSE) * C2638+I2638)),""))</f>
        <v/>
      </c>
      <c r="K2638" s="196"/>
      <c r="L2638" s="87"/>
      <c r="M2638" s="245"/>
      <c r="N2638" s="168"/>
    </row>
    <row r="2639" ht="22.5" hidden="1" customHeight="1">
      <c r="A2639" s="137"/>
      <c r="B2639" s="90"/>
      <c r="C2639" s="55"/>
      <c r="D2639" s="193"/>
      <c r="E2639" s="201"/>
      <c r="F2639" s="202"/>
      <c r="G2639" s="194"/>
      <c r="H2639" s="198"/>
      <c r="I2639" s="196"/>
      <c r="J2639" s="179" t="str">
        <f>IF(A2639="RAPPI",(VLOOKUP(TRIM(D2639), CATALOGO!F:G, 2, FALSE) * C2639)+I2639,IFERROR(IF(COUNTIF('RESTAURANTESDESCUENTOS 2026'!A:A,TRIM(A2639))&gt;0,((VLOOKUP(TRIM(D2639), CATALOGO!A:B, 2, FALSE) * C2639)*(1-VALUE(SUBSTITUTE(VLOOKUP(TRIM(A2639),'RESTAURANTESDESCUENTOS 2026'!A:B,2,FALSE),"%",""))/100)+I2639),(VLOOKUP(TRIM(D2639), CATALOGO!A:B, 2, FALSE) * C2639+I2639)),""))</f>
        <v/>
      </c>
      <c r="K2639" s="196"/>
      <c r="L2639" s="87"/>
      <c r="M2639" s="245"/>
      <c r="N2639" s="168"/>
    </row>
    <row r="2640" ht="22.5" hidden="1" customHeight="1">
      <c r="A2640" s="137"/>
      <c r="B2640" s="90"/>
      <c r="C2640" s="55"/>
      <c r="D2640" s="193"/>
      <c r="E2640" s="201"/>
      <c r="F2640" s="202"/>
      <c r="G2640" s="194"/>
      <c r="H2640" s="198"/>
      <c r="I2640" s="196"/>
      <c r="J2640" s="179" t="str">
        <f>IF(A2640="RAPPI",(VLOOKUP(TRIM(D2640), CATALOGO!F:G, 2, FALSE) * C2640)+I2640,IFERROR(IF(COUNTIF('RESTAURANTESDESCUENTOS 2026'!A:A,TRIM(A2640))&gt;0,((VLOOKUP(TRIM(D2640), CATALOGO!A:B, 2, FALSE) * C2640)*(1-VALUE(SUBSTITUTE(VLOOKUP(TRIM(A2640),'RESTAURANTESDESCUENTOS 2026'!A:B,2,FALSE),"%",""))/100)+I2640),(VLOOKUP(TRIM(D2640), CATALOGO!A:B, 2, FALSE) * C2640+I2640)),""))</f>
        <v/>
      </c>
      <c r="K2640" s="196"/>
      <c r="L2640" s="87"/>
      <c r="M2640" s="245"/>
      <c r="N2640" s="168"/>
    </row>
    <row r="2641" ht="22.5" hidden="1" customHeight="1">
      <c r="A2641" s="137"/>
      <c r="B2641" s="90"/>
      <c r="C2641" s="55"/>
      <c r="D2641" s="193"/>
      <c r="E2641" s="201"/>
      <c r="F2641" s="202"/>
      <c r="G2641" s="194"/>
      <c r="H2641" s="198"/>
      <c r="I2641" s="196"/>
      <c r="J2641" s="179" t="str">
        <f>IF(A2641="RAPPI",(VLOOKUP(TRIM(D2641), CATALOGO!F:G, 2, FALSE) * C2641)+I2641,IFERROR(IF(COUNTIF('RESTAURANTESDESCUENTOS 2026'!A:A,TRIM(A2641))&gt;0,((VLOOKUP(TRIM(D2641), CATALOGO!A:B, 2, FALSE) * C2641)*(1-VALUE(SUBSTITUTE(VLOOKUP(TRIM(A2641),'RESTAURANTESDESCUENTOS 2026'!A:B,2,FALSE),"%",""))/100)+I2641),(VLOOKUP(TRIM(D2641), CATALOGO!A:B, 2, FALSE) * C2641+I2641)),""))</f>
        <v/>
      </c>
      <c r="K2641" s="196"/>
      <c r="L2641" s="87"/>
      <c r="M2641" s="245"/>
      <c r="N2641" s="168"/>
    </row>
    <row r="2642" ht="22.5" hidden="1" customHeight="1">
      <c r="A2642" s="137"/>
      <c r="B2642" s="90"/>
      <c r="C2642" s="55"/>
      <c r="D2642" s="193"/>
      <c r="E2642" s="201"/>
      <c r="F2642" s="202"/>
      <c r="G2642" s="194"/>
      <c r="H2642" s="198"/>
      <c r="I2642" s="196"/>
      <c r="J2642" s="179" t="str">
        <f>IF(A2642="RAPPI",(VLOOKUP(TRIM(D2642), CATALOGO!F:G, 2, FALSE) * C2642)+I2642,IFERROR(IF(COUNTIF('RESTAURANTESDESCUENTOS 2026'!A:A,TRIM(A2642))&gt;0,((VLOOKUP(TRIM(D2642), CATALOGO!A:B, 2, FALSE) * C2642)*(1-VALUE(SUBSTITUTE(VLOOKUP(TRIM(A2642),'RESTAURANTESDESCUENTOS 2026'!A:B,2,FALSE),"%",""))/100)+I2642),(VLOOKUP(TRIM(D2642), CATALOGO!A:B, 2, FALSE) * C2642+I2642)),""))</f>
        <v/>
      </c>
      <c r="K2642" s="196"/>
      <c r="L2642" s="87"/>
      <c r="M2642" s="245"/>
      <c r="N2642" s="168"/>
    </row>
    <row r="2643" ht="22.5" hidden="1" customHeight="1">
      <c r="A2643" s="137"/>
      <c r="B2643" s="90"/>
      <c r="C2643" s="55"/>
      <c r="D2643" s="193"/>
      <c r="E2643" s="201"/>
      <c r="F2643" s="202"/>
      <c r="G2643" s="194"/>
      <c r="H2643" s="198"/>
      <c r="I2643" s="196"/>
      <c r="J2643" s="179" t="str">
        <f>IF(A2643="RAPPI",(VLOOKUP(TRIM(D2643), CATALOGO!F:G, 2, FALSE) * C2643)+I2643,IFERROR(IF(COUNTIF('RESTAURANTESDESCUENTOS 2026'!A:A,TRIM(A2643))&gt;0,((VLOOKUP(TRIM(D2643), CATALOGO!A:B, 2, FALSE) * C2643)*(1-VALUE(SUBSTITUTE(VLOOKUP(TRIM(A2643),'RESTAURANTESDESCUENTOS 2026'!A:B,2,FALSE),"%",""))/100)+I2643),(VLOOKUP(TRIM(D2643), CATALOGO!A:B, 2, FALSE) * C2643+I2643)),""))</f>
        <v/>
      </c>
      <c r="K2643" s="196"/>
      <c r="L2643" s="87"/>
      <c r="M2643" s="245"/>
      <c r="N2643" s="168"/>
    </row>
    <row r="2644" ht="22.5" hidden="1" customHeight="1">
      <c r="A2644" s="137"/>
      <c r="B2644" s="90"/>
      <c r="C2644" s="55"/>
      <c r="D2644" s="193"/>
      <c r="E2644" s="201"/>
      <c r="F2644" s="202"/>
      <c r="G2644" s="194"/>
      <c r="H2644" s="198"/>
      <c r="I2644" s="196"/>
      <c r="J2644" s="179" t="str">
        <f>IF(A2644="RAPPI",(VLOOKUP(TRIM(D2644), CATALOGO!F:G, 2, FALSE) * C2644)+I2644,IFERROR(IF(COUNTIF('RESTAURANTESDESCUENTOS 2026'!A:A,TRIM(A2644))&gt;0,((VLOOKUP(TRIM(D2644), CATALOGO!A:B, 2, FALSE) * C2644)*(1-VALUE(SUBSTITUTE(VLOOKUP(TRIM(A2644),'RESTAURANTESDESCUENTOS 2026'!A:B,2,FALSE),"%",""))/100)+I2644),(VLOOKUP(TRIM(D2644), CATALOGO!A:B, 2, FALSE) * C2644+I2644)),""))</f>
        <v/>
      </c>
      <c r="K2644" s="196"/>
      <c r="L2644" s="87"/>
      <c r="M2644" s="245"/>
      <c r="N2644" s="168"/>
    </row>
    <row r="2645" ht="22.5" hidden="1" customHeight="1">
      <c r="A2645" s="137"/>
      <c r="B2645" s="90"/>
      <c r="C2645" s="55"/>
      <c r="D2645" s="193"/>
      <c r="E2645" s="201"/>
      <c r="F2645" s="202"/>
      <c r="G2645" s="194"/>
      <c r="H2645" s="198"/>
      <c r="I2645" s="196"/>
      <c r="J2645" s="179" t="str">
        <f>IF(A2645="RAPPI",(VLOOKUP(TRIM(D2645), CATALOGO!F:G, 2, FALSE) * C2645)+I2645,IFERROR(IF(COUNTIF('RESTAURANTESDESCUENTOS 2026'!A:A,TRIM(A2645))&gt;0,((VLOOKUP(TRIM(D2645), CATALOGO!A:B, 2, FALSE) * C2645)*(1-VALUE(SUBSTITUTE(VLOOKUP(TRIM(A2645),'RESTAURANTESDESCUENTOS 2026'!A:B,2,FALSE),"%",""))/100)+I2645),(VLOOKUP(TRIM(D2645), CATALOGO!A:B, 2, FALSE) * C2645+I2645)),""))</f>
        <v/>
      </c>
      <c r="K2645" s="196"/>
      <c r="L2645" s="87"/>
      <c r="M2645" s="245"/>
      <c r="N2645" s="168"/>
    </row>
    <row r="2646" ht="22.5" hidden="1" customHeight="1">
      <c r="A2646" s="137"/>
      <c r="B2646" s="90"/>
      <c r="C2646" s="55"/>
      <c r="D2646" s="193"/>
      <c r="E2646" s="201"/>
      <c r="F2646" s="202"/>
      <c r="G2646" s="194"/>
      <c r="H2646" s="198"/>
      <c r="I2646" s="196"/>
      <c r="J2646" s="179" t="str">
        <f>IF(A2646="RAPPI",(VLOOKUP(TRIM(D2646), CATALOGO!F:G, 2, FALSE) * C2646)+I2646,IFERROR(IF(COUNTIF('RESTAURANTESDESCUENTOS 2026'!A:A,TRIM(A2646))&gt;0,((VLOOKUP(TRIM(D2646), CATALOGO!A:B, 2, FALSE) * C2646)*(1-VALUE(SUBSTITUTE(VLOOKUP(TRIM(A2646),'RESTAURANTESDESCUENTOS 2026'!A:B,2,FALSE),"%",""))/100)+I2646),(VLOOKUP(TRIM(D2646), CATALOGO!A:B, 2, FALSE) * C2646+I2646)),""))</f>
        <v/>
      </c>
      <c r="K2646" s="196"/>
      <c r="L2646" s="87"/>
      <c r="M2646" s="245"/>
      <c r="N2646" s="168"/>
    </row>
    <row r="2647" ht="22.5" hidden="1" customHeight="1">
      <c r="A2647" s="137"/>
      <c r="B2647" s="90"/>
      <c r="C2647" s="55"/>
      <c r="D2647" s="193"/>
      <c r="E2647" s="201"/>
      <c r="F2647" s="202"/>
      <c r="G2647" s="194"/>
      <c r="H2647" s="198"/>
      <c r="I2647" s="196"/>
      <c r="J2647" s="179" t="str">
        <f>IF(A2647="RAPPI",(VLOOKUP(TRIM(D2647), CATALOGO!F:G, 2, FALSE) * C2647)+I2647,IFERROR(IF(COUNTIF('RESTAURANTESDESCUENTOS 2026'!A:A,TRIM(A2647))&gt;0,((VLOOKUP(TRIM(D2647), CATALOGO!A:B, 2, FALSE) * C2647)*(1-VALUE(SUBSTITUTE(VLOOKUP(TRIM(A2647),'RESTAURANTESDESCUENTOS 2026'!A:B,2,FALSE),"%",""))/100)+I2647),(VLOOKUP(TRIM(D2647), CATALOGO!A:B, 2, FALSE) * C2647+I2647)),""))</f>
        <v/>
      </c>
      <c r="K2647" s="196"/>
      <c r="L2647" s="87"/>
      <c r="M2647" s="245"/>
      <c r="N2647" s="168"/>
    </row>
    <row r="2648" ht="22.5" hidden="1" customHeight="1">
      <c r="A2648" s="137"/>
      <c r="B2648" s="90"/>
      <c r="C2648" s="55"/>
      <c r="D2648" s="193"/>
      <c r="E2648" s="201"/>
      <c r="F2648" s="202"/>
      <c r="G2648" s="194"/>
      <c r="H2648" s="198"/>
      <c r="I2648" s="196"/>
      <c r="J2648" s="179" t="str">
        <f>IF(A2648="RAPPI",(VLOOKUP(TRIM(D2648), CATALOGO!F:G, 2, FALSE) * C2648)+I2648,IFERROR(IF(COUNTIF('RESTAURANTESDESCUENTOS 2026'!A:A,TRIM(A2648))&gt;0,((VLOOKUP(TRIM(D2648), CATALOGO!A:B, 2, FALSE) * C2648)*(1-VALUE(SUBSTITUTE(VLOOKUP(TRIM(A2648),'RESTAURANTESDESCUENTOS 2026'!A:B,2,FALSE),"%",""))/100)+I2648),(VLOOKUP(TRIM(D2648), CATALOGO!A:B, 2, FALSE) * C2648+I2648)),""))</f>
        <v/>
      </c>
      <c r="K2648" s="196"/>
      <c r="L2648" s="87"/>
      <c r="M2648" s="245"/>
      <c r="N2648" s="168"/>
    </row>
    <row r="2649" ht="22.5" hidden="1" customHeight="1">
      <c r="A2649" s="137"/>
      <c r="B2649" s="90"/>
      <c r="C2649" s="55"/>
      <c r="D2649" s="193"/>
      <c r="E2649" s="201"/>
      <c r="F2649" s="202"/>
      <c r="G2649" s="194"/>
      <c r="H2649" s="198"/>
      <c r="I2649" s="196"/>
      <c r="J2649" s="179" t="str">
        <f>IF(A2649="RAPPI",(VLOOKUP(TRIM(D2649), CATALOGO!F:G, 2, FALSE) * C2649)+I2649,IFERROR(IF(COUNTIF('RESTAURANTESDESCUENTOS 2026'!A:A,TRIM(A2649))&gt;0,((VLOOKUP(TRIM(D2649), CATALOGO!A:B, 2, FALSE) * C2649)*(1-VALUE(SUBSTITUTE(VLOOKUP(TRIM(A2649),'RESTAURANTESDESCUENTOS 2026'!A:B,2,FALSE),"%",""))/100)+I2649),(VLOOKUP(TRIM(D2649), CATALOGO!A:B, 2, FALSE) * C2649+I2649)),""))</f>
        <v/>
      </c>
      <c r="K2649" s="196"/>
      <c r="L2649" s="87"/>
      <c r="M2649" s="245"/>
      <c r="N2649" s="168"/>
    </row>
    <row r="2650" ht="22.5" hidden="1" customHeight="1">
      <c r="A2650" s="137"/>
      <c r="B2650" s="90"/>
      <c r="C2650" s="55"/>
      <c r="D2650" s="193"/>
      <c r="E2650" s="201"/>
      <c r="F2650" s="202"/>
      <c r="G2650" s="194"/>
      <c r="H2650" s="198"/>
      <c r="I2650" s="196"/>
      <c r="J2650" s="179" t="str">
        <f>IF(A2650="RAPPI",(VLOOKUP(TRIM(D2650), CATALOGO!F:G, 2, FALSE) * C2650)+I2650,IFERROR(IF(COUNTIF('RESTAURANTESDESCUENTOS 2026'!A:A,TRIM(A2650))&gt;0,((VLOOKUP(TRIM(D2650), CATALOGO!A:B, 2, FALSE) * C2650)*(1-VALUE(SUBSTITUTE(VLOOKUP(TRIM(A2650),'RESTAURANTESDESCUENTOS 2026'!A:B,2,FALSE),"%",""))/100)+I2650),(VLOOKUP(TRIM(D2650), CATALOGO!A:B, 2, FALSE) * C2650+I2650)),""))</f>
        <v/>
      </c>
      <c r="K2650" s="196"/>
      <c r="L2650" s="87"/>
      <c r="M2650" s="245"/>
      <c r="N2650" s="168"/>
    </row>
    <row r="2651" ht="22.5" hidden="1" customHeight="1">
      <c r="A2651" s="137"/>
      <c r="B2651" s="90"/>
      <c r="C2651" s="55"/>
      <c r="D2651" s="193"/>
      <c r="E2651" s="201"/>
      <c r="F2651" s="202"/>
      <c r="G2651" s="194"/>
      <c r="H2651" s="198"/>
      <c r="I2651" s="196"/>
      <c r="J2651" s="179" t="str">
        <f>IF(A2651="RAPPI",(VLOOKUP(TRIM(D2651), CATALOGO!F:G, 2, FALSE) * C2651)+I2651,IFERROR(IF(COUNTIF('RESTAURANTESDESCUENTOS 2026'!A:A,TRIM(A2651))&gt;0,((VLOOKUP(TRIM(D2651), CATALOGO!A:B, 2, FALSE) * C2651)*(1-VALUE(SUBSTITUTE(VLOOKUP(TRIM(A2651),'RESTAURANTESDESCUENTOS 2026'!A:B,2,FALSE),"%",""))/100)+I2651),(VLOOKUP(TRIM(D2651), CATALOGO!A:B, 2, FALSE) * C2651+I2651)),""))</f>
        <v/>
      </c>
      <c r="K2651" s="196"/>
      <c r="L2651" s="87"/>
      <c r="M2651" s="245"/>
      <c r="N2651" s="168"/>
    </row>
    <row r="2652" ht="22.5" hidden="1" customHeight="1">
      <c r="A2652" s="137"/>
      <c r="B2652" s="90"/>
      <c r="C2652" s="55"/>
      <c r="D2652" s="193"/>
      <c r="E2652" s="201"/>
      <c r="F2652" s="202"/>
      <c r="G2652" s="194"/>
      <c r="H2652" s="198"/>
      <c r="I2652" s="196"/>
      <c r="J2652" s="179" t="str">
        <f>IF(A2652="RAPPI",(VLOOKUP(TRIM(D2652), CATALOGO!F:G, 2, FALSE) * C2652)+I2652,IFERROR(IF(COUNTIF('RESTAURANTESDESCUENTOS 2026'!A:A,TRIM(A2652))&gt;0,((VLOOKUP(TRIM(D2652), CATALOGO!A:B, 2, FALSE) * C2652)*(1-VALUE(SUBSTITUTE(VLOOKUP(TRIM(A2652),'RESTAURANTESDESCUENTOS 2026'!A:B,2,FALSE),"%",""))/100)+I2652),(VLOOKUP(TRIM(D2652), CATALOGO!A:B, 2, FALSE) * C2652+I2652)),""))</f>
        <v/>
      </c>
      <c r="K2652" s="196"/>
      <c r="L2652" s="87"/>
      <c r="M2652" s="245"/>
      <c r="N2652" s="168"/>
    </row>
    <row r="2653" ht="22.5" hidden="1" customHeight="1">
      <c r="A2653" s="137"/>
      <c r="B2653" s="90"/>
      <c r="C2653" s="55"/>
      <c r="D2653" s="193"/>
      <c r="E2653" s="201"/>
      <c r="F2653" s="202"/>
      <c r="G2653" s="194"/>
      <c r="H2653" s="198"/>
      <c r="I2653" s="196"/>
      <c r="J2653" s="179" t="str">
        <f>IF(A2653="RAPPI",(VLOOKUP(TRIM(D2653), CATALOGO!F:G, 2, FALSE) * C2653)+I2653,IFERROR(IF(COUNTIF('RESTAURANTESDESCUENTOS 2026'!A:A,TRIM(A2653))&gt;0,((VLOOKUP(TRIM(D2653), CATALOGO!A:B, 2, FALSE) * C2653)*(1-VALUE(SUBSTITUTE(VLOOKUP(TRIM(A2653),'RESTAURANTESDESCUENTOS 2026'!A:B,2,FALSE),"%",""))/100)+I2653),(VLOOKUP(TRIM(D2653), CATALOGO!A:B, 2, FALSE) * C2653+I2653)),""))</f>
        <v/>
      </c>
      <c r="K2653" s="196"/>
      <c r="L2653" s="87"/>
      <c r="M2653" s="245"/>
      <c r="N2653" s="168"/>
    </row>
    <row r="2654" ht="22.5" hidden="1" customHeight="1">
      <c r="A2654" s="137"/>
      <c r="B2654" s="90"/>
      <c r="C2654" s="55"/>
      <c r="D2654" s="193"/>
      <c r="E2654" s="201"/>
      <c r="F2654" s="202"/>
      <c r="G2654" s="194"/>
      <c r="H2654" s="198"/>
      <c r="I2654" s="196"/>
      <c r="J2654" s="179" t="str">
        <f>IF(A2654="RAPPI",(VLOOKUP(TRIM(D2654), CATALOGO!F:G, 2, FALSE) * C2654)+I2654,IFERROR(IF(COUNTIF('RESTAURANTESDESCUENTOS 2026'!A:A,TRIM(A2654))&gt;0,((VLOOKUP(TRIM(D2654), CATALOGO!A:B, 2, FALSE) * C2654)*(1-VALUE(SUBSTITUTE(VLOOKUP(TRIM(A2654),'RESTAURANTESDESCUENTOS 2026'!A:B,2,FALSE),"%",""))/100)+I2654),(VLOOKUP(TRIM(D2654), CATALOGO!A:B, 2, FALSE) * C2654+I2654)),""))</f>
        <v/>
      </c>
      <c r="K2654" s="196"/>
      <c r="L2654" s="87"/>
      <c r="M2654" s="245"/>
      <c r="N2654" s="168"/>
    </row>
    <row r="2655" ht="22.5" hidden="1" customHeight="1">
      <c r="A2655" s="137"/>
      <c r="B2655" s="90"/>
      <c r="C2655" s="55"/>
      <c r="D2655" s="193"/>
      <c r="E2655" s="201"/>
      <c r="F2655" s="202"/>
      <c r="G2655" s="194"/>
      <c r="H2655" s="198"/>
      <c r="I2655" s="196"/>
      <c r="J2655" s="179" t="str">
        <f>IF(A2655="RAPPI",(VLOOKUP(TRIM(D2655), CATALOGO!F:G, 2, FALSE) * C2655)+I2655,IFERROR(IF(COUNTIF('RESTAURANTESDESCUENTOS 2026'!A:A,TRIM(A2655))&gt;0,((VLOOKUP(TRIM(D2655), CATALOGO!A:B, 2, FALSE) * C2655)*(1-VALUE(SUBSTITUTE(VLOOKUP(TRIM(A2655),'RESTAURANTESDESCUENTOS 2026'!A:B,2,FALSE),"%",""))/100)+I2655),(VLOOKUP(TRIM(D2655), CATALOGO!A:B, 2, FALSE) * C2655+I2655)),""))</f>
        <v/>
      </c>
      <c r="K2655" s="196"/>
      <c r="L2655" s="87"/>
      <c r="M2655" s="245"/>
      <c r="N2655" s="168"/>
    </row>
    <row r="2656" ht="22.5" hidden="1" customHeight="1">
      <c r="A2656" s="137"/>
      <c r="B2656" s="90"/>
      <c r="C2656" s="55"/>
      <c r="D2656" s="193"/>
      <c r="E2656" s="201"/>
      <c r="F2656" s="202"/>
      <c r="G2656" s="194"/>
      <c r="H2656" s="198"/>
      <c r="I2656" s="196"/>
      <c r="J2656" s="179" t="str">
        <f>IF(A2656="RAPPI",(VLOOKUP(TRIM(D2656), CATALOGO!F:G, 2, FALSE) * C2656)+I2656,IFERROR(IF(COUNTIF('RESTAURANTESDESCUENTOS 2026'!A:A,TRIM(A2656))&gt;0,((VLOOKUP(TRIM(D2656), CATALOGO!A:B, 2, FALSE) * C2656)*(1-VALUE(SUBSTITUTE(VLOOKUP(TRIM(A2656),'RESTAURANTESDESCUENTOS 2026'!A:B,2,FALSE),"%",""))/100)+I2656),(VLOOKUP(TRIM(D2656), CATALOGO!A:B, 2, FALSE) * C2656+I2656)),""))</f>
        <v/>
      </c>
      <c r="K2656" s="196"/>
      <c r="L2656" s="87"/>
      <c r="M2656" s="245"/>
      <c r="N2656" s="168"/>
    </row>
    <row r="2657" ht="22.5" hidden="1" customHeight="1">
      <c r="A2657" s="137"/>
      <c r="B2657" s="90"/>
      <c r="C2657" s="55"/>
      <c r="D2657" s="193"/>
      <c r="E2657" s="201"/>
      <c r="F2657" s="202"/>
      <c r="G2657" s="194"/>
      <c r="H2657" s="198"/>
      <c r="I2657" s="196"/>
      <c r="J2657" s="179" t="str">
        <f>IF(A2657="RAPPI",(VLOOKUP(TRIM(D2657), CATALOGO!F:G, 2, FALSE) * C2657)+I2657,IFERROR(IF(COUNTIF('RESTAURANTESDESCUENTOS 2026'!A:A,TRIM(A2657))&gt;0,((VLOOKUP(TRIM(D2657), CATALOGO!A:B, 2, FALSE) * C2657)*(1-VALUE(SUBSTITUTE(VLOOKUP(TRIM(A2657),'RESTAURANTESDESCUENTOS 2026'!A:B,2,FALSE),"%",""))/100)+I2657),(VLOOKUP(TRIM(D2657), CATALOGO!A:B, 2, FALSE) * C2657+I2657)),""))</f>
        <v/>
      </c>
      <c r="K2657" s="196"/>
      <c r="L2657" s="87"/>
      <c r="M2657" s="245"/>
      <c r="N2657" s="168"/>
    </row>
    <row r="2658" ht="22.5" hidden="1" customHeight="1">
      <c r="A2658" s="137"/>
      <c r="B2658" s="90"/>
      <c r="C2658" s="55"/>
      <c r="D2658" s="193"/>
      <c r="E2658" s="201"/>
      <c r="F2658" s="202"/>
      <c r="G2658" s="194"/>
      <c r="H2658" s="198"/>
      <c r="I2658" s="196"/>
      <c r="J2658" s="179" t="str">
        <f>IF(A2658="RAPPI",(VLOOKUP(TRIM(D2658), CATALOGO!F:G, 2, FALSE) * C2658)+I2658,IFERROR(IF(COUNTIF('RESTAURANTESDESCUENTOS 2026'!A:A,TRIM(A2658))&gt;0,((VLOOKUP(TRIM(D2658), CATALOGO!A:B, 2, FALSE) * C2658)*(1-VALUE(SUBSTITUTE(VLOOKUP(TRIM(A2658),'RESTAURANTESDESCUENTOS 2026'!A:B,2,FALSE),"%",""))/100)+I2658),(VLOOKUP(TRIM(D2658), CATALOGO!A:B, 2, FALSE) * C2658+I2658)),""))</f>
        <v/>
      </c>
      <c r="K2658" s="196"/>
      <c r="L2658" s="87"/>
      <c r="M2658" s="245"/>
      <c r="N2658" s="168"/>
    </row>
    <row r="2659" ht="22.5" hidden="1" customHeight="1">
      <c r="A2659" s="137"/>
      <c r="B2659" s="90"/>
      <c r="C2659" s="55"/>
      <c r="D2659" s="193"/>
      <c r="E2659" s="201"/>
      <c r="F2659" s="202"/>
      <c r="G2659" s="194"/>
      <c r="H2659" s="198"/>
      <c r="I2659" s="196"/>
      <c r="J2659" s="179" t="str">
        <f>IF(A2659="RAPPI",(VLOOKUP(TRIM(D2659), CATALOGO!F:G, 2, FALSE) * C2659)+I2659,IFERROR(IF(COUNTIF('RESTAURANTESDESCUENTOS 2026'!A:A,TRIM(A2659))&gt;0,((VLOOKUP(TRIM(D2659), CATALOGO!A:B, 2, FALSE) * C2659)*(1-VALUE(SUBSTITUTE(VLOOKUP(TRIM(A2659),'RESTAURANTESDESCUENTOS 2026'!A:B,2,FALSE),"%",""))/100)+I2659),(VLOOKUP(TRIM(D2659), CATALOGO!A:B, 2, FALSE) * C2659+I2659)),""))</f>
        <v/>
      </c>
      <c r="K2659" s="196"/>
      <c r="L2659" s="87"/>
      <c r="M2659" s="245"/>
      <c r="N2659" s="168"/>
    </row>
    <row r="2660" ht="22.5" hidden="1" customHeight="1">
      <c r="A2660" s="137"/>
      <c r="B2660" s="90"/>
      <c r="C2660" s="55"/>
      <c r="D2660" s="193"/>
      <c r="E2660" s="201"/>
      <c r="F2660" s="202"/>
      <c r="G2660" s="194"/>
      <c r="H2660" s="198"/>
      <c r="I2660" s="196"/>
      <c r="J2660" s="179" t="str">
        <f>IF(A2660="RAPPI",(VLOOKUP(TRIM(D2660), CATALOGO!F:G, 2, FALSE) * C2660)+I2660,IFERROR(IF(COUNTIF('RESTAURANTESDESCUENTOS 2026'!A:A,TRIM(A2660))&gt;0,((VLOOKUP(TRIM(D2660), CATALOGO!A:B, 2, FALSE) * C2660)*(1-VALUE(SUBSTITUTE(VLOOKUP(TRIM(A2660),'RESTAURANTESDESCUENTOS 2026'!A:B,2,FALSE),"%",""))/100)+I2660),(VLOOKUP(TRIM(D2660), CATALOGO!A:B, 2, FALSE) * C2660+I2660)),""))</f>
        <v/>
      </c>
      <c r="K2660" s="196"/>
      <c r="L2660" s="87"/>
      <c r="M2660" s="245"/>
      <c r="N2660" s="168"/>
    </row>
    <row r="2661" ht="22.5" hidden="1" customHeight="1">
      <c r="A2661" s="137"/>
      <c r="B2661" s="90"/>
      <c r="C2661" s="55"/>
      <c r="D2661" s="193"/>
      <c r="E2661" s="201"/>
      <c r="F2661" s="202"/>
      <c r="G2661" s="194"/>
      <c r="H2661" s="198"/>
      <c r="I2661" s="196"/>
      <c r="J2661" s="179" t="str">
        <f>IF(A2661="RAPPI",(VLOOKUP(TRIM(D2661), CATALOGO!F:G, 2, FALSE) * C2661)+I2661,IFERROR(IF(COUNTIF('RESTAURANTESDESCUENTOS 2026'!A:A,TRIM(A2661))&gt;0,((VLOOKUP(TRIM(D2661), CATALOGO!A:B, 2, FALSE) * C2661)*(1-VALUE(SUBSTITUTE(VLOOKUP(TRIM(A2661),'RESTAURANTESDESCUENTOS 2026'!A:B,2,FALSE),"%",""))/100)+I2661),(VLOOKUP(TRIM(D2661), CATALOGO!A:B, 2, FALSE) * C2661+I2661)),""))</f>
        <v/>
      </c>
      <c r="K2661" s="196"/>
      <c r="L2661" s="87"/>
      <c r="M2661" s="245"/>
      <c r="N2661" s="168"/>
    </row>
    <row r="2662" ht="22.5" hidden="1" customHeight="1">
      <c r="A2662" s="137"/>
      <c r="B2662" s="90"/>
      <c r="C2662" s="55"/>
      <c r="D2662" s="193"/>
      <c r="E2662" s="201"/>
      <c r="F2662" s="202"/>
      <c r="G2662" s="194"/>
      <c r="H2662" s="198"/>
      <c r="I2662" s="196"/>
      <c r="J2662" s="179" t="str">
        <f>IF(A2662="RAPPI",(VLOOKUP(TRIM(D2662), CATALOGO!F:G, 2, FALSE) * C2662)+I2662,IFERROR(IF(COUNTIF('RESTAURANTESDESCUENTOS 2026'!A:A,TRIM(A2662))&gt;0,((VLOOKUP(TRIM(D2662), CATALOGO!A:B, 2, FALSE) * C2662)*(1-VALUE(SUBSTITUTE(VLOOKUP(TRIM(A2662),'RESTAURANTESDESCUENTOS 2026'!A:B,2,FALSE),"%",""))/100)+I2662),(VLOOKUP(TRIM(D2662), CATALOGO!A:B, 2, FALSE) * C2662+I2662)),""))</f>
        <v/>
      </c>
      <c r="K2662" s="196"/>
      <c r="L2662" s="87"/>
      <c r="M2662" s="245"/>
      <c r="N2662" s="168"/>
    </row>
    <row r="2663" ht="22.5" hidden="1" customHeight="1">
      <c r="A2663" s="137"/>
      <c r="B2663" s="90"/>
      <c r="C2663" s="55"/>
      <c r="D2663" s="193"/>
      <c r="E2663" s="201"/>
      <c r="F2663" s="202"/>
      <c r="G2663" s="194"/>
      <c r="H2663" s="198"/>
      <c r="I2663" s="196"/>
      <c r="J2663" s="179" t="str">
        <f>IF(A2663="RAPPI",(VLOOKUP(TRIM(D2663), CATALOGO!F:G, 2, FALSE) * C2663)+I2663,IFERROR(IF(COUNTIF('RESTAURANTESDESCUENTOS 2026'!A:A,TRIM(A2663))&gt;0,((VLOOKUP(TRIM(D2663), CATALOGO!A:B, 2, FALSE) * C2663)*(1-VALUE(SUBSTITUTE(VLOOKUP(TRIM(A2663),'RESTAURANTESDESCUENTOS 2026'!A:B,2,FALSE),"%",""))/100)+I2663),(VLOOKUP(TRIM(D2663), CATALOGO!A:B, 2, FALSE) * C2663+I2663)),""))</f>
        <v/>
      </c>
      <c r="K2663" s="196"/>
      <c r="L2663" s="87"/>
      <c r="M2663" s="245"/>
      <c r="N2663" s="168"/>
    </row>
    <row r="2664" ht="22.5" hidden="1" customHeight="1">
      <c r="A2664" s="137"/>
      <c r="B2664" s="90"/>
      <c r="C2664" s="55"/>
      <c r="D2664" s="193"/>
      <c r="E2664" s="201"/>
      <c r="F2664" s="202"/>
      <c r="G2664" s="194"/>
      <c r="H2664" s="198"/>
      <c r="I2664" s="196"/>
      <c r="J2664" s="179" t="str">
        <f>IF(A2664="RAPPI",(VLOOKUP(TRIM(D2664), CATALOGO!F:G, 2, FALSE) * C2664)+I2664,IFERROR(IF(COUNTIF('RESTAURANTESDESCUENTOS 2026'!A:A,TRIM(A2664))&gt;0,((VLOOKUP(TRIM(D2664), CATALOGO!A:B, 2, FALSE) * C2664)*(1-VALUE(SUBSTITUTE(VLOOKUP(TRIM(A2664),'RESTAURANTESDESCUENTOS 2026'!A:B,2,FALSE),"%",""))/100)+I2664),(VLOOKUP(TRIM(D2664), CATALOGO!A:B, 2, FALSE) * C2664+I2664)),""))</f>
        <v/>
      </c>
      <c r="K2664" s="196"/>
      <c r="L2664" s="87"/>
      <c r="M2664" s="245"/>
      <c r="N2664" s="168"/>
    </row>
    <row r="2665" ht="22.5" hidden="1" customHeight="1">
      <c r="A2665" s="137"/>
      <c r="B2665" s="90"/>
      <c r="C2665" s="55"/>
      <c r="D2665" s="193"/>
      <c r="E2665" s="201"/>
      <c r="F2665" s="202"/>
      <c r="G2665" s="194"/>
      <c r="H2665" s="198"/>
      <c r="I2665" s="196"/>
      <c r="J2665" s="179" t="str">
        <f>IF(A2665="RAPPI",(VLOOKUP(TRIM(D2665), CATALOGO!F:G, 2, FALSE) * C2665)+I2665,IFERROR(IF(COUNTIF('RESTAURANTESDESCUENTOS 2026'!A:A,TRIM(A2665))&gt;0,((VLOOKUP(TRIM(D2665), CATALOGO!A:B, 2, FALSE) * C2665)*(1-VALUE(SUBSTITUTE(VLOOKUP(TRIM(A2665),'RESTAURANTESDESCUENTOS 2026'!A:B,2,FALSE),"%",""))/100)+I2665),(VLOOKUP(TRIM(D2665), CATALOGO!A:B, 2, FALSE) * C2665+I2665)),""))</f>
        <v/>
      </c>
      <c r="K2665" s="196"/>
      <c r="L2665" s="87"/>
      <c r="M2665" s="245"/>
      <c r="N2665" s="168"/>
    </row>
    <row r="2666" ht="22.5" hidden="1" customHeight="1">
      <c r="A2666" s="137"/>
      <c r="B2666" s="90"/>
      <c r="C2666" s="55"/>
      <c r="D2666" s="193"/>
      <c r="E2666" s="201"/>
      <c r="F2666" s="202"/>
      <c r="G2666" s="194"/>
      <c r="H2666" s="198"/>
      <c r="I2666" s="196"/>
      <c r="J2666" s="179" t="str">
        <f>IF(A2666="RAPPI",(VLOOKUP(TRIM(D2666), CATALOGO!F:G, 2, FALSE) * C2666)+I2666,IFERROR(IF(COUNTIF('RESTAURANTESDESCUENTOS 2026'!A:A,TRIM(A2666))&gt;0,((VLOOKUP(TRIM(D2666), CATALOGO!A:B, 2, FALSE) * C2666)*(1-VALUE(SUBSTITUTE(VLOOKUP(TRIM(A2666),'RESTAURANTESDESCUENTOS 2026'!A:B,2,FALSE),"%",""))/100)+I2666),(VLOOKUP(TRIM(D2666), CATALOGO!A:B, 2, FALSE) * C2666+I2666)),""))</f>
        <v/>
      </c>
      <c r="K2666" s="196"/>
      <c r="L2666" s="87"/>
      <c r="M2666" s="245"/>
      <c r="N2666" s="168"/>
    </row>
    <row r="2667" ht="22.5" hidden="1" customHeight="1">
      <c r="A2667" s="137"/>
      <c r="B2667" s="90"/>
      <c r="C2667" s="55"/>
      <c r="D2667" s="193"/>
      <c r="E2667" s="201"/>
      <c r="F2667" s="202"/>
      <c r="G2667" s="194"/>
      <c r="H2667" s="198"/>
      <c r="I2667" s="196"/>
      <c r="J2667" s="179" t="str">
        <f>IF(A2667="RAPPI",(VLOOKUP(TRIM(D2667), CATALOGO!F:G, 2, FALSE) * C2667)+I2667,IFERROR(IF(COUNTIF('RESTAURANTESDESCUENTOS 2026'!A:A,TRIM(A2667))&gt;0,((VLOOKUP(TRIM(D2667), CATALOGO!A:B, 2, FALSE) * C2667)*(1-VALUE(SUBSTITUTE(VLOOKUP(TRIM(A2667),'RESTAURANTESDESCUENTOS 2026'!A:B,2,FALSE),"%",""))/100)+I2667),(VLOOKUP(TRIM(D2667), CATALOGO!A:B, 2, FALSE) * C2667+I2667)),""))</f>
        <v/>
      </c>
      <c r="K2667" s="196"/>
      <c r="L2667" s="87"/>
      <c r="M2667" s="245"/>
      <c r="N2667" s="168"/>
    </row>
    <row r="2668" ht="22.5" hidden="1" customHeight="1">
      <c r="A2668" s="137"/>
      <c r="B2668" s="90"/>
      <c r="C2668" s="55"/>
      <c r="D2668" s="193"/>
      <c r="E2668" s="201"/>
      <c r="F2668" s="202"/>
      <c r="G2668" s="194"/>
      <c r="H2668" s="198"/>
      <c r="I2668" s="196"/>
      <c r="J2668" s="179" t="str">
        <f>IF(A2668="RAPPI",(VLOOKUP(TRIM(D2668), CATALOGO!F:G, 2, FALSE) * C2668)+I2668,IFERROR(IF(COUNTIF('RESTAURANTESDESCUENTOS 2026'!A:A,TRIM(A2668))&gt;0,((VLOOKUP(TRIM(D2668), CATALOGO!A:B, 2, FALSE) * C2668)*(1-VALUE(SUBSTITUTE(VLOOKUP(TRIM(A2668),'RESTAURANTESDESCUENTOS 2026'!A:B,2,FALSE),"%",""))/100)+I2668),(VLOOKUP(TRIM(D2668), CATALOGO!A:B, 2, FALSE) * C2668+I2668)),""))</f>
        <v/>
      </c>
      <c r="K2668" s="196"/>
      <c r="L2668" s="87"/>
      <c r="M2668" s="245"/>
      <c r="N2668" s="168"/>
    </row>
    <row r="2669" ht="22.5" hidden="1" customHeight="1">
      <c r="A2669" s="137"/>
      <c r="B2669" s="90"/>
      <c r="C2669" s="55"/>
      <c r="D2669" s="193"/>
      <c r="E2669" s="201"/>
      <c r="F2669" s="202"/>
      <c r="G2669" s="194"/>
      <c r="H2669" s="198"/>
      <c r="I2669" s="196"/>
      <c r="J2669" s="179" t="str">
        <f>IF(A2669="RAPPI",(VLOOKUP(TRIM(D2669), CATALOGO!F:G, 2, FALSE) * C2669)+I2669,IFERROR(IF(COUNTIF('RESTAURANTESDESCUENTOS 2026'!A:A,TRIM(A2669))&gt;0,((VLOOKUP(TRIM(D2669), CATALOGO!A:B, 2, FALSE) * C2669)*(1-VALUE(SUBSTITUTE(VLOOKUP(TRIM(A2669),'RESTAURANTESDESCUENTOS 2026'!A:B,2,FALSE),"%",""))/100)+I2669),(VLOOKUP(TRIM(D2669), CATALOGO!A:B, 2, FALSE) * C2669+I2669)),""))</f>
        <v/>
      </c>
      <c r="K2669" s="196"/>
      <c r="L2669" s="87"/>
      <c r="M2669" s="245"/>
      <c r="N2669" s="168"/>
    </row>
    <row r="2670" ht="22.5" hidden="1" customHeight="1">
      <c r="A2670" s="137"/>
      <c r="B2670" s="90"/>
      <c r="C2670" s="55"/>
      <c r="D2670" s="193"/>
      <c r="E2670" s="201"/>
      <c r="F2670" s="202"/>
      <c r="G2670" s="194"/>
      <c r="H2670" s="198"/>
      <c r="I2670" s="196"/>
      <c r="J2670" s="179" t="str">
        <f>IF(A2670="RAPPI",(VLOOKUP(TRIM(D2670), CATALOGO!F:G, 2, FALSE) * C2670)+I2670,IFERROR(IF(COUNTIF('RESTAURANTESDESCUENTOS 2026'!A:A,TRIM(A2670))&gt;0,((VLOOKUP(TRIM(D2670), CATALOGO!A:B, 2, FALSE) * C2670)*(1-VALUE(SUBSTITUTE(VLOOKUP(TRIM(A2670),'RESTAURANTESDESCUENTOS 2026'!A:B,2,FALSE),"%",""))/100)+I2670),(VLOOKUP(TRIM(D2670), CATALOGO!A:B, 2, FALSE) * C2670+I2670)),""))</f>
        <v/>
      </c>
      <c r="K2670" s="196"/>
      <c r="L2670" s="87"/>
      <c r="M2670" s="245"/>
      <c r="N2670" s="168"/>
    </row>
    <row r="2671" ht="22.5" hidden="1" customHeight="1">
      <c r="A2671" s="137"/>
      <c r="B2671" s="90"/>
      <c r="C2671" s="55"/>
      <c r="D2671" s="193"/>
      <c r="E2671" s="201"/>
      <c r="F2671" s="202"/>
      <c r="G2671" s="194"/>
      <c r="H2671" s="198"/>
      <c r="I2671" s="196"/>
      <c r="J2671" s="179" t="str">
        <f>IF(A2671="RAPPI",(VLOOKUP(TRIM(D2671), CATALOGO!F:G, 2, FALSE) * C2671)+I2671,IFERROR(IF(COUNTIF('RESTAURANTESDESCUENTOS 2026'!A:A,TRIM(A2671))&gt;0,((VLOOKUP(TRIM(D2671), CATALOGO!A:B, 2, FALSE) * C2671)*(1-VALUE(SUBSTITUTE(VLOOKUP(TRIM(A2671),'RESTAURANTESDESCUENTOS 2026'!A:B,2,FALSE),"%",""))/100)+I2671),(VLOOKUP(TRIM(D2671), CATALOGO!A:B, 2, FALSE) * C2671+I2671)),""))</f>
        <v/>
      </c>
      <c r="K2671" s="196"/>
      <c r="L2671" s="87"/>
      <c r="M2671" s="245"/>
      <c r="N2671" s="168"/>
    </row>
    <row r="2672" ht="22.5" hidden="1" customHeight="1">
      <c r="A2672" s="137"/>
      <c r="B2672" s="90"/>
      <c r="C2672" s="55"/>
      <c r="D2672" s="193"/>
      <c r="E2672" s="201"/>
      <c r="F2672" s="202"/>
      <c r="G2672" s="194"/>
      <c r="H2672" s="198"/>
      <c r="I2672" s="196"/>
      <c r="J2672" s="179" t="str">
        <f>IF(A2672="RAPPI",(VLOOKUP(TRIM(D2672), CATALOGO!F:G, 2, FALSE) * C2672)+I2672,IFERROR(IF(COUNTIF('RESTAURANTESDESCUENTOS 2026'!A:A,TRIM(A2672))&gt;0,((VLOOKUP(TRIM(D2672), CATALOGO!A:B, 2, FALSE) * C2672)*(1-VALUE(SUBSTITUTE(VLOOKUP(TRIM(A2672),'RESTAURANTESDESCUENTOS 2026'!A:B,2,FALSE),"%",""))/100)+I2672),(VLOOKUP(TRIM(D2672), CATALOGO!A:B, 2, FALSE) * C2672+I2672)),""))</f>
        <v/>
      </c>
      <c r="K2672" s="196"/>
      <c r="L2672" s="87"/>
      <c r="M2672" s="245"/>
      <c r="N2672" s="168"/>
    </row>
    <row r="2673" ht="22.5" hidden="1" customHeight="1">
      <c r="A2673" s="137"/>
      <c r="B2673" s="90"/>
      <c r="C2673" s="55"/>
      <c r="D2673" s="193"/>
      <c r="E2673" s="201"/>
      <c r="F2673" s="202"/>
      <c r="G2673" s="194"/>
      <c r="H2673" s="198"/>
      <c r="I2673" s="196"/>
      <c r="J2673" s="179" t="str">
        <f>IF(A2673="RAPPI",(VLOOKUP(TRIM(D2673), CATALOGO!F:G, 2, FALSE) * C2673)+I2673,IFERROR(IF(COUNTIF('RESTAURANTESDESCUENTOS 2026'!A:A,TRIM(A2673))&gt;0,((VLOOKUP(TRIM(D2673), CATALOGO!A:B, 2, FALSE) * C2673)*(1-VALUE(SUBSTITUTE(VLOOKUP(TRIM(A2673),'RESTAURANTESDESCUENTOS 2026'!A:B,2,FALSE),"%",""))/100)+I2673),(VLOOKUP(TRIM(D2673), CATALOGO!A:B, 2, FALSE) * C2673+I2673)),""))</f>
        <v/>
      </c>
      <c r="K2673" s="196"/>
      <c r="L2673" s="87"/>
      <c r="M2673" s="245"/>
      <c r="N2673" s="168"/>
    </row>
    <row r="2674" ht="22.5" hidden="1" customHeight="1">
      <c r="A2674" s="137"/>
      <c r="B2674" s="90"/>
      <c r="C2674" s="55"/>
      <c r="D2674" s="193"/>
      <c r="E2674" s="201"/>
      <c r="F2674" s="202"/>
      <c r="G2674" s="194"/>
      <c r="H2674" s="198"/>
      <c r="I2674" s="196"/>
      <c r="J2674" s="179" t="str">
        <f>IF(A2674="RAPPI",(VLOOKUP(TRIM(D2674), CATALOGO!F:G, 2, FALSE) * C2674)+I2674,IFERROR(IF(COUNTIF('RESTAURANTESDESCUENTOS 2026'!A:A,TRIM(A2674))&gt;0,((VLOOKUP(TRIM(D2674), CATALOGO!A:B, 2, FALSE) * C2674)*(1-VALUE(SUBSTITUTE(VLOOKUP(TRIM(A2674),'RESTAURANTESDESCUENTOS 2026'!A:B,2,FALSE),"%",""))/100)+I2674),(VLOOKUP(TRIM(D2674), CATALOGO!A:B, 2, FALSE) * C2674+I2674)),""))</f>
        <v/>
      </c>
      <c r="K2674" s="196"/>
      <c r="L2674" s="87"/>
      <c r="M2674" s="245"/>
      <c r="N2674" s="168"/>
    </row>
    <row r="2675" ht="22.5" hidden="1" customHeight="1">
      <c r="A2675" s="137"/>
      <c r="B2675" s="90"/>
      <c r="C2675" s="55"/>
      <c r="D2675" s="193"/>
      <c r="E2675" s="201"/>
      <c r="F2675" s="202"/>
      <c r="G2675" s="194"/>
      <c r="H2675" s="198"/>
      <c r="I2675" s="196"/>
      <c r="J2675" s="179" t="str">
        <f>IF(A2675="RAPPI",(VLOOKUP(TRIM(D2675), CATALOGO!F:G, 2, FALSE) * C2675)+I2675,IFERROR(IF(COUNTIF('RESTAURANTESDESCUENTOS 2026'!A:A,TRIM(A2675))&gt;0,((VLOOKUP(TRIM(D2675), CATALOGO!A:B, 2, FALSE) * C2675)*(1-VALUE(SUBSTITUTE(VLOOKUP(TRIM(A2675),'RESTAURANTESDESCUENTOS 2026'!A:B,2,FALSE),"%",""))/100)+I2675),(VLOOKUP(TRIM(D2675), CATALOGO!A:B, 2, FALSE) * C2675+I2675)),""))</f>
        <v/>
      </c>
      <c r="K2675" s="196"/>
      <c r="L2675" s="87"/>
      <c r="M2675" s="245"/>
      <c r="N2675" s="168"/>
    </row>
    <row r="2676" ht="22.5" hidden="1" customHeight="1">
      <c r="A2676" s="137"/>
      <c r="B2676" s="90"/>
      <c r="C2676" s="55"/>
      <c r="D2676" s="193"/>
      <c r="E2676" s="201"/>
      <c r="F2676" s="202"/>
      <c r="G2676" s="194"/>
      <c r="H2676" s="198"/>
      <c r="I2676" s="196"/>
      <c r="J2676" s="179" t="str">
        <f>IF(A2676="RAPPI",(VLOOKUP(TRIM(D2676), CATALOGO!F:G, 2, FALSE) * C2676)+I2676,IFERROR(IF(COUNTIF('RESTAURANTESDESCUENTOS 2026'!A:A,TRIM(A2676))&gt;0,((VLOOKUP(TRIM(D2676), CATALOGO!A:B, 2, FALSE) * C2676)*(1-VALUE(SUBSTITUTE(VLOOKUP(TRIM(A2676),'RESTAURANTESDESCUENTOS 2026'!A:B,2,FALSE),"%",""))/100)+I2676),(VLOOKUP(TRIM(D2676), CATALOGO!A:B, 2, FALSE) * C2676+I2676)),""))</f>
        <v/>
      </c>
      <c r="K2676" s="196"/>
      <c r="L2676" s="87"/>
      <c r="M2676" s="245"/>
      <c r="N2676" s="168"/>
    </row>
    <row r="2677" ht="22.5" hidden="1" customHeight="1">
      <c r="A2677" s="137"/>
      <c r="B2677" s="90"/>
      <c r="C2677" s="55"/>
      <c r="D2677" s="193"/>
      <c r="E2677" s="201"/>
      <c r="F2677" s="202"/>
      <c r="G2677" s="194"/>
      <c r="H2677" s="198"/>
      <c r="I2677" s="196"/>
      <c r="J2677" s="179" t="str">
        <f>IF(A2677="RAPPI",(VLOOKUP(TRIM(D2677), CATALOGO!F:G, 2, FALSE) * C2677)+I2677,IFERROR(IF(COUNTIF('RESTAURANTESDESCUENTOS 2026'!A:A,TRIM(A2677))&gt;0,((VLOOKUP(TRIM(D2677), CATALOGO!A:B, 2, FALSE) * C2677)*(1-VALUE(SUBSTITUTE(VLOOKUP(TRIM(A2677),'RESTAURANTESDESCUENTOS 2026'!A:B,2,FALSE),"%",""))/100)+I2677),(VLOOKUP(TRIM(D2677), CATALOGO!A:B, 2, FALSE) * C2677+I2677)),""))</f>
        <v/>
      </c>
      <c r="K2677" s="196"/>
      <c r="L2677" s="87"/>
      <c r="M2677" s="245"/>
      <c r="N2677" s="168"/>
    </row>
    <row r="2678" ht="22.5" hidden="1" customHeight="1">
      <c r="A2678" s="137"/>
      <c r="B2678" s="90"/>
      <c r="C2678" s="55"/>
      <c r="D2678" s="193"/>
      <c r="E2678" s="201"/>
      <c r="F2678" s="202"/>
      <c r="G2678" s="194"/>
      <c r="H2678" s="198"/>
      <c r="I2678" s="196"/>
      <c r="J2678" s="179" t="str">
        <f>IF(A2678="RAPPI",(VLOOKUP(TRIM(D2678), CATALOGO!F:G, 2, FALSE) * C2678)+I2678,IFERROR(IF(COUNTIF('RESTAURANTESDESCUENTOS 2026'!A:A,TRIM(A2678))&gt;0,((VLOOKUP(TRIM(D2678), CATALOGO!A:B, 2, FALSE) * C2678)*(1-VALUE(SUBSTITUTE(VLOOKUP(TRIM(A2678),'RESTAURANTESDESCUENTOS 2026'!A:B,2,FALSE),"%",""))/100)+I2678),(VLOOKUP(TRIM(D2678), CATALOGO!A:B, 2, FALSE) * C2678+I2678)),""))</f>
        <v/>
      </c>
      <c r="K2678" s="196"/>
      <c r="L2678" s="87"/>
      <c r="M2678" s="245"/>
      <c r="N2678" s="168"/>
    </row>
    <row r="2679" ht="22.5" hidden="1" customHeight="1">
      <c r="A2679" s="137"/>
      <c r="B2679" s="90"/>
      <c r="C2679" s="55"/>
      <c r="D2679" s="193"/>
      <c r="E2679" s="201"/>
      <c r="F2679" s="202"/>
      <c r="G2679" s="194"/>
      <c r="H2679" s="198"/>
      <c r="I2679" s="196"/>
      <c r="J2679" s="179" t="str">
        <f>IF(A2679="RAPPI",(VLOOKUP(TRIM(D2679), CATALOGO!F:G, 2, FALSE) * C2679)+I2679,IFERROR(IF(COUNTIF('RESTAURANTESDESCUENTOS 2026'!A:A,TRIM(A2679))&gt;0,((VLOOKUP(TRIM(D2679), CATALOGO!A:B, 2, FALSE) * C2679)*(1-VALUE(SUBSTITUTE(VLOOKUP(TRIM(A2679),'RESTAURANTESDESCUENTOS 2026'!A:B,2,FALSE),"%",""))/100)+I2679),(VLOOKUP(TRIM(D2679), CATALOGO!A:B, 2, FALSE) * C2679+I2679)),""))</f>
        <v/>
      </c>
      <c r="K2679" s="196"/>
      <c r="L2679" s="87"/>
      <c r="M2679" s="245"/>
      <c r="N2679" s="168"/>
    </row>
    <row r="2680" ht="22.5" hidden="1" customHeight="1">
      <c r="A2680" s="137"/>
      <c r="B2680" s="90"/>
      <c r="C2680" s="55"/>
      <c r="D2680" s="193"/>
      <c r="E2680" s="201"/>
      <c r="F2680" s="202"/>
      <c r="G2680" s="194"/>
      <c r="H2680" s="198"/>
      <c r="I2680" s="196"/>
      <c r="J2680" s="179" t="str">
        <f>IF(A2680="RAPPI",(VLOOKUP(TRIM(D2680), CATALOGO!F:G, 2, FALSE) * C2680)+I2680,IFERROR(IF(COUNTIF('RESTAURANTESDESCUENTOS 2026'!A:A,TRIM(A2680))&gt;0,((VLOOKUP(TRIM(D2680), CATALOGO!A:B, 2, FALSE) * C2680)*(1-VALUE(SUBSTITUTE(VLOOKUP(TRIM(A2680),'RESTAURANTESDESCUENTOS 2026'!A:B,2,FALSE),"%",""))/100)+I2680),(VLOOKUP(TRIM(D2680), CATALOGO!A:B, 2, FALSE) * C2680+I2680)),""))</f>
        <v/>
      </c>
      <c r="K2680" s="196"/>
      <c r="L2680" s="87"/>
      <c r="M2680" s="245"/>
      <c r="N2680" s="168"/>
    </row>
    <row r="2681" ht="22.5" hidden="1" customHeight="1">
      <c r="A2681" s="137"/>
      <c r="B2681" s="90"/>
      <c r="C2681" s="55"/>
      <c r="D2681" s="193"/>
      <c r="E2681" s="201"/>
      <c r="F2681" s="202"/>
      <c r="G2681" s="194"/>
      <c r="H2681" s="198"/>
      <c r="I2681" s="196"/>
      <c r="J2681" s="179" t="str">
        <f>IF(A2681="RAPPI",(VLOOKUP(TRIM(D2681), CATALOGO!F:G, 2, FALSE) * C2681)+I2681,IFERROR(IF(COUNTIF('RESTAURANTESDESCUENTOS 2026'!A:A,TRIM(A2681))&gt;0,((VLOOKUP(TRIM(D2681), CATALOGO!A:B, 2, FALSE) * C2681)*(1-VALUE(SUBSTITUTE(VLOOKUP(TRIM(A2681),'RESTAURANTESDESCUENTOS 2026'!A:B,2,FALSE),"%",""))/100)+I2681),(VLOOKUP(TRIM(D2681), CATALOGO!A:B, 2, FALSE) * C2681+I2681)),""))</f>
        <v/>
      </c>
      <c r="K2681" s="196"/>
      <c r="L2681" s="87"/>
      <c r="M2681" s="245"/>
      <c r="N2681" s="168"/>
    </row>
    <row r="2682" ht="22.5" hidden="1" customHeight="1">
      <c r="A2682" s="137"/>
      <c r="B2682" s="90"/>
      <c r="C2682" s="55"/>
      <c r="D2682" s="193"/>
      <c r="E2682" s="201"/>
      <c r="F2682" s="202"/>
      <c r="G2682" s="194"/>
      <c r="H2682" s="198"/>
      <c r="I2682" s="196"/>
      <c r="J2682" s="179" t="str">
        <f>IF(A2682="RAPPI",(VLOOKUP(TRIM(D2682), CATALOGO!F:G, 2, FALSE) * C2682)+I2682,IFERROR(IF(COUNTIF('RESTAURANTESDESCUENTOS 2026'!A:A,TRIM(A2682))&gt;0,((VLOOKUP(TRIM(D2682), CATALOGO!A:B, 2, FALSE) * C2682)*(1-VALUE(SUBSTITUTE(VLOOKUP(TRIM(A2682),'RESTAURANTESDESCUENTOS 2026'!A:B,2,FALSE),"%",""))/100)+I2682),(VLOOKUP(TRIM(D2682), CATALOGO!A:B, 2, FALSE) * C2682+I2682)),""))</f>
        <v/>
      </c>
      <c r="K2682" s="196"/>
      <c r="L2682" s="87"/>
      <c r="M2682" s="245"/>
      <c r="N2682" s="168"/>
    </row>
    <row r="2683" ht="22.5" hidden="1" customHeight="1">
      <c r="A2683" s="137"/>
      <c r="B2683" s="90"/>
      <c r="C2683" s="55"/>
      <c r="D2683" s="193"/>
      <c r="E2683" s="201"/>
      <c r="F2683" s="202"/>
      <c r="G2683" s="194"/>
      <c r="H2683" s="198"/>
      <c r="I2683" s="196"/>
      <c r="J2683" s="179" t="str">
        <f>IF(A2683="RAPPI",(VLOOKUP(TRIM(D2683), CATALOGO!F:G, 2, FALSE) * C2683)+I2683,IFERROR(IF(COUNTIF('RESTAURANTESDESCUENTOS 2026'!A:A,TRIM(A2683))&gt;0,((VLOOKUP(TRIM(D2683), CATALOGO!A:B, 2, FALSE) * C2683)*(1-VALUE(SUBSTITUTE(VLOOKUP(TRIM(A2683),'RESTAURANTESDESCUENTOS 2026'!A:B,2,FALSE),"%",""))/100)+I2683),(VLOOKUP(TRIM(D2683), CATALOGO!A:B, 2, FALSE) * C2683+I2683)),""))</f>
        <v/>
      </c>
      <c r="K2683" s="196"/>
      <c r="L2683" s="87"/>
      <c r="M2683" s="245"/>
      <c r="N2683" s="168"/>
    </row>
    <row r="2684" ht="22.5" hidden="1" customHeight="1">
      <c r="A2684" s="137"/>
      <c r="B2684" s="90"/>
      <c r="C2684" s="55"/>
      <c r="D2684" s="193"/>
      <c r="E2684" s="201"/>
      <c r="F2684" s="202"/>
      <c r="G2684" s="194"/>
      <c r="H2684" s="198"/>
      <c r="I2684" s="196"/>
      <c r="J2684" s="179" t="str">
        <f>IF(A2684="RAPPI",(VLOOKUP(TRIM(D2684), CATALOGO!F:G, 2, FALSE) * C2684)+I2684,IFERROR(IF(COUNTIF('RESTAURANTESDESCUENTOS 2026'!A:A,TRIM(A2684))&gt;0,((VLOOKUP(TRIM(D2684), CATALOGO!A:B, 2, FALSE) * C2684)*(1-VALUE(SUBSTITUTE(VLOOKUP(TRIM(A2684),'RESTAURANTESDESCUENTOS 2026'!A:B,2,FALSE),"%",""))/100)+I2684),(VLOOKUP(TRIM(D2684), CATALOGO!A:B, 2, FALSE) * C2684+I2684)),""))</f>
        <v/>
      </c>
      <c r="K2684" s="196"/>
      <c r="L2684" s="87"/>
      <c r="M2684" s="245"/>
      <c r="N2684" s="168"/>
    </row>
    <row r="2685" ht="22.5" hidden="1" customHeight="1">
      <c r="A2685" s="137"/>
      <c r="B2685" s="90"/>
      <c r="C2685" s="55"/>
      <c r="D2685" s="193"/>
      <c r="E2685" s="201"/>
      <c r="F2685" s="202"/>
      <c r="G2685" s="194"/>
      <c r="H2685" s="198"/>
      <c r="I2685" s="196"/>
      <c r="J2685" s="179" t="str">
        <f>IF(A2685="RAPPI",(VLOOKUP(TRIM(D2685), CATALOGO!F:G, 2, FALSE) * C2685)+I2685,IFERROR(IF(COUNTIF('RESTAURANTESDESCUENTOS 2026'!A:A,TRIM(A2685))&gt;0,((VLOOKUP(TRIM(D2685), CATALOGO!A:B, 2, FALSE) * C2685)*(1-VALUE(SUBSTITUTE(VLOOKUP(TRIM(A2685),'RESTAURANTESDESCUENTOS 2026'!A:B,2,FALSE),"%",""))/100)+I2685),(VLOOKUP(TRIM(D2685), CATALOGO!A:B, 2, FALSE) * C2685+I2685)),""))</f>
        <v/>
      </c>
      <c r="K2685" s="196"/>
      <c r="L2685" s="87"/>
      <c r="M2685" s="245"/>
      <c r="N2685" s="168"/>
    </row>
    <row r="2686" ht="22.5" hidden="1" customHeight="1">
      <c r="A2686" s="137"/>
      <c r="B2686" s="90"/>
      <c r="C2686" s="55"/>
      <c r="D2686" s="193"/>
      <c r="E2686" s="201"/>
      <c r="F2686" s="202"/>
      <c r="G2686" s="194"/>
      <c r="H2686" s="198"/>
      <c r="I2686" s="196"/>
      <c r="J2686" s="179" t="str">
        <f>IF(A2686="RAPPI",(VLOOKUP(TRIM(D2686), CATALOGO!F:G, 2, FALSE) * C2686)+I2686,IFERROR(IF(COUNTIF('RESTAURANTESDESCUENTOS 2026'!A:A,TRIM(A2686))&gt;0,((VLOOKUP(TRIM(D2686), CATALOGO!A:B, 2, FALSE) * C2686)*(1-VALUE(SUBSTITUTE(VLOOKUP(TRIM(A2686),'RESTAURANTESDESCUENTOS 2026'!A:B,2,FALSE),"%",""))/100)+I2686),(VLOOKUP(TRIM(D2686), CATALOGO!A:B, 2, FALSE) * C2686+I2686)),""))</f>
        <v/>
      </c>
      <c r="K2686" s="196"/>
      <c r="L2686" s="87"/>
      <c r="M2686" s="245"/>
      <c r="N2686" s="168"/>
    </row>
    <row r="2687" ht="22.5" hidden="1" customHeight="1">
      <c r="A2687" s="137"/>
      <c r="B2687" s="90"/>
      <c r="C2687" s="55"/>
      <c r="D2687" s="193"/>
      <c r="E2687" s="201"/>
      <c r="F2687" s="202"/>
      <c r="G2687" s="194"/>
      <c r="H2687" s="198"/>
      <c r="I2687" s="196"/>
      <c r="J2687" s="179" t="str">
        <f>IF(A2687="RAPPI",(VLOOKUP(TRIM(D2687), CATALOGO!F:G, 2, FALSE) * C2687)+I2687,IFERROR(IF(COUNTIF('RESTAURANTESDESCUENTOS 2026'!A:A,TRIM(A2687))&gt;0,((VLOOKUP(TRIM(D2687), CATALOGO!A:B, 2, FALSE) * C2687)*(1-VALUE(SUBSTITUTE(VLOOKUP(TRIM(A2687),'RESTAURANTESDESCUENTOS 2026'!A:B,2,FALSE),"%",""))/100)+I2687),(VLOOKUP(TRIM(D2687), CATALOGO!A:B, 2, FALSE) * C2687+I2687)),""))</f>
        <v/>
      </c>
      <c r="K2687" s="196"/>
      <c r="L2687" s="87"/>
      <c r="M2687" s="245"/>
      <c r="N2687" s="168"/>
    </row>
    <row r="2688" ht="22.5" hidden="1" customHeight="1">
      <c r="A2688" s="137"/>
      <c r="B2688" s="90"/>
      <c r="C2688" s="55"/>
      <c r="D2688" s="193"/>
      <c r="E2688" s="201"/>
      <c r="F2688" s="202"/>
      <c r="G2688" s="194"/>
      <c r="H2688" s="198"/>
      <c r="I2688" s="196"/>
      <c r="J2688" s="179" t="str">
        <f>IF(A2688="RAPPI",(VLOOKUP(TRIM(D2688), CATALOGO!F:G, 2, FALSE) * C2688)+I2688,IFERROR(IF(COUNTIF('RESTAURANTESDESCUENTOS 2026'!A:A,TRIM(A2688))&gt;0,((VLOOKUP(TRIM(D2688), CATALOGO!A:B, 2, FALSE) * C2688)*(1-VALUE(SUBSTITUTE(VLOOKUP(TRIM(A2688),'RESTAURANTESDESCUENTOS 2026'!A:B,2,FALSE),"%",""))/100)+I2688),(VLOOKUP(TRIM(D2688), CATALOGO!A:B, 2, FALSE) * C2688+I2688)),""))</f>
        <v/>
      </c>
      <c r="K2688" s="196"/>
      <c r="L2688" s="87"/>
      <c r="M2688" s="245"/>
      <c r="N2688" s="168"/>
    </row>
    <row r="2689" ht="22.5" hidden="1" customHeight="1">
      <c r="A2689" s="137"/>
      <c r="B2689" s="90"/>
      <c r="C2689" s="55"/>
      <c r="D2689" s="193"/>
      <c r="E2689" s="201"/>
      <c r="F2689" s="202"/>
      <c r="G2689" s="194"/>
      <c r="H2689" s="198"/>
      <c r="I2689" s="196"/>
      <c r="J2689" s="179" t="str">
        <f>IF(A2689="RAPPI",(VLOOKUP(TRIM(D2689), CATALOGO!F:G, 2, FALSE) * C2689)+I2689,IFERROR(IF(COUNTIF('RESTAURANTESDESCUENTOS 2026'!A:A,TRIM(A2689))&gt;0,((VLOOKUP(TRIM(D2689), CATALOGO!A:B, 2, FALSE) * C2689)*(1-VALUE(SUBSTITUTE(VLOOKUP(TRIM(A2689),'RESTAURANTESDESCUENTOS 2026'!A:B,2,FALSE),"%",""))/100)+I2689),(VLOOKUP(TRIM(D2689), CATALOGO!A:B, 2, FALSE) * C2689+I2689)),""))</f>
        <v/>
      </c>
      <c r="K2689" s="196"/>
      <c r="L2689" s="87"/>
      <c r="M2689" s="245"/>
      <c r="N2689" s="168"/>
    </row>
    <row r="2690" ht="22.5" hidden="1" customHeight="1">
      <c r="A2690" s="137"/>
      <c r="B2690" s="90"/>
      <c r="C2690" s="55"/>
      <c r="D2690" s="193"/>
      <c r="E2690" s="201"/>
      <c r="F2690" s="202"/>
      <c r="G2690" s="194"/>
      <c r="H2690" s="198"/>
      <c r="I2690" s="196"/>
      <c r="J2690" s="179" t="str">
        <f>IF(A2690="RAPPI",(VLOOKUP(TRIM(D2690), CATALOGO!F:G, 2, FALSE) * C2690)+I2690,IFERROR(IF(COUNTIF('RESTAURANTESDESCUENTOS 2026'!A:A,TRIM(A2690))&gt;0,((VLOOKUP(TRIM(D2690), CATALOGO!A:B, 2, FALSE) * C2690)*(1-VALUE(SUBSTITUTE(VLOOKUP(TRIM(A2690),'RESTAURANTESDESCUENTOS 2026'!A:B,2,FALSE),"%",""))/100)+I2690),(VLOOKUP(TRIM(D2690), CATALOGO!A:B, 2, FALSE) * C2690+I2690)),""))</f>
        <v/>
      </c>
      <c r="K2690" s="196"/>
      <c r="L2690" s="87"/>
      <c r="M2690" s="245"/>
      <c r="N2690" s="168"/>
    </row>
    <row r="2691" ht="22.5" hidden="1" customHeight="1">
      <c r="A2691" s="137"/>
      <c r="B2691" s="90"/>
      <c r="C2691" s="55"/>
      <c r="D2691" s="193"/>
      <c r="E2691" s="201"/>
      <c r="F2691" s="202"/>
      <c r="G2691" s="194"/>
      <c r="H2691" s="198"/>
      <c r="I2691" s="196"/>
      <c r="J2691" s="179" t="str">
        <f>IF(A2691="RAPPI",(VLOOKUP(TRIM(D2691), CATALOGO!F:G, 2, FALSE) * C2691)+I2691,IFERROR(IF(COUNTIF('RESTAURANTESDESCUENTOS 2026'!A:A,TRIM(A2691))&gt;0,((VLOOKUP(TRIM(D2691), CATALOGO!A:B, 2, FALSE) * C2691)*(1-VALUE(SUBSTITUTE(VLOOKUP(TRIM(A2691),'RESTAURANTESDESCUENTOS 2026'!A:B,2,FALSE),"%",""))/100)+I2691),(VLOOKUP(TRIM(D2691), CATALOGO!A:B, 2, FALSE) * C2691+I2691)),""))</f>
        <v/>
      </c>
      <c r="K2691" s="196"/>
      <c r="L2691" s="87"/>
      <c r="M2691" s="245"/>
      <c r="N2691" s="168"/>
    </row>
    <row r="2692" ht="22.5" hidden="1" customHeight="1">
      <c r="A2692" s="137"/>
      <c r="B2692" s="90"/>
      <c r="C2692" s="55"/>
      <c r="D2692" s="193"/>
      <c r="E2692" s="201"/>
      <c r="F2692" s="202"/>
      <c r="G2692" s="194"/>
      <c r="H2692" s="198"/>
      <c r="I2692" s="196"/>
      <c r="J2692" s="179" t="str">
        <f>IF(A2692="RAPPI",(VLOOKUP(TRIM(D2692), CATALOGO!F:G, 2, FALSE) * C2692)+I2692,IFERROR(IF(COUNTIF('RESTAURANTESDESCUENTOS 2026'!A:A,TRIM(A2692))&gt;0,((VLOOKUP(TRIM(D2692), CATALOGO!A:B, 2, FALSE) * C2692)*(1-VALUE(SUBSTITUTE(VLOOKUP(TRIM(A2692),'RESTAURANTESDESCUENTOS 2026'!A:B,2,FALSE),"%",""))/100)+I2692),(VLOOKUP(TRIM(D2692), CATALOGO!A:B, 2, FALSE) * C2692+I2692)),""))</f>
        <v/>
      </c>
      <c r="K2692" s="196"/>
      <c r="L2692" s="87"/>
      <c r="M2692" s="245"/>
      <c r="N2692" s="168"/>
    </row>
    <row r="2693" ht="22.5" hidden="1" customHeight="1">
      <c r="A2693" s="137"/>
      <c r="B2693" s="90"/>
      <c r="C2693" s="55"/>
      <c r="D2693" s="193"/>
      <c r="E2693" s="201"/>
      <c r="F2693" s="202"/>
      <c r="G2693" s="194"/>
      <c r="H2693" s="198"/>
      <c r="I2693" s="196"/>
      <c r="J2693" s="179" t="str">
        <f>IF(A2693="RAPPI",(VLOOKUP(TRIM(D2693), CATALOGO!F:G, 2, FALSE) * C2693)+I2693,IFERROR(IF(COUNTIF('RESTAURANTESDESCUENTOS 2026'!A:A,TRIM(A2693))&gt;0,((VLOOKUP(TRIM(D2693), CATALOGO!A:B, 2, FALSE) * C2693)*(1-VALUE(SUBSTITUTE(VLOOKUP(TRIM(A2693),'RESTAURANTESDESCUENTOS 2026'!A:B,2,FALSE),"%",""))/100)+I2693),(VLOOKUP(TRIM(D2693), CATALOGO!A:B, 2, FALSE) * C2693+I2693)),""))</f>
        <v/>
      </c>
      <c r="K2693" s="196"/>
      <c r="L2693" s="87"/>
      <c r="M2693" s="245"/>
      <c r="N2693" s="168"/>
    </row>
    <row r="2694" ht="22.5" hidden="1" customHeight="1">
      <c r="A2694" s="137"/>
      <c r="B2694" s="90"/>
      <c r="C2694" s="55"/>
      <c r="D2694" s="193"/>
      <c r="E2694" s="201"/>
      <c r="F2694" s="202"/>
      <c r="G2694" s="194"/>
      <c r="H2694" s="198"/>
      <c r="I2694" s="196"/>
      <c r="J2694" s="179" t="str">
        <f>IF(A2694="RAPPI",(VLOOKUP(TRIM(D2694), CATALOGO!F:G, 2, FALSE) * C2694)+I2694,IFERROR(IF(COUNTIF('RESTAURANTESDESCUENTOS 2026'!A:A,TRIM(A2694))&gt;0,((VLOOKUP(TRIM(D2694), CATALOGO!A:B, 2, FALSE) * C2694)*(1-VALUE(SUBSTITUTE(VLOOKUP(TRIM(A2694),'RESTAURANTESDESCUENTOS 2026'!A:B,2,FALSE),"%",""))/100)+I2694),(VLOOKUP(TRIM(D2694), CATALOGO!A:B, 2, FALSE) * C2694+I2694)),""))</f>
        <v/>
      </c>
      <c r="K2694" s="196"/>
      <c r="L2694" s="87"/>
      <c r="M2694" s="245"/>
      <c r="N2694" s="168"/>
    </row>
    <row r="2695" ht="22.5" hidden="1" customHeight="1">
      <c r="A2695" s="137"/>
      <c r="B2695" s="90"/>
      <c r="C2695" s="55"/>
      <c r="D2695" s="193"/>
      <c r="E2695" s="201"/>
      <c r="F2695" s="202"/>
      <c r="G2695" s="194"/>
      <c r="H2695" s="198"/>
      <c r="I2695" s="196"/>
      <c r="J2695" s="179" t="str">
        <f>IF(A2695="RAPPI",(VLOOKUP(TRIM(D2695), CATALOGO!F:G, 2, FALSE) * C2695)+I2695,IFERROR(IF(COUNTIF('RESTAURANTESDESCUENTOS 2026'!A:A,TRIM(A2695))&gt;0,((VLOOKUP(TRIM(D2695), CATALOGO!A:B, 2, FALSE) * C2695)*(1-VALUE(SUBSTITUTE(VLOOKUP(TRIM(A2695),'RESTAURANTESDESCUENTOS 2026'!A:B,2,FALSE),"%",""))/100)+I2695),(VLOOKUP(TRIM(D2695), CATALOGO!A:B, 2, FALSE) * C2695+I2695)),""))</f>
        <v/>
      </c>
      <c r="K2695" s="196"/>
      <c r="L2695" s="87"/>
      <c r="M2695" s="245"/>
      <c r="N2695" s="168"/>
    </row>
    <row r="2696" ht="22.5" hidden="1" customHeight="1">
      <c r="A2696" s="137"/>
      <c r="B2696" s="90"/>
      <c r="C2696" s="55"/>
      <c r="D2696" s="193"/>
      <c r="E2696" s="201"/>
      <c r="F2696" s="202"/>
      <c r="G2696" s="194"/>
      <c r="H2696" s="198"/>
      <c r="I2696" s="196"/>
      <c r="J2696" s="179" t="str">
        <f>IF(A2696="RAPPI",(VLOOKUP(TRIM(D2696), CATALOGO!F:G, 2, FALSE) * C2696)+I2696,IFERROR(IF(COUNTIF('RESTAURANTESDESCUENTOS 2026'!A:A,TRIM(A2696))&gt;0,((VLOOKUP(TRIM(D2696), CATALOGO!A:B, 2, FALSE) * C2696)*(1-VALUE(SUBSTITUTE(VLOOKUP(TRIM(A2696),'RESTAURANTESDESCUENTOS 2026'!A:B,2,FALSE),"%",""))/100)+I2696),(VLOOKUP(TRIM(D2696), CATALOGO!A:B, 2, FALSE) * C2696+I2696)),""))</f>
        <v/>
      </c>
      <c r="K2696" s="196"/>
      <c r="L2696" s="87"/>
      <c r="M2696" s="245"/>
      <c r="N2696" s="168"/>
    </row>
    <row r="2697" ht="22.5" hidden="1" customHeight="1">
      <c r="A2697" s="137"/>
      <c r="B2697" s="90"/>
      <c r="C2697" s="55"/>
      <c r="D2697" s="193"/>
      <c r="E2697" s="201"/>
      <c r="F2697" s="202"/>
      <c r="G2697" s="194"/>
      <c r="H2697" s="198"/>
      <c r="I2697" s="196"/>
      <c r="J2697" s="179" t="str">
        <f>IF(A2697="RAPPI",(VLOOKUP(TRIM(D2697), CATALOGO!F:G, 2, FALSE) * C2697)+I2697,IFERROR(IF(COUNTIF('RESTAURANTESDESCUENTOS 2026'!A:A,TRIM(A2697))&gt;0,((VLOOKUP(TRIM(D2697), CATALOGO!A:B, 2, FALSE) * C2697)*(1-VALUE(SUBSTITUTE(VLOOKUP(TRIM(A2697),'RESTAURANTESDESCUENTOS 2026'!A:B,2,FALSE),"%",""))/100)+I2697),(VLOOKUP(TRIM(D2697), CATALOGO!A:B, 2, FALSE) * C2697+I2697)),""))</f>
        <v/>
      </c>
      <c r="K2697" s="196"/>
      <c r="L2697" s="87"/>
      <c r="M2697" s="245"/>
      <c r="N2697" s="168"/>
    </row>
    <row r="2698" ht="22.5" hidden="1" customHeight="1">
      <c r="A2698" s="137"/>
      <c r="B2698" s="90"/>
      <c r="C2698" s="55"/>
      <c r="D2698" s="193"/>
      <c r="E2698" s="201"/>
      <c r="F2698" s="202"/>
      <c r="G2698" s="194"/>
      <c r="H2698" s="198"/>
      <c r="I2698" s="196"/>
      <c r="J2698" s="179" t="str">
        <f>IF(A2698="RAPPI",(VLOOKUP(TRIM(D2698), CATALOGO!F:G, 2, FALSE) * C2698)+I2698,IFERROR(IF(COUNTIF('RESTAURANTESDESCUENTOS 2026'!A:A,TRIM(A2698))&gt;0,((VLOOKUP(TRIM(D2698), CATALOGO!A:B, 2, FALSE) * C2698)*(1-VALUE(SUBSTITUTE(VLOOKUP(TRIM(A2698),'RESTAURANTESDESCUENTOS 2026'!A:B,2,FALSE),"%",""))/100)+I2698),(VLOOKUP(TRIM(D2698), CATALOGO!A:B, 2, FALSE) * C2698+I2698)),""))</f>
        <v/>
      </c>
      <c r="K2698" s="196"/>
      <c r="L2698" s="87"/>
      <c r="M2698" s="245"/>
      <c r="N2698" s="168"/>
    </row>
    <row r="2699" ht="22.5" hidden="1" customHeight="1">
      <c r="A2699" s="137"/>
      <c r="B2699" s="90"/>
      <c r="C2699" s="55"/>
      <c r="D2699" s="193"/>
      <c r="E2699" s="201"/>
      <c r="F2699" s="202"/>
      <c r="G2699" s="194"/>
      <c r="H2699" s="198"/>
      <c r="I2699" s="196"/>
      <c r="J2699" s="179" t="str">
        <f>IF(A2699="RAPPI",(VLOOKUP(TRIM(D2699), CATALOGO!F:G, 2, FALSE) * C2699)+I2699,IFERROR(IF(COUNTIF('RESTAURANTESDESCUENTOS 2026'!A:A,TRIM(A2699))&gt;0,((VLOOKUP(TRIM(D2699), CATALOGO!A:B, 2, FALSE) * C2699)*(1-VALUE(SUBSTITUTE(VLOOKUP(TRIM(A2699),'RESTAURANTESDESCUENTOS 2026'!A:B,2,FALSE),"%",""))/100)+I2699),(VLOOKUP(TRIM(D2699), CATALOGO!A:B, 2, FALSE) * C2699+I2699)),""))</f>
        <v/>
      </c>
      <c r="K2699" s="196"/>
      <c r="L2699" s="87"/>
      <c r="M2699" s="245"/>
      <c r="N2699" s="168"/>
    </row>
    <row r="2700" ht="22.5" hidden="1" customHeight="1">
      <c r="A2700" s="137"/>
      <c r="B2700" s="90"/>
      <c r="C2700" s="55"/>
      <c r="D2700" s="193"/>
      <c r="E2700" s="201"/>
      <c r="F2700" s="202"/>
      <c r="G2700" s="194"/>
      <c r="H2700" s="198"/>
      <c r="I2700" s="196"/>
      <c r="J2700" s="179" t="str">
        <f>IF(A2700="RAPPI",(VLOOKUP(TRIM(D2700), CATALOGO!F:G, 2, FALSE) * C2700)+I2700,IFERROR(IF(COUNTIF('RESTAURANTESDESCUENTOS 2026'!A:A,TRIM(A2700))&gt;0,((VLOOKUP(TRIM(D2700), CATALOGO!A:B, 2, FALSE) * C2700)*(1-VALUE(SUBSTITUTE(VLOOKUP(TRIM(A2700),'RESTAURANTESDESCUENTOS 2026'!A:B,2,FALSE),"%",""))/100)+I2700),(VLOOKUP(TRIM(D2700), CATALOGO!A:B, 2, FALSE) * C2700+I2700)),""))</f>
        <v/>
      </c>
      <c r="K2700" s="196"/>
      <c r="L2700" s="87"/>
      <c r="M2700" s="245"/>
      <c r="N2700" s="168"/>
    </row>
    <row r="2701" ht="22.5" hidden="1" customHeight="1">
      <c r="A2701" s="137"/>
      <c r="B2701" s="90"/>
      <c r="C2701" s="55"/>
      <c r="D2701" s="193"/>
      <c r="E2701" s="201"/>
      <c r="F2701" s="202"/>
      <c r="G2701" s="194"/>
      <c r="H2701" s="198"/>
      <c r="I2701" s="196"/>
      <c r="J2701" s="179" t="str">
        <f>IF(A2701="RAPPI",(VLOOKUP(TRIM(D2701), CATALOGO!F:G, 2, FALSE) * C2701)+I2701,IFERROR(IF(COUNTIF('RESTAURANTESDESCUENTOS 2026'!A:A,TRIM(A2701))&gt;0,((VLOOKUP(TRIM(D2701), CATALOGO!A:B, 2, FALSE) * C2701)*(1-VALUE(SUBSTITUTE(VLOOKUP(TRIM(A2701),'RESTAURANTESDESCUENTOS 2026'!A:B,2,FALSE),"%",""))/100)+I2701),(VLOOKUP(TRIM(D2701), CATALOGO!A:B, 2, FALSE) * C2701+I2701)),""))</f>
        <v/>
      </c>
      <c r="K2701" s="196"/>
      <c r="L2701" s="87"/>
      <c r="M2701" s="245"/>
      <c r="N2701" s="168"/>
    </row>
    <row r="2702" ht="22.5" hidden="1" customHeight="1">
      <c r="A2702" s="137"/>
      <c r="B2702" s="90"/>
      <c r="C2702" s="55"/>
      <c r="D2702" s="193"/>
      <c r="E2702" s="201"/>
      <c r="F2702" s="202"/>
      <c r="G2702" s="194"/>
      <c r="H2702" s="198"/>
      <c r="I2702" s="196"/>
      <c r="J2702" s="179" t="str">
        <f>IF(A2702="RAPPI",(VLOOKUP(TRIM(D2702), CATALOGO!F:G, 2, FALSE) * C2702)+I2702,IFERROR(IF(COUNTIF('RESTAURANTESDESCUENTOS 2026'!A:A,TRIM(A2702))&gt;0,((VLOOKUP(TRIM(D2702), CATALOGO!A:B, 2, FALSE) * C2702)*(1-VALUE(SUBSTITUTE(VLOOKUP(TRIM(A2702),'RESTAURANTESDESCUENTOS 2026'!A:B,2,FALSE),"%",""))/100)+I2702),(VLOOKUP(TRIM(D2702), CATALOGO!A:B, 2, FALSE) * C2702+I2702)),""))</f>
        <v/>
      </c>
      <c r="K2702" s="196"/>
      <c r="L2702" s="87"/>
      <c r="M2702" s="245"/>
      <c r="N2702" s="168"/>
    </row>
    <row r="2703" ht="22.5" hidden="1" customHeight="1">
      <c r="A2703" s="137"/>
      <c r="B2703" s="90"/>
      <c r="C2703" s="55"/>
      <c r="D2703" s="193"/>
      <c r="E2703" s="201"/>
      <c r="F2703" s="202"/>
      <c r="G2703" s="194"/>
      <c r="H2703" s="198"/>
      <c r="I2703" s="196"/>
      <c r="J2703" s="179" t="str">
        <f>IF(A2703="RAPPI",(VLOOKUP(TRIM(D2703), CATALOGO!F:G, 2, FALSE) * C2703)+I2703,IFERROR(IF(COUNTIF('RESTAURANTESDESCUENTOS 2026'!A:A,TRIM(A2703))&gt;0,((VLOOKUP(TRIM(D2703), CATALOGO!A:B, 2, FALSE) * C2703)*(1-VALUE(SUBSTITUTE(VLOOKUP(TRIM(A2703),'RESTAURANTESDESCUENTOS 2026'!A:B,2,FALSE),"%",""))/100)+I2703),(VLOOKUP(TRIM(D2703), CATALOGO!A:B, 2, FALSE) * C2703+I2703)),""))</f>
        <v/>
      </c>
      <c r="K2703" s="196"/>
      <c r="L2703" s="87"/>
      <c r="M2703" s="245"/>
      <c r="N2703" s="168"/>
    </row>
    <row r="2704" ht="22.5" hidden="1" customHeight="1">
      <c r="A2704" s="137"/>
      <c r="B2704" s="90"/>
      <c r="C2704" s="55"/>
      <c r="D2704" s="193"/>
      <c r="E2704" s="201"/>
      <c r="F2704" s="202"/>
      <c r="G2704" s="194"/>
      <c r="H2704" s="198"/>
      <c r="I2704" s="196"/>
      <c r="J2704" s="179" t="str">
        <f>IF(A2704="RAPPI",(VLOOKUP(TRIM(D2704), CATALOGO!F:G, 2, FALSE) * C2704)+I2704,IFERROR(IF(COUNTIF('RESTAURANTESDESCUENTOS 2026'!A:A,TRIM(A2704))&gt;0,((VLOOKUP(TRIM(D2704), CATALOGO!A:B, 2, FALSE) * C2704)*(1-VALUE(SUBSTITUTE(VLOOKUP(TRIM(A2704),'RESTAURANTESDESCUENTOS 2026'!A:B,2,FALSE),"%",""))/100)+I2704),(VLOOKUP(TRIM(D2704), CATALOGO!A:B, 2, FALSE) * C2704+I2704)),""))</f>
        <v/>
      </c>
      <c r="K2704" s="196"/>
      <c r="L2704" s="87"/>
      <c r="M2704" s="245"/>
      <c r="N2704" s="168"/>
    </row>
    <row r="2705" ht="22.5" hidden="1" customHeight="1">
      <c r="A2705" s="137"/>
      <c r="B2705" s="90"/>
      <c r="C2705" s="55"/>
      <c r="D2705" s="193"/>
      <c r="E2705" s="201"/>
      <c r="F2705" s="202"/>
      <c r="G2705" s="194"/>
      <c r="H2705" s="198"/>
      <c r="I2705" s="196"/>
      <c r="J2705" s="179" t="str">
        <f>IF(A2705="RAPPI",(VLOOKUP(TRIM(D2705), CATALOGO!F:G, 2, FALSE) * C2705)+I2705,IFERROR(IF(COUNTIF('RESTAURANTESDESCUENTOS 2026'!A:A,TRIM(A2705))&gt;0,((VLOOKUP(TRIM(D2705), CATALOGO!A:B, 2, FALSE) * C2705)*(1-VALUE(SUBSTITUTE(VLOOKUP(TRIM(A2705),'RESTAURANTESDESCUENTOS 2026'!A:B,2,FALSE),"%",""))/100)+I2705),(VLOOKUP(TRIM(D2705), CATALOGO!A:B, 2, FALSE) * C2705+I2705)),""))</f>
        <v/>
      </c>
      <c r="K2705" s="196"/>
      <c r="L2705" s="87"/>
      <c r="M2705" s="245"/>
      <c r="N2705" s="168"/>
    </row>
    <row r="2706" ht="22.5" hidden="1" customHeight="1">
      <c r="A2706" s="137"/>
      <c r="B2706" s="90"/>
      <c r="C2706" s="55"/>
      <c r="D2706" s="193"/>
      <c r="E2706" s="201"/>
      <c r="F2706" s="202"/>
      <c r="G2706" s="194"/>
      <c r="H2706" s="198"/>
      <c r="I2706" s="196"/>
      <c r="J2706" s="179" t="str">
        <f>IF(A2706="RAPPI",(VLOOKUP(TRIM(D2706), CATALOGO!F:G, 2, FALSE) * C2706)+I2706,IFERROR(IF(COUNTIF('RESTAURANTESDESCUENTOS 2026'!A:A,TRIM(A2706))&gt;0,((VLOOKUP(TRIM(D2706), CATALOGO!A:B, 2, FALSE) * C2706)*(1-VALUE(SUBSTITUTE(VLOOKUP(TRIM(A2706),'RESTAURANTESDESCUENTOS 2026'!A:B,2,FALSE),"%",""))/100)+I2706),(VLOOKUP(TRIM(D2706), CATALOGO!A:B, 2, FALSE) * C2706+I2706)),""))</f>
        <v/>
      </c>
      <c r="K2706" s="196"/>
      <c r="L2706" s="87"/>
      <c r="M2706" s="245"/>
      <c r="N2706" s="168"/>
    </row>
    <row r="2707" ht="22.5" hidden="1" customHeight="1">
      <c r="A2707" s="137"/>
      <c r="B2707" s="90"/>
      <c r="C2707" s="55"/>
      <c r="D2707" s="193"/>
      <c r="E2707" s="201"/>
      <c r="F2707" s="202"/>
      <c r="G2707" s="194"/>
      <c r="H2707" s="198"/>
      <c r="I2707" s="196"/>
      <c r="J2707" s="179" t="str">
        <f>IF(A2707="RAPPI",(VLOOKUP(TRIM(D2707), CATALOGO!F:G, 2, FALSE) * C2707)+I2707,IFERROR(IF(COUNTIF('RESTAURANTESDESCUENTOS 2026'!A:A,TRIM(A2707))&gt;0,((VLOOKUP(TRIM(D2707), CATALOGO!A:B, 2, FALSE) * C2707)*(1-VALUE(SUBSTITUTE(VLOOKUP(TRIM(A2707),'RESTAURANTESDESCUENTOS 2026'!A:B,2,FALSE),"%",""))/100)+I2707),(VLOOKUP(TRIM(D2707), CATALOGO!A:B, 2, FALSE) * C2707+I2707)),""))</f>
        <v/>
      </c>
      <c r="K2707" s="196"/>
      <c r="L2707" s="87"/>
      <c r="M2707" s="245"/>
      <c r="N2707" s="168"/>
    </row>
    <row r="2708" ht="22.5" hidden="1" customHeight="1">
      <c r="A2708" s="137"/>
      <c r="B2708" s="90"/>
      <c r="C2708" s="55"/>
      <c r="D2708" s="193"/>
      <c r="E2708" s="201"/>
      <c r="F2708" s="202"/>
      <c r="G2708" s="194"/>
      <c r="H2708" s="198"/>
      <c r="I2708" s="196"/>
      <c r="J2708" s="179" t="str">
        <f>IF(A2708="RAPPI",(VLOOKUP(TRIM(D2708), CATALOGO!F:G, 2, FALSE) * C2708)+I2708,IFERROR(IF(COUNTIF('RESTAURANTESDESCUENTOS 2026'!A:A,TRIM(A2708))&gt;0,((VLOOKUP(TRIM(D2708), CATALOGO!A:B, 2, FALSE) * C2708)*(1-VALUE(SUBSTITUTE(VLOOKUP(TRIM(A2708),'RESTAURANTESDESCUENTOS 2026'!A:B,2,FALSE),"%",""))/100)+I2708),(VLOOKUP(TRIM(D2708), CATALOGO!A:B, 2, FALSE) * C2708+I2708)),""))</f>
        <v/>
      </c>
      <c r="K2708" s="196"/>
      <c r="L2708" s="87"/>
      <c r="M2708" s="245"/>
      <c r="N2708" s="168"/>
    </row>
    <row r="2709" ht="22.5" hidden="1" customHeight="1">
      <c r="A2709" s="137"/>
      <c r="B2709" s="90"/>
      <c r="C2709" s="55"/>
      <c r="D2709" s="193"/>
      <c r="E2709" s="201"/>
      <c r="F2709" s="202"/>
      <c r="G2709" s="194"/>
      <c r="H2709" s="198"/>
      <c r="I2709" s="196"/>
      <c r="J2709" s="179" t="str">
        <f>IF(A2709="RAPPI",(VLOOKUP(TRIM(D2709), CATALOGO!F:G, 2, FALSE) * C2709)+I2709,IFERROR(IF(COUNTIF('RESTAURANTESDESCUENTOS 2026'!A:A,TRIM(A2709))&gt;0,((VLOOKUP(TRIM(D2709), CATALOGO!A:B, 2, FALSE) * C2709)*(1-VALUE(SUBSTITUTE(VLOOKUP(TRIM(A2709),'RESTAURANTESDESCUENTOS 2026'!A:B,2,FALSE),"%",""))/100)+I2709),(VLOOKUP(TRIM(D2709), CATALOGO!A:B, 2, FALSE) * C2709+I2709)),""))</f>
        <v/>
      </c>
      <c r="K2709" s="196"/>
      <c r="L2709" s="87"/>
      <c r="M2709" s="245"/>
      <c r="N2709" s="168"/>
    </row>
    <row r="2710" ht="22.5" hidden="1" customHeight="1">
      <c r="A2710" s="137"/>
      <c r="B2710" s="90"/>
      <c r="C2710" s="55"/>
      <c r="D2710" s="193"/>
      <c r="E2710" s="201"/>
      <c r="F2710" s="202"/>
      <c r="G2710" s="194"/>
      <c r="H2710" s="198"/>
      <c r="I2710" s="196"/>
      <c r="J2710" s="179" t="str">
        <f>IF(A2710="RAPPI",(VLOOKUP(TRIM(D2710), CATALOGO!F:G, 2, FALSE) * C2710)+I2710,IFERROR(IF(COUNTIF('RESTAURANTESDESCUENTOS 2026'!A:A,TRIM(A2710))&gt;0,((VLOOKUP(TRIM(D2710), CATALOGO!A:B, 2, FALSE) * C2710)*(1-VALUE(SUBSTITUTE(VLOOKUP(TRIM(A2710),'RESTAURANTESDESCUENTOS 2026'!A:B,2,FALSE),"%",""))/100)+I2710),(VLOOKUP(TRIM(D2710), CATALOGO!A:B, 2, FALSE) * C2710+I2710)),""))</f>
        <v/>
      </c>
      <c r="K2710" s="196"/>
      <c r="L2710" s="87"/>
      <c r="M2710" s="245"/>
      <c r="N2710" s="168"/>
    </row>
    <row r="2711" ht="22.5" hidden="1" customHeight="1">
      <c r="A2711" s="137"/>
      <c r="B2711" s="90"/>
      <c r="C2711" s="55"/>
      <c r="D2711" s="193"/>
      <c r="E2711" s="201"/>
      <c r="F2711" s="202"/>
      <c r="G2711" s="194"/>
      <c r="H2711" s="198"/>
      <c r="I2711" s="196"/>
      <c r="J2711" s="179" t="str">
        <f>IF(A2711="RAPPI",(VLOOKUP(TRIM(D2711), CATALOGO!F:G, 2, FALSE) * C2711)+I2711,IFERROR(IF(COUNTIF('RESTAURANTESDESCUENTOS 2026'!A:A,TRIM(A2711))&gt;0,((VLOOKUP(TRIM(D2711), CATALOGO!A:B, 2, FALSE) * C2711)*(1-VALUE(SUBSTITUTE(VLOOKUP(TRIM(A2711),'RESTAURANTESDESCUENTOS 2026'!A:B,2,FALSE),"%",""))/100)+I2711),(VLOOKUP(TRIM(D2711), CATALOGO!A:B, 2, FALSE) * C2711+I2711)),""))</f>
        <v/>
      </c>
      <c r="K2711" s="196"/>
      <c r="L2711" s="87"/>
      <c r="M2711" s="245"/>
      <c r="N2711" s="168"/>
    </row>
    <row r="2712" ht="22.5" hidden="1" customHeight="1">
      <c r="A2712" s="137"/>
      <c r="B2712" s="90"/>
      <c r="C2712" s="55"/>
      <c r="D2712" s="193"/>
      <c r="E2712" s="201"/>
      <c r="F2712" s="202"/>
      <c r="G2712" s="194"/>
      <c r="H2712" s="198"/>
      <c r="I2712" s="196"/>
      <c r="J2712" s="179" t="str">
        <f>IF(A2712="RAPPI",(VLOOKUP(TRIM(D2712), CATALOGO!F:G, 2, FALSE) * C2712)+I2712,IFERROR(IF(COUNTIF('RESTAURANTESDESCUENTOS 2026'!A:A,TRIM(A2712))&gt;0,((VLOOKUP(TRIM(D2712), CATALOGO!A:B, 2, FALSE) * C2712)*(1-VALUE(SUBSTITUTE(VLOOKUP(TRIM(A2712),'RESTAURANTESDESCUENTOS 2026'!A:B,2,FALSE),"%",""))/100)+I2712),(VLOOKUP(TRIM(D2712), CATALOGO!A:B, 2, FALSE) * C2712+I2712)),""))</f>
        <v/>
      </c>
      <c r="K2712" s="196"/>
      <c r="L2712" s="87"/>
      <c r="M2712" s="245"/>
      <c r="N2712" s="168"/>
    </row>
    <row r="2713" ht="22.5" hidden="1" customHeight="1">
      <c r="A2713" s="137"/>
      <c r="B2713" s="90"/>
      <c r="C2713" s="55"/>
      <c r="D2713" s="193"/>
      <c r="E2713" s="201"/>
      <c r="F2713" s="202"/>
      <c r="G2713" s="194"/>
      <c r="H2713" s="198"/>
      <c r="I2713" s="196"/>
      <c r="J2713" s="179" t="str">
        <f>IF(A2713="RAPPI",(VLOOKUP(TRIM(D2713), CATALOGO!F:G, 2, FALSE) * C2713)+I2713,IFERROR(IF(COUNTIF('RESTAURANTESDESCUENTOS 2026'!A:A,TRIM(A2713))&gt;0,((VLOOKUP(TRIM(D2713), CATALOGO!A:B, 2, FALSE) * C2713)*(1-VALUE(SUBSTITUTE(VLOOKUP(TRIM(A2713),'RESTAURANTESDESCUENTOS 2026'!A:B,2,FALSE),"%",""))/100)+I2713),(VLOOKUP(TRIM(D2713), CATALOGO!A:B, 2, FALSE) * C2713+I2713)),""))</f>
        <v/>
      </c>
      <c r="K2713" s="196"/>
      <c r="L2713" s="87"/>
      <c r="M2713" s="245"/>
      <c r="N2713" s="168"/>
    </row>
    <row r="2714" ht="22.5" hidden="1" customHeight="1">
      <c r="A2714" s="137"/>
      <c r="B2714" s="90"/>
      <c r="C2714" s="55"/>
      <c r="D2714" s="193"/>
      <c r="E2714" s="201"/>
      <c r="F2714" s="202"/>
      <c r="G2714" s="194"/>
      <c r="H2714" s="198"/>
      <c r="I2714" s="196"/>
      <c r="J2714" s="179" t="str">
        <f>IF(A2714="RAPPI",(VLOOKUP(TRIM(D2714), CATALOGO!F:G, 2, FALSE) * C2714)+I2714,IFERROR(IF(COUNTIF('RESTAURANTESDESCUENTOS 2026'!A:A,TRIM(A2714))&gt;0,((VLOOKUP(TRIM(D2714), CATALOGO!A:B, 2, FALSE) * C2714)*(1-VALUE(SUBSTITUTE(VLOOKUP(TRIM(A2714),'RESTAURANTESDESCUENTOS 2026'!A:B,2,FALSE),"%",""))/100)+I2714),(VLOOKUP(TRIM(D2714), CATALOGO!A:B, 2, FALSE) * C2714+I2714)),""))</f>
        <v/>
      </c>
      <c r="K2714" s="196"/>
      <c r="L2714" s="87"/>
      <c r="M2714" s="245"/>
      <c r="N2714" s="168"/>
    </row>
    <row r="2715" ht="22.5" hidden="1" customHeight="1">
      <c r="A2715" s="137"/>
      <c r="B2715" s="90"/>
      <c r="C2715" s="55"/>
      <c r="D2715" s="193"/>
      <c r="E2715" s="201"/>
      <c r="F2715" s="202"/>
      <c r="G2715" s="194"/>
      <c r="H2715" s="198"/>
      <c r="I2715" s="196"/>
      <c r="J2715" s="179" t="str">
        <f>IF(A2715="RAPPI",(VLOOKUP(TRIM(D2715), CATALOGO!F:G, 2, FALSE) * C2715)+I2715,IFERROR(IF(COUNTIF('RESTAURANTESDESCUENTOS 2026'!A:A,TRIM(A2715))&gt;0,((VLOOKUP(TRIM(D2715), CATALOGO!A:B, 2, FALSE) * C2715)*(1-VALUE(SUBSTITUTE(VLOOKUP(TRIM(A2715),'RESTAURANTESDESCUENTOS 2026'!A:B,2,FALSE),"%",""))/100)+I2715),(VLOOKUP(TRIM(D2715), CATALOGO!A:B, 2, FALSE) * C2715+I2715)),""))</f>
        <v/>
      </c>
      <c r="K2715" s="196"/>
      <c r="L2715" s="87"/>
      <c r="M2715" s="245"/>
      <c r="N2715" s="168"/>
    </row>
    <row r="2716" ht="22.5" hidden="1" customHeight="1">
      <c r="A2716" s="137"/>
      <c r="B2716" s="90"/>
      <c r="C2716" s="55"/>
      <c r="D2716" s="193"/>
      <c r="E2716" s="201"/>
      <c r="F2716" s="202"/>
      <c r="G2716" s="194"/>
      <c r="H2716" s="198"/>
      <c r="I2716" s="196"/>
      <c r="J2716" s="179" t="str">
        <f>IF(A2716="RAPPI",(VLOOKUP(TRIM(D2716), CATALOGO!F:G, 2, FALSE) * C2716)+I2716,IFERROR(IF(COUNTIF('RESTAURANTESDESCUENTOS 2026'!A:A,TRIM(A2716))&gt;0,((VLOOKUP(TRIM(D2716), CATALOGO!A:B, 2, FALSE) * C2716)*(1-VALUE(SUBSTITUTE(VLOOKUP(TRIM(A2716),'RESTAURANTESDESCUENTOS 2026'!A:B,2,FALSE),"%",""))/100)+I2716),(VLOOKUP(TRIM(D2716), CATALOGO!A:B, 2, FALSE) * C2716+I2716)),""))</f>
        <v/>
      </c>
      <c r="K2716" s="196"/>
      <c r="L2716" s="87"/>
      <c r="M2716" s="245"/>
      <c r="N2716" s="168"/>
    </row>
    <row r="2717" ht="22.5" hidden="1" customHeight="1">
      <c r="A2717" s="137"/>
      <c r="B2717" s="90"/>
      <c r="C2717" s="55"/>
      <c r="D2717" s="193"/>
      <c r="E2717" s="201"/>
      <c r="F2717" s="202"/>
      <c r="G2717" s="194"/>
      <c r="H2717" s="198"/>
      <c r="I2717" s="196"/>
      <c r="J2717" s="179" t="str">
        <f>IF(A2717="RAPPI",(VLOOKUP(TRIM(D2717), CATALOGO!F:G, 2, FALSE) * C2717)+I2717,IFERROR(IF(COUNTIF('RESTAURANTESDESCUENTOS 2026'!A:A,TRIM(A2717))&gt;0,((VLOOKUP(TRIM(D2717), CATALOGO!A:B, 2, FALSE) * C2717)*(1-VALUE(SUBSTITUTE(VLOOKUP(TRIM(A2717),'RESTAURANTESDESCUENTOS 2026'!A:B,2,FALSE),"%",""))/100)+I2717),(VLOOKUP(TRIM(D2717), CATALOGO!A:B, 2, FALSE) * C2717+I2717)),""))</f>
        <v/>
      </c>
      <c r="K2717" s="196"/>
      <c r="L2717" s="87"/>
      <c r="M2717" s="245"/>
      <c r="N2717" s="168"/>
    </row>
    <row r="2718" ht="22.5" hidden="1" customHeight="1">
      <c r="A2718" s="137"/>
      <c r="B2718" s="90"/>
      <c r="C2718" s="55"/>
      <c r="D2718" s="193"/>
      <c r="E2718" s="201"/>
      <c r="F2718" s="202"/>
      <c r="G2718" s="194"/>
      <c r="H2718" s="198"/>
      <c r="I2718" s="196"/>
      <c r="J2718" s="179" t="str">
        <f>IF(A2718="RAPPI",(VLOOKUP(TRIM(D2718), CATALOGO!F:G, 2, FALSE) * C2718)+I2718,IFERROR(IF(COUNTIF('RESTAURANTESDESCUENTOS 2026'!A:A,TRIM(A2718))&gt;0,((VLOOKUP(TRIM(D2718), CATALOGO!A:B, 2, FALSE) * C2718)*(1-VALUE(SUBSTITUTE(VLOOKUP(TRIM(A2718),'RESTAURANTESDESCUENTOS 2026'!A:B,2,FALSE),"%",""))/100)+I2718),(VLOOKUP(TRIM(D2718), CATALOGO!A:B, 2, FALSE) * C2718+I2718)),""))</f>
        <v/>
      </c>
      <c r="K2718" s="196"/>
      <c r="L2718" s="87"/>
      <c r="M2718" s="245"/>
      <c r="N2718" s="168"/>
    </row>
    <row r="2719" ht="22.5" hidden="1" customHeight="1">
      <c r="A2719" s="137"/>
      <c r="B2719" s="90"/>
      <c r="C2719" s="55"/>
      <c r="D2719" s="193"/>
      <c r="E2719" s="201"/>
      <c r="F2719" s="202"/>
      <c r="G2719" s="194"/>
      <c r="H2719" s="198"/>
      <c r="I2719" s="196"/>
      <c r="J2719" s="179" t="str">
        <f>IF(A2719="RAPPI",(VLOOKUP(TRIM(D2719), CATALOGO!F:G, 2, FALSE) * C2719)+I2719,IFERROR(IF(COUNTIF('RESTAURANTESDESCUENTOS 2026'!A:A,TRIM(A2719))&gt;0,((VLOOKUP(TRIM(D2719), CATALOGO!A:B, 2, FALSE) * C2719)*(1-VALUE(SUBSTITUTE(VLOOKUP(TRIM(A2719),'RESTAURANTESDESCUENTOS 2026'!A:B,2,FALSE),"%",""))/100)+I2719),(VLOOKUP(TRIM(D2719), CATALOGO!A:B, 2, FALSE) * C2719+I2719)),""))</f>
        <v/>
      </c>
      <c r="K2719" s="196"/>
      <c r="L2719" s="87"/>
      <c r="M2719" s="245"/>
      <c r="N2719" s="168"/>
    </row>
    <row r="2720" ht="22.5" hidden="1" customHeight="1">
      <c r="A2720" s="137"/>
      <c r="B2720" s="90"/>
      <c r="C2720" s="55"/>
      <c r="D2720" s="193"/>
      <c r="E2720" s="201"/>
      <c r="F2720" s="202"/>
      <c r="G2720" s="194"/>
      <c r="H2720" s="198"/>
      <c r="I2720" s="196"/>
      <c r="J2720" s="179" t="str">
        <f>IF(A2720="RAPPI",(VLOOKUP(TRIM(D2720), CATALOGO!F:G, 2, FALSE) * C2720)+I2720,IFERROR(IF(COUNTIF('RESTAURANTESDESCUENTOS 2026'!A:A,TRIM(A2720))&gt;0,((VLOOKUP(TRIM(D2720), CATALOGO!A:B, 2, FALSE) * C2720)*(1-VALUE(SUBSTITUTE(VLOOKUP(TRIM(A2720),'RESTAURANTESDESCUENTOS 2026'!A:B,2,FALSE),"%",""))/100)+I2720),(VLOOKUP(TRIM(D2720), CATALOGO!A:B, 2, FALSE) * C2720+I2720)),""))</f>
        <v/>
      </c>
      <c r="K2720" s="196"/>
      <c r="L2720" s="87"/>
      <c r="M2720" s="245"/>
      <c r="N2720" s="168"/>
    </row>
    <row r="2721" ht="22.5" hidden="1" customHeight="1">
      <c r="A2721" s="137"/>
      <c r="B2721" s="90"/>
      <c r="C2721" s="55"/>
      <c r="D2721" s="193"/>
      <c r="E2721" s="201"/>
      <c r="F2721" s="202"/>
      <c r="G2721" s="194"/>
      <c r="H2721" s="198"/>
      <c r="I2721" s="196"/>
      <c r="J2721" s="179" t="str">
        <f>IF(A2721="RAPPI",(VLOOKUP(TRIM(D2721), CATALOGO!F:G, 2, FALSE) * C2721)+I2721,IFERROR(IF(COUNTIF('RESTAURANTESDESCUENTOS 2026'!A:A,TRIM(A2721))&gt;0,((VLOOKUP(TRIM(D2721), CATALOGO!A:B, 2, FALSE) * C2721)*(1-VALUE(SUBSTITUTE(VLOOKUP(TRIM(A2721),'RESTAURANTESDESCUENTOS 2026'!A:B,2,FALSE),"%",""))/100)+I2721),(VLOOKUP(TRIM(D2721), CATALOGO!A:B, 2, FALSE) * C2721+I2721)),""))</f>
        <v/>
      </c>
      <c r="K2721" s="196"/>
      <c r="L2721" s="87"/>
      <c r="M2721" s="245"/>
      <c r="N2721" s="168"/>
    </row>
    <row r="2722" ht="22.5" hidden="1" customHeight="1">
      <c r="A2722" s="137"/>
      <c r="B2722" s="90"/>
      <c r="C2722" s="55"/>
      <c r="D2722" s="193"/>
      <c r="E2722" s="201"/>
      <c r="F2722" s="202"/>
      <c r="G2722" s="194"/>
      <c r="H2722" s="198"/>
      <c r="I2722" s="196"/>
      <c r="J2722" s="179" t="str">
        <f>IF(A2722="RAPPI",(VLOOKUP(TRIM(D2722), CATALOGO!F:G, 2, FALSE) * C2722)+I2722,IFERROR(IF(COUNTIF('RESTAURANTESDESCUENTOS 2026'!A:A,TRIM(A2722))&gt;0,((VLOOKUP(TRIM(D2722), CATALOGO!A:B, 2, FALSE) * C2722)*(1-VALUE(SUBSTITUTE(VLOOKUP(TRIM(A2722),'RESTAURANTESDESCUENTOS 2026'!A:B,2,FALSE),"%",""))/100)+I2722),(VLOOKUP(TRIM(D2722), CATALOGO!A:B, 2, FALSE) * C2722+I2722)),""))</f>
        <v/>
      </c>
      <c r="K2722" s="196"/>
      <c r="L2722" s="87"/>
      <c r="M2722" s="245"/>
      <c r="N2722" s="168"/>
    </row>
    <row r="2723" ht="22.5" hidden="1" customHeight="1">
      <c r="A2723" s="137"/>
      <c r="B2723" s="90"/>
      <c r="C2723" s="55"/>
      <c r="D2723" s="193"/>
      <c r="E2723" s="201"/>
      <c r="F2723" s="202"/>
      <c r="G2723" s="194"/>
      <c r="H2723" s="198"/>
      <c r="I2723" s="196"/>
      <c r="J2723" s="179" t="str">
        <f>IF(A2723="RAPPI",(VLOOKUP(TRIM(D2723), CATALOGO!F:G, 2, FALSE) * C2723)+I2723,IFERROR(IF(COUNTIF('RESTAURANTESDESCUENTOS 2026'!A:A,TRIM(A2723))&gt;0,((VLOOKUP(TRIM(D2723), CATALOGO!A:B, 2, FALSE) * C2723)*(1-VALUE(SUBSTITUTE(VLOOKUP(TRIM(A2723),'RESTAURANTESDESCUENTOS 2026'!A:B,2,FALSE),"%",""))/100)+I2723),(VLOOKUP(TRIM(D2723), CATALOGO!A:B, 2, FALSE) * C2723+I2723)),""))</f>
        <v/>
      </c>
      <c r="K2723" s="196"/>
      <c r="L2723" s="87"/>
      <c r="M2723" s="245"/>
      <c r="N2723" s="168"/>
    </row>
    <row r="2724" ht="22.5" hidden="1" customHeight="1">
      <c r="A2724" s="137"/>
      <c r="B2724" s="90"/>
      <c r="C2724" s="55"/>
      <c r="D2724" s="193"/>
      <c r="E2724" s="201"/>
      <c r="F2724" s="202"/>
      <c r="G2724" s="194"/>
      <c r="H2724" s="198"/>
      <c r="I2724" s="196"/>
      <c r="J2724" s="179" t="str">
        <f>IF(A2724="RAPPI",(VLOOKUP(TRIM(D2724), CATALOGO!F:G, 2, FALSE) * C2724)+I2724,IFERROR(IF(COUNTIF('RESTAURANTESDESCUENTOS 2026'!A:A,TRIM(A2724))&gt;0,((VLOOKUP(TRIM(D2724), CATALOGO!A:B, 2, FALSE) * C2724)*(1-VALUE(SUBSTITUTE(VLOOKUP(TRIM(A2724),'RESTAURANTESDESCUENTOS 2026'!A:B,2,FALSE),"%",""))/100)+I2724),(VLOOKUP(TRIM(D2724), CATALOGO!A:B, 2, FALSE) * C2724+I2724)),""))</f>
        <v/>
      </c>
      <c r="K2724" s="196"/>
      <c r="L2724" s="87"/>
      <c r="M2724" s="245"/>
      <c r="N2724" s="168"/>
    </row>
    <row r="2725" ht="22.5" hidden="1" customHeight="1">
      <c r="A2725" s="137"/>
      <c r="B2725" s="90"/>
      <c r="C2725" s="55"/>
      <c r="D2725" s="193"/>
      <c r="E2725" s="201"/>
      <c r="F2725" s="202"/>
      <c r="G2725" s="194"/>
      <c r="H2725" s="198"/>
      <c r="I2725" s="196"/>
      <c r="J2725" s="179" t="str">
        <f>IF(A2725="RAPPI",(VLOOKUP(TRIM(D2725), CATALOGO!F:G, 2, FALSE) * C2725)+I2725,IFERROR(IF(COUNTIF('RESTAURANTESDESCUENTOS 2026'!A:A,TRIM(A2725))&gt;0,((VLOOKUP(TRIM(D2725), CATALOGO!A:B, 2, FALSE) * C2725)*(1-VALUE(SUBSTITUTE(VLOOKUP(TRIM(A2725),'RESTAURANTESDESCUENTOS 2026'!A:B,2,FALSE),"%",""))/100)+I2725),(VLOOKUP(TRIM(D2725), CATALOGO!A:B, 2, FALSE) * C2725+I2725)),""))</f>
        <v/>
      </c>
      <c r="K2725" s="196"/>
      <c r="L2725" s="87"/>
      <c r="M2725" s="245"/>
      <c r="N2725" s="168"/>
    </row>
    <row r="2726" ht="22.5" hidden="1" customHeight="1">
      <c r="A2726" s="137"/>
      <c r="B2726" s="90"/>
      <c r="C2726" s="55"/>
      <c r="D2726" s="193"/>
      <c r="E2726" s="201"/>
      <c r="F2726" s="202"/>
      <c r="G2726" s="194"/>
      <c r="H2726" s="198"/>
      <c r="I2726" s="196"/>
      <c r="J2726" s="179" t="str">
        <f>IF(A2726="RAPPI",(VLOOKUP(TRIM(D2726), CATALOGO!F:G, 2, FALSE) * C2726)+I2726,IFERROR(IF(COUNTIF('RESTAURANTESDESCUENTOS 2026'!A:A,TRIM(A2726))&gt;0,((VLOOKUP(TRIM(D2726), CATALOGO!A:B, 2, FALSE) * C2726)*(1-VALUE(SUBSTITUTE(VLOOKUP(TRIM(A2726),'RESTAURANTESDESCUENTOS 2026'!A:B,2,FALSE),"%",""))/100)+I2726),(VLOOKUP(TRIM(D2726), CATALOGO!A:B, 2, FALSE) * C2726+I2726)),""))</f>
        <v/>
      </c>
      <c r="K2726" s="196"/>
      <c r="L2726" s="87"/>
      <c r="M2726" s="245"/>
      <c r="N2726" s="168"/>
    </row>
    <row r="2727" ht="22.5" hidden="1" customHeight="1">
      <c r="A2727" s="137"/>
      <c r="B2727" s="90"/>
      <c r="C2727" s="55"/>
      <c r="D2727" s="193"/>
      <c r="E2727" s="201"/>
      <c r="F2727" s="202"/>
      <c r="G2727" s="194"/>
      <c r="H2727" s="198"/>
      <c r="I2727" s="196"/>
      <c r="J2727" s="179" t="str">
        <f>IF(A2727="RAPPI",(VLOOKUP(TRIM(D2727), CATALOGO!F:G, 2, FALSE) * C2727)+I2727,IFERROR(IF(COUNTIF('RESTAURANTESDESCUENTOS 2026'!A:A,TRIM(A2727))&gt;0,((VLOOKUP(TRIM(D2727), CATALOGO!A:B, 2, FALSE) * C2727)*(1-VALUE(SUBSTITUTE(VLOOKUP(TRIM(A2727),'RESTAURANTESDESCUENTOS 2026'!A:B,2,FALSE),"%",""))/100)+I2727),(VLOOKUP(TRIM(D2727), CATALOGO!A:B, 2, FALSE) * C2727+I2727)),""))</f>
        <v/>
      </c>
      <c r="K2727" s="196"/>
      <c r="L2727" s="87"/>
      <c r="M2727" s="245"/>
      <c r="N2727" s="168"/>
    </row>
    <row r="2728" ht="22.5" hidden="1" customHeight="1">
      <c r="A2728" s="137"/>
      <c r="B2728" s="90"/>
      <c r="C2728" s="55"/>
      <c r="D2728" s="193"/>
      <c r="E2728" s="201"/>
      <c r="F2728" s="202"/>
      <c r="G2728" s="194"/>
      <c r="H2728" s="198"/>
      <c r="I2728" s="196"/>
      <c r="J2728" s="179" t="str">
        <f>IF(A2728="RAPPI",(VLOOKUP(TRIM(D2728), CATALOGO!F:G, 2, FALSE) * C2728)+I2728,IFERROR(IF(COUNTIF('RESTAURANTESDESCUENTOS 2026'!A:A,TRIM(A2728))&gt;0,((VLOOKUP(TRIM(D2728), CATALOGO!A:B, 2, FALSE) * C2728)*(1-VALUE(SUBSTITUTE(VLOOKUP(TRIM(A2728),'RESTAURANTESDESCUENTOS 2026'!A:B,2,FALSE),"%",""))/100)+I2728),(VLOOKUP(TRIM(D2728), CATALOGO!A:B, 2, FALSE) * C2728+I2728)),""))</f>
        <v/>
      </c>
      <c r="K2728" s="196"/>
      <c r="L2728" s="87"/>
      <c r="M2728" s="245"/>
      <c r="N2728" s="168"/>
    </row>
    <row r="2729" ht="22.5" hidden="1" customHeight="1">
      <c r="A2729" s="137"/>
      <c r="B2729" s="90"/>
      <c r="C2729" s="55"/>
      <c r="D2729" s="193"/>
      <c r="E2729" s="201"/>
      <c r="F2729" s="202"/>
      <c r="G2729" s="194"/>
      <c r="H2729" s="198"/>
      <c r="I2729" s="196"/>
      <c r="J2729" s="179" t="str">
        <f>IF(A2729="RAPPI",(VLOOKUP(TRIM(D2729), CATALOGO!F:G, 2, FALSE) * C2729)+I2729,IFERROR(IF(COUNTIF('RESTAURANTESDESCUENTOS 2026'!A:A,TRIM(A2729))&gt;0,((VLOOKUP(TRIM(D2729), CATALOGO!A:B, 2, FALSE) * C2729)*(1-VALUE(SUBSTITUTE(VLOOKUP(TRIM(A2729),'RESTAURANTESDESCUENTOS 2026'!A:B,2,FALSE),"%",""))/100)+I2729),(VLOOKUP(TRIM(D2729), CATALOGO!A:B, 2, FALSE) * C2729+I2729)),""))</f>
        <v/>
      </c>
      <c r="K2729" s="196"/>
      <c r="L2729" s="87"/>
      <c r="M2729" s="245"/>
      <c r="N2729" s="168"/>
    </row>
    <row r="2730" ht="22.5" hidden="1" customHeight="1">
      <c r="A2730" s="137"/>
      <c r="B2730" s="90"/>
      <c r="C2730" s="55"/>
      <c r="D2730" s="193"/>
      <c r="E2730" s="201"/>
      <c r="F2730" s="202"/>
      <c r="G2730" s="194"/>
      <c r="H2730" s="198"/>
      <c r="I2730" s="196"/>
      <c r="J2730" s="179" t="str">
        <f>IF(A2730="RAPPI",(VLOOKUP(TRIM(D2730), CATALOGO!F:G, 2, FALSE) * C2730)+I2730,IFERROR(IF(COUNTIF('RESTAURANTESDESCUENTOS 2026'!A:A,TRIM(A2730))&gt;0,((VLOOKUP(TRIM(D2730), CATALOGO!A:B, 2, FALSE) * C2730)*(1-VALUE(SUBSTITUTE(VLOOKUP(TRIM(A2730),'RESTAURANTESDESCUENTOS 2026'!A:B,2,FALSE),"%",""))/100)+I2730),(VLOOKUP(TRIM(D2730), CATALOGO!A:B, 2, FALSE) * C2730+I2730)),""))</f>
        <v/>
      </c>
      <c r="K2730" s="196"/>
      <c r="L2730" s="87"/>
      <c r="M2730" s="245"/>
      <c r="N2730" s="168"/>
    </row>
    <row r="2731" ht="22.5" hidden="1" customHeight="1">
      <c r="A2731" s="137"/>
      <c r="B2731" s="90"/>
      <c r="C2731" s="55"/>
      <c r="D2731" s="193"/>
      <c r="E2731" s="201"/>
      <c r="F2731" s="202"/>
      <c r="G2731" s="194"/>
      <c r="H2731" s="198"/>
      <c r="I2731" s="196"/>
      <c r="J2731" s="179" t="str">
        <f>IF(A2731="RAPPI",(VLOOKUP(TRIM(D2731), CATALOGO!F:G, 2, FALSE) * C2731)+I2731,IFERROR(IF(COUNTIF('RESTAURANTESDESCUENTOS 2026'!A:A,TRIM(A2731))&gt;0,((VLOOKUP(TRIM(D2731), CATALOGO!A:B, 2, FALSE) * C2731)*(1-VALUE(SUBSTITUTE(VLOOKUP(TRIM(A2731),'RESTAURANTESDESCUENTOS 2026'!A:B,2,FALSE),"%",""))/100)+I2731),(VLOOKUP(TRIM(D2731), CATALOGO!A:B, 2, FALSE) * C2731+I2731)),""))</f>
        <v/>
      </c>
      <c r="K2731" s="196"/>
      <c r="L2731" s="87"/>
      <c r="M2731" s="245"/>
      <c r="N2731" s="168"/>
    </row>
    <row r="2732" ht="22.5" hidden="1" customHeight="1">
      <c r="A2732" s="137"/>
      <c r="B2732" s="90"/>
      <c r="C2732" s="55"/>
      <c r="D2732" s="193"/>
      <c r="E2732" s="201"/>
      <c r="F2732" s="202"/>
      <c r="G2732" s="194"/>
      <c r="H2732" s="198"/>
      <c r="I2732" s="196"/>
      <c r="J2732" s="179" t="str">
        <f>IF(A2732="RAPPI",(VLOOKUP(TRIM(D2732), CATALOGO!F:G, 2, FALSE) * C2732)+I2732,IFERROR(IF(COUNTIF('RESTAURANTESDESCUENTOS 2026'!A:A,TRIM(A2732))&gt;0,((VLOOKUP(TRIM(D2732), CATALOGO!A:B, 2, FALSE) * C2732)*(1-VALUE(SUBSTITUTE(VLOOKUP(TRIM(A2732),'RESTAURANTESDESCUENTOS 2026'!A:B,2,FALSE),"%",""))/100)+I2732),(VLOOKUP(TRIM(D2732), CATALOGO!A:B, 2, FALSE) * C2732+I2732)),""))</f>
        <v/>
      </c>
      <c r="K2732" s="196"/>
      <c r="L2732" s="87"/>
      <c r="M2732" s="245"/>
      <c r="N2732" s="168"/>
    </row>
    <row r="2733" ht="22.5" hidden="1" customHeight="1">
      <c r="A2733" s="137"/>
      <c r="B2733" s="90"/>
      <c r="C2733" s="55"/>
      <c r="D2733" s="193"/>
      <c r="E2733" s="201"/>
      <c r="F2733" s="202"/>
      <c r="G2733" s="194"/>
      <c r="H2733" s="198"/>
      <c r="I2733" s="196"/>
      <c r="J2733" s="179" t="str">
        <f>IF(A2733="RAPPI",(VLOOKUP(TRIM(D2733), CATALOGO!F:G, 2, FALSE) * C2733)+I2733,IFERROR(IF(COUNTIF('RESTAURANTESDESCUENTOS 2026'!A:A,TRIM(A2733))&gt;0,((VLOOKUP(TRIM(D2733), CATALOGO!A:B, 2, FALSE) * C2733)*(1-VALUE(SUBSTITUTE(VLOOKUP(TRIM(A2733),'RESTAURANTESDESCUENTOS 2026'!A:B,2,FALSE),"%",""))/100)+I2733),(VLOOKUP(TRIM(D2733), CATALOGO!A:B, 2, FALSE) * C2733+I2733)),""))</f>
        <v/>
      </c>
      <c r="K2733" s="196"/>
      <c r="L2733" s="87"/>
      <c r="M2733" s="245"/>
      <c r="N2733" s="168"/>
    </row>
    <row r="2734" ht="22.5" hidden="1" customHeight="1">
      <c r="A2734" s="137"/>
      <c r="B2734" s="90"/>
      <c r="C2734" s="55"/>
      <c r="D2734" s="193"/>
      <c r="E2734" s="201"/>
      <c r="F2734" s="202"/>
      <c r="G2734" s="194"/>
      <c r="H2734" s="198"/>
      <c r="I2734" s="196"/>
      <c r="J2734" s="179" t="str">
        <f>IF(A2734="RAPPI",(VLOOKUP(TRIM(D2734), CATALOGO!F:G, 2, FALSE) * C2734)+I2734,IFERROR(IF(COUNTIF('RESTAURANTESDESCUENTOS 2026'!A:A,TRIM(A2734))&gt;0,((VLOOKUP(TRIM(D2734), CATALOGO!A:B, 2, FALSE) * C2734)*(1-VALUE(SUBSTITUTE(VLOOKUP(TRIM(A2734),'RESTAURANTESDESCUENTOS 2026'!A:B,2,FALSE),"%",""))/100)+I2734),(VLOOKUP(TRIM(D2734), CATALOGO!A:B, 2, FALSE) * C2734+I2734)),""))</f>
        <v/>
      </c>
      <c r="K2734" s="196"/>
      <c r="L2734" s="87"/>
      <c r="M2734" s="245"/>
      <c r="N2734" s="168"/>
    </row>
    <row r="2735" ht="22.5" hidden="1" customHeight="1">
      <c r="A2735" s="137"/>
      <c r="B2735" s="90"/>
      <c r="C2735" s="55"/>
      <c r="D2735" s="193"/>
      <c r="E2735" s="201"/>
      <c r="F2735" s="202"/>
      <c r="G2735" s="194"/>
      <c r="H2735" s="198"/>
      <c r="I2735" s="196"/>
      <c r="J2735" s="179" t="str">
        <f>IF(A2735="RAPPI",(VLOOKUP(TRIM(D2735), CATALOGO!F:G, 2, FALSE) * C2735)+I2735,IFERROR(IF(COUNTIF('RESTAURANTESDESCUENTOS 2026'!A:A,TRIM(A2735))&gt;0,((VLOOKUP(TRIM(D2735), CATALOGO!A:B, 2, FALSE) * C2735)*(1-VALUE(SUBSTITUTE(VLOOKUP(TRIM(A2735),'RESTAURANTESDESCUENTOS 2026'!A:B,2,FALSE),"%",""))/100)+I2735),(VLOOKUP(TRIM(D2735), CATALOGO!A:B, 2, FALSE) * C2735+I2735)),""))</f>
        <v/>
      </c>
      <c r="K2735" s="196"/>
      <c r="L2735" s="87"/>
      <c r="M2735" s="245"/>
      <c r="N2735" s="168"/>
    </row>
    <row r="2736" ht="22.5" hidden="1" customHeight="1">
      <c r="A2736" s="137"/>
      <c r="B2736" s="90"/>
      <c r="C2736" s="55"/>
      <c r="D2736" s="193"/>
      <c r="E2736" s="201"/>
      <c r="F2736" s="202"/>
      <c r="G2736" s="194"/>
      <c r="H2736" s="198"/>
      <c r="I2736" s="196"/>
      <c r="J2736" s="179" t="str">
        <f>IF(A2736="RAPPI",(VLOOKUP(TRIM(D2736), CATALOGO!F:G, 2, FALSE) * C2736)+I2736,IFERROR(IF(COUNTIF('RESTAURANTESDESCUENTOS 2026'!A:A,TRIM(A2736))&gt;0,((VLOOKUP(TRIM(D2736), CATALOGO!A:B, 2, FALSE) * C2736)*(1-VALUE(SUBSTITUTE(VLOOKUP(TRIM(A2736),'RESTAURANTESDESCUENTOS 2026'!A:B,2,FALSE),"%",""))/100)+I2736),(VLOOKUP(TRIM(D2736), CATALOGO!A:B, 2, FALSE) * C2736+I2736)),""))</f>
        <v/>
      </c>
      <c r="K2736" s="196"/>
      <c r="L2736" s="87"/>
      <c r="M2736" s="245"/>
      <c r="N2736" s="168"/>
    </row>
    <row r="2737" ht="22.5" hidden="1" customHeight="1">
      <c r="A2737" s="137"/>
      <c r="B2737" s="90"/>
      <c r="C2737" s="55"/>
      <c r="D2737" s="193"/>
      <c r="E2737" s="201"/>
      <c r="F2737" s="202"/>
      <c r="G2737" s="194"/>
      <c r="H2737" s="198"/>
      <c r="I2737" s="196"/>
      <c r="J2737" s="179" t="str">
        <f>IF(A2737="RAPPI",(VLOOKUP(TRIM(D2737), CATALOGO!F:G, 2, FALSE) * C2737)+I2737,IFERROR(IF(COUNTIF('RESTAURANTESDESCUENTOS 2026'!A:A,TRIM(A2737))&gt;0,((VLOOKUP(TRIM(D2737), CATALOGO!A:B, 2, FALSE) * C2737)*(1-VALUE(SUBSTITUTE(VLOOKUP(TRIM(A2737),'RESTAURANTESDESCUENTOS 2026'!A:B,2,FALSE),"%",""))/100)+I2737),(VLOOKUP(TRIM(D2737), CATALOGO!A:B, 2, FALSE) * C2737+I2737)),""))</f>
        <v/>
      </c>
      <c r="K2737" s="196"/>
      <c r="L2737" s="87"/>
      <c r="M2737" s="245"/>
      <c r="N2737" s="168"/>
    </row>
    <row r="2738" ht="22.5" hidden="1" customHeight="1">
      <c r="A2738" s="137"/>
      <c r="B2738" s="90"/>
      <c r="C2738" s="55"/>
      <c r="D2738" s="193"/>
      <c r="E2738" s="201"/>
      <c r="F2738" s="202"/>
      <c r="G2738" s="194"/>
      <c r="H2738" s="198"/>
      <c r="I2738" s="196"/>
      <c r="J2738" s="179" t="str">
        <f>IF(A2738="RAPPI",(VLOOKUP(TRIM(D2738), CATALOGO!F:G, 2, FALSE) * C2738)+I2738,IFERROR(IF(COUNTIF('RESTAURANTESDESCUENTOS 2026'!A:A,TRIM(A2738))&gt;0,((VLOOKUP(TRIM(D2738), CATALOGO!A:B, 2, FALSE) * C2738)*(1-VALUE(SUBSTITUTE(VLOOKUP(TRIM(A2738),'RESTAURANTESDESCUENTOS 2026'!A:B,2,FALSE),"%",""))/100)+I2738),(VLOOKUP(TRIM(D2738), CATALOGO!A:B, 2, FALSE) * C2738+I2738)),""))</f>
        <v/>
      </c>
      <c r="K2738" s="196"/>
      <c r="L2738" s="87"/>
      <c r="M2738" s="245"/>
      <c r="N2738" s="168"/>
    </row>
    <row r="2739" ht="22.5" hidden="1" customHeight="1">
      <c r="A2739" s="137"/>
      <c r="B2739" s="90"/>
      <c r="C2739" s="55"/>
      <c r="D2739" s="193"/>
      <c r="E2739" s="201"/>
      <c r="F2739" s="202"/>
      <c r="G2739" s="194"/>
      <c r="H2739" s="198"/>
      <c r="I2739" s="196"/>
      <c r="J2739" s="179" t="str">
        <f>IF(A2739="RAPPI",(VLOOKUP(TRIM(D2739), CATALOGO!F:G, 2, FALSE) * C2739)+I2739,IFERROR(IF(COUNTIF('RESTAURANTESDESCUENTOS 2026'!A:A,TRIM(A2739))&gt;0,((VLOOKUP(TRIM(D2739), CATALOGO!A:B, 2, FALSE) * C2739)*(1-VALUE(SUBSTITUTE(VLOOKUP(TRIM(A2739),'RESTAURANTESDESCUENTOS 2026'!A:B,2,FALSE),"%",""))/100)+I2739),(VLOOKUP(TRIM(D2739), CATALOGO!A:B, 2, FALSE) * C2739+I2739)),""))</f>
        <v/>
      </c>
      <c r="K2739" s="196"/>
      <c r="L2739" s="87"/>
      <c r="M2739" s="245"/>
      <c r="N2739" s="168"/>
    </row>
    <row r="2740" ht="22.5" hidden="1" customHeight="1">
      <c r="A2740" s="137"/>
      <c r="B2740" s="90"/>
      <c r="C2740" s="55"/>
      <c r="D2740" s="193"/>
      <c r="E2740" s="201"/>
      <c r="F2740" s="202"/>
      <c r="G2740" s="194"/>
      <c r="H2740" s="198"/>
      <c r="I2740" s="196"/>
      <c r="J2740" s="179" t="str">
        <f>IF(A2740="RAPPI",(VLOOKUP(TRIM(D2740), CATALOGO!F:G, 2, FALSE) * C2740)+I2740,IFERROR(IF(COUNTIF('RESTAURANTESDESCUENTOS 2026'!A:A,TRIM(A2740))&gt;0,((VLOOKUP(TRIM(D2740), CATALOGO!A:B, 2, FALSE) * C2740)*(1-VALUE(SUBSTITUTE(VLOOKUP(TRIM(A2740),'RESTAURANTESDESCUENTOS 2026'!A:B,2,FALSE),"%",""))/100)+I2740),(VLOOKUP(TRIM(D2740), CATALOGO!A:B, 2, FALSE) * C2740+I2740)),""))</f>
        <v/>
      </c>
      <c r="K2740" s="196"/>
      <c r="L2740" s="87"/>
      <c r="M2740" s="245"/>
      <c r="N2740" s="168"/>
    </row>
    <row r="2741" ht="22.5" hidden="1" customHeight="1">
      <c r="A2741" s="137"/>
      <c r="B2741" s="90"/>
      <c r="C2741" s="55"/>
      <c r="D2741" s="193"/>
      <c r="E2741" s="201"/>
      <c r="F2741" s="202"/>
      <c r="G2741" s="194"/>
      <c r="H2741" s="198"/>
      <c r="I2741" s="196"/>
      <c r="J2741" s="179" t="str">
        <f>IF(A2741="RAPPI",(VLOOKUP(TRIM(D2741), CATALOGO!F:G, 2, FALSE) * C2741)+I2741,IFERROR(IF(COUNTIF('RESTAURANTESDESCUENTOS 2026'!A:A,TRIM(A2741))&gt;0,((VLOOKUP(TRIM(D2741), CATALOGO!A:B, 2, FALSE) * C2741)*(1-VALUE(SUBSTITUTE(VLOOKUP(TRIM(A2741),'RESTAURANTESDESCUENTOS 2026'!A:B,2,FALSE),"%",""))/100)+I2741),(VLOOKUP(TRIM(D2741), CATALOGO!A:B, 2, FALSE) * C2741+I2741)),""))</f>
        <v/>
      </c>
      <c r="K2741" s="196"/>
      <c r="L2741" s="87"/>
      <c r="M2741" s="245"/>
      <c r="N2741" s="168"/>
    </row>
    <row r="2742" ht="22.5" hidden="1" customHeight="1">
      <c r="A2742" s="137"/>
      <c r="B2742" s="90"/>
      <c r="C2742" s="55"/>
      <c r="D2742" s="193"/>
      <c r="E2742" s="201"/>
      <c r="F2742" s="202"/>
      <c r="G2742" s="194"/>
      <c r="H2742" s="198"/>
      <c r="I2742" s="196"/>
      <c r="J2742" s="179" t="str">
        <f>IF(A2742="RAPPI",(VLOOKUP(TRIM(D2742), CATALOGO!F:G, 2, FALSE) * C2742)+I2742,IFERROR(IF(COUNTIF('RESTAURANTESDESCUENTOS 2026'!A:A,TRIM(A2742))&gt;0,((VLOOKUP(TRIM(D2742), CATALOGO!A:B, 2, FALSE) * C2742)*(1-VALUE(SUBSTITUTE(VLOOKUP(TRIM(A2742),'RESTAURANTESDESCUENTOS 2026'!A:B,2,FALSE),"%",""))/100)+I2742),(VLOOKUP(TRIM(D2742), CATALOGO!A:B, 2, FALSE) * C2742+I2742)),""))</f>
        <v/>
      </c>
      <c r="K2742" s="196"/>
      <c r="L2742" s="87"/>
      <c r="M2742" s="245"/>
      <c r="N2742" s="168"/>
    </row>
    <row r="2743" ht="22.5" hidden="1" customHeight="1">
      <c r="A2743" s="137"/>
      <c r="B2743" s="90"/>
      <c r="C2743" s="55"/>
      <c r="D2743" s="193"/>
      <c r="E2743" s="201"/>
      <c r="F2743" s="202"/>
      <c r="G2743" s="194"/>
      <c r="H2743" s="198"/>
      <c r="I2743" s="196"/>
      <c r="J2743" s="179" t="str">
        <f>IF(A2743="RAPPI",(VLOOKUP(TRIM(D2743), CATALOGO!F:G, 2, FALSE) * C2743)+I2743,IFERROR(IF(COUNTIF('RESTAURANTESDESCUENTOS 2026'!A:A,TRIM(A2743))&gt;0,((VLOOKUP(TRIM(D2743), CATALOGO!A:B, 2, FALSE) * C2743)*(1-VALUE(SUBSTITUTE(VLOOKUP(TRIM(A2743),'RESTAURANTESDESCUENTOS 2026'!A:B,2,FALSE),"%",""))/100)+I2743),(VLOOKUP(TRIM(D2743), CATALOGO!A:B, 2, FALSE) * C2743+I2743)),""))</f>
        <v/>
      </c>
      <c r="K2743" s="196"/>
      <c r="L2743" s="87"/>
      <c r="M2743" s="245"/>
      <c r="N2743" s="168"/>
    </row>
    <row r="2744" ht="22.5" hidden="1" customHeight="1">
      <c r="A2744" s="137"/>
      <c r="B2744" s="90"/>
      <c r="C2744" s="55"/>
      <c r="D2744" s="193"/>
      <c r="E2744" s="201"/>
      <c r="F2744" s="202"/>
      <c r="G2744" s="194"/>
      <c r="H2744" s="198"/>
      <c r="I2744" s="196"/>
      <c r="J2744" s="179" t="str">
        <f>IF(A2744="RAPPI",(VLOOKUP(TRIM(D2744), CATALOGO!F:G, 2, FALSE) * C2744)+I2744,IFERROR(IF(COUNTIF('RESTAURANTESDESCUENTOS 2026'!A:A,TRIM(A2744))&gt;0,((VLOOKUP(TRIM(D2744), CATALOGO!A:B, 2, FALSE) * C2744)*(1-VALUE(SUBSTITUTE(VLOOKUP(TRIM(A2744),'RESTAURANTESDESCUENTOS 2026'!A:B,2,FALSE),"%",""))/100)+I2744),(VLOOKUP(TRIM(D2744), CATALOGO!A:B, 2, FALSE) * C2744+I2744)),""))</f>
        <v/>
      </c>
      <c r="K2744" s="196"/>
      <c r="L2744" s="87"/>
      <c r="M2744" s="245"/>
      <c r="N2744" s="168"/>
    </row>
    <row r="2745" ht="22.5" hidden="1" customHeight="1">
      <c r="A2745" s="137"/>
      <c r="B2745" s="90"/>
      <c r="C2745" s="55"/>
      <c r="D2745" s="193"/>
      <c r="E2745" s="201"/>
      <c r="F2745" s="202"/>
      <c r="G2745" s="194"/>
      <c r="H2745" s="198"/>
      <c r="I2745" s="196"/>
      <c r="J2745" s="179" t="str">
        <f>IF(A2745="RAPPI",(VLOOKUP(TRIM(D2745), CATALOGO!F:G, 2, FALSE) * C2745)+I2745,IFERROR(IF(COUNTIF('RESTAURANTESDESCUENTOS 2026'!A:A,TRIM(A2745))&gt;0,((VLOOKUP(TRIM(D2745), CATALOGO!A:B, 2, FALSE) * C2745)*(1-VALUE(SUBSTITUTE(VLOOKUP(TRIM(A2745),'RESTAURANTESDESCUENTOS 2026'!A:B,2,FALSE),"%",""))/100)+I2745),(VLOOKUP(TRIM(D2745), CATALOGO!A:B, 2, FALSE) * C2745+I2745)),""))</f>
        <v/>
      </c>
      <c r="K2745" s="196"/>
      <c r="L2745" s="87"/>
      <c r="M2745" s="245"/>
      <c r="N2745" s="168"/>
    </row>
    <row r="2746" ht="22.5" hidden="1" customHeight="1">
      <c r="A2746" s="137"/>
      <c r="B2746" s="90"/>
      <c r="C2746" s="55"/>
      <c r="D2746" s="193"/>
      <c r="E2746" s="201"/>
      <c r="F2746" s="202"/>
      <c r="G2746" s="194"/>
      <c r="H2746" s="198"/>
      <c r="I2746" s="196"/>
      <c r="J2746" s="179" t="str">
        <f>IF(A2746="RAPPI",(VLOOKUP(TRIM(D2746), CATALOGO!F:G, 2, FALSE) * C2746)+I2746,IFERROR(IF(COUNTIF('RESTAURANTESDESCUENTOS 2026'!A:A,TRIM(A2746))&gt;0,((VLOOKUP(TRIM(D2746), CATALOGO!A:B, 2, FALSE) * C2746)*(1-VALUE(SUBSTITUTE(VLOOKUP(TRIM(A2746),'RESTAURANTESDESCUENTOS 2026'!A:B,2,FALSE),"%",""))/100)+I2746),(VLOOKUP(TRIM(D2746), CATALOGO!A:B, 2, FALSE) * C2746+I2746)),""))</f>
        <v/>
      </c>
      <c r="K2746" s="196"/>
      <c r="L2746" s="87"/>
      <c r="M2746" s="245"/>
      <c r="N2746" s="168"/>
    </row>
    <row r="2747" ht="22.5" hidden="1" customHeight="1">
      <c r="A2747" s="137"/>
      <c r="B2747" s="90"/>
      <c r="C2747" s="55"/>
      <c r="D2747" s="193"/>
      <c r="E2747" s="201"/>
      <c r="F2747" s="202"/>
      <c r="G2747" s="194"/>
      <c r="H2747" s="198"/>
      <c r="I2747" s="196"/>
      <c r="J2747" s="179" t="str">
        <f>IF(A2747="RAPPI",(VLOOKUP(TRIM(D2747), CATALOGO!F:G, 2, FALSE) * C2747)+I2747,IFERROR(IF(COUNTIF('RESTAURANTESDESCUENTOS 2026'!A:A,TRIM(A2747))&gt;0,((VLOOKUP(TRIM(D2747), CATALOGO!A:B, 2, FALSE) * C2747)*(1-VALUE(SUBSTITUTE(VLOOKUP(TRIM(A2747),'RESTAURANTESDESCUENTOS 2026'!A:B,2,FALSE),"%",""))/100)+I2747),(VLOOKUP(TRIM(D2747), CATALOGO!A:B, 2, FALSE) * C2747+I2747)),""))</f>
        <v/>
      </c>
      <c r="K2747" s="196"/>
      <c r="L2747" s="87"/>
      <c r="M2747" s="245"/>
      <c r="N2747" s="168"/>
    </row>
    <row r="2748" ht="22.5" hidden="1" customHeight="1">
      <c r="A2748" s="137"/>
      <c r="B2748" s="90"/>
      <c r="C2748" s="55"/>
      <c r="D2748" s="193"/>
      <c r="E2748" s="201"/>
      <c r="F2748" s="202"/>
      <c r="G2748" s="194"/>
      <c r="H2748" s="198"/>
      <c r="I2748" s="196"/>
      <c r="J2748" s="179" t="str">
        <f>IF(A2748="RAPPI",(VLOOKUP(TRIM(D2748), CATALOGO!F:G, 2, FALSE) * C2748)+I2748,IFERROR(IF(COUNTIF('RESTAURANTESDESCUENTOS 2026'!A:A,TRIM(A2748))&gt;0,((VLOOKUP(TRIM(D2748), CATALOGO!A:B, 2, FALSE) * C2748)*(1-VALUE(SUBSTITUTE(VLOOKUP(TRIM(A2748),'RESTAURANTESDESCUENTOS 2026'!A:B,2,FALSE),"%",""))/100)+I2748),(VLOOKUP(TRIM(D2748), CATALOGO!A:B, 2, FALSE) * C2748+I2748)),""))</f>
        <v/>
      </c>
      <c r="K2748" s="196"/>
      <c r="L2748" s="87"/>
      <c r="M2748" s="245"/>
      <c r="N2748" s="168"/>
    </row>
    <row r="2749" ht="22.5" hidden="1" customHeight="1">
      <c r="A2749" s="137"/>
      <c r="B2749" s="90"/>
      <c r="C2749" s="55"/>
      <c r="D2749" s="193"/>
      <c r="E2749" s="201"/>
      <c r="F2749" s="202"/>
      <c r="G2749" s="194"/>
      <c r="H2749" s="198"/>
      <c r="I2749" s="196"/>
      <c r="J2749" s="179" t="str">
        <f>IF(A2749="RAPPI",(VLOOKUP(TRIM(D2749), CATALOGO!F:G, 2, FALSE) * C2749)+I2749,IFERROR(IF(COUNTIF('RESTAURANTESDESCUENTOS 2026'!A:A,TRIM(A2749))&gt;0,((VLOOKUP(TRIM(D2749), CATALOGO!A:B, 2, FALSE) * C2749)*(1-VALUE(SUBSTITUTE(VLOOKUP(TRIM(A2749),'RESTAURANTESDESCUENTOS 2026'!A:B,2,FALSE),"%",""))/100)+I2749),(VLOOKUP(TRIM(D2749), CATALOGO!A:B, 2, FALSE) * C2749+I2749)),""))</f>
        <v/>
      </c>
      <c r="K2749" s="196"/>
      <c r="L2749" s="87"/>
      <c r="M2749" s="245"/>
      <c r="N2749" s="168"/>
    </row>
    <row r="2750" ht="22.5" hidden="1" customHeight="1">
      <c r="A2750" s="137"/>
      <c r="B2750" s="90"/>
      <c r="C2750" s="55"/>
      <c r="D2750" s="193"/>
      <c r="E2750" s="201"/>
      <c r="F2750" s="202"/>
      <c r="G2750" s="194"/>
      <c r="H2750" s="198"/>
      <c r="I2750" s="196"/>
      <c r="J2750" s="179" t="str">
        <f>IF(A2750="RAPPI",(VLOOKUP(TRIM(D2750), CATALOGO!F:G, 2, FALSE) * C2750)+I2750,IFERROR(IF(COUNTIF('RESTAURANTESDESCUENTOS 2026'!A:A,TRIM(A2750))&gt;0,((VLOOKUP(TRIM(D2750), CATALOGO!A:B, 2, FALSE) * C2750)*(1-VALUE(SUBSTITUTE(VLOOKUP(TRIM(A2750),'RESTAURANTESDESCUENTOS 2026'!A:B,2,FALSE),"%",""))/100)+I2750),(VLOOKUP(TRIM(D2750), CATALOGO!A:B, 2, FALSE) * C2750+I2750)),""))</f>
        <v/>
      </c>
      <c r="K2750" s="196"/>
      <c r="L2750" s="87"/>
      <c r="M2750" s="245"/>
      <c r="N2750" s="168"/>
    </row>
    <row r="2751" ht="22.5" hidden="1" customHeight="1">
      <c r="A2751" s="137"/>
      <c r="B2751" s="90"/>
      <c r="C2751" s="55"/>
      <c r="D2751" s="193"/>
      <c r="E2751" s="201"/>
      <c r="F2751" s="202"/>
      <c r="G2751" s="194"/>
      <c r="H2751" s="198"/>
      <c r="I2751" s="196"/>
      <c r="J2751" s="179" t="str">
        <f>IF(A2751="RAPPI",(VLOOKUP(TRIM(D2751), CATALOGO!F:G, 2, FALSE) * C2751)+I2751,IFERROR(IF(COUNTIF('RESTAURANTESDESCUENTOS 2026'!A:A,TRIM(A2751))&gt;0,((VLOOKUP(TRIM(D2751), CATALOGO!A:B, 2, FALSE) * C2751)*(1-VALUE(SUBSTITUTE(VLOOKUP(TRIM(A2751),'RESTAURANTESDESCUENTOS 2026'!A:B,2,FALSE),"%",""))/100)+I2751),(VLOOKUP(TRIM(D2751), CATALOGO!A:B, 2, FALSE) * C2751+I2751)),""))</f>
        <v/>
      </c>
      <c r="K2751" s="196"/>
      <c r="L2751" s="87"/>
      <c r="M2751" s="245"/>
      <c r="N2751" s="168"/>
    </row>
    <row r="2752" ht="22.5" hidden="1" customHeight="1">
      <c r="A2752" s="137"/>
      <c r="B2752" s="90"/>
      <c r="C2752" s="55"/>
      <c r="D2752" s="193"/>
      <c r="E2752" s="201"/>
      <c r="F2752" s="202"/>
      <c r="G2752" s="194"/>
      <c r="H2752" s="198"/>
      <c r="I2752" s="196"/>
      <c r="J2752" s="179" t="str">
        <f>IF(A2752="RAPPI",(VLOOKUP(TRIM(D2752), CATALOGO!F:G, 2, FALSE) * C2752)+I2752,IFERROR(IF(COUNTIF('RESTAURANTESDESCUENTOS 2026'!A:A,TRIM(A2752))&gt;0,((VLOOKUP(TRIM(D2752), CATALOGO!A:B, 2, FALSE) * C2752)*(1-VALUE(SUBSTITUTE(VLOOKUP(TRIM(A2752),'RESTAURANTESDESCUENTOS 2026'!A:B,2,FALSE),"%",""))/100)+I2752),(VLOOKUP(TRIM(D2752), CATALOGO!A:B, 2, FALSE) * C2752+I2752)),""))</f>
        <v/>
      </c>
      <c r="K2752" s="196"/>
      <c r="L2752" s="87"/>
      <c r="M2752" s="245"/>
      <c r="N2752" s="168"/>
    </row>
    <row r="2753" ht="22.5" hidden="1" customHeight="1">
      <c r="A2753" s="137"/>
      <c r="B2753" s="90"/>
      <c r="C2753" s="55"/>
      <c r="D2753" s="193"/>
      <c r="E2753" s="201"/>
      <c r="F2753" s="202"/>
      <c r="G2753" s="194"/>
      <c r="H2753" s="198"/>
      <c r="I2753" s="196"/>
      <c r="J2753" s="179" t="str">
        <f>IF(A2753="RAPPI",(VLOOKUP(TRIM(D2753), CATALOGO!F:G, 2, FALSE) * C2753)+I2753,IFERROR(IF(COUNTIF('RESTAURANTESDESCUENTOS 2026'!A:A,TRIM(A2753))&gt;0,((VLOOKUP(TRIM(D2753), CATALOGO!A:B, 2, FALSE) * C2753)*(1-VALUE(SUBSTITUTE(VLOOKUP(TRIM(A2753),'RESTAURANTESDESCUENTOS 2026'!A:B,2,FALSE),"%",""))/100)+I2753),(VLOOKUP(TRIM(D2753), CATALOGO!A:B, 2, FALSE) * C2753+I2753)),""))</f>
        <v/>
      </c>
      <c r="K2753" s="196"/>
      <c r="L2753" s="87"/>
      <c r="M2753" s="245"/>
      <c r="N2753" s="168"/>
    </row>
    <row r="2754" ht="22.5" hidden="1" customHeight="1">
      <c r="A2754" s="137"/>
      <c r="B2754" s="90"/>
      <c r="C2754" s="55"/>
      <c r="D2754" s="193"/>
      <c r="E2754" s="201"/>
      <c r="F2754" s="202"/>
      <c r="G2754" s="194"/>
      <c r="H2754" s="198"/>
      <c r="I2754" s="196"/>
      <c r="J2754" s="179" t="str">
        <f>IF(A2754="RAPPI",(VLOOKUP(TRIM(D2754), CATALOGO!F:G, 2, FALSE) * C2754)+I2754,IFERROR(IF(COUNTIF('RESTAURANTESDESCUENTOS 2026'!A:A,TRIM(A2754))&gt;0,((VLOOKUP(TRIM(D2754), CATALOGO!A:B, 2, FALSE) * C2754)*(1-VALUE(SUBSTITUTE(VLOOKUP(TRIM(A2754),'RESTAURANTESDESCUENTOS 2026'!A:B,2,FALSE),"%",""))/100)+I2754),(VLOOKUP(TRIM(D2754), CATALOGO!A:B, 2, FALSE) * C2754+I2754)),""))</f>
        <v/>
      </c>
      <c r="K2754" s="196"/>
      <c r="L2754" s="87"/>
      <c r="M2754" s="245"/>
      <c r="N2754" s="168"/>
    </row>
    <row r="2755" ht="22.5" hidden="1" customHeight="1">
      <c r="A2755" s="137"/>
      <c r="B2755" s="90"/>
      <c r="C2755" s="55"/>
      <c r="D2755" s="193"/>
      <c r="E2755" s="201"/>
      <c r="F2755" s="202"/>
      <c r="G2755" s="194"/>
      <c r="H2755" s="198"/>
      <c r="I2755" s="196"/>
      <c r="J2755" s="179" t="str">
        <f>IF(A2755="RAPPI",(VLOOKUP(TRIM(D2755), CATALOGO!F:G, 2, FALSE) * C2755)+I2755,IFERROR(IF(COUNTIF('RESTAURANTESDESCUENTOS 2026'!A:A,TRIM(A2755))&gt;0,((VLOOKUP(TRIM(D2755), CATALOGO!A:B, 2, FALSE) * C2755)*(1-VALUE(SUBSTITUTE(VLOOKUP(TRIM(A2755),'RESTAURANTESDESCUENTOS 2026'!A:B,2,FALSE),"%",""))/100)+I2755),(VLOOKUP(TRIM(D2755), CATALOGO!A:B, 2, FALSE) * C2755+I2755)),""))</f>
        <v/>
      </c>
      <c r="K2755" s="196"/>
      <c r="L2755" s="87"/>
      <c r="M2755" s="245"/>
      <c r="N2755" s="168"/>
    </row>
    <row r="2756" ht="22.5" hidden="1" customHeight="1">
      <c r="A2756" s="137"/>
      <c r="B2756" s="90"/>
      <c r="C2756" s="55"/>
      <c r="D2756" s="193"/>
      <c r="E2756" s="201"/>
      <c r="F2756" s="202"/>
      <c r="G2756" s="194"/>
      <c r="H2756" s="198"/>
      <c r="I2756" s="196"/>
      <c r="J2756" s="179" t="str">
        <f>IF(A2756="RAPPI",(VLOOKUP(TRIM(D2756), CATALOGO!F:G, 2, FALSE) * C2756)+I2756,IFERROR(IF(COUNTIF('RESTAURANTESDESCUENTOS 2026'!A:A,TRIM(A2756))&gt;0,((VLOOKUP(TRIM(D2756), CATALOGO!A:B, 2, FALSE) * C2756)*(1-VALUE(SUBSTITUTE(VLOOKUP(TRIM(A2756),'RESTAURANTESDESCUENTOS 2026'!A:B,2,FALSE),"%",""))/100)+I2756),(VLOOKUP(TRIM(D2756), CATALOGO!A:B, 2, FALSE) * C2756+I2756)),""))</f>
        <v/>
      </c>
      <c r="K2756" s="196"/>
      <c r="L2756" s="87"/>
      <c r="M2756" s="245"/>
      <c r="N2756" s="168"/>
    </row>
    <row r="2757" ht="22.5" hidden="1" customHeight="1">
      <c r="A2757" s="137"/>
      <c r="B2757" s="90"/>
      <c r="C2757" s="55"/>
      <c r="D2757" s="193"/>
      <c r="E2757" s="201"/>
      <c r="F2757" s="202"/>
      <c r="G2757" s="194"/>
      <c r="H2757" s="198"/>
      <c r="I2757" s="196"/>
      <c r="J2757" s="179" t="str">
        <f>IF(A2757="RAPPI",(VLOOKUP(TRIM(D2757), CATALOGO!F:G, 2, FALSE) * C2757)+I2757,IFERROR(IF(COUNTIF('RESTAURANTESDESCUENTOS 2026'!A:A,TRIM(A2757))&gt;0,((VLOOKUP(TRIM(D2757), CATALOGO!A:B, 2, FALSE) * C2757)*(1-VALUE(SUBSTITUTE(VLOOKUP(TRIM(A2757),'RESTAURANTESDESCUENTOS 2026'!A:B,2,FALSE),"%",""))/100)+I2757),(VLOOKUP(TRIM(D2757), CATALOGO!A:B, 2, FALSE) * C2757+I2757)),""))</f>
        <v/>
      </c>
      <c r="K2757" s="196"/>
      <c r="L2757" s="87"/>
      <c r="M2757" s="245"/>
      <c r="N2757" s="168"/>
    </row>
    <row r="2758" ht="22.5" hidden="1" customHeight="1">
      <c r="A2758" s="137"/>
      <c r="B2758" s="90"/>
      <c r="C2758" s="55"/>
      <c r="D2758" s="193"/>
      <c r="E2758" s="201"/>
      <c r="F2758" s="202"/>
      <c r="G2758" s="194"/>
      <c r="H2758" s="198"/>
      <c r="I2758" s="196"/>
      <c r="J2758" s="179" t="str">
        <f>IF(A2758="RAPPI",(VLOOKUP(TRIM(D2758), CATALOGO!F:G, 2, FALSE) * C2758)+I2758,IFERROR(IF(COUNTIF('RESTAURANTESDESCUENTOS 2026'!A:A,TRIM(A2758))&gt;0,((VLOOKUP(TRIM(D2758), CATALOGO!A:B, 2, FALSE) * C2758)*(1-VALUE(SUBSTITUTE(VLOOKUP(TRIM(A2758),'RESTAURANTESDESCUENTOS 2026'!A:B,2,FALSE),"%",""))/100)+I2758),(VLOOKUP(TRIM(D2758), CATALOGO!A:B, 2, FALSE) * C2758+I2758)),""))</f>
        <v/>
      </c>
      <c r="K2758" s="196"/>
      <c r="L2758" s="87"/>
      <c r="M2758" s="245"/>
      <c r="N2758" s="168"/>
    </row>
    <row r="2759" ht="22.5" hidden="1" customHeight="1">
      <c r="A2759" s="137"/>
      <c r="B2759" s="90"/>
      <c r="C2759" s="55"/>
      <c r="D2759" s="193"/>
      <c r="E2759" s="201"/>
      <c r="F2759" s="202"/>
      <c r="G2759" s="194"/>
      <c r="H2759" s="198"/>
      <c r="I2759" s="196"/>
      <c r="J2759" s="179" t="str">
        <f>IF(A2759="RAPPI",(VLOOKUP(TRIM(D2759), CATALOGO!F:G, 2, FALSE) * C2759)+I2759,IFERROR(IF(COUNTIF('RESTAURANTESDESCUENTOS 2026'!A:A,TRIM(A2759))&gt;0,((VLOOKUP(TRIM(D2759), CATALOGO!A:B, 2, FALSE) * C2759)*(1-VALUE(SUBSTITUTE(VLOOKUP(TRIM(A2759),'RESTAURANTESDESCUENTOS 2026'!A:B,2,FALSE),"%",""))/100)+I2759),(VLOOKUP(TRIM(D2759), CATALOGO!A:B, 2, FALSE) * C2759+I2759)),""))</f>
        <v/>
      </c>
      <c r="K2759" s="196"/>
      <c r="L2759" s="87"/>
      <c r="M2759" s="245"/>
      <c r="N2759" s="168"/>
    </row>
    <row r="2760" ht="22.5" hidden="1" customHeight="1">
      <c r="A2760" s="137"/>
      <c r="B2760" s="90"/>
      <c r="C2760" s="55"/>
      <c r="D2760" s="193"/>
      <c r="E2760" s="201"/>
      <c r="F2760" s="202"/>
      <c r="G2760" s="194"/>
      <c r="H2760" s="198"/>
      <c r="I2760" s="196"/>
      <c r="J2760" s="179" t="str">
        <f>IF(A2760="RAPPI",(VLOOKUP(TRIM(D2760), CATALOGO!F:G, 2, FALSE) * C2760)+I2760,IFERROR(IF(COUNTIF('RESTAURANTESDESCUENTOS 2026'!A:A,TRIM(A2760))&gt;0,((VLOOKUP(TRIM(D2760), CATALOGO!A:B, 2, FALSE) * C2760)*(1-VALUE(SUBSTITUTE(VLOOKUP(TRIM(A2760),'RESTAURANTESDESCUENTOS 2026'!A:B,2,FALSE),"%",""))/100)+I2760),(VLOOKUP(TRIM(D2760), CATALOGO!A:B, 2, FALSE) * C2760+I2760)),""))</f>
        <v/>
      </c>
      <c r="K2760" s="196"/>
      <c r="L2760" s="87"/>
      <c r="M2760" s="245"/>
      <c r="N2760" s="168"/>
    </row>
    <row r="2761" ht="22.5" hidden="1" customHeight="1">
      <c r="A2761" s="137"/>
      <c r="B2761" s="90"/>
      <c r="C2761" s="55"/>
      <c r="D2761" s="193"/>
      <c r="E2761" s="201"/>
      <c r="F2761" s="202"/>
      <c r="G2761" s="194"/>
      <c r="H2761" s="198"/>
      <c r="I2761" s="196"/>
      <c r="J2761" s="179" t="str">
        <f>IF(A2761="RAPPI",(VLOOKUP(TRIM(D2761), CATALOGO!F:G, 2, FALSE) * C2761)+I2761,IFERROR(IF(COUNTIF('RESTAURANTESDESCUENTOS 2026'!A:A,TRIM(A2761))&gt;0,((VLOOKUP(TRIM(D2761), CATALOGO!A:B, 2, FALSE) * C2761)*(1-VALUE(SUBSTITUTE(VLOOKUP(TRIM(A2761),'RESTAURANTESDESCUENTOS 2026'!A:B,2,FALSE),"%",""))/100)+I2761),(VLOOKUP(TRIM(D2761), CATALOGO!A:B, 2, FALSE) * C2761+I2761)),""))</f>
        <v/>
      </c>
      <c r="K2761" s="196"/>
      <c r="L2761" s="87"/>
      <c r="M2761" s="245"/>
      <c r="N2761" s="168"/>
    </row>
    <row r="2762" ht="22.5" hidden="1" customHeight="1">
      <c r="A2762" s="137"/>
      <c r="B2762" s="90"/>
      <c r="C2762" s="55"/>
      <c r="D2762" s="193"/>
      <c r="E2762" s="201"/>
      <c r="F2762" s="202"/>
      <c r="G2762" s="194"/>
      <c r="H2762" s="198"/>
      <c r="I2762" s="196"/>
      <c r="J2762" s="179" t="str">
        <f>IF(A2762="RAPPI",(VLOOKUP(TRIM(D2762), CATALOGO!F:G, 2, FALSE) * C2762)+I2762,IFERROR(IF(COUNTIF('RESTAURANTESDESCUENTOS 2026'!A:A,TRIM(A2762))&gt;0,((VLOOKUP(TRIM(D2762), CATALOGO!A:B, 2, FALSE) * C2762)*(1-VALUE(SUBSTITUTE(VLOOKUP(TRIM(A2762),'RESTAURANTESDESCUENTOS 2026'!A:B,2,FALSE),"%",""))/100)+I2762),(VLOOKUP(TRIM(D2762), CATALOGO!A:B, 2, FALSE) * C2762+I2762)),""))</f>
        <v/>
      </c>
      <c r="K2762" s="196"/>
      <c r="L2762" s="87"/>
      <c r="M2762" s="245"/>
      <c r="N2762" s="168"/>
    </row>
    <row r="2763" ht="22.5" hidden="1" customHeight="1">
      <c r="A2763" s="137"/>
      <c r="B2763" s="90"/>
      <c r="C2763" s="55"/>
      <c r="D2763" s="193"/>
      <c r="E2763" s="201"/>
      <c r="F2763" s="202"/>
      <c r="G2763" s="194"/>
      <c r="H2763" s="198"/>
      <c r="I2763" s="196"/>
      <c r="J2763" s="179" t="str">
        <f>IF(A2763="RAPPI",(VLOOKUP(TRIM(D2763), CATALOGO!F:G, 2, FALSE) * C2763)+I2763,IFERROR(IF(COUNTIF('RESTAURANTESDESCUENTOS 2026'!A:A,TRIM(A2763))&gt;0,((VLOOKUP(TRIM(D2763), CATALOGO!A:B, 2, FALSE) * C2763)*(1-VALUE(SUBSTITUTE(VLOOKUP(TRIM(A2763),'RESTAURANTESDESCUENTOS 2026'!A:B,2,FALSE),"%",""))/100)+I2763),(VLOOKUP(TRIM(D2763), CATALOGO!A:B, 2, FALSE) * C2763+I2763)),""))</f>
        <v/>
      </c>
      <c r="K2763" s="196"/>
      <c r="L2763" s="87"/>
      <c r="M2763" s="245"/>
      <c r="N2763" s="168"/>
    </row>
    <row r="2764" ht="22.5" hidden="1" customHeight="1">
      <c r="A2764" s="137"/>
      <c r="B2764" s="90"/>
      <c r="C2764" s="55"/>
      <c r="D2764" s="193"/>
      <c r="E2764" s="201"/>
      <c r="F2764" s="202"/>
      <c r="G2764" s="194"/>
      <c r="H2764" s="198"/>
      <c r="I2764" s="196"/>
      <c r="J2764" s="179" t="str">
        <f>IF(A2764="RAPPI",(VLOOKUP(TRIM(D2764), CATALOGO!F:G, 2, FALSE) * C2764)+I2764,IFERROR(IF(COUNTIF('RESTAURANTESDESCUENTOS 2026'!A:A,TRIM(A2764))&gt;0,((VLOOKUP(TRIM(D2764), CATALOGO!A:B, 2, FALSE) * C2764)*(1-VALUE(SUBSTITUTE(VLOOKUP(TRIM(A2764),'RESTAURANTESDESCUENTOS 2026'!A:B,2,FALSE),"%",""))/100)+I2764),(VLOOKUP(TRIM(D2764), CATALOGO!A:B, 2, FALSE) * C2764+I2764)),""))</f>
        <v/>
      </c>
      <c r="K2764" s="196"/>
      <c r="L2764" s="87"/>
      <c r="M2764" s="245"/>
      <c r="N2764" s="168"/>
    </row>
    <row r="2765" ht="22.5" hidden="1" customHeight="1">
      <c r="A2765" s="137"/>
      <c r="B2765" s="90"/>
      <c r="C2765" s="55"/>
      <c r="D2765" s="193"/>
      <c r="E2765" s="201"/>
      <c r="F2765" s="202"/>
      <c r="G2765" s="194"/>
      <c r="H2765" s="198"/>
      <c r="I2765" s="196"/>
      <c r="J2765" s="179" t="str">
        <f>IF(A2765="RAPPI",(VLOOKUP(TRIM(D2765), CATALOGO!F:G, 2, FALSE) * C2765)+I2765,IFERROR(IF(COUNTIF('RESTAURANTESDESCUENTOS 2026'!A:A,TRIM(A2765))&gt;0,((VLOOKUP(TRIM(D2765), CATALOGO!A:B, 2, FALSE) * C2765)*(1-VALUE(SUBSTITUTE(VLOOKUP(TRIM(A2765),'RESTAURANTESDESCUENTOS 2026'!A:B,2,FALSE),"%",""))/100)+I2765),(VLOOKUP(TRIM(D2765), CATALOGO!A:B, 2, FALSE) * C2765+I2765)),""))</f>
        <v/>
      </c>
      <c r="K2765" s="196"/>
      <c r="L2765" s="87"/>
      <c r="M2765" s="245"/>
      <c r="N2765" s="168"/>
    </row>
    <row r="2766" ht="22.5" hidden="1" customHeight="1">
      <c r="A2766" s="137"/>
      <c r="B2766" s="90"/>
      <c r="C2766" s="55"/>
      <c r="D2766" s="193"/>
      <c r="E2766" s="201"/>
      <c r="F2766" s="202"/>
      <c r="G2766" s="194"/>
      <c r="H2766" s="198"/>
      <c r="I2766" s="196"/>
      <c r="J2766" s="179" t="str">
        <f>IF(A2766="RAPPI",(VLOOKUP(TRIM(D2766), CATALOGO!F:G, 2, FALSE) * C2766)+I2766,IFERROR(IF(COUNTIF('RESTAURANTESDESCUENTOS 2026'!A:A,TRIM(A2766))&gt;0,((VLOOKUP(TRIM(D2766), CATALOGO!A:B, 2, FALSE) * C2766)*(1-VALUE(SUBSTITUTE(VLOOKUP(TRIM(A2766),'RESTAURANTESDESCUENTOS 2026'!A:B,2,FALSE),"%",""))/100)+I2766),(VLOOKUP(TRIM(D2766), CATALOGO!A:B, 2, FALSE) * C2766+I2766)),""))</f>
        <v/>
      </c>
      <c r="K2766" s="196"/>
      <c r="L2766" s="87"/>
      <c r="M2766" s="245"/>
      <c r="N2766" s="168"/>
    </row>
    <row r="2767" ht="22.5" hidden="1" customHeight="1">
      <c r="A2767" s="137"/>
      <c r="B2767" s="90"/>
      <c r="C2767" s="55"/>
      <c r="D2767" s="193"/>
      <c r="E2767" s="201"/>
      <c r="F2767" s="202"/>
      <c r="G2767" s="194"/>
      <c r="H2767" s="198"/>
      <c r="I2767" s="196"/>
      <c r="J2767" s="179" t="str">
        <f>IF(A2767="RAPPI",(VLOOKUP(TRIM(D2767), CATALOGO!F:G, 2, FALSE) * C2767)+I2767,IFERROR(IF(COUNTIF('RESTAURANTESDESCUENTOS 2026'!A:A,TRIM(A2767))&gt;0,((VLOOKUP(TRIM(D2767), CATALOGO!A:B, 2, FALSE) * C2767)*(1-VALUE(SUBSTITUTE(VLOOKUP(TRIM(A2767),'RESTAURANTESDESCUENTOS 2026'!A:B,2,FALSE),"%",""))/100)+I2767),(VLOOKUP(TRIM(D2767), CATALOGO!A:B, 2, FALSE) * C2767+I2767)),""))</f>
        <v/>
      </c>
      <c r="K2767" s="196"/>
      <c r="L2767" s="87"/>
      <c r="M2767" s="245"/>
      <c r="N2767" s="168"/>
    </row>
    <row r="2768" ht="22.5" hidden="1" customHeight="1">
      <c r="A2768" s="137"/>
      <c r="B2768" s="90"/>
      <c r="C2768" s="55"/>
      <c r="D2768" s="193"/>
      <c r="E2768" s="201"/>
      <c r="F2768" s="202"/>
      <c r="G2768" s="194"/>
      <c r="H2768" s="198"/>
      <c r="I2768" s="196"/>
      <c r="J2768" s="179" t="str">
        <f>IF(A2768="RAPPI",(VLOOKUP(TRIM(D2768), CATALOGO!F:G, 2, FALSE) * C2768)+I2768,IFERROR(IF(COUNTIF('RESTAURANTESDESCUENTOS 2026'!A:A,TRIM(A2768))&gt;0,((VLOOKUP(TRIM(D2768), CATALOGO!A:B, 2, FALSE) * C2768)*(1-VALUE(SUBSTITUTE(VLOOKUP(TRIM(A2768),'RESTAURANTESDESCUENTOS 2026'!A:B,2,FALSE),"%",""))/100)+I2768),(VLOOKUP(TRIM(D2768), CATALOGO!A:B, 2, FALSE) * C2768+I2768)),""))</f>
        <v/>
      </c>
      <c r="K2768" s="196"/>
      <c r="L2768" s="87"/>
      <c r="M2768" s="245"/>
      <c r="N2768" s="168"/>
    </row>
    <row r="2769" ht="22.5" hidden="1" customHeight="1">
      <c r="A2769" s="137"/>
      <c r="B2769" s="90"/>
      <c r="C2769" s="55"/>
      <c r="D2769" s="193"/>
      <c r="E2769" s="201"/>
      <c r="F2769" s="202"/>
      <c r="G2769" s="194"/>
      <c r="H2769" s="198"/>
      <c r="I2769" s="196"/>
      <c r="J2769" s="179" t="str">
        <f>IF(A2769="RAPPI",(VLOOKUP(TRIM(D2769), CATALOGO!F:G, 2, FALSE) * C2769)+I2769,IFERROR(IF(COUNTIF('RESTAURANTESDESCUENTOS 2026'!A:A,TRIM(A2769))&gt;0,((VLOOKUP(TRIM(D2769), CATALOGO!A:B, 2, FALSE) * C2769)*(1-VALUE(SUBSTITUTE(VLOOKUP(TRIM(A2769),'RESTAURANTESDESCUENTOS 2026'!A:B,2,FALSE),"%",""))/100)+I2769),(VLOOKUP(TRIM(D2769), CATALOGO!A:B, 2, FALSE) * C2769+I2769)),""))</f>
        <v/>
      </c>
      <c r="K2769" s="196"/>
      <c r="L2769" s="87"/>
      <c r="M2769" s="245"/>
      <c r="N2769" s="168"/>
    </row>
    <row r="2770" ht="22.5" hidden="1" customHeight="1">
      <c r="A2770" s="137"/>
      <c r="B2770" s="90"/>
      <c r="C2770" s="55"/>
      <c r="D2770" s="193"/>
      <c r="E2770" s="201"/>
      <c r="F2770" s="202"/>
      <c r="G2770" s="194"/>
      <c r="H2770" s="198"/>
      <c r="I2770" s="196"/>
      <c r="J2770" s="179" t="str">
        <f>IF(A2770="RAPPI",(VLOOKUP(TRIM(D2770), CATALOGO!F:G, 2, FALSE) * C2770)+I2770,IFERROR(IF(COUNTIF('RESTAURANTESDESCUENTOS 2026'!A:A,TRIM(A2770))&gt;0,((VLOOKUP(TRIM(D2770), CATALOGO!A:B, 2, FALSE) * C2770)*(1-VALUE(SUBSTITUTE(VLOOKUP(TRIM(A2770),'RESTAURANTESDESCUENTOS 2026'!A:B,2,FALSE),"%",""))/100)+I2770),(VLOOKUP(TRIM(D2770), CATALOGO!A:B, 2, FALSE) * C2770+I2770)),""))</f>
        <v/>
      </c>
      <c r="K2770" s="196"/>
      <c r="L2770" s="87"/>
      <c r="M2770" s="245"/>
      <c r="N2770" s="168"/>
    </row>
    <row r="2771" ht="22.5" hidden="1" customHeight="1">
      <c r="A2771" s="137"/>
      <c r="B2771" s="90"/>
      <c r="C2771" s="55"/>
      <c r="D2771" s="193"/>
      <c r="E2771" s="201"/>
      <c r="F2771" s="202"/>
      <c r="G2771" s="194"/>
      <c r="H2771" s="198"/>
      <c r="I2771" s="196"/>
      <c r="J2771" s="179" t="str">
        <f>IF(A2771="RAPPI",(VLOOKUP(TRIM(D2771), CATALOGO!F:G, 2, FALSE) * C2771)+I2771,IFERROR(IF(COUNTIF('RESTAURANTESDESCUENTOS 2026'!A:A,TRIM(A2771))&gt;0,((VLOOKUP(TRIM(D2771), CATALOGO!A:B, 2, FALSE) * C2771)*(1-VALUE(SUBSTITUTE(VLOOKUP(TRIM(A2771),'RESTAURANTESDESCUENTOS 2026'!A:B,2,FALSE),"%",""))/100)+I2771),(VLOOKUP(TRIM(D2771), CATALOGO!A:B, 2, FALSE) * C2771+I2771)),""))</f>
        <v/>
      </c>
      <c r="K2771" s="196"/>
      <c r="L2771" s="87"/>
      <c r="M2771" s="245"/>
      <c r="N2771" s="168"/>
    </row>
    <row r="2772" ht="22.5" hidden="1" customHeight="1">
      <c r="A2772" s="137"/>
      <c r="B2772" s="90"/>
      <c r="C2772" s="55"/>
      <c r="D2772" s="193"/>
      <c r="E2772" s="201"/>
      <c r="F2772" s="202"/>
      <c r="G2772" s="194"/>
      <c r="H2772" s="198"/>
      <c r="I2772" s="196"/>
      <c r="J2772" s="179" t="str">
        <f>IF(A2772="RAPPI",(VLOOKUP(TRIM(D2772), CATALOGO!F:G, 2, FALSE) * C2772)+I2772,IFERROR(IF(COUNTIF('RESTAURANTESDESCUENTOS 2026'!A:A,TRIM(A2772))&gt;0,((VLOOKUP(TRIM(D2772), CATALOGO!A:B, 2, FALSE) * C2772)*(1-VALUE(SUBSTITUTE(VLOOKUP(TRIM(A2772),'RESTAURANTESDESCUENTOS 2026'!A:B,2,FALSE),"%",""))/100)+I2772),(VLOOKUP(TRIM(D2772), CATALOGO!A:B, 2, FALSE) * C2772+I2772)),""))</f>
        <v/>
      </c>
      <c r="K2772" s="196"/>
      <c r="L2772" s="87"/>
      <c r="M2772" s="245"/>
      <c r="N2772" s="168"/>
    </row>
    <row r="2773" ht="22.5" hidden="1" customHeight="1">
      <c r="A2773" s="137"/>
      <c r="B2773" s="90"/>
      <c r="C2773" s="55"/>
      <c r="D2773" s="193"/>
      <c r="E2773" s="201"/>
      <c r="F2773" s="202"/>
      <c r="G2773" s="194"/>
      <c r="H2773" s="198"/>
      <c r="I2773" s="196"/>
      <c r="J2773" s="179" t="str">
        <f>IF(A2773="RAPPI",(VLOOKUP(TRIM(D2773), CATALOGO!F:G, 2, FALSE) * C2773)+I2773,IFERROR(IF(COUNTIF('RESTAURANTESDESCUENTOS 2026'!A:A,TRIM(A2773))&gt;0,((VLOOKUP(TRIM(D2773), CATALOGO!A:B, 2, FALSE) * C2773)*(1-VALUE(SUBSTITUTE(VLOOKUP(TRIM(A2773),'RESTAURANTESDESCUENTOS 2026'!A:B,2,FALSE),"%",""))/100)+I2773),(VLOOKUP(TRIM(D2773), CATALOGO!A:B, 2, FALSE) * C2773+I2773)),""))</f>
        <v/>
      </c>
      <c r="K2773" s="196"/>
      <c r="L2773" s="87"/>
      <c r="M2773" s="245"/>
      <c r="N2773" s="168"/>
    </row>
    <row r="2774" ht="22.5" hidden="1" customHeight="1">
      <c r="A2774" s="137"/>
      <c r="B2774" s="90"/>
      <c r="C2774" s="55"/>
      <c r="D2774" s="193"/>
      <c r="E2774" s="201"/>
      <c r="F2774" s="202"/>
      <c r="G2774" s="194"/>
      <c r="H2774" s="198"/>
      <c r="I2774" s="196"/>
      <c r="J2774" s="179" t="str">
        <f>IF(A2774="RAPPI",(VLOOKUP(TRIM(D2774), CATALOGO!F:G, 2, FALSE) * C2774)+I2774,IFERROR(IF(COUNTIF('RESTAURANTESDESCUENTOS 2026'!A:A,TRIM(A2774))&gt;0,((VLOOKUP(TRIM(D2774), CATALOGO!A:B, 2, FALSE) * C2774)*(1-VALUE(SUBSTITUTE(VLOOKUP(TRIM(A2774),'RESTAURANTESDESCUENTOS 2026'!A:B,2,FALSE),"%",""))/100)+I2774),(VLOOKUP(TRIM(D2774), CATALOGO!A:B, 2, FALSE) * C2774+I2774)),""))</f>
        <v/>
      </c>
      <c r="K2774" s="196"/>
      <c r="L2774" s="87"/>
      <c r="M2774" s="245"/>
      <c r="N2774" s="168"/>
    </row>
    <row r="2775" ht="22.5" hidden="1" customHeight="1">
      <c r="A2775" s="137"/>
      <c r="B2775" s="90"/>
      <c r="C2775" s="55"/>
      <c r="D2775" s="193"/>
      <c r="E2775" s="201"/>
      <c r="F2775" s="202"/>
      <c r="G2775" s="194"/>
      <c r="H2775" s="198"/>
      <c r="I2775" s="196"/>
      <c r="J2775" s="179" t="str">
        <f>IF(A2775="RAPPI",(VLOOKUP(TRIM(D2775), CATALOGO!F:G, 2, FALSE) * C2775)+I2775,IFERROR(IF(COUNTIF('RESTAURANTESDESCUENTOS 2026'!A:A,TRIM(A2775))&gt;0,((VLOOKUP(TRIM(D2775), CATALOGO!A:B, 2, FALSE) * C2775)*(1-VALUE(SUBSTITUTE(VLOOKUP(TRIM(A2775),'RESTAURANTESDESCUENTOS 2026'!A:B,2,FALSE),"%",""))/100)+I2775),(VLOOKUP(TRIM(D2775), CATALOGO!A:B, 2, FALSE) * C2775+I2775)),""))</f>
        <v/>
      </c>
      <c r="K2775" s="196"/>
      <c r="L2775" s="87"/>
      <c r="M2775" s="245"/>
      <c r="N2775" s="168"/>
    </row>
    <row r="2776" ht="22.5" hidden="1" customHeight="1">
      <c r="A2776" s="137"/>
      <c r="B2776" s="90"/>
      <c r="C2776" s="55"/>
      <c r="D2776" s="193"/>
      <c r="E2776" s="201"/>
      <c r="F2776" s="202"/>
      <c r="G2776" s="194"/>
      <c r="H2776" s="198"/>
      <c r="I2776" s="196"/>
      <c r="J2776" s="179" t="str">
        <f>IF(A2776="RAPPI",(VLOOKUP(TRIM(D2776), CATALOGO!F:G, 2, FALSE) * C2776)+I2776,IFERROR(IF(COUNTIF('RESTAURANTESDESCUENTOS 2026'!A:A,TRIM(A2776))&gt;0,((VLOOKUP(TRIM(D2776), CATALOGO!A:B, 2, FALSE) * C2776)*(1-VALUE(SUBSTITUTE(VLOOKUP(TRIM(A2776),'RESTAURANTESDESCUENTOS 2026'!A:B,2,FALSE),"%",""))/100)+I2776),(VLOOKUP(TRIM(D2776), CATALOGO!A:B, 2, FALSE) * C2776+I2776)),""))</f>
        <v/>
      </c>
      <c r="K2776" s="196"/>
      <c r="L2776" s="87"/>
      <c r="M2776" s="245"/>
      <c r="N2776" s="168"/>
    </row>
    <row r="2777" ht="22.5" hidden="1" customHeight="1">
      <c r="A2777" s="137"/>
      <c r="B2777" s="90"/>
      <c r="C2777" s="55"/>
      <c r="D2777" s="193"/>
      <c r="E2777" s="201"/>
      <c r="F2777" s="202"/>
      <c r="G2777" s="194"/>
      <c r="H2777" s="198"/>
      <c r="I2777" s="196"/>
      <c r="J2777" s="179" t="str">
        <f>IF(A2777="RAPPI",(VLOOKUP(TRIM(D2777), CATALOGO!F:G, 2, FALSE) * C2777)+I2777,IFERROR(IF(COUNTIF('RESTAURANTESDESCUENTOS 2026'!A:A,TRIM(A2777))&gt;0,((VLOOKUP(TRIM(D2777), CATALOGO!A:B, 2, FALSE) * C2777)*(1-VALUE(SUBSTITUTE(VLOOKUP(TRIM(A2777),'RESTAURANTESDESCUENTOS 2026'!A:B,2,FALSE),"%",""))/100)+I2777),(VLOOKUP(TRIM(D2777), CATALOGO!A:B, 2, FALSE) * C2777+I2777)),""))</f>
        <v/>
      </c>
      <c r="K2777" s="196"/>
      <c r="L2777" s="87"/>
      <c r="M2777" s="245"/>
      <c r="N2777" s="168"/>
    </row>
    <row r="2778" ht="22.5" hidden="1" customHeight="1">
      <c r="A2778" s="137"/>
      <c r="B2778" s="90"/>
      <c r="C2778" s="55"/>
      <c r="D2778" s="193"/>
      <c r="E2778" s="201"/>
      <c r="F2778" s="202"/>
      <c r="G2778" s="194"/>
      <c r="H2778" s="198"/>
      <c r="I2778" s="196"/>
      <c r="J2778" s="179" t="str">
        <f>IF(A2778="RAPPI",(VLOOKUP(TRIM(D2778), CATALOGO!F:G, 2, FALSE) * C2778)+I2778,IFERROR(IF(COUNTIF('RESTAURANTESDESCUENTOS 2026'!A:A,TRIM(A2778))&gt;0,((VLOOKUP(TRIM(D2778), CATALOGO!A:B, 2, FALSE) * C2778)*(1-VALUE(SUBSTITUTE(VLOOKUP(TRIM(A2778),'RESTAURANTESDESCUENTOS 2026'!A:B,2,FALSE),"%",""))/100)+I2778),(VLOOKUP(TRIM(D2778), CATALOGO!A:B, 2, FALSE) * C2778+I2778)),""))</f>
        <v/>
      </c>
      <c r="K2778" s="196"/>
      <c r="L2778" s="87"/>
      <c r="M2778" s="245"/>
      <c r="N2778" s="168"/>
    </row>
    <row r="2779" ht="22.5" hidden="1" customHeight="1">
      <c r="A2779" s="137"/>
      <c r="B2779" s="90"/>
      <c r="C2779" s="55"/>
      <c r="D2779" s="193"/>
      <c r="E2779" s="201"/>
      <c r="F2779" s="202"/>
      <c r="G2779" s="194"/>
      <c r="H2779" s="198"/>
      <c r="I2779" s="196"/>
      <c r="J2779" s="179" t="str">
        <f>IF(A2779="RAPPI",(VLOOKUP(TRIM(D2779), CATALOGO!F:G, 2, FALSE) * C2779)+I2779,IFERROR(IF(COUNTIF('RESTAURANTESDESCUENTOS 2026'!A:A,TRIM(A2779))&gt;0,((VLOOKUP(TRIM(D2779), CATALOGO!A:B, 2, FALSE) * C2779)*(1-VALUE(SUBSTITUTE(VLOOKUP(TRIM(A2779),'RESTAURANTESDESCUENTOS 2026'!A:B,2,FALSE),"%",""))/100)+I2779),(VLOOKUP(TRIM(D2779), CATALOGO!A:B, 2, FALSE) * C2779+I2779)),""))</f>
        <v/>
      </c>
      <c r="K2779" s="196"/>
      <c r="L2779" s="87"/>
      <c r="M2779" s="245"/>
      <c r="N2779" s="168"/>
    </row>
    <row r="2780" ht="22.5" hidden="1" customHeight="1">
      <c r="A2780" s="137"/>
      <c r="B2780" s="90"/>
      <c r="C2780" s="55"/>
      <c r="D2780" s="193"/>
      <c r="E2780" s="201"/>
      <c r="F2780" s="202"/>
      <c r="G2780" s="194"/>
      <c r="H2780" s="198"/>
      <c r="I2780" s="196"/>
      <c r="J2780" s="179" t="str">
        <f>IF(A2780="RAPPI",(VLOOKUP(TRIM(D2780), CATALOGO!F:G, 2, FALSE) * C2780)+I2780,IFERROR(IF(COUNTIF('RESTAURANTESDESCUENTOS 2026'!A:A,TRIM(A2780))&gt;0,((VLOOKUP(TRIM(D2780), CATALOGO!A:B, 2, FALSE) * C2780)*(1-VALUE(SUBSTITUTE(VLOOKUP(TRIM(A2780),'RESTAURANTESDESCUENTOS 2026'!A:B,2,FALSE),"%",""))/100)+I2780),(VLOOKUP(TRIM(D2780), CATALOGO!A:B, 2, FALSE) * C2780+I2780)),""))</f>
        <v/>
      </c>
      <c r="K2780" s="196"/>
      <c r="L2780" s="87"/>
      <c r="M2780" s="245"/>
      <c r="N2780" s="168"/>
    </row>
    <row r="2781" ht="22.5" hidden="1" customHeight="1">
      <c r="A2781" s="137"/>
      <c r="B2781" s="90"/>
      <c r="C2781" s="55"/>
      <c r="D2781" s="193"/>
      <c r="E2781" s="201"/>
      <c r="F2781" s="202"/>
      <c r="G2781" s="194"/>
      <c r="H2781" s="198"/>
      <c r="I2781" s="196"/>
      <c r="J2781" s="179" t="str">
        <f>IF(A2781="RAPPI",(VLOOKUP(TRIM(D2781), CATALOGO!F:G, 2, FALSE) * C2781)+I2781,IFERROR(IF(COUNTIF('RESTAURANTESDESCUENTOS 2026'!A:A,TRIM(A2781))&gt;0,((VLOOKUP(TRIM(D2781), CATALOGO!A:B, 2, FALSE) * C2781)*(1-VALUE(SUBSTITUTE(VLOOKUP(TRIM(A2781),'RESTAURANTESDESCUENTOS 2026'!A:B,2,FALSE),"%",""))/100)+I2781),(VLOOKUP(TRIM(D2781), CATALOGO!A:B, 2, FALSE) * C2781+I2781)),""))</f>
        <v/>
      </c>
      <c r="K2781" s="196"/>
      <c r="L2781" s="87"/>
      <c r="M2781" s="245"/>
      <c r="N2781" s="168"/>
    </row>
    <row r="2782" ht="22.5" hidden="1" customHeight="1">
      <c r="A2782" s="137"/>
      <c r="B2782" s="90"/>
      <c r="C2782" s="55"/>
      <c r="D2782" s="193"/>
      <c r="E2782" s="201"/>
      <c r="F2782" s="202"/>
      <c r="G2782" s="194"/>
      <c r="H2782" s="198"/>
      <c r="I2782" s="196"/>
      <c r="J2782" s="179" t="str">
        <f>IF(A2782="RAPPI",(VLOOKUP(TRIM(D2782), CATALOGO!F:G, 2, FALSE) * C2782)+I2782,IFERROR(IF(COUNTIF('RESTAURANTESDESCUENTOS 2026'!A:A,TRIM(A2782))&gt;0,((VLOOKUP(TRIM(D2782), CATALOGO!A:B, 2, FALSE) * C2782)*(1-VALUE(SUBSTITUTE(VLOOKUP(TRIM(A2782),'RESTAURANTESDESCUENTOS 2026'!A:B,2,FALSE),"%",""))/100)+I2782),(VLOOKUP(TRIM(D2782), CATALOGO!A:B, 2, FALSE) * C2782+I2782)),""))</f>
        <v/>
      </c>
      <c r="K2782" s="196"/>
      <c r="L2782" s="87"/>
      <c r="M2782" s="245"/>
      <c r="N2782" s="168"/>
    </row>
    <row r="2783" ht="22.5" hidden="1" customHeight="1">
      <c r="A2783" s="137"/>
      <c r="B2783" s="90"/>
      <c r="C2783" s="55"/>
      <c r="D2783" s="193"/>
      <c r="E2783" s="201"/>
      <c r="F2783" s="202"/>
      <c r="G2783" s="194"/>
      <c r="H2783" s="198"/>
      <c r="I2783" s="196"/>
      <c r="J2783" s="179" t="str">
        <f>IF(A2783="RAPPI",(VLOOKUP(TRIM(D2783), CATALOGO!F:G, 2, FALSE) * C2783)+I2783,IFERROR(IF(COUNTIF('RESTAURANTESDESCUENTOS 2026'!A:A,TRIM(A2783))&gt;0,((VLOOKUP(TRIM(D2783), CATALOGO!A:B, 2, FALSE) * C2783)*(1-VALUE(SUBSTITUTE(VLOOKUP(TRIM(A2783),'RESTAURANTESDESCUENTOS 2026'!A:B,2,FALSE),"%",""))/100)+I2783),(VLOOKUP(TRIM(D2783), CATALOGO!A:B, 2, FALSE) * C2783+I2783)),""))</f>
        <v/>
      </c>
      <c r="K2783" s="196"/>
      <c r="L2783" s="87"/>
      <c r="M2783" s="245"/>
      <c r="N2783" s="168"/>
    </row>
    <row r="2784" ht="22.5" hidden="1" customHeight="1">
      <c r="A2784" s="137"/>
      <c r="B2784" s="90"/>
      <c r="C2784" s="55"/>
      <c r="D2784" s="193"/>
      <c r="E2784" s="201"/>
      <c r="F2784" s="202"/>
      <c r="G2784" s="194"/>
      <c r="H2784" s="198"/>
      <c r="I2784" s="196"/>
      <c r="J2784" s="179" t="str">
        <f>IF(A2784="RAPPI",(VLOOKUP(TRIM(D2784), CATALOGO!F:G, 2, FALSE) * C2784)+I2784,IFERROR(IF(COUNTIF('RESTAURANTESDESCUENTOS 2026'!A:A,TRIM(A2784))&gt;0,((VLOOKUP(TRIM(D2784), CATALOGO!A:B, 2, FALSE) * C2784)*(1-VALUE(SUBSTITUTE(VLOOKUP(TRIM(A2784),'RESTAURANTESDESCUENTOS 2026'!A:B,2,FALSE),"%",""))/100)+I2784),(VLOOKUP(TRIM(D2784), CATALOGO!A:B, 2, FALSE) * C2784+I2784)),""))</f>
        <v/>
      </c>
      <c r="K2784" s="196"/>
      <c r="L2784" s="87"/>
      <c r="M2784" s="245"/>
      <c r="N2784" s="168"/>
    </row>
    <row r="2785" ht="22.5" hidden="1" customHeight="1">
      <c r="A2785" s="137"/>
      <c r="B2785" s="90"/>
      <c r="C2785" s="55"/>
      <c r="D2785" s="193"/>
      <c r="E2785" s="201"/>
      <c r="F2785" s="202"/>
      <c r="G2785" s="194"/>
      <c r="H2785" s="198"/>
      <c r="I2785" s="196"/>
      <c r="J2785" s="179" t="str">
        <f>IF(A2785="RAPPI",(VLOOKUP(TRIM(D2785), CATALOGO!F:G, 2, FALSE) * C2785)+I2785,IFERROR(IF(COUNTIF('RESTAURANTESDESCUENTOS 2026'!A:A,TRIM(A2785))&gt;0,((VLOOKUP(TRIM(D2785), CATALOGO!A:B, 2, FALSE) * C2785)*(1-VALUE(SUBSTITUTE(VLOOKUP(TRIM(A2785),'RESTAURANTESDESCUENTOS 2026'!A:B,2,FALSE),"%",""))/100)+I2785),(VLOOKUP(TRIM(D2785), CATALOGO!A:B, 2, FALSE) * C2785+I2785)),""))</f>
        <v/>
      </c>
      <c r="K2785" s="196"/>
      <c r="L2785" s="87"/>
      <c r="M2785" s="245"/>
      <c r="N2785" s="168"/>
    </row>
    <row r="2786" ht="22.5" hidden="1" customHeight="1">
      <c r="A2786" s="137"/>
      <c r="B2786" s="90"/>
      <c r="C2786" s="55"/>
      <c r="D2786" s="193"/>
      <c r="E2786" s="201"/>
      <c r="F2786" s="202"/>
      <c r="G2786" s="194"/>
      <c r="H2786" s="198"/>
      <c r="I2786" s="196"/>
      <c r="J2786" s="179" t="str">
        <f>IF(A2786="RAPPI",(VLOOKUP(TRIM(D2786), CATALOGO!F:G, 2, FALSE) * C2786)+I2786,IFERROR(IF(COUNTIF('RESTAURANTESDESCUENTOS 2026'!A:A,TRIM(A2786))&gt;0,((VLOOKUP(TRIM(D2786), CATALOGO!A:B, 2, FALSE) * C2786)*(1-VALUE(SUBSTITUTE(VLOOKUP(TRIM(A2786),'RESTAURANTESDESCUENTOS 2026'!A:B,2,FALSE),"%",""))/100)+I2786),(VLOOKUP(TRIM(D2786), CATALOGO!A:B, 2, FALSE) * C2786+I2786)),""))</f>
        <v/>
      </c>
      <c r="K2786" s="196"/>
      <c r="L2786" s="87"/>
      <c r="M2786" s="245"/>
      <c r="N2786" s="168"/>
    </row>
    <row r="2787" ht="22.5" hidden="1" customHeight="1">
      <c r="A2787" s="137"/>
      <c r="B2787" s="90"/>
      <c r="C2787" s="55"/>
      <c r="D2787" s="193"/>
      <c r="E2787" s="201"/>
      <c r="F2787" s="202"/>
      <c r="G2787" s="194"/>
      <c r="H2787" s="198"/>
      <c r="I2787" s="196"/>
      <c r="J2787" s="179" t="str">
        <f>IF(A2787="RAPPI",(VLOOKUP(TRIM(D2787), CATALOGO!F:G, 2, FALSE) * C2787)+I2787,IFERROR(IF(COUNTIF('RESTAURANTESDESCUENTOS 2026'!A:A,TRIM(A2787))&gt;0,((VLOOKUP(TRIM(D2787), CATALOGO!A:B, 2, FALSE) * C2787)*(1-VALUE(SUBSTITUTE(VLOOKUP(TRIM(A2787),'RESTAURANTESDESCUENTOS 2026'!A:B,2,FALSE),"%",""))/100)+I2787),(VLOOKUP(TRIM(D2787), CATALOGO!A:B, 2, FALSE) * C2787+I2787)),""))</f>
        <v/>
      </c>
      <c r="K2787" s="196"/>
      <c r="L2787" s="87"/>
      <c r="M2787" s="245"/>
      <c r="N2787" s="168"/>
    </row>
    <row r="2788" ht="22.5" hidden="1" customHeight="1">
      <c r="A2788" s="137"/>
      <c r="B2788" s="90"/>
      <c r="C2788" s="55"/>
      <c r="D2788" s="193"/>
      <c r="E2788" s="201"/>
      <c r="F2788" s="202"/>
      <c r="G2788" s="194"/>
      <c r="H2788" s="198"/>
      <c r="I2788" s="196"/>
      <c r="J2788" s="179" t="str">
        <f>IF(A2788="RAPPI",(VLOOKUP(TRIM(D2788), CATALOGO!F:G, 2, FALSE) * C2788)+I2788,IFERROR(IF(COUNTIF('RESTAURANTESDESCUENTOS 2026'!A:A,TRIM(A2788))&gt;0,((VLOOKUP(TRIM(D2788), CATALOGO!A:B, 2, FALSE) * C2788)*(1-VALUE(SUBSTITUTE(VLOOKUP(TRIM(A2788),'RESTAURANTESDESCUENTOS 2026'!A:B,2,FALSE),"%",""))/100)+I2788),(VLOOKUP(TRIM(D2788), CATALOGO!A:B, 2, FALSE) * C2788+I2788)),""))</f>
        <v/>
      </c>
      <c r="K2788" s="196"/>
      <c r="L2788" s="87"/>
      <c r="M2788" s="245"/>
      <c r="N2788" s="168"/>
    </row>
    <row r="2789" ht="22.5" hidden="1" customHeight="1">
      <c r="A2789" s="137"/>
      <c r="B2789" s="90"/>
      <c r="C2789" s="55"/>
      <c r="D2789" s="193"/>
      <c r="E2789" s="201"/>
      <c r="F2789" s="202"/>
      <c r="G2789" s="194"/>
      <c r="H2789" s="198"/>
      <c r="I2789" s="196"/>
      <c r="J2789" s="179" t="str">
        <f>IF(A2789="RAPPI",(VLOOKUP(TRIM(D2789), CATALOGO!F:G, 2, FALSE) * C2789)+I2789,IFERROR(IF(COUNTIF('RESTAURANTESDESCUENTOS 2026'!A:A,TRIM(A2789))&gt;0,((VLOOKUP(TRIM(D2789), CATALOGO!A:B, 2, FALSE) * C2789)*(1-VALUE(SUBSTITUTE(VLOOKUP(TRIM(A2789),'RESTAURANTESDESCUENTOS 2026'!A:B,2,FALSE),"%",""))/100)+I2789),(VLOOKUP(TRIM(D2789), CATALOGO!A:B, 2, FALSE) * C2789+I2789)),""))</f>
        <v/>
      </c>
      <c r="K2789" s="196"/>
      <c r="L2789" s="87"/>
      <c r="M2789" s="245"/>
      <c r="N2789" s="168"/>
    </row>
    <row r="2790" ht="22.5" hidden="1" customHeight="1">
      <c r="A2790" s="137"/>
      <c r="B2790" s="90"/>
      <c r="C2790" s="55"/>
      <c r="D2790" s="193"/>
      <c r="E2790" s="201"/>
      <c r="F2790" s="202"/>
      <c r="G2790" s="194"/>
      <c r="H2790" s="198"/>
      <c r="I2790" s="196"/>
      <c r="J2790" s="179" t="str">
        <f>IF(A2790="RAPPI",(VLOOKUP(TRIM(D2790), CATALOGO!F:G, 2, FALSE) * C2790)+I2790,IFERROR(IF(COUNTIF('RESTAURANTESDESCUENTOS 2026'!A:A,TRIM(A2790))&gt;0,((VLOOKUP(TRIM(D2790), CATALOGO!A:B, 2, FALSE) * C2790)*(1-VALUE(SUBSTITUTE(VLOOKUP(TRIM(A2790),'RESTAURANTESDESCUENTOS 2026'!A:B,2,FALSE),"%",""))/100)+I2790),(VLOOKUP(TRIM(D2790), CATALOGO!A:B, 2, FALSE) * C2790+I2790)),""))</f>
        <v/>
      </c>
      <c r="K2790" s="196"/>
      <c r="L2790" s="87"/>
      <c r="M2790" s="245"/>
      <c r="N2790" s="168"/>
    </row>
    <row r="2791" ht="22.5" hidden="1" customHeight="1">
      <c r="A2791" s="137"/>
      <c r="B2791" s="90"/>
      <c r="C2791" s="55"/>
      <c r="D2791" s="193"/>
      <c r="E2791" s="201"/>
      <c r="F2791" s="202"/>
      <c r="G2791" s="194"/>
      <c r="H2791" s="198"/>
      <c r="I2791" s="196"/>
      <c r="J2791" s="179" t="str">
        <f>IF(A2791="RAPPI",(VLOOKUP(TRIM(D2791), CATALOGO!F:G, 2, FALSE) * C2791)+I2791,IFERROR(IF(COUNTIF('RESTAURANTESDESCUENTOS 2026'!A:A,TRIM(A2791))&gt;0,((VLOOKUP(TRIM(D2791), CATALOGO!A:B, 2, FALSE) * C2791)*(1-VALUE(SUBSTITUTE(VLOOKUP(TRIM(A2791),'RESTAURANTESDESCUENTOS 2026'!A:B,2,FALSE),"%",""))/100)+I2791),(VLOOKUP(TRIM(D2791), CATALOGO!A:B, 2, FALSE) * C2791+I2791)),""))</f>
        <v/>
      </c>
      <c r="K2791" s="196"/>
      <c r="L2791" s="87"/>
      <c r="M2791" s="245"/>
      <c r="N2791" s="168"/>
    </row>
    <row r="2792" ht="22.5" hidden="1" customHeight="1">
      <c r="A2792" s="137"/>
      <c r="B2792" s="90"/>
      <c r="C2792" s="55"/>
      <c r="D2792" s="193"/>
      <c r="E2792" s="201"/>
      <c r="F2792" s="202"/>
      <c r="G2792" s="194"/>
      <c r="H2792" s="198"/>
      <c r="I2792" s="196"/>
      <c r="J2792" s="179" t="str">
        <f>IF(A2792="RAPPI",(VLOOKUP(TRIM(D2792), CATALOGO!F:G, 2, FALSE) * C2792)+I2792,IFERROR(IF(COUNTIF('RESTAURANTESDESCUENTOS 2026'!A:A,TRIM(A2792))&gt;0,((VLOOKUP(TRIM(D2792), CATALOGO!A:B, 2, FALSE) * C2792)*(1-VALUE(SUBSTITUTE(VLOOKUP(TRIM(A2792),'RESTAURANTESDESCUENTOS 2026'!A:B,2,FALSE),"%",""))/100)+I2792),(VLOOKUP(TRIM(D2792), CATALOGO!A:B, 2, FALSE) * C2792+I2792)),""))</f>
        <v/>
      </c>
      <c r="K2792" s="196"/>
      <c r="L2792" s="87"/>
      <c r="M2792" s="245"/>
      <c r="N2792" s="168"/>
    </row>
    <row r="2793" ht="22.5" hidden="1" customHeight="1">
      <c r="A2793" s="137"/>
      <c r="B2793" s="90"/>
      <c r="C2793" s="55"/>
      <c r="D2793" s="193"/>
      <c r="E2793" s="201"/>
      <c r="F2793" s="202"/>
      <c r="G2793" s="194"/>
      <c r="H2793" s="198"/>
      <c r="I2793" s="196"/>
      <c r="J2793" s="179" t="str">
        <f>IF(A2793="RAPPI",(VLOOKUP(TRIM(D2793), CATALOGO!F:G, 2, FALSE) * C2793)+I2793,IFERROR(IF(COUNTIF('RESTAURANTESDESCUENTOS 2026'!A:A,TRIM(A2793))&gt;0,((VLOOKUP(TRIM(D2793), CATALOGO!A:B, 2, FALSE) * C2793)*(1-VALUE(SUBSTITUTE(VLOOKUP(TRIM(A2793),'RESTAURANTESDESCUENTOS 2026'!A:B,2,FALSE),"%",""))/100)+I2793),(VLOOKUP(TRIM(D2793), CATALOGO!A:B, 2, FALSE) * C2793+I2793)),""))</f>
        <v/>
      </c>
      <c r="K2793" s="196"/>
      <c r="L2793" s="87"/>
      <c r="M2793" s="245"/>
      <c r="N2793" s="168"/>
    </row>
    <row r="2794" ht="22.5" hidden="1" customHeight="1">
      <c r="A2794" s="137"/>
      <c r="B2794" s="90"/>
      <c r="C2794" s="55"/>
      <c r="D2794" s="193"/>
      <c r="E2794" s="201"/>
      <c r="F2794" s="202"/>
      <c r="G2794" s="194"/>
      <c r="H2794" s="198"/>
      <c r="I2794" s="196"/>
      <c r="J2794" s="179" t="str">
        <f>IF(A2794="RAPPI",(VLOOKUP(TRIM(D2794), CATALOGO!F:G, 2, FALSE) * C2794)+I2794,IFERROR(IF(COUNTIF('RESTAURANTESDESCUENTOS 2026'!A:A,TRIM(A2794))&gt;0,((VLOOKUP(TRIM(D2794), CATALOGO!A:B, 2, FALSE) * C2794)*(1-VALUE(SUBSTITUTE(VLOOKUP(TRIM(A2794),'RESTAURANTESDESCUENTOS 2026'!A:B,2,FALSE),"%",""))/100)+I2794),(VLOOKUP(TRIM(D2794), CATALOGO!A:B, 2, FALSE) * C2794+I2794)),""))</f>
        <v/>
      </c>
      <c r="K2794" s="196"/>
      <c r="L2794" s="87"/>
      <c r="M2794" s="245"/>
      <c r="N2794" s="168"/>
    </row>
    <row r="2795" ht="22.5" hidden="1" customHeight="1">
      <c r="A2795" s="137"/>
      <c r="B2795" s="90"/>
      <c r="C2795" s="55"/>
      <c r="D2795" s="193"/>
      <c r="E2795" s="201"/>
      <c r="F2795" s="202"/>
      <c r="G2795" s="194"/>
      <c r="H2795" s="198"/>
      <c r="I2795" s="196"/>
      <c r="J2795" s="179" t="str">
        <f>IF(A2795="RAPPI",(VLOOKUP(TRIM(D2795), CATALOGO!F:G, 2, FALSE) * C2795)+I2795,IFERROR(IF(COUNTIF('RESTAURANTESDESCUENTOS 2026'!A:A,TRIM(A2795))&gt;0,((VLOOKUP(TRIM(D2795), CATALOGO!A:B, 2, FALSE) * C2795)*(1-VALUE(SUBSTITUTE(VLOOKUP(TRIM(A2795),'RESTAURANTESDESCUENTOS 2026'!A:B,2,FALSE),"%",""))/100)+I2795),(VLOOKUP(TRIM(D2795), CATALOGO!A:B, 2, FALSE) * C2795+I2795)),""))</f>
        <v/>
      </c>
      <c r="K2795" s="196"/>
      <c r="L2795" s="87"/>
      <c r="M2795" s="245"/>
      <c r="N2795" s="168"/>
    </row>
    <row r="2796" ht="22.5" hidden="1" customHeight="1">
      <c r="A2796" s="137"/>
      <c r="B2796" s="90"/>
      <c r="C2796" s="55"/>
      <c r="D2796" s="193"/>
      <c r="E2796" s="201"/>
      <c r="F2796" s="202"/>
      <c r="G2796" s="194"/>
      <c r="H2796" s="198"/>
      <c r="I2796" s="196"/>
      <c r="J2796" s="179" t="str">
        <f>IF(A2796="RAPPI",(VLOOKUP(TRIM(D2796), CATALOGO!F:G, 2, FALSE) * C2796)+I2796,IFERROR(IF(COUNTIF('RESTAURANTESDESCUENTOS 2026'!A:A,TRIM(A2796))&gt;0,((VLOOKUP(TRIM(D2796), CATALOGO!A:B, 2, FALSE) * C2796)*(1-VALUE(SUBSTITUTE(VLOOKUP(TRIM(A2796),'RESTAURANTESDESCUENTOS 2026'!A:B,2,FALSE),"%",""))/100)+I2796),(VLOOKUP(TRIM(D2796), CATALOGO!A:B, 2, FALSE) * C2796+I2796)),""))</f>
        <v/>
      </c>
      <c r="K2796" s="196"/>
      <c r="L2796" s="87"/>
      <c r="M2796" s="245"/>
      <c r="N2796" s="168"/>
    </row>
    <row r="2797" ht="22.5" hidden="1" customHeight="1">
      <c r="A2797" s="137"/>
      <c r="B2797" s="90"/>
      <c r="C2797" s="55"/>
      <c r="D2797" s="193"/>
      <c r="E2797" s="201"/>
      <c r="F2797" s="202"/>
      <c r="G2797" s="194"/>
      <c r="H2797" s="198"/>
      <c r="I2797" s="196"/>
      <c r="J2797" s="179" t="str">
        <f>IF(A2797="RAPPI",(VLOOKUP(TRIM(D2797), CATALOGO!F:G, 2, FALSE) * C2797)+I2797,IFERROR(IF(COUNTIF('RESTAURANTESDESCUENTOS 2026'!A:A,TRIM(A2797))&gt;0,((VLOOKUP(TRIM(D2797), CATALOGO!A:B, 2, FALSE) * C2797)*(1-VALUE(SUBSTITUTE(VLOOKUP(TRIM(A2797),'RESTAURANTESDESCUENTOS 2026'!A:B,2,FALSE),"%",""))/100)+I2797),(VLOOKUP(TRIM(D2797), CATALOGO!A:B, 2, FALSE) * C2797+I2797)),""))</f>
        <v/>
      </c>
      <c r="K2797" s="196"/>
      <c r="L2797" s="87"/>
      <c r="M2797" s="245"/>
      <c r="N2797" s="168"/>
    </row>
    <row r="2798" ht="22.5" hidden="1" customHeight="1">
      <c r="A2798" s="137"/>
      <c r="B2798" s="90"/>
      <c r="C2798" s="55"/>
      <c r="D2798" s="193"/>
      <c r="E2798" s="201"/>
      <c r="F2798" s="202"/>
      <c r="G2798" s="194"/>
      <c r="H2798" s="198"/>
      <c r="I2798" s="196"/>
      <c r="J2798" s="179" t="str">
        <f>IF(A2798="RAPPI",(VLOOKUP(TRIM(D2798), CATALOGO!F:G, 2, FALSE) * C2798)+I2798,IFERROR(IF(COUNTIF('RESTAURANTESDESCUENTOS 2026'!A:A,TRIM(A2798))&gt;0,((VLOOKUP(TRIM(D2798), CATALOGO!A:B, 2, FALSE) * C2798)*(1-VALUE(SUBSTITUTE(VLOOKUP(TRIM(A2798),'RESTAURANTESDESCUENTOS 2026'!A:B,2,FALSE),"%",""))/100)+I2798),(VLOOKUP(TRIM(D2798), CATALOGO!A:B, 2, FALSE) * C2798+I2798)),""))</f>
        <v/>
      </c>
      <c r="K2798" s="196"/>
      <c r="L2798" s="87"/>
      <c r="M2798" s="245"/>
      <c r="N2798" s="168"/>
    </row>
    <row r="2799" ht="22.5" hidden="1" customHeight="1">
      <c r="A2799" s="137"/>
      <c r="B2799" s="90"/>
      <c r="C2799" s="55"/>
      <c r="D2799" s="193"/>
      <c r="E2799" s="201"/>
      <c r="F2799" s="202"/>
      <c r="G2799" s="194"/>
      <c r="H2799" s="198"/>
      <c r="I2799" s="196"/>
      <c r="J2799" s="179" t="str">
        <f>IF(A2799="RAPPI",(VLOOKUP(TRIM(D2799), CATALOGO!F:G, 2, FALSE) * C2799)+I2799,IFERROR(IF(COUNTIF('RESTAURANTESDESCUENTOS 2026'!A:A,TRIM(A2799))&gt;0,((VLOOKUP(TRIM(D2799), CATALOGO!A:B, 2, FALSE) * C2799)*(1-VALUE(SUBSTITUTE(VLOOKUP(TRIM(A2799),'RESTAURANTESDESCUENTOS 2026'!A:B,2,FALSE),"%",""))/100)+I2799),(VLOOKUP(TRIM(D2799), CATALOGO!A:B, 2, FALSE) * C2799+I2799)),""))</f>
        <v/>
      </c>
      <c r="K2799" s="196"/>
      <c r="L2799" s="87"/>
      <c r="M2799" s="245"/>
      <c r="N2799" s="168"/>
    </row>
    <row r="2800" ht="22.5" hidden="1" customHeight="1">
      <c r="A2800" s="137"/>
      <c r="B2800" s="90"/>
      <c r="C2800" s="55"/>
      <c r="D2800" s="193"/>
      <c r="E2800" s="201"/>
      <c r="F2800" s="202"/>
      <c r="G2800" s="194"/>
      <c r="H2800" s="198"/>
      <c r="I2800" s="196"/>
      <c r="J2800" s="179" t="str">
        <f>IF(A2800="RAPPI",(VLOOKUP(TRIM(D2800), CATALOGO!F:G, 2, FALSE) * C2800)+I2800,IFERROR(IF(COUNTIF('RESTAURANTESDESCUENTOS 2026'!A:A,TRIM(A2800))&gt;0,((VLOOKUP(TRIM(D2800), CATALOGO!A:B, 2, FALSE) * C2800)*(1-VALUE(SUBSTITUTE(VLOOKUP(TRIM(A2800),'RESTAURANTESDESCUENTOS 2026'!A:B,2,FALSE),"%",""))/100)+I2800),(VLOOKUP(TRIM(D2800), CATALOGO!A:B, 2, FALSE) * C2800+I2800)),""))</f>
        <v/>
      </c>
      <c r="K2800" s="196"/>
      <c r="L2800" s="87"/>
      <c r="M2800" s="245"/>
      <c r="N2800" s="168"/>
    </row>
    <row r="2801" ht="22.5" hidden="1" customHeight="1">
      <c r="A2801" s="137"/>
      <c r="B2801" s="90"/>
      <c r="C2801" s="55"/>
      <c r="D2801" s="193"/>
      <c r="E2801" s="201"/>
      <c r="F2801" s="202"/>
      <c r="G2801" s="194"/>
      <c r="H2801" s="198"/>
      <c r="I2801" s="196"/>
      <c r="J2801" s="179" t="str">
        <f>IF(A2801="RAPPI",(VLOOKUP(TRIM(D2801), CATALOGO!F:G, 2, FALSE) * C2801)+I2801,IFERROR(IF(COUNTIF('RESTAURANTESDESCUENTOS 2026'!A:A,TRIM(A2801))&gt;0,((VLOOKUP(TRIM(D2801), CATALOGO!A:B, 2, FALSE) * C2801)*(1-VALUE(SUBSTITUTE(VLOOKUP(TRIM(A2801),'RESTAURANTESDESCUENTOS 2026'!A:B,2,FALSE),"%",""))/100)+I2801),(VLOOKUP(TRIM(D2801), CATALOGO!A:B, 2, FALSE) * C2801+I2801)),""))</f>
        <v/>
      </c>
      <c r="K2801" s="196"/>
      <c r="L2801" s="87"/>
      <c r="M2801" s="245"/>
      <c r="N2801" s="168"/>
    </row>
    <row r="2802" ht="22.5" hidden="1" customHeight="1">
      <c r="A2802" s="137"/>
      <c r="B2802" s="90"/>
      <c r="C2802" s="55"/>
      <c r="D2802" s="193"/>
      <c r="E2802" s="201"/>
      <c r="F2802" s="202"/>
      <c r="G2802" s="194"/>
      <c r="H2802" s="198"/>
      <c r="I2802" s="196"/>
      <c r="J2802" s="179" t="str">
        <f>IF(A2802="RAPPI",(VLOOKUP(TRIM(D2802), CATALOGO!F:G, 2, FALSE) * C2802)+I2802,IFERROR(IF(COUNTIF('RESTAURANTESDESCUENTOS 2026'!A:A,TRIM(A2802))&gt;0,((VLOOKUP(TRIM(D2802), CATALOGO!A:B, 2, FALSE) * C2802)*(1-VALUE(SUBSTITUTE(VLOOKUP(TRIM(A2802),'RESTAURANTESDESCUENTOS 2026'!A:B,2,FALSE),"%",""))/100)+I2802),(VLOOKUP(TRIM(D2802), CATALOGO!A:B, 2, FALSE) * C2802+I2802)),""))</f>
        <v/>
      </c>
      <c r="K2802" s="196"/>
      <c r="L2802" s="87"/>
      <c r="M2802" s="245"/>
      <c r="N2802" s="168"/>
    </row>
    <row r="2803" ht="22.5" hidden="1" customHeight="1">
      <c r="A2803" s="137"/>
      <c r="B2803" s="90"/>
      <c r="C2803" s="55"/>
      <c r="D2803" s="193"/>
      <c r="E2803" s="201"/>
      <c r="F2803" s="202"/>
      <c r="G2803" s="194"/>
      <c r="H2803" s="198"/>
      <c r="I2803" s="196"/>
      <c r="J2803" s="179" t="str">
        <f>IF(A2803="RAPPI",(VLOOKUP(TRIM(D2803), CATALOGO!F:G, 2, FALSE) * C2803)+I2803,IFERROR(IF(COUNTIF('RESTAURANTESDESCUENTOS 2026'!A:A,TRIM(A2803))&gt;0,((VLOOKUP(TRIM(D2803), CATALOGO!A:B, 2, FALSE) * C2803)*(1-VALUE(SUBSTITUTE(VLOOKUP(TRIM(A2803),'RESTAURANTESDESCUENTOS 2026'!A:B,2,FALSE),"%",""))/100)+I2803),(VLOOKUP(TRIM(D2803), CATALOGO!A:B, 2, FALSE) * C2803+I2803)),""))</f>
        <v/>
      </c>
      <c r="K2803" s="196"/>
      <c r="L2803" s="87"/>
      <c r="M2803" s="245"/>
      <c r="N2803" s="168"/>
    </row>
    <row r="2804" ht="22.5" hidden="1" customHeight="1">
      <c r="A2804" s="137"/>
      <c r="B2804" s="90"/>
      <c r="C2804" s="55"/>
      <c r="D2804" s="193"/>
      <c r="E2804" s="201"/>
      <c r="F2804" s="202"/>
      <c r="G2804" s="194"/>
      <c r="H2804" s="198"/>
      <c r="I2804" s="196"/>
      <c r="J2804" s="179" t="str">
        <f>IF(A2804="RAPPI",(VLOOKUP(TRIM(D2804), CATALOGO!F:G, 2, FALSE) * C2804)+I2804,IFERROR(IF(COUNTIF('RESTAURANTESDESCUENTOS 2026'!A:A,TRIM(A2804))&gt;0,((VLOOKUP(TRIM(D2804), CATALOGO!A:B, 2, FALSE) * C2804)*(1-VALUE(SUBSTITUTE(VLOOKUP(TRIM(A2804),'RESTAURANTESDESCUENTOS 2026'!A:B,2,FALSE),"%",""))/100)+I2804),(VLOOKUP(TRIM(D2804), CATALOGO!A:B, 2, FALSE) * C2804+I2804)),""))</f>
        <v/>
      </c>
      <c r="K2804" s="196"/>
      <c r="L2804" s="87"/>
      <c r="M2804" s="245"/>
      <c r="N2804" s="168"/>
    </row>
    <row r="2805" ht="22.5" hidden="1" customHeight="1">
      <c r="A2805" s="137"/>
      <c r="B2805" s="90"/>
      <c r="C2805" s="55"/>
      <c r="D2805" s="193"/>
      <c r="E2805" s="201"/>
      <c r="F2805" s="202"/>
      <c r="G2805" s="194"/>
      <c r="H2805" s="198"/>
      <c r="I2805" s="196"/>
      <c r="J2805" s="179" t="str">
        <f>IF(A2805="RAPPI",(VLOOKUP(TRIM(D2805), CATALOGO!F:G, 2, FALSE) * C2805)+I2805,IFERROR(IF(COUNTIF('RESTAURANTESDESCUENTOS 2026'!A:A,TRIM(A2805))&gt;0,((VLOOKUP(TRIM(D2805), CATALOGO!A:B, 2, FALSE) * C2805)*(1-VALUE(SUBSTITUTE(VLOOKUP(TRIM(A2805),'RESTAURANTESDESCUENTOS 2026'!A:B,2,FALSE),"%",""))/100)+I2805),(VLOOKUP(TRIM(D2805), CATALOGO!A:B, 2, FALSE) * C2805+I2805)),""))</f>
        <v/>
      </c>
      <c r="K2805" s="196"/>
      <c r="L2805" s="87"/>
      <c r="M2805" s="245"/>
      <c r="N2805" s="168"/>
    </row>
    <row r="2806" ht="22.5" hidden="1" customHeight="1">
      <c r="A2806" s="137"/>
      <c r="B2806" s="90"/>
      <c r="C2806" s="55"/>
      <c r="D2806" s="193"/>
      <c r="E2806" s="201"/>
      <c r="F2806" s="202"/>
      <c r="G2806" s="194"/>
      <c r="H2806" s="198"/>
      <c r="I2806" s="196"/>
      <c r="J2806" s="179" t="str">
        <f>IF(A2806="RAPPI",(VLOOKUP(TRIM(D2806), CATALOGO!F:G, 2, FALSE) * C2806)+I2806,IFERROR(IF(COUNTIF('RESTAURANTESDESCUENTOS 2026'!A:A,TRIM(A2806))&gt;0,((VLOOKUP(TRIM(D2806), CATALOGO!A:B, 2, FALSE) * C2806)*(1-VALUE(SUBSTITUTE(VLOOKUP(TRIM(A2806),'RESTAURANTESDESCUENTOS 2026'!A:B,2,FALSE),"%",""))/100)+I2806),(VLOOKUP(TRIM(D2806), CATALOGO!A:B, 2, FALSE) * C2806+I2806)),""))</f>
        <v/>
      </c>
      <c r="K2806" s="196"/>
      <c r="L2806" s="87"/>
      <c r="M2806" s="245"/>
      <c r="N2806" s="168"/>
    </row>
    <row r="2807" ht="22.5" hidden="1" customHeight="1">
      <c r="A2807" s="137"/>
      <c r="B2807" s="90"/>
      <c r="C2807" s="55"/>
      <c r="D2807" s="193"/>
      <c r="E2807" s="201"/>
      <c r="F2807" s="202"/>
      <c r="G2807" s="194"/>
      <c r="H2807" s="198"/>
      <c r="I2807" s="196"/>
      <c r="J2807" s="179" t="str">
        <f>IF(A2807="RAPPI",(VLOOKUP(TRIM(D2807), CATALOGO!F:G, 2, FALSE) * C2807)+I2807,IFERROR(IF(COUNTIF('RESTAURANTESDESCUENTOS 2026'!A:A,TRIM(A2807))&gt;0,((VLOOKUP(TRIM(D2807), CATALOGO!A:B, 2, FALSE) * C2807)*(1-VALUE(SUBSTITUTE(VLOOKUP(TRIM(A2807),'RESTAURANTESDESCUENTOS 2026'!A:B,2,FALSE),"%",""))/100)+I2807),(VLOOKUP(TRIM(D2807), CATALOGO!A:B, 2, FALSE) * C2807+I2807)),""))</f>
        <v/>
      </c>
      <c r="K2807" s="196"/>
      <c r="L2807" s="87"/>
      <c r="M2807" s="245"/>
      <c r="N2807" s="168"/>
    </row>
    <row r="2808" ht="22.5" hidden="1" customHeight="1">
      <c r="A2808" s="137"/>
      <c r="B2808" s="90"/>
      <c r="C2808" s="55"/>
      <c r="D2808" s="193"/>
      <c r="E2808" s="201"/>
      <c r="F2808" s="202"/>
      <c r="G2808" s="194"/>
      <c r="H2808" s="198"/>
      <c r="I2808" s="196"/>
      <c r="J2808" s="179" t="str">
        <f>IF(A2808="RAPPI",(VLOOKUP(TRIM(D2808), CATALOGO!F:G, 2, FALSE) * C2808)+I2808,IFERROR(IF(COUNTIF('RESTAURANTESDESCUENTOS 2026'!A:A,TRIM(A2808))&gt;0,((VLOOKUP(TRIM(D2808), CATALOGO!A:B, 2, FALSE) * C2808)*(1-VALUE(SUBSTITUTE(VLOOKUP(TRIM(A2808),'RESTAURANTESDESCUENTOS 2026'!A:B,2,FALSE),"%",""))/100)+I2808),(VLOOKUP(TRIM(D2808), CATALOGO!A:B, 2, FALSE) * C2808+I2808)),""))</f>
        <v/>
      </c>
      <c r="K2808" s="196"/>
      <c r="L2808" s="87"/>
      <c r="M2808" s="245"/>
      <c r="N2808" s="168"/>
    </row>
    <row r="2809" ht="22.5" hidden="1" customHeight="1">
      <c r="A2809" s="137"/>
      <c r="B2809" s="90"/>
      <c r="C2809" s="55"/>
      <c r="D2809" s="193"/>
      <c r="E2809" s="201"/>
      <c r="F2809" s="202"/>
      <c r="G2809" s="194"/>
      <c r="H2809" s="198"/>
      <c r="I2809" s="196"/>
      <c r="J2809" s="179" t="str">
        <f>IF(A2809="RAPPI",(VLOOKUP(TRIM(D2809), CATALOGO!F:G, 2, FALSE) * C2809)+I2809,IFERROR(IF(COUNTIF('RESTAURANTESDESCUENTOS 2026'!A:A,TRIM(A2809))&gt;0,((VLOOKUP(TRIM(D2809), CATALOGO!A:B, 2, FALSE) * C2809)*(1-VALUE(SUBSTITUTE(VLOOKUP(TRIM(A2809),'RESTAURANTESDESCUENTOS 2026'!A:B,2,FALSE),"%",""))/100)+I2809),(VLOOKUP(TRIM(D2809), CATALOGO!A:B, 2, FALSE) * C2809+I2809)),""))</f>
        <v/>
      </c>
      <c r="K2809" s="196"/>
      <c r="L2809" s="87"/>
      <c r="M2809" s="245"/>
      <c r="N2809" s="168"/>
    </row>
    <row r="2810" ht="22.5" hidden="1" customHeight="1">
      <c r="A2810" s="137"/>
      <c r="B2810" s="90"/>
      <c r="C2810" s="55"/>
      <c r="D2810" s="193"/>
      <c r="E2810" s="201"/>
      <c r="F2810" s="202"/>
      <c r="G2810" s="194"/>
      <c r="H2810" s="198"/>
      <c r="I2810" s="196"/>
      <c r="J2810" s="179" t="str">
        <f>IF(A2810="RAPPI",(VLOOKUP(TRIM(D2810), CATALOGO!F:G, 2, FALSE) * C2810)+I2810,IFERROR(IF(COUNTIF('RESTAURANTESDESCUENTOS 2026'!A:A,TRIM(A2810))&gt;0,((VLOOKUP(TRIM(D2810), CATALOGO!A:B, 2, FALSE) * C2810)*(1-VALUE(SUBSTITUTE(VLOOKUP(TRIM(A2810),'RESTAURANTESDESCUENTOS 2026'!A:B,2,FALSE),"%",""))/100)+I2810),(VLOOKUP(TRIM(D2810), CATALOGO!A:B, 2, FALSE) * C2810+I2810)),""))</f>
        <v/>
      </c>
      <c r="K2810" s="196"/>
      <c r="L2810" s="87"/>
      <c r="M2810" s="245"/>
      <c r="N2810" s="168"/>
    </row>
    <row r="2811" ht="22.5" hidden="1" customHeight="1">
      <c r="A2811" s="137"/>
      <c r="B2811" s="90"/>
      <c r="C2811" s="55"/>
      <c r="D2811" s="193"/>
      <c r="E2811" s="201"/>
      <c r="F2811" s="202"/>
      <c r="G2811" s="194"/>
      <c r="H2811" s="198"/>
      <c r="I2811" s="196"/>
      <c r="J2811" s="179" t="str">
        <f>IF(A2811="RAPPI",(VLOOKUP(TRIM(D2811), CATALOGO!F:G, 2, FALSE) * C2811)+I2811,IFERROR(IF(COUNTIF('RESTAURANTESDESCUENTOS 2026'!A:A,TRIM(A2811))&gt;0,((VLOOKUP(TRIM(D2811), CATALOGO!A:B, 2, FALSE) * C2811)*(1-VALUE(SUBSTITUTE(VLOOKUP(TRIM(A2811),'RESTAURANTESDESCUENTOS 2026'!A:B,2,FALSE),"%",""))/100)+I2811),(VLOOKUP(TRIM(D2811), CATALOGO!A:B, 2, FALSE) * C2811+I2811)),""))</f>
        <v/>
      </c>
      <c r="K2811" s="196"/>
      <c r="L2811" s="87"/>
      <c r="M2811" s="245"/>
      <c r="N2811" s="168"/>
    </row>
    <row r="2812" ht="22.5" hidden="1" customHeight="1">
      <c r="A2812" s="137"/>
      <c r="B2812" s="90"/>
      <c r="C2812" s="55"/>
      <c r="D2812" s="193"/>
      <c r="E2812" s="201"/>
      <c r="F2812" s="202"/>
      <c r="G2812" s="194"/>
      <c r="H2812" s="198"/>
      <c r="I2812" s="196"/>
      <c r="J2812" s="179" t="str">
        <f>IF(A2812="RAPPI",(VLOOKUP(TRIM(D2812), CATALOGO!F:G, 2, FALSE) * C2812)+I2812,IFERROR(IF(COUNTIF('RESTAURANTESDESCUENTOS 2026'!A:A,TRIM(A2812))&gt;0,((VLOOKUP(TRIM(D2812), CATALOGO!A:B, 2, FALSE) * C2812)*(1-VALUE(SUBSTITUTE(VLOOKUP(TRIM(A2812),'RESTAURANTESDESCUENTOS 2026'!A:B,2,FALSE),"%",""))/100)+I2812),(VLOOKUP(TRIM(D2812), CATALOGO!A:B, 2, FALSE) * C2812+I2812)),""))</f>
        <v/>
      </c>
      <c r="K2812" s="196"/>
      <c r="L2812" s="87"/>
      <c r="M2812" s="245"/>
      <c r="N2812" s="168"/>
    </row>
    <row r="2813" ht="22.5" hidden="1" customHeight="1">
      <c r="A2813" s="137"/>
      <c r="B2813" s="90"/>
      <c r="C2813" s="55"/>
      <c r="D2813" s="193"/>
      <c r="E2813" s="201"/>
      <c r="F2813" s="202"/>
      <c r="G2813" s="194"/>
      <c r="H2813" s="198"/>
      <c r="I2813" s="196"/>
      <c r="J2813" s="179" t="str">
        <f>IF(A2813="RAPPI",(VLOOKUP(TRIM(D2813), CATALOGO!F:G, 2, FALSE) * C2813)+I2813,IFERROR(IF(COUNTIF('RESTAURANTESDESCUENTOS 2026'!A:A,TRIM(A2813))&gt;0,((VLOOKUP(TRIM(D2813), CATALOGO!A:B, 2, FALSE) * C2813)*(1-VALUE(SUBSTITUTE(VLOOKUP(TRIM(A2813),'RESTAURANTESDESCUENTOS 2026'!A:B,2,FALSE),"%",""))/100)+I2813),(VLOOKUP(TRIM(D2813), CATALOGO!A:B, 2, FALSE) * C2813+I2813)),""))</f>
        <v/>
      </c>
      <c r="K2813" s="196"/>
      <c r="L2813" s="87"/>
      <c r="M2813" s="245"/>
      <c r="N2813" s="168"/>
    </row>
    <row r="2814" ht="22.5" hidden="1" customHeight="1">
      <c r="A2814" s="137"/>
      <c r="B2814" s="90"/>
      <c r="C2814" s="55"/>
      <c r="D2814" s="193"/>
      <c r="E2814" s="201"/>
      <c r="F2814" s="202"/>
      <c r="G2814" s="194"/>
      <c r="H2814" s="198"/>
      <c r="I2814" s="196"/>
      <c r="J2814" s="179" t="str">
        <f>IF(A2814="RAPPI",(VLOOKUP(TRIM(D2814), CATALOGO!F:G, 2, FALSE) * C2814)+I2814,IFERROR(IF(COUNTIF('RESTAURANTESDESCUENTOS 2026'!A:A,TRIM(A2814))&gt;0,((VLOOKUP(TRIM(D2814), CATALOGO!A:B, 2, FALSE) * C2814)*(1-VALUE(SUBSTITUTE(VLOOKUP(TRIM(A2814),'RESTAURANTESDESCUENTOS 2026'!A:B,2,FALSE),"%",""))/100)+I2814),(VLOOKUP(TRIM(D2814), CATALOGO!A:B, 2, FALSE) * C2814+I2814)),""))</f>
        <v/>
      </c>
      <c r="K2814" s="196"/>
      <c r="L2814" s="87"/>
      <c r="M2814" s="245"/>
      <c r="N2814" s="168"/>
    </row>
    <row r="2815" ht="22.5" hidden="1" customHeight="1">
      <c r="A2815" s="137"/>
      <c r="B2815" s="90"/>
      <c r="C2815" s="55"/>
      <c r="D2815" s="193"/>
      <c r="E2815" s="201"/>
      <c r="F2815" s="202"/>
      <c r="G2815" s="194"/>
      <c r="H2815" s="198"/>
      <c r="I2815" s="196"/>
      <c r="J2815" s="179" t="str">
        <f>IF(A2815="RAPPI",(VLOOKUP(TRIM(D2815), CATALOGO!F:G, 2, FALSE) * C2815)+I2815,IFERROR(IF(COUNTIF('RESTAURANTESDESCUENTOS 2026'!A:A,TRIM(A2815))&gt;0,((VLOOKUP(TRIM(D2815), CATALOGO!A:B, 2, FALSE) * C2815)*(1-VALUE(SUBSTITUTE(VLOOKUP(TRIM(A2815),'RESTAURANTESDESCUENTOS 2026'!A:B,2,FALSE),"%",""))/100)+I2815),(VLOOKUP(TRIM(D2815), CATALOGO!A:B, 2, FALSE) * C2815+I2815)),""))</f>
        <v/>
      </c>
      <c r="K2815" s="196"/>
      <c r="L2815" s="87"/>
      <c r="M2815" s="245"/>
      <c r="N2815" s="168"/>
    </row>
    <row r="2816" ht="22.5" hidden="1" customHeight="1">
      <c r="A2816" s="137"/>
      <c r="B2816" s="90"/>
      <c r="C2816" s="55"/>
      <c r="D2816" s="193"/>
      <c r="E2816" s="201"/>
      <c r="F2816" s="202"/>
      <c r="G2816" s="194"/>
      <c r="H2816" s="198"/>
      <c r="I2816" s="196"/>
      <c r="J2816" s="179" t="str">
        <f>IF(A2816="RAPPI",(VLOOKUP(TRIM(D2816), CATALOGO!F:G, 2, FALSE) * C2816)+I2816,IFERROR(IF(COUNTIF('RESTAURANTESDESCUENTOS 2026'!A:A,TRIM(A2816))&gt;0,((VLOOKUP(TRIM(D2816), CATALOGO!A:B, 2, FALSE) * C2816)*(1-VALUE(SUBSTITUTE(VLOOKUP(TRIM(A2816),'RESTAURANTESDESCUENTOS 2026'!A:B,2,FALSE),"%",""))/100)+I2816),(VLOOKUP(TRIM(D2816), CATALOGO!A:B, 2, FALSE) * C2816+I2816)),""))</f>
        <v/>
      </c>
      <c r="K2816" s="196"/>
      <c r="L2816" s="87"/>
      <c r="M2816" s="245"/>
      <c r="N2816" s="168"/>
    </row>
    <row r="2817" ht="22.5" hidden="1" customHeight="1">
      <c r="A2817" s="137"/>
      <c r="B2817" s="90"/>
      <c r="C2817" s="55"/>
      <c r="D2817" s="193"/>
      <c r="E2817" s="201"/>
      <c r="F2817" s="202"/>
      <c r="G2817" s="194"/>
      <c r="H2817" s="198"/>
      <c r="I2817" s="196"/>
      <c r="J2817" s="179" t="str">
        <f>IF(A2817="RAPPI",(VLOOKUP(TRIM(D2817), CATALOGO!F:G, 2, FALSE) * C2817)+I2817,IFERROR(IF(COUNTIF('RESTAURANTESDESCUENTOS 2026'!A:A,TRIM(A2817))&gt;0,((VLOOKUP(TRIM(D2817), CATALOGO!A:B, 2, FALSE) * C2817)*(1-VALUE(SUBSTITUTE(VLOOKUP(TRIM(A2817),'RESTAURANTESDESCUENTOS 2026'!A:B,2,FALSE),"%",""))/100)+I2817),(VLOOKUP(TRIM(D2817), CATALOGO!A:B, 2, FALSE) * C2817+I2817)),""))</f>
        <v/>
      </c>
      <c r="K2817" s="196"/>
      <c r="L2817" s="87"/>
      <c r="M2817" s="245"/>
      <c r="N2817" s="168"/>
    </row>
    <row r="2818" ht="22.5" hidden="1" customHeight="1">
      <c r="A2818" s="137"/>
      <c r="B2818" s="90"/>
      <c r="C2818" s="55"/>
      <c r="D2818" s="193"/>
      <c r="E2818" s="201"/>
      <c r="F2818" s="202"/>
      <c r="G2818" s="194"/>
      <c r="H2818" s="198"/>
      <c r="I2818" s="196"/>
      <c r="J2818" s="179" t="str">
        <f>IF(A2818="RAPPI",(VLOOKUP(TRIM(D2818), CATALOGO!F:G, 2, FALSE) * C2818)+I2818,IFERROR(IF(COUNTIF('RESTAURANTESDESCUENTOS 2026'!A:A,TRIM(A2818))&gt;0,((VLOOKUP(TRIM(D2818), CATALOGO!A:B, 2, FALSE) * C2818)*(1-VALUE(SUBSTITUTE(VLOOKUP(TRIM(A2818),'RESTAURANTESDESCUENTOS 2026'!A:B,2,FALSE),"%",""))/100)+I2818),(VLOOKUP(TRIM(D2818), CATALOGO!A:B, 2, FALSE) * C2818+I2818)),""))</f>
        <v/>
      </c>
      <c r="K2818" s="196"/>
      <c r="L2818" s="87"/>
      <c r="M2818" s="245"/>
      <c r="N2818" s="168"/>
    </row>
    <row r="2819" ht="22.5" hidden="1" customHeight="1">
      <c r="A2819" s="137"/>
      <c r="B2819" s="90"/>
      <c r="C2819" s="55"/>
      <c r="D2819" s="193"/>
      <c r="E2819" s="201"/>
      <c r="F2819" s="202"/>
      <c r="G2819" s="194"/>
      <c r="H2819" s="198"/>
      <c r="I2819" s="196"/>
      <c r="J2819" s="179" t="str">
        <f>IF(A2819="RAPPI",(VLOOKUP(TRIM(D2819), CATALOGO!F:G, 2, FALSE) * C2819)+I2819,IFERROR(IF(COUNTIF('RESTAURANTESDESCUENTOS 2026'!A:A,TRIM(A2819))&gt;0,((VLOOKUP(TRIM(D2819), CATALOGO!A:B, 2, FALSE) * C2819)*(1-VALUE(SUBSTITUTE(VLOOKUP(TRIM(A2819),'RESTAURANTESDESCUENTOS 2026'!A:B,2,FALSE),"%",""))/100)+I2819),(VLOOKUP(TRIM(D2819), CATALOGO!A:B, 2, FALSE) * C2819+I2819)),""))</f>
        <v/>
      </c>
      <c r="K2819" s="196"/>
      <c r="L2819" s="87"/>
      <c r="M2819" s="245"/>
      <c r="N2819" s="168"/>
    </row>
    <row r="2820" ht="22.5" hidden="1" customHeight="1">
      <c r="A2820" s="137"/>
      <c r="B2820" s="90"/>
      <c r="C2820" s="55"/>
      <c r="D2820" s="193"/>
      <c r="E2820" s="201"/>
      <c r="F2820" s="202"/>
      <c r="G2820" s="194"/>
      <c r="H2820" s="198"/>
      <c r="I2820" s="196"/>
      <c r="J2820" s="179" t="str">
        <f>IF(A2820="RAPPI",(VLOOKUP(TRIM(D2820), CATALOGO!F:G, 2, FALSE) * C2820)+I2820,IFERROR(IF(COUNTIF('RESTAURANTESDESCUENTOS 2026'!A:A,TRIM(A2820))&gt;0,((VLOOKUP(TRIM(D2820), CATALOGO!A:B, 2, FALSE) * C2820)*(1-VALUE(SUBSTITUTE(VLOOKUP(TRIM(A2820),'RESTAURANTESDESCUENTOS 2026'!A:B,2,FALSE),"%",""))/100)+I2820),(VLOOKUP(TRIM(D2820), CATALOGO!A:B, 2, FALSE) * C2820+I2820)),""))</f>
        <v/>
      </c>
      <c r="K2820" s="196"/>
      <c r="L2820" s="87"/>
      <c r="M2820" s="245"/>
      <c r="N2820" s="168"/>
    </row>
    <row r="2821" ht="22.5" hidden="1" customHeight="1">
      <c r="A2821" s="137"/>
      <c r="B2821" s="90"/>
      <c r="C2821" s="55"/>
      <c r="D2821" s="193"/>
      <c r="E2821" s="201"/>
      <c r="F2821" s="202"/>
      <c r="G2821" s="194"/>
      <c r="H2821" s="198"/>
      <c r="I2821" s="196"/>
      <c r="J2821" s="179" t="str">
        <f>IF(A2821="RAPPI",(VLOOKUP(TRIM(D2821), CATALOGO!F:G, 2, FALSE) * C2821)+I2821,IFERROR(IF(COUNTIF('RESTAURANTESDESCUENTOS 2026'!A:A,TRIM(A2821))&gt;0,((VLOOKUP(TRIM(D2821), CATALOGO!A:B, 2, FALSE) * C2821)*(1-VALUE(SUBSTITUTE(VLOOKUP(TRIM(A2821),'RESTAURANTESDESCUENTOS 2026'!A:B,2,FALSE),"%",""))/100)+I2821),(VLOOKUP(TRIM(D2821), CATALOGO!A:B, 2, FALSE) * C2821+I2821)),""))</f>
        <v/>
      </c>
      <c r="K2821" s="196"/>
      <c r="L2821" s="87"/>
      <c r="M2821" s="245"/>
      <c r="N2821" s="168"/>
    </row>
    <row r="2822" ht="22.5" hidden="1" customHeight="1">
      <c r="A2822" s="137"/>
      <c r="B2822" s="90"/>
      <c r="C2822" s="55"/>
      <c r="D2822" s="193"/>
      <c r="E2822" s="201"/>
      <c r="F2822" s="202"/>
      <c r="G2822" s="194"/>
      <c r="H2822" s="198"/>
      <c r="I2822" s="196"/>
      <c r="J2822" s="179" t="str">
        <f>IF(A2822="RAPPI",(VLOOKUP(TRIM(D2822), CATALOGO!F:G, 2, FALSE) * C2822)+I2822,IFERROR(IF(COUNTIF('RESTAURANTESDESCUENTOS 2026'!A:A,TRIM(A2822))&gt;0,((VLOOKUP(TRIM(D2822), CATALOGO!A:B, 2, FALSE) * C2822)*(1-VALUE(SUBSTITUTE(VLOOKUP(TRIM(A2822),'RESTAURANTESDESCUENTOS 2026'!A:B,2,FALSE),"%",""))/100)+I2822),(VLOOKUP(TRIM(D2822), CATALOGO!A:B, 2, FALSE) * C2822+I2822)),""))</f>
        <v/>
      </c>
      <c r="K2822" s="196"/>
      <c r="L2822" s="87"/>
      <c r="M2822" s="245"/>
      <c r="N2822" s="168"/>
    </row>
    <row r="2823" ht="22.5" hidden="1" customHeight="1">
      <c r="A2823" s="137"/>
      <c r="B2823" s="90"/>
      <c r="C2823" s="55"/>
      <c r="D2823" s="193"/>
      <c r="E2823" s="201"/>
      <c r="F2823" s="202"/>
      <c r="G2823" s="194"/>
      <c r="H2823" s="198"/>
      <c r="I2823" s="196"/>
      <c r="J2823" s="179" t="str">
        <f>IF(A2823="RAPPI",(VLOOKUP(TRIM(D2823), CATALOGO!F:G, 2, FALSE) * C2823)+I2823,IFERROR(IF(COUNTIF('RESTAURANTESDESCUENTOS 2026'!A:A,TRIM(A2823))&gt;0,((VLOOKUP(TRIM(D2823), CATALOGO!A:B, 2, FALSE) * C2823)*(1-VALUE(SUBSTITUTE(VLOOKUP(TRIM(A2823),'RESTAURANTESDESCUENTOS 2026'!A:B,2,FALSE),"%",""))/100)+I2823),(VLOOKUP(TRIM(D2823), CATALOGO!A:B, 2, FALSE) * C2823+I2823)),""))</f>
        <v/>
      </c>
      <c r="K2823" s="196"/>
      <c r="L2823" s="87"/>
      <c r="M2823" s="245"/>
      <c r="N2823" s="168"/>
    </row>
    <row r="2824" ht="22.5" hidden="1" customHeight="1">
      <c r="A2824" s="137"/>
      <c r="B2824" s="90"/>
      <c r="C2824" s="55"/>
      <c r="D2824" s="193"/>
      <c r="E2824" s="201"/>
      <c r="F2824" s="202"/>
      <c r="G2824" s="194"/>
      <c r="H2824" s="198"/>
      <c r="I2824" s="196"/>
      <c r="J2824" s="179" t="str">
        <f>IF(A2824="RAPPI",(VLOOKUP(TRIM(D2824), CATALOGO!F:G, 2, FALSE) * C2824)+I2824,IFERROR(IF(COUNTIF('RESTAURANTESDESCUENTOS 2026'!A:A,TRIM(A2824))&gt;0,((VLOOKUP(TRIM(D2824), CATALOGO!A:B, 2, FALSE) * C2824)*(1-VALUE(SUBSTITUTE(VLOOKUP(TRIM(A2824),'RESTAURANTESDESCUENTOS 2026'!A:B,2,FALSE),"%",""))/100)+I2824),(VLOOKUP(TRIM(D2824), CATALOGO!A:B, 2, FALSE) * C2824+I2824)),""))</f>
        <v/>
      </c>
      <c r="K2824" s="196"/>
      <c r="L2824" s="87"/>
      <c r="M2824" s="245"/>
      <c r="N2824" s="168"/>
    </row>
    <row r="2825" ht="22.5" hidden="1" customHeight="1">
      <c r="A2825" s="137"/>
      <c r="B2825" s="90"/>
      <c r="C2825" s="55"/>
      <c r="D2825" s="193"/>
      <c r="E2825" s="201"/>
      <c r="F2825" s="202"/>
      <c r="G2825" s="194"/>
      <c r="H2825" s="198"/>
      <c r="I2825" s="196"/>
      <c r="J2825" s="179" t="str">
        <f>IF(A2825="RAPPI",(VLOOKUP(TRIM(D2825), CATALOGO!F:G, 2, FALSE) * C2825)+I2825,IFERROR(IF(COUNTIF('RESTAURANTESDESCUENTOS 2026'!A:A,TRIM(A2825))&gt;0,((VLOOKUP(TRIM(D2825), CATALOGO!A:B, 2, FALSE) * C2825)*(1-VALUE(SUBSTITUTE(VLOOKUP(TRIM(A2825),'RESTAURANTESDESCUENTOS 2026'!A:B,2,FALSE),"%",""))/100)+I2825),(VLOOKUP(TRIM(D2825), CATALOGO!A:B, 2, FALSE) * C2825+I2825)),""))</f>
        <v/>
      </c>
      <c r="K2825" s="196"/>
      <c r="L2825" s="87"/>
      <c r="M2825" s="245"/>
      <c r="N2825" s="168"/>
    </row>
    <row r="2826" ht="22.5" hidden="1" customHeight="1">
      <c r="A2826" s="137"/>
      <c r="B2826" s="90"/>
      <c r="C2826" s="55"/>
      <c r="D2826" s="193"/>
      <c r="E2826" s="201"/>
      <c r="F2826" s="202"/>
      <c r="G2826" s="194"/>
      <c r="H2826" s="198"/>
      <c r="I2826" s="196"/>
      <c r="J2826" s="179" t="str">
        <f>IF(A2826="RAPPI",(VLOOKUP(TRIM(D2826), CATALOGO!F:G, 2, FALSE) * C2826)+I2826,IFERROR(IF(COUNTIF('RESTAURANTESDESCUENTOS 2026'!A:A,TRIM(A2826))&gt;0,((VLOOKUP(TRIM(D2826), CATALOGO!A:B, 2, FALSE) * C2826)*(1-VALUE(SUBSTITUTE(VLOOKUP(TRIM(A2826),'RESTAURANTESDESCUENTOS 2026'!A:B,2,FALSE),"%",""))/100)+I2826),(VLOOKUP(TRIM(D2826), CATALOGO!A:B, 2, FALSE) * C2826+I2826)),""))</f>
        <v/>
      </c>
      <c r="K2826" s="196"/>
      <c r="L2826" s="87"/>
      <c r="M2826" s="245"/>
      <c r="N2826" s="168"/>
    </row>
    <row r="2827" ht="22.5" hidden="1" customHeight="1">
      <c r="A2827" s="137"/>
      <c r="B2827" s="90"/>
      <c r="C2827" s="55"/>
      <c r="D2827" s="193"/>
      <c r="E2827" s="201"/>
      <c r="F2827" s="202"/>
      <c r="G2827" s="194"/>
      <c r="H2827" s="198"/>
      <c r="I2827" s="196"/>
      <c r="J2827" s="179" t="str">
        <f>IF(A2827="RAPPI",(VLOOKUP(TRIM(D2827), CATALOGO!F:G, 2, FALSE) * C2827)+I2827,IFERROR(IF(COUNTIF('RESTAURANTESDESCUENTOS 2026'!A:A,TRIM(A2827))&gt;0,((VLOOKUP(TRIM(D2827), CATALOGO!A:B, 2, FALSE) * C2827)*(1-VALUE(SUBSTITUTE(VLOOKUP(TRIM(A2827),'RESTAURANTESDESCUENTOS 2026'!A:B,2,FALSE),"%",""))/100)+I2827),(VLOOKUP(TRIM(D2827), CATALOGO!A:B, 2, FALSE) * C2827+I2827)),""))</f>
        <v/>
      </c>
      <c r="K2827" s="196"/>
      <c r="L2827" s="87"/>
      <c r="M2827" s="245"/>
      <c r="N2827" s="168"/>
    </row>
    <row r="2828" ht="22.5" hidden="1" customHeight="1">
      <c r="A2828" s="137"/>
      <c r="B2828" s="90"/>
      <c r="C2828" s="55"/>
      <c r="D2828" s="193"/>
      <c r="E2828" s="201"/>
      <c r="F2828" s="202"/>
      <c r="G2828" s="194"/>
      <c r="H2828" s="198"/>
      <c r="I2828" s="196"/>
      <c r="J2828" s="179" t="str">
        <f>IF(A2828="RAPPI",(VLOOKUP(TRIM(D2828), CATALOGO!F:G, 2, FALSE) * C2828)+I2828,IFERROR(IF(COUNTIF('RESTAURANTESDESCUENTOS 2026'!A:A,TRIM(A2828))&gt;0,((VLOOKUP(TRIM(D2828), CATALOGO!A:B, 2, FALSE) * C2828)*(1-VALUE(SUBSTITUTE(VLOOKUP(TRIM(A2828),'RESTAURANTESDESCUENTOS 2026'!A:B,2,FALSE),"%",""))/100)+I2828),(VLOOKUP(TRIM(D2828), CATALOGO!A:B, 2, FALSE) * C2828+I2828)),""))</f>
        <v/>
      </c>
      <c r="K2828" s="196"/>
      <c r="L2828" s="87"/>
      <c r="M2828" s="245"/>
      <c r="N2828" s="168"/>
    </row>
    <row r="2829" ht="22.5" hidden="1" customHeight="1">
      <c r="A2829" s="137"/>
      <c r="B2829" s="90"/>
      <c r="C2829" s="55"/>
      <c r="D2829" s="193"/>
      <c r="E2829" s="201"/>
      <c r="F2829" s="202"/>
      <c r="G2829" s="194"/>
      <c r="H2829" s="198"/>
      <c r="I2829" s="196"/>
      <c r="J2829" s="179" t="str">
        <f>IF(A2829="RAPPI",(VLOOKUP(TRIM(D2829), CATALOGO!F:G, 2, FALSE) * C2829)+I2829,IFERROR(IF(COUNTIF('RESTAURANTESDESCUENTOS 2026'!A:A,TRIM(A2829))&gt;0,((VLOOKUP(TRIM(D2829), CATALOGO!A:B, 2, FALSE) * C2829)*(1-VALUE(SUBSTITUTE(VLOOKUP(TRIM(A2829),'RESTAURANTESDESCUENTOS 2026'!A:B,2,FALSE),"%",""))/100)+I2829),(VLOOKUP(TRIM(D2829), CATALOGO!A:B, 2, FALSE) * C2829+I2829)),""))</f>
        <v/>
      </c>
      <c r="K2829" s="196"/>
      <c r="L2829" s="87"/>
      <c r="M2829" s="245"/>
      <c r="N2829" s="168"/>
    </row>
    <row r="2830" ht="22.5" hidden="1" customHeight="1">
      <c r="A2830" s="137"/>
      <c r="B2830" s="90"/>
      <c r="C2830" s="55"/>
      <c r="D2830" s="193"/>
      <c r="E2830" s="201"/>
      <c r="F2830" s="202"/>
      <c r="G2830" s="194"/>
      <c r="H2830" s="198"/>
      <c r="I2830" s="196"/>
      <c r="J2830" s="179" t="str">
        <f>IF(A2830="RAPPI",(VLOOKUP(TRIM(D2830), CATALOGO!F:G, 2, FALSE) * C2830)+I2830,IFERROR(IF(COUNTIF('RESTAURANTESDESCUENTOS 2026'!A:A,TRIM(A2830))&gt;0,((VLOOKUP(TRIM(D2830), CATALOGO!A:B, 2, FALSE) * C2830)*(1-VALUE(SUBSTITUTE(VLOOKUP(TRIM(A2830),'RESTAURANTESDESCUENTOS 2026'!A:B,2,FALSE),"%",""))/100)+I2830),(VLOOKUP(TRIM(D2830), CATALOGO!A:B, 2, FALSE) * C2830+I2830)),""))</f>
        <v/>
      </c>
      <c r="K2830" s="196"/>
      <c r="L2830" s="87"/>
      <c r="M2830" s="245"/>
      <c r="N2830" s="168"/>
    </row>
    <row r="2831" ht="22.5" hidden="1" customHeight="1">
      <c r="A2831" s="137"/>
      <c r="B2831" s="90"/>
      <c r="C2831" s="55"/>
      <c r="D2831" s="193"/>
      <c r="E2831" s="201"/>
      <c r="F2831" s="202"/>
      <c r="G2831" s="194"/>
      <c r="H2831" s="198"/>
      <c r="I2831" s="196"/>
      <c r="J2831" s="179" t="str">
        <f>IF(A2831="RAPPI",(VLOOKUP(TRIM(D2831), CATALOGO!F:G, 2, FALSE) * C2831)+I2831,IFERROR(IF(COUNTIF('RESTAURANTESDESCUENTOS 2026'!A:A,TRIM(A2831))&gt;0,((VLOOKUP(TRIM(D2831), CATALOGO!A:B, 2, FALSE) * C2831)*(1-VALUE(SUBSTITUTE(VLOOKUP(TRIM(A2831),'RESTAURANTESDESCUENTOS 2026'!A:B,2,FALSE),"%",""))/100)+I2831),(VLOOKUP(TRIM(D2831), CATALOGO!A:B, 2, FALSE) * C2831+I2831)),""))</f>
        <v/>
      </c>
      <c r="K2831" s="196"/>
      <c r="L2831" s="87"/>
      <c r="M2831" s="245"/>
      <c r="N2831" s="168"/>
    </row>
    <row r="2832" ht="22.5" hidden="1" customHeight="1">
      <c r="A2832" s="137"/>
      <c r="B2832" s="90"/>
      <c r="C2832" s="55"/>
      <c r="D2832" s="193"/>
      <c r="E2832" s="201"/>
      <c r="F2832" s="202"/>
      <c r="G2832" s="194"/>
      <c r="H2832" s="198"/>
      <c r="I2832" s="196"/>
      <c r="J2832" s="179" t="str">
        <f>IF(A2832="RAPPI",(VLOOKUP(TRIM(D2832), CATALOGO!F:G, 2, FALSE) * C2832)+I2832,IFERROR(IF(COUNTIF('RESTAURANTESDESCUENTOS 2026'!A:A,TRIM(A2832))&gt;0,((VLOOKUP(TRIM(D2832), CATALOGO!A:B, 2, FALSE) * C2832)*(1-VALUE(SUBSTITUTE(VLOOKUP(TRIM(A2832),'RESTAURANTESDESCUENTOS 2026'!A:B,2,FALSE),"%",""))/100)+I2832),(VLOOKUP(TRIM(D2832), CATALOGO!A:B, 2, FALSE) * C2832+I2832)),""))</f>
        <v/>
      </c>
      <c r="K2832" s="196"/>
      <c r="L2832" s="87"/>
      <c r="M2832" s="245"/>
      <c r="N2832" s="168"/>
    </row>
    <row r="2833" ht="22.5" hidden="1" customHeight="1">
      <c r="A2833" s="137"/>
      <c r="B2833" s="90"/>
      <c r="C2833" s="55"/>
      <c r="D2833" s="193"/>
      <c r="E2833" s="201"/>
      <c r="F2833" s="202"/>
      <c r="G2833" s="194"/>
      <c r="H2833" s="198"/>
      <c r="I2833" s="196"/>
      <c r="J2833" s="179" t="str">
        <f>IF(A2833="RAPPI",(VLOOKUP(TRIM(D2833), CATALOGO!F:G, 2, FALSE) * C2833)+I2833,IFERROR(IF(COUNTIF('RESTAURANTESDESCUENTOS 2026'!A:A,TRIM(A2833))&gt;0,((VLOOKUP(TRIM(D2833), CATALOGO!A:B, 2, FALSE) * C2833)*(1-VALUE(SUBSTITUTE(VLOOKUP(TRIM(A2833),'RESTAURANTESDESCUENTOS 2026'!A:B,2,FALSE),"%",""))/100)+I2833),(VLOOKUP(TRIM(D2833), CATALOGO!A:B, 2, FALSE) * C2833+I2833)),""))</f>
        <v/>
      </c>
      <c r="K2833" s="196"/>
      <c r="L2833" s="87"/>
      <c r="M2833" s="245"/>
      <c r="N2833" s="168"/>
    </row>
    <row r="2834" ht="22.5" hidden="1" customHeight="1">
      <c r="A2834" s="137"/>
      <c r="B2834" s="90"/>
      <c r="C2834" s="55"/>
      <c r="D2834" s="193"/>
      <c r="E2834" s="201"/>
      <c r="F2834" s="202"/>
      <c r="G2834" s="194"/>
      <c r="H2834" s="198"/>
      <c r="I2834" s="196"/>
      <c r="J2834" s="179" t="str">
        <f>IF(A2834="RAPPI",(VLOOKUP(TRIM(D2834), CATALOGO!F:G, 2, FALSE) * C2834)+I2834,IFERROR(IF(COUNTIF('RESTAURANTESDESCUENTOS 2026'!A:A,TRIM(A2834))&gt;0,((VLOOKUP(TRIM(D2834), CATALOGO!A:B, 2, FALSE) * C2834)*(1-VALUE(SUBSTITUTE(VLOOKUP(TRIM(A2834),'RESTAURANTESDESCUENTOS 2026'!A:B,2,FALSE),"%",""))/100)+I2834),(VLOOKUP(TRIM(D2834), CATALOGO!A:B, 2, FALSE) * C2834+I2834)),""))</f>
        <v/>
      </c>
      <c r="K2834" s="196"/>
      <c r="L2834" s="87"/>
      <c r="M2834" s="245"/>
      <c r="N2834" s="168"/>
    </row>
    <row r="2835" ht="22.5" hidden="1" customHeight="1">
      <c r="A2835" s="137"/>
      <c r="B2835" s="90"/>
      <c r="C2835" s="55"/>
      <c r="D2835" s="193"/>
      <c r="E2835" s="201"/>
      <c r="F2835" s="202"/>
      <c r="G2835" s="194"/>
      <c r="H2835" s="198"/>
      <c r="I2835" s="196"/>
      <c r="J2835" s="179" t="str">
        <f>IF(A2835="RAPPI",(VLOOKUP(TRIM(D2835), CATALOGO!F:G, 2, FALSE) * C2835)+I2835,IFERROR(IF(COUNTIF('RESTAURANTESDESCUENTOS 2026'!A:A,TRIM(A2835))&gt;0,((VLOOKUP(TRIM(D2835), CATALOGO!A:B, 2, FALSE) * C2835)*(1-VALUE(SUBSTITUTE(VLOOKUP(TRIM(A2835),'RESTAURANTESDESCUENTOS 2026'!A:B,2,FALSE),"%",""))/100)+I2835),(VLOOKUP(TRIM(D2835), CATALOGO!A:B, 2, FALSE) * C2835+I2835)),""))</f>
        <v/>
      </c>
      <c r="K2835" s="196"/>
      <c r="L2835" s="87"/>
      <c r="M2835" s="245"/>
      <c r="N2835" s="168"/>
    </row>
    <row r="2836" ht="22.5" hidden="1" customHeight="1">
      <c r="A2836" s="137"/>
      <c r="B2836" s="90"/>
      <c r="C2836" s="55"/>
      <c r="D2836" s="193"/>
      <c r="E2836" s="201"/>
      <c r="F2836" s="202"/>
      <c r="G2836" s="194"/>
      <c r="H2836" s="198"/>
      <c r="I2836" s="196"/>
      <c r="J2836" s="179" t="str">
        <f>IF(A2836="RAPPI",(VLOOKUP(TRIM(D2836), CATALOGO!F:G, 2, FALSE) * C2836)+I2836,IFERROR(IF(COUNTIF('RESTAURANTESDESCUENTOS 2026'!A:A,TRIM(A2836))&gt;0,((VLOOKUP(TRIM(D2836), CATALOGO!A:B, 2, FALSE) * C2836)*(1-VALUE(SUBSTITUTE(VLOOKUP(TRIM(A2836),'RESTAURANTESDESCUENTOS 2026'!A:B,2,FALSE),"%",""))/100)+I2836),(VLOOKUP(TRIM(D2836), CATALOGO!A:B, 2, FALSE) * C2836+I2836)),""))</f>
        <v/>
      </c>
      <c r="K2836" s="196"/>
      <c r="L2836" s="87"/>
      <c r="M2836" s="245"/>
      <c r="N2836" s="168"/>
    </row>
    <row r="2837" ht="22.5" hidden="1" customHeight="1">
      <c r="A2837" s="137"/>
      <c r="B2837" s="90"/>
      <c r="C2837" s="55"/>
      <c r="D2837" s="193"/>
      <c r="E2837" s="201"/>
      <c r="F2837" s="202"/>
      <c r="G2837" s="194"/>
      <c r="H2837" s="198"/>
      <c r="I2837" s="196"/>
      <c r="J2837" s="179" t="str">
        <f>IF(A2837="RAPPI",(VLOOKUP(TRIM(D2837), CATALOGO!F:G, 2, FALSE) * C2837)+I2837,IFERROR(IF(COUNTIF('RESTAURANTESDESCUENTOS 2026'!A:A,TRIM(A2837))&gt;0,((VLOOKUP(TRIM(D2837), CATALOGO!A:B, 2, FALSE) * C2837)*(1-VALUE(SUBSTITUTE(VLOOKUP(TRIM(A2837),'RESTAURANTESDESCUENTOS 2026'!A:B,2,FALSE),"%",""))/100)+I2837),(VLOOKUP(TRIM(D2837), CATALOGO!A:B, 2, FALSE) * C2837+I2837)),""))</f>
        <v/>
      </c>
      <c r="K2837" s="196"/>
      <c r="L2837" s="87"/>
      <c r="M2837" s="245"/>
      <c r="N2837" s="168"/>
    </row>
    <row r="2838" ht="22.5" hidden="1" customHeight="1">
      <c r="A2838" s="137"/>
      <c r="B2838" s="90"/>
      <c r="C2838" s="55"/>
      <c r="D2838" s="193"/>
      <c r="E2838" s="201"/>
      <c r="F2838" s="202"/>
      <c r="G2838" s="194"/>
      <c r="H2838" s="198"/>
      <c r="I2838" s="196"/>
      <c r="J2838" s="179" t="str">
        <f>IF(A2838="RAPPI",(VLOOKUP(TRIM(D2838), CATALOGO!F:G, 2, FALSE) * C2838)+I2838,IFERROR(IF(COUNTIF('RESTAURANTESDESCUENTOS 2026'!A:A,TRIM(A2838))&gt;0,((VLOOKUP(TRIM(D2838), CATALOGO!A:B, 2, FALSE) * C2838)*(1-VALUE(SUBSTITUTE(VLOOKUP(TRIM(A2838),'RESTAURANTESDESCUENTOS 2026'!A:B,2,FALSE),"%",""))/100)+I2838),(VLOOKUP(TRIM(D2838), CATALOGO!A:B, 2, FALSE) * C2838+I2838)),""))</f>
        <v/>
      </c>
      <c r="K2838" s="196"/>
      <c r="L2838" s="87"/>
      <c r="M2838" s="245"/>
      <c r="N2838" s="168"/>
    </row>
    <row r="2839" ht="22.5" hidden="1" customHeight="1">
      <c r="A2839" s="137"/>
      <c r="B2839" s="90"/>
      <c r="C2839" s="55"/>
      <c r="D2839" s="193"/>
      <c r="E2839" s="201"/>
      <c r="F2839" s="202"/>
      <c r="G2839" s="194"/>
      <c r="H2839" s="198"/>
      <c r="I2839" s="196"/>
      <c r="J2839" s="179" t="str">
        <f>IF(A2839="RAPPI",(VLOOKUP(TRIM(D2839), CATALOGO!F:G, 2, FALSE) * C2839)+I2839,IFERROR(IF(COUNTIF('RESTAURANTESDESCUENTOS 2026'!A:A,TRIM(A2839))&gt;0,((VLOOKUP(TRIM(D2839), CATALOGO!A:B, 2, FALSE) * C2839)*(1-VALUE(SUBSTITUTE(VLOOKUP(TRIM(A2839),'RESTAURANTESDESCUENTOS 2026'!A:B,2,FALSE),"%",""))/100)+I2839),(VLOOKUP(TRIM(D2839), CATALOGO!A:B, 2, FALSE) * C2839+I2839)),""))</f>
        <v/>
      </c>
      <c r="K2839" s="196"/>
      <c r="L2839" s="87"/>
      <c r="M2839" s="245"/>
      <c r="N2839" s="168"/>
    </row>
    <row r="2840" ht="22.5" hidden="1" customHeight="1">
      <c r="A2840" s="137"/>
      <c r="B2840" s="90"/>
      <c r="C2840" s="55"/>
      <c r="D2840" s="193"/>
      <c r="E2840" s="201"/>
      <c r="F2840" s="202"/>
      <c r="G2840" s="194"/>
      <c r="H2840" s="198"/>
      <c r="I2840" s="196"/>
      <c r="J2840" s="179" t="str">
        <f>IF(A2840="RAPPI",(VLOOKUP(TRIM(D2840), CATALOGO!F:G, 2, FALSE) * C2840)+I2840,IFERROR(IF(COUNTIF('RESTAURANTESDESCUENTOS 2026'!A:A,TRIM(A2840))&gt;0,((VLOOKUP(TRIM(D2840), CATALOGO!A:B, 2, FALSE) * C2840)*(1-VALUE(SUBSTITUTE(VLOOKUP(TRIM(A2840),'RESTAURANTESDESCUENTOS 2026'!A:B,2,FALSE),"%",""))/100)+I2840),(VLOOKUP(TRIM(D2840), CATALOGO!A:B, 2, FALSE) * C2840+I2840)),""))</f>
        <v/>
      </c>
      <c r="K2840" s="196"/>
      <c r="L2840" s="87"/>
      <c r="M2840" s="245"/>
      <c r="N2840" s="168"/>
    </row>
    <row r="2841" ht="22.5" hidden="1" customHeight="1">
      <c r="A2841" s="137"/>
      <c r="B2841" s="90"/>
      <c r="C2841" s="55"/>
      <c r="D2841" s="193"/>
      <c r="E2841" s="201"/>
      <c r="F2841" s="202"/>
      <c r="G2841" s="194"/>
      <c r="H2841" s="198"/>
      <c r="I2841" s="196"/>
      <c r="J2841" s="179" t="str">
        <f>IF(A2841="RAPPI",(VLOOKUP(TRIM(D2841), CATALOGO!F:G, 2, FALSE) * C2841)+I2841,IFERROR(IF(COUNTIF('RESTAURANTESDESCUENTOS 2026'!A:A,TRIM(A2841))&gt;0,((VLOOKUP(TRIM(D2841), CATALOGO!A:B, 2, FALSE) * C2841)*(1-VALUE(SUBSTITUTE(VLOOKUP(TRIM(A2841),'RESTAURANTESDESCUENTOS 2026'!A:B,2,FALSE),"%",""))/100)+I2841),(VLOOKUP(TRIM(D2841), CATALOGO!A:B, 2, FALSE) * C2841+I2841)),""))</f>
        <v/>
      </c>
      <c r="K2841" s="196"/>
      <c r="L2841" s="87"/>
      <c r="M2841" s="245"/>
      <c r="N2841" s="168"/>
    </row>
    <row r="2842" ht="22.5" hidden="1" customHeight="1">
      <c r="A2842" s="137"/>
      <c r="B2842" s="90"/>
      <c r="C2842" s="55"/>
      <c r="D2842" s="193"/>
      <c r="E2842" s="201"/>
      <c r="F2842" s="202"/>
      <c r="G2842" s="194"/>
      <c r="H2842" s="198"/>
      <c r="I2842" s="196"/>
      <c r="J2842" s="179" t="str">
        <f>IF(A2842="RAPPI",(VLOOKUP(TRIM(D2842), CATALOGO!F:G, 2, FALSE) * C2842)+I2842,IFERROR(IF(COUNTIF('RESTAURANTESDESCUENTOS 2026'!A:A,TRIM(A2842))&gt;0,((VLOOKUP(TRIM(D2842), CATALOGO!A:B, 2, FALSE) * C2842)*(1-VALUE(SUBSTITUTE(VLOOKUP(TRIM(A2842),'RESTAURANTESDESCUENTOS 2026'!A:B,2,FALSE),"%",""))/100)+I2842),(VLOOKUP(TRIM(D2842), CATALOGO!A:B, 2, FALSE) * C2842+I2842)),""))</f>
        <v/>
      </c>
      <c r="K2842" s="196"/>
      <c r="L2842" s="87"/>
      <c r="M2842" s="245"/>
      <c r="N2842" s="168"/>
    </row>
    <row r="2843" ht="22.5" hidden="1" customHeight="1">
      <c r="A2843" s="137"/>
      <c r="B2843" s="90"/>
      <c r="C2843" s="55"/>
      <c r="D2843" s="193"/>
      <c r="E2843" s="201"/>
      <c r="F2843" s="202"/>
      <c r="G2843" s="194"/>
      <c r="H2843" s="198"/>
      <c r="I2843" s="196"/>
      <c r="J2843" s="179" t="str">
        <f>IF(A2843="RAPPI",(VLOOKUP(TRIM(D2843), CATALOGO!F:G, 2, FALSE) * C2843)+I2843,IFERROR(IF(COUNTIF('RESTAURANTESDESCUENTOS 2026'!A:A,TRIM(A2843))&gt;0,((VLOOKUP(TRIM(D2843), CATALOGO!A:B, 2, FALSE) * C2843)*(1-VALUE(SUBSTITUTE(VLOOKUP(TRIM(A2843),'RESTAURANTESDESCUENTOS 2026'!A:B,2,FALSE),"%",""))/100)+I2843),(VLOOKUP(TRIM(D2843), CATALOGO!A:B, 2, FALSE) * C2843+I2843)),""))</f>
        <v/>
      </c>
      <c r="K2843" s="196"/>
      <c r="L2843" s="87"/>
      <c r="M2843" s="245"/>
      <c r="N2843" s="168"/>
    </row>
    <row r="2844" ht="22.5" hidden="1" customHeight="1">
      <c r="A2844" s="137"/>
      <c r="B2844" s="90"/>
      <c r="C2844" s="55"/>
      <c r="D2844" s="193"/>
      <c r="E2844" s="201"/>
      <c r="F2844" s="202"/>
      <c r="G2844" s="194"/>
      <c r="H2844" s="198"/>
      <c r="I2844" s="196"/>
      <c r="J2844" s="179" t="str">
        <f>IF(A2844="RAPPI",(VLOOKUP(TRIM(D2844), CATALOGO!F:G, 2, FALSE) * C2844)+I2844,IFERROR(IF(COUNTIF('RESTAURANTESDESCUENTOS 2026'!A:A,TRIM(A2844))&gt;0,((VLOOKUP(TRIM(D2844), CATALOGO!A:B, 2, FALSE) * C2844)*(1-VALUE(SUBSTITUTE(VLOOKUP(TRIM(A2844),'RESTAURANTESDESCUENTOS 2026'!A:B,2,FALSE),"%",""))/100)+I2844),(VLOOKUP(TRIM(D2844), CATALOGO!A:B, 2, FALSE) * C2844+I2844)),""))</f>
        <v/>
      </c>
      <c r="K2844" s="196"/>
      <c r="L2844" s="87"/>
      <c r="M2844" s="245"/>
      <c r="N2844" s="168"/>
    </row>
    <row r="2845" ht="22.5" hidden="1" customHeight="1">
      <c r="A2845" s="137"/>
      <c r="B2845" s="90"/>
      <c r="C2845" s="55"/>
      <c r="D2845" s="193"/>
      <c r="E2845" s="201"/>
      <c r="F2845" s="202"/>
      <c r="G2845" s="194"/>
      <c r="H2845" s="198"/>
      <c r="I2845" s="196"/>
      <c r="J2845" s="179" t="str">
        <f>IF(A2845="RAPPI",(VLOOKUP(TRIM(D2845), CATALOGO!F:G, 2, FALSE) * C2845)+I2845,IFERROR(IF(COUNTIF('RESTAURANTESDESCUENTOS 2026'!A:A,TRIM(A2845))&gt;0,((VLOOKUP(TRIM(D2845), CATALOGO!A:B, 2, FALSE) * C2845)*(1-VALUE(SUBSTITUTE(VLOOKUP(TRIM(A2845),'RESTAURANTESDESCUENTOS 2026'!A:B,2,FALSE),"%",""))/100)+I2845),(VLOOKUP(TRIM(D2845), CATALOGO!A:B, 2, FALSE) * C2845+I2845)),""))</f>
        <v/>
      </c>
      <c r="K2845" s="196"/>
      <c r="L2845" s="87"/>
      <c r="M2845" s="245"/>
      <c r="N2845" s="168"/>
    </row>
    <row r="2846" ht="22.5" hidden="1" customHeight="1">
      <c r="A2846" s="137"/>
      <c r="B2846" s="90"/>
      <c r="C2846" s="55"/>
      <c r="D2846" s="193"/>
      <c r="E2846" s="201"/>
      <c r="F2846" s="202"/>
      <c r="G2846" s="194"/>
      <c r="H2846" s="198"/>
      <c r="I2846" s="196"/>
      <c r="J2846" s="179" t="str">
        <f>IF(A2846="RAPPI",(VLOOKUP(TRIM(D2846), CATALOGO!F:G, 2, FALSE) * C2846)+I2846,IFERROR(IF(COUNTIF('RESTAURANTESDESCUENTOS 2026'!A:A,TRIM(A2846))&gt;0,((VLOOKUP(TRIM(D2846), CATALOGO!A:B, 2, FALSE) * C2846)*(1-VALUE(SUBSTITUTE(VLOOKUP(TRIM(A2846),'RESTAURANTESDESCUENTOS 2026'!A:B,2,FALSE),"%",""))/100)+I2846),(VLOOKUP(TRIM(D2846), CATALOGO!A:B, 2, FALSE) * C2846+I2846)),""))</f>
        <v/>
      </c>
      <c r="K2846" s="196"/>
      <c r="L2846" s="87"/>
      <c r="M2846" s="245"/>
      <c r="N2846" s="168"/>
    </row>
    <row r="2847" ht="22.5" hidden="1" customHeight="1">
      <c r="A2847" s="137"/>
      <c r="B2847" s="90"/>
      <c r="C2847" s="55"/>
      <c r="D2847" s="193"/>
      <c r="E2847" s="201"/>
      <c r="F2847" s="202"/>
      <c r="G2847" s="194"/>
      <c r="H2847" s="198"/>
      <c r="I2847" s="196"/>
      <c r="J2847" s="179" t="str">
        <f>IF(A2847="RAPPI",(VLOOKUP(TRIM(D2847), CATALOGO!F:G, 2, FALSE) * C2847)+I2847,IFERROR(IF(COUNTIF('RESTAURANTESDESCUENTOS 2026'!A:A,TRIM(A2847))&gt;0,((VLOOKUP(TRIM(D2847), CATALOGO!A:B, 2, FALSE) * C2847)*(1-VALUE(SUBSTITUTE(VLOOKUP(TRIM(A2847),'RESTAURANTESDESCUENTOS 2026'!A:B,2,FALSE),"%",""))/100)+I2847),(VLOOKUP(TRIM(D2847), CATALOGO!A:B, 2, FALSE) * C2847+I2847)),""))</f>
        <v/>
      </c>
      <c r="K2847" s="196"/>
      <c r="L2847" s="87"/>
      <c r="M2847" s="245"/>
      <c r="N2847" s="168"/>
    </row>
    <row r="2848" ht="22.5" hidden="1" customHeight="1">
      <c r="A2848" s="137"/>
      <c r="B2848" s="90"/>
      <c r="C2848" s="55"/>
      <c r="D2848" s="193"/>
      <c r="E2848" s="201"/>
      <c r="F2848" s="202"/>
      <c r="G2848" s="194"/>
      <c r="H2848" s="198"/>
      <c r="I2848" s="196"/>
      <c r="J2848" s="179" t="str">
        <f>IF(A2848="RAPPI",(VLOOKUP(TRIM(D2848), CATALOGO!F:G, 2, FALSE) * C2848)+I2848,IFERROR(IF(COUNTIF('RESTAURANTESDESCUENTOS 2026'!A:A,TRIM(A2848))&gt;0,((VLOOKUP(TRIM(D2848), CATALOGO!A:B, 2, FALSE) * C2848)*(1-VALUE(SUBSTITUTE(VLOOKUP(TRIM(A2848),'RESTAURANTESDESCUENTOS 2026'!A:B,2,FALSE),"%",""))/100)+I2848),(VLOOKUP(TRIM(D2848), CATALOGO!A:B, 2, FALSE) * C2848+I2848)),""))</f>
        <v/>
      </c>
      <c r="K2848" s="196"/>
      <c r="L2848" s="87"/>
      <c r="M2848" s="245"/>
      <c r="N2848" s="168"/>
    </row>
    <row r="2849" ht="22.5" hidden="1" customHeight="1">
      <c r="A2849" s="137"/>
      <c r="B2849" s="90"/>
      <c r="C2849" s="55"/>
      <c r="D2849" s="193"/>
      <c r="E2849" s="201"/>
      <c r="F2849" s="202"/>
      <c r="G2849" s="194"/>
      <c r="H2849" s="198"/>
      <c r="I2849" s="196"/>
      <c r="J2849" s="179" t="str">
        <f>IF(A2849="RAPPI",(VLOOKUP(TRIM(D2849), CATALOGO!F:G, 2, FALSE) * C2849)+I2849,IFERROR(IF(COUNTIF('RESTAURANTESDESCUENTOS 2026'!A:A,TRIM(A2849))&gt;0,((VLOOKUP(TRIM(D2849), CATALOGO!A:B, 2, FALSE) * C2849)*(1-VALUE(SUBSTITUTE(VLOOKUP(TRIM(A2849),'RESTAURANTESDESCUENTOS 2026'!A:B,2,FALSE),"%",""))/100)+I2849),(VLOOKUP(TRIM(D2849), CATALOGO!A:B, 2, FALSE) * C2849+I2849)),""))</f>
        <v/>
      </c>
      <c r="K2849" s="196"/>
      <c r="L2849" s="87"/>
      <c r="M2849" s="245"/>
      <c r="N2849" s="168"/>
    </row>
    <row r="2850" ht="22.5" hidden="1" customHeight="1">
      <c r="A2850" s="137"/>
      <c r="B2850" s="90"/>
      <c r="C2850" s="55"/>
      <c r="D2850" s="193"/>
      <c r="E2850" s="201"/>
      <c r="F2850" s="202"/>
      <c r="G2850" s="194"/>
      <c r="H2850" s="198"/>
      <c r="I2850" s="196"/>
      <c r="J2850" s="179" t="str">
        <f>IF(A2850="RAPPI",(VLOOKUP(TRIM(D2850), CATALOGO!F:G, 2, FALSE) * C2850)+I2850,IFERROR(IF(COUNTIF('RESTAURANTESDESCUENTOS 2026'!A:A,TRIM(A2850))&gt;0,((VLOOKUP(TRIM(D2850), CATALOGO!A:B, 2, FALSE) * C2850)*(1-VALUE(SUBSTITUTE(VLOOKUP(TRIM(A2850),'RESTAURANTESDESCUENTOS 2026'!A:B,2,FALSE),"%",""))/100)+I2850),(VLOOKUP(TRIM(D2850), CATALOGO!A:B, 2, FALSE) * C2850+I2850)),""))</f>
        <v/>
      </c>
      <c r="K2850" s="196"/>
      <c r="L2850" s="87"/>
      <c r="M2850" s="245"/>
      <c r="N2850" s="168"/>
    </row>
    <row r="2851" ht="22.5" hidden="1" customHeight="1">
      <c r="A2851" s="137"/>
      <c r="B2851" s="90"/>
      <c r="C2851" s="55"/>
      <c r="D2851" s="193"/>
      <c r="E2851" s="201"/>
      <c r="F2851" s="202"/>
      <c r="G2851" s="194"/>
      <c r="H2851" s="198"/>
      <c r="I2851" s="196"/>
      <c r="J2851" s="179" t="str">
        <f>IF(A2851="RAPPI",(VLOOKUP(TRIM(D2851), CATALOGO!F:G, 2, FALSE) * C2851)+I2851,IFERROR(IF(COUNTIF('RESTAURANTESDESCUENTOS 2026'!A:A,TRIM(A2851))&gt;0,((VLOOKUP(TRIM(D2851), CATALOGO!A:B, 2, FALSE) * C2851)*(1-VALUE(SUBSTITUTE(VLOOKUP(TRIM(A2851),'RESTAURANTESDESCUENTOS 2026'!A:B,2,FALSE),"%",""))/100)+I2851),(VLOOKUP(TRIM(D2851), CATALOGO!A:B, 2, FALSE) * C2851+I2851)),""))</f>
        <v/>
      </c>
      <c r="K2851" s="196"/>
      <c r="L2851" s="87"/>
      <c r="M2851" s="245"/>
      <c r="N2851" s="168"/>
    </row>
    <row r="2852" ht="22.5" hidden="1" customHeight="1">
      <c r="A2852" s="137"/>
      <c r="B2852" s="90"/>
      <c r="C2852" s="55"/>
      <c r="D2852" s="193"/>
      <c r="E2852" s="201"/>
      <c r="F2852" s="202"/>
      <c r="G2852" s="194"/>
      <c r="H2852" s="198"/>
      <c r="I2852" s="196"/>
      <c r="J2852" s="179" t="str">
        <f>IF(A2852="RAPPI",(VLOOKUP(TRIM(D2852), CATALOGO!F:G, 2, FALSE) * C2852)+I2852,IFERROR(IF(COUNTIF('RESTAURANTESDESCUENTOS 2026'!A:A,TRIM(A2852))&gt;0,((VLOOKUP(TRIM(D2852), CATALOGO!A:B, 2, FALSE) * C2852)*(1-VALUE(SUBSTITUTE(VLOOKUP(TRIM(A2852),'RESTAURANTESDESCUENTOS 2026'!A:B,2,FALSE),"%",""))/100)+I2852),(VLOOKUP(TRIM(D2852), CATALOGO!A:B, 2, FALSE) * C2852+I2852)),""))</f>
        <v/>
      </c>
      <c r="K2852" s="196"/>
      <c r="L2852" s="87"/>
      <c r="M2852" s="245"/>
      <c r="N2852" s="168"/>
    </row>
    <row r="2853" ht="22.5" hidden="1" customHeight="1">
      <c r="A2853" s="137"/>
      <c r="B2853" s="90"/>
      <c r="C2853" s="55"/>
      <c r="D2853" s="193"/>
      <c r="E2853" s="201"/>
      <c r="F2853" s="202"/>
      <c r="G2853" s="194"/>
      <c r="H2853" s="198"/>
      <c r="I2853" s="196"/>
      <c r="J2853" s="179" t="str">
        <f>IF(A2853="RAPPI",(VLOOKUP(TRIM(D2853), CATALOGO!F:G, 2, FALSE) * C2853)+I2853,IFERROR(IF(COUNTIF('RESTAURANTESDESCUENTOS 2026'!A:A,TRIM(A2853))&gt;0,((VLOOKUP(TRIM(D2853), CATALOGO!A:B, 2, FALSE) * C2853)*(1-VALUE(SUBSTITUTE(VLOOKUP(TRIM(A2853),'RESTAURANTESDESCUENTOS 2026'!A:B,2,FALSE),"%",""))/100)+I2853),(VLOOKUP(TRIM(D2853), CATALOGO!A:B, 2, FALSE) * C2853+I2853)),""))</f>
        <v/>
      </c>
      <c r="K2853" s="196"/>
      <c r="L2853" s="87"/>
      <c r="M2853" s="245"/>
      <c r="N2853" s="168"/>
    </row>
    <row r="2854" ht="22.5" hidden="1" customHeight="1">
      <c r="A2854" s="137"/>
      <c r="B2854" s="90"/>
      <c r="C2854" s="55"/>
      <c r="D2854" s="193"/>
      <c r="E2854" s="201"/>
      <c r="F2854" s="202"/>
      <c r="G2854" s="194"/>
      <c r="H2854" s="198"/>
      <c r="I2854" s="196"/>
      <c r="J2854" s="179" t="str">
        <f>IF(A2854="RAPPI",(VLOOKUP(TRIM(D2854), CATALOGO!F:G, 2, FALSE) * C2854)+I2854,IFERROR(IF(COUNTIF('RESTAURANTESDESCUENTOS 2026'!A:A,TRIM(A2854))&gt;0,((VLOOKUP(TRIM(D2854), CATALOGO!A:B, 2, FALSE) * C2854)*(1-VALUE(SUBSTITUTE(VLOOKUP(TRIM(A2854),'RESTAURANTESDESCUENTOS 2026'!A:B,2,FALSE),"%",""))/100)+I2854),(VLOOKUP(TRIM(D2854), CATALOGO!A:B, 2, FALSE) * C2854+I2854)),""))</f>
        <v/>
      </c>
      <c r="K2854" s="196"/>
      <c r="L2854" s="87"/>
      <c r="M2854" s="245"/>
      <c r="N2854" s="168"/>
    </row>
    <row r="2855" ht="22.5" hidden="1" customHeight="1">
      <c r="A2855" s="137"/>
      <c r="B2855" s="90"/>
      <c r="C2855" s="55"/>
      <c r="D2855" s="193"/>
      <c r="E2855" s="201"/>
      <c r="F2855" s="202"/>
      <c r="G2855" s="194"/>
      <c r="H2855" s="198"/>
      <c r="I2855" s="196"/>
      <c r="J2855" s="179" t="str">
        <f>IF(A2855="RAPPI",(VLOOKUP(TRIM(D2855), CATALOGO!F:G, 2, FALSE) * C2855)+I2855,IFERROR(IF(COUNTIF('RESTAURANTESDESCUENTOS 2026'!A:A,TRIM(A2855))&gt;0,((VLOOKUP(TRIM(D2855), CATALOGO!A:B, 2, FALSE) * C2855)*(1-VALUE(SUBSTITUTE(VLOOKUP(TRIM(A2855),'RESTAURANTESDESCUENTOS 2026'!A:B,2,FALSE),"%",""))/100)+I2855),(VLOOKUP(TRIM(D2855), CATALOGO!A:B, 2, FALSE) * C2855+I2855)),""))</f>
        <v/>
      </c>
      <c r="K2855" s="196"/>
      <c r="L2855" s="87"/>
      <c r="M2855" s="245"/>
      <c r="N2855" s="168"/>
    </row>
    <row r="2856" ht="22.5" hidden="1" customHeight="1">
      <c r="A2856" s="137"/>
      <c r="B2856" s="90"/>
      <c r="C2856" s="55"/>
      <c r="D2856" s="193"/>
      <c r="E2856" s="201"/>
      <c r="F2856" s="202"/>
      <c r="G2856" s="194"/>
      <c r="H2856" s="198"/>
      <c r="I2856" s="196"/>
      <c r="J2856" s="179" t="str">
        <f>IF(A2856="RAPPI",(VLOOKUP(TRIM(D2856), CATALOGO!F:G, 2, FALSE) * C2856)+I2856,IFERROR(IF(COUNTIF('RESTAURANTESDESCUENTOS 2026'!A:A,TRIM(A2856))&gt;0,((VLOOKUP(TRIM(D2856), CATALOGO!A:B, 2, FALSE) * C2856)*(1-VALUE(SUBSTITUTE(VLOOKUP(TRIM(A2856),'RESTAURANTESDESCUENTOS 2026'!A:B,2,FALSE),"%",""))/100)+I2856),(VLOOKUP(TRIM(D2856), CATALOGO!A:B, 2, FALSE) * C2856+I2856)),""))</f>
        <v/>
      </c>
      <c r="K2856" s="196"/>
      <c r="L2856" s="87"/>
      <c r="M2856" s="245"/>
      <c r="N2856" s="168"/>
    </row>
    <row r="2857" ht="22.5" hidden="1" customHeight="1">
      <c r="A2857" s="137"/>
      <c r="B2857" s="90"/>
      <c r="C2857" s="55"/>
      <c r="D2857" s="193"/>
      <c r="E2857" s="201"/>
      <c r="F2857" s="202"/>
      <c r="G2857" s="194"/>
      <c r="H2857" s="198"/>
      <c r="I2857" s="196"/>
      <c r="J2857" s="179" t="str">
        <f>IF(A2857="RAPPI",(VLOOKUP(TRIM(D2857), CATALOGO!F:G, 2, FALSE) * C2857)+I2857,IFERROR(IF(COUNTIF('RESTAURANTESDESCUENTOS 2026'!A:A,TRIM(A2857))&gt;0,((VLOOKUP(TRIM(D2857), CATALOGO!A:B, 2, FALSE) * C2857)*(1-VALUE(SUBSTITUTE(VLOOKUP(TRIM(A2857),'RESTAURANTESDESCUENTOS 2026'!A:B,2,FALSE),"%",""))/100)+I2857),(VLOOKUP(TRIM(D2857), CATALOGO!A:B, 2, FALSE) * C2857+I2857)),""))</f>
        <v/>
      </c>
      <c r="K2857" s="196"/>
      <c r="L2857" s="87"/>
      <c r="M2857" s="245"/>
      <c r="N2857" s="168"/>
    </row>
    <row r="2858" ht="22.5" hidden="1" customHeight="1">
      <c r="A2858" s="137"/>
      <c r="B2858" s="90"/>
      <c r="C2858" s="55"/>
      <c r="D2858" s="193"/>
      <c r="E2858" s="201"/>
      <c r="F2858" s="202"/>
      <c r="G2858" s="194"/>
      <c r="H2858" s="198"/>
      <c r="I2858" s="196"/>
      <c r="J2858" s="179" t="str">
        <f>IF(A2858="RAPPI",(VLOOKUP(TRIM(D2858), CATALOGO!F:G, 2, FALSE) * C2858)+I2858,IFERROR(IF(COUNTIF('RESTAURANTESDESCUENTOS 2026'!A:A,TRIM(A2858))&gt;0,((VLOOKUP(TRIM(D2858), CATALOGO!A:B, 2, FALSE) * C2858)*(1-VALUE(SUBSTITUTE(VLOOKUP(TRIM(A2858),'RESTAURANTESDESCUENTOS 2026'!A:B,2,FALSE),"%",""))/100)+I2858),(VLOOKUP(TRIM(D2858), CATALOGO!A:B, 2, FALSE) * C2858+I2858)),""))</f>
        <v/>
      </c>
      <c r="K2858" s="196"/>
      <c r="L2858" s="87"/>
      <c r="M2858" s="245"/>
      <c r="N2858" s="168"/>
    </row>
    <row r="2859" ht="22.5" hidden="1" customHeight="1">
      <c r="A2859" s="137"/>
      <c r="B2859" s="90"/>
      <c r="C2859" s="55"/>
      <c r="D2859" s="193"/>
      <c r="E2859" s="201"/>
      <c r="F2859" s="202"/>
      <c r="G2859" s="194"/>
      <c r="H2859" s="198"/>
      <c r="I2859" s="196"/>
      <c r="J2859" s="179" t="str">
        <f>IF(A2859="RAPPI",(VLOOKUP(TRIM(D2859), CATALOGO!F:G, 2, FALSE) * C2859)+I2859,IFERROR(IF(COUNTIF('RESTAURANTESDESCUENTOS 2026'!A:A,TRIM(A2859))&gt;0,((VLOOKUP(TRIM(D2859), CATALOGO!A:B, 2, FALSE) * C2859)*(1-VALUE(SUBSTITUTE(VLOOKUP(TRIM(A2859),'RESTAURANTESDESCUENTOS 2026'!A:B,2,FALSE),"%",""))/100)+I2859),(VLOOKUP(TRIM(D2859), CATALOGO!A:B, 2, FALSE) * C2859+I2859)),""))</f>
        <v/>
      </c>
      <c r="K2859" s="196"/>
      <c r="L2859" s="87"/>
      <c r="M2859" s="245"/>
      <c r="N2859" s="168"/>
    </row>
    <row r="2860" ht="22.5" hidden="1" customHeight="1">
      <c r="A2860" s="137"/>
      <c r="B2860" s="90"/>
      <c r="C2860" s="55"/>
      <c r="D2860" s="193"/>
      <c r="E2860" s="201"/>
      <c r="F2860" s="202"/>
      <c r="G2860" s="194"/>
      <c r="H2860" s="198"/>
      <c r="I2860" s="196"/>
      <c r="J2860" s="179" t="str">
        <f>IF(A2860="RAPPI",(VLOOKUP(TRIM(D2860), CATALOGO!F:G, 2, FALSE) * C2860)+I2860,IFERROR(IF(COUNTIF('RESTAURANTESDESCUENTOS 2026'!A:A,TRIM(A2860))&gt;0,((VLOOKUP(TRIM(D2860), CATALOGO!A:B, 2, FALSE) * C2860)*(1-VALUE(SUBSTITUTE(VLOOKUP(TRIM(A2860),'RESTAURANTESDESCUENTOS 2026'!A:B,2,FALSE),"%",""))/100)+I2860),(VLOOKUP(TRIM(D2860), CATALOGO!A:B, 2, FALSE) * C2860+I2860)),""))</f>
        <v/>
      </c>
      <c r="K2860" s="196"/>
      <c r="L2860" s="87"/>
      <c r="M2860" s="245"/>
      <c r="N2860" s="168"/>
    </row>
    <row r="2861" ht="22.5" hidden="1" customHeight="1">
      <c r="A2861" s="137"/>
      <c r="B2861" s="90"/>
      <c r="C2861" s="55"/>
      <c r="D2861" s="193"/>
      <c r="E2861" s="201"/>
      <c r="F2861" s="202"/>
      <c r="G2861" s="194"/>
      <c r="H2861" s="198"/>
      <c r="I2861" s="196"/>
      <c r="J2861" s="179" t="str">
        <f>IF(A2861="RAPPI",(VLOOKUP(TRIM(D2861), CATALOGO!F:G, 2, FALSE) * C2861)+I2861,IFERROR(IF(COUNTIF('RESTAURANTESDESCUENTOS 2026'!A:A,TRIM(A2861))&gt;0,((VLOOKUP(TRIM(D2861), CATALOGO!A:B, 2, FALSE) * C2861)*(1-VALUE(SUBSTITUTE(VLOOKUP(TRIM(A2861),'RESTAURANTESDESCUENTOS 2026'!A:B,2,FALSE),"%",""))/100)+I2861),(VLOOKUP(TRIM(D2861), CATALOGO!A:B, 2, FALSE) * C2861+I2861)),""))</f>
        <v/>
      </c>
      <c r="K2861" s="196"/>
      <c r="L2861" s="87"/>
      <c r="M2861" s="245"/>
      <c r="N2861" s="168"/>
    </row>
    <row r="2862" ht="22.5" hidden="1" customHeight="1">
      <c r="A2862" s="137"/>
      <c r="B2862" s="90"/>
      <c r="C2862" s="55"/>
      <c r="D2862" s="193"/>
      <c r="E2862" s="201"/>
      <c r="F2862" s="202"/>
      <c r="G2862" s="194"/>
      <c r="H2862" s="198"/>
      <c r="I2862" s="196"/>
      <c r="J2862" s="179" t="str">
        <f>IF(A2862="RAPPI",(VLOOKUP(TRIM(D2862), CATALOGO!F:G, 2, FALSE) * C2862)+I2862,IFERROR(IF(COUNTIF('RESTAURANTESDESCUENTOS 2026'!A:A,TRIM(A2862))&gt;0,((VLOOKUP(TRIM(D2862), CATALOGO!A:B, 2, FALSE) * C2862)*(1-VALUE(SUBSTITUTE(VLOOKUP(TRIM(A2862),'RESTAURANTESDESCUENTOS 2026'!A:B,2,FALSE),"%",""))/100)+I2862),(VLOOKUP(TRIM(D2862), CATALOGO!A:B, 2, FALSE) * C2862+I2862)),""))</f>
        <v/>
      </c>
      <c r="K2862" s="196"/>
      <c r="L2862" s="87"/>
      <c r="M2862" s="245"/>
      <c r="N2862" s="168"/>
    </row>
    <row r="2863" ht="22.5" hidden="1" customHeight="1">
      <c r="A2863" s="137"/>
      <c r="B2863" s="90"/>
      <c r="C2863" s="55"/>
      <c r="D2863" s="193"/>
      <c r="E2863" s="201"/>
      <c r="F2863" s="202"/>
      <c r="G2863" s="194"/>
      <c r="H2863" s="198"/>
      <c r="I2863" s="196"/>
      <c r="J2863" s="179" t="str">
        <f>IF(A2863="RAPPI",(VLOOKUP(TRIM(D2863), CATALOGO!F:G, 2, FALSE) * C2863)+I2863,IFERROR(IF(COUNTIF('RESTAURANTESDESCUENTOS 2026'!A:A,TRIM(A2863))&gt;0,((VLOOKUP(TRIM(D2863), CATALOGO!A:B, 2, FALSE) * C2863)*(1-VALUE(SUBSTITUTE(VLOOKUP(TRIM(A2863),'RESTAURANTESDESCUENTOS 2026'!A:B,2,FALSE),"%",""))/100)+I2863),(VLOOKUP(TRIM(D2863), CATALOGO!A:B, 2, FALSE) * C2863+I2863)),""))</f>
        <v/>
      </c>
      <c r="K2863" s="196"/>
      <c r="L2863" s="87"/>
      <c r="M2863" s="245"/>
      <c r="N2863" s="168"/>
    </row>
    <row r="2864" ht="22.5" hidden="1" customHeight="1">
      <c r="A2864" s="137"/>
      <c r="B2864" s="90"/>
      <c r="C2864" s="55"/>
      <c r="D2864" s="193"/>
      <c r="E2864" s="201"/>
      <c r="F2864" s="202"/>
      <c r="G2864" s="194"/>
      <c r="H2864" s="198"/>
      <c r="I2864" s="196"/>
      <c r="J2864" s="179" t="str">
        <f>IF(A2864="RAPPI",(VLOOKUP(TRIM(D2864), CATALOGO!F:G, 2, FALSE) * C2864)+I2864,IFERROR(IF(COUNTIF('RESTAURANTESDESCUENTOS 2026'!A:A,TRIM(A2864))&gt;0,((VLOOKUP(TRIM(D2864), CATALOGO!A:B, 2, FALSE) * C2864)*(1-VALUE(SUBSTITUTE(VLOOKUP(TRIM(A2864),'RESTAURANTESDESCUENTOS 2026'!A:B,2,FALSE),"%",""))/100)+I2864),(VLOOKUP(TRIM(D2864), CATALOGO!A:B, 2, FALSE) * C2864+I2864)),""))</f>
        <v/>
      </c>
      <c r="K2864" s="196"/>
      <c r="L2864" s="87"/>
      <c r="M2864" s="245"/>
      <c r="N2864" s="168"/>
    </row>
    <row r="2865" ht="22.5" hidden="1" customHeight="1">
      <c r="A2865" s="137"/>
      <c r="B2865" s="90"/>
      <c r="C2865" s="55"/>
      <c r="D2865" s="193"/>
      <c r="E2865" s="201"/>
      <c r="F2865" s="202"/>
      <c r="G2865" s="194"/>
      <c r="H2865" s="198"/>
      <c r="I2865" s="196"/>
      <c r="J2865" s="179" t="str">
        <f>IF(A2865="RAPPI",(VLOOKUP(TRIM(D2865), CATALOGO!F:G, 2, FALSE) * C2865)+I2865,IFERROR(IF(COUNTIF('RESTAURANTESDESCUENTOS 2026'!A:A,TRIM(A2865))&gt;0,((VLOOKUP(TRIM(D2865), CATALOGO!A:B, 2, FALSE) * C2865)*(1-VALUE(SUBSTITUTE(VLOOKUP(TRIM(A2865),'RESTAURANTESDESCUENTOS 2026'!A:B,2,FALSE),"%",""))/100)+I2865),(VLOOKUP(TRIM(D2865), CATALOGO!A:B, 2, FALSE) * C2865+I2865)),""))</f>
        <v/>
      </c>
      <c r="K2865" s="196"/>
      <c r="L2865" s="87"/>
      <c r="M2865" s="245"/>
      <c r="N2865" s="168"/>
    </row>
    <row r="2866" ht="22.5" hidden="1" customHeight="1">
      <c r="A2866" s="137"/>
      <c r="B2866" s="90"/>
      <c r="C2866" s="55"/>
      <c r="D2866" s="193"/>
      <c r="E2866" s="201"/>
      <c r="F2866" s="202"/>
      <c r="G2866" s="194"/>
      <c r="H2866" s="198"/>
      <c r="I2866" s="196"/>
      <c r="J2866" s="179" t="str">
        <f>IF(A2866="RAPPI",(VLOOKUP(TRIM(D2866), CATALOGO!F:G, 2, FALSE) * C2866)+I2866,IFERROR(IF(COUNTIF('RESTAURANTESDESCUENTOS 2026'!A:A,TRIM(A2866))&gt;0,((VLOOKUP(TRIM(D2866), CATALOGO!A:B, 2, FALSE) * C2866)*(1-VALUE(SUBSTITUTE(VLOOKUP(TRIM(A2866),'RESTAURANTESDESCUENTOS 2026'!A:B,2,FALSE),"%",""))/100)+I2866),(VLOOKUP(TRIM(D2866), CATALOGO!A:B, 2, FALSE) * C2866+I2866)),""))</f>
        <v/>
      </c>
      <c r="K2866" s="196"/>
      <c r="L2866" s="87"/>
      <c r="M2866" s="245"/>
      <c r="N2866" s="168"/>
    </row>
    <row r="2867" ht="22.5" hidden="1" customHeight="1">
      <c r="A2867" s="137"/>
      <c r="B2867" s="90"/>
      <c r="C2867" s="55"/>
      <c r="D2867" s="193"/>
      <c r="E2867" s="201"/>
      <c r="F2867" s="202"/>
      <c r="G2867" s="194"/>
      <c r="H2867" s="198"/>
      <c r="I2867" s="196"/>
      <c r="J2867" s="179" t="str">
        <f>IF(A2867="RAPPI",(VLOOKUP(TRIM(D2867), CATALOGO!F:G, 2, FALSE) * C2867)+I2867,IFERROR(IF(COUNTIF('RESTAURANTESDESCUENTOS 2026'!A:A,TRIM(A2867))&gt;0,((VLOOKUP(TRIM(D2867), CATALOGO!A:B, 2, FALSE) * C2867)*(1-VALUE(SUBSTITUTE(VLOOKUP(TRIM(A2867),'RESTAURANTESDESCUENTOS 2026'!A:B,2,FALSE),"%",""))/100)+I2867),(VLOOKUP(TRIM(D2867), CATALOGO!A:B, 2, FALSE) * C2867+I2867)),""))</f>
        <v/>
      </c>
      <c r="K2867" s="196"/>
      <c r="L2867" s="87"/>
      <c r="M2867" s="245"/>
      <c r="N2867" s="168"/>
    </row>
    <row r="2868" ht="22.5" hidden="1" customHeight="1">
      <c r="A2868" s="137"/>
      <c r="B2868" s="90"/>
      <c r="C2868" s="55"/>
      <c r="D2868" s="193"/>
      <c r="E2868" s="201"/>
      <c r="F2868" s="202"/>
      <c r="G2868" s="194"/>
      <c r="H2868" s="198"/>
      <c r="I2868" s="196"/>
      <c r="J2868" s="179" t="str">
        <f>IF(A2868="RAPPI",(VLOOKUP(TRIM(D2868), CATALOGO!F:G, 2, FALSE) * C2868)+I2868,IFERROR(IF(COUNTIF('RESTAURANTESDESCUENTOS 2026'!A:A,TRIM(A2868))&gt;0,((VLOOKUP(TRIM(D2868), CATALOGO!A:B, 2, FALSE) * C2868)*(1-VALUE(SUBSTITUTE(VLOOKUP(TRIM(A2868),'RESTAURANTESDESCUENTOS 2026'!A:B,2,FALSE),"%",""))/100)+I2868),(VLOOKUP(TRIM(D2868), CATALOGO!A:B, 2, FALSE) * C2868+I2868)),""))</f>
        <v/>
      </c>
      <c r="K2868" s="196"/>
      <c r="L2868" s="87"/>
      <c r="M2868" s="245"/>
      <c r="N2868" s="168"/>
    </row>
    <row r="2869" ht="22.5" hidden="1" customHeight="1">
      <c r="A2869" s="137"/>
      <c r="B2869" s="90"/>
      <c r="C2869" s="55"/>
      <c r="D2869" s="193"/>
      <c r="E2869" s="201"/>
      <c r="F2869" s="202"/>
      <c r="G2869" s="194"/>
      <c r="H2869" s="198"/>
      <c r="I2869" s="196"/>
      <c r="J2869" s="179" t="str">
        <f>IF(A2869="RAPPI",(VLOOKUP(TRIM(D2869), CATALOGO!F:G, 2, FALSE) * C2869)+I2869,IFERROR(IF(COUNTIF('RESTAURANTESDESCUENTOS 2026'!A:A,TRIM(A2869))&gt;0,((VLOOKUP(TRIM(D2869), CATALOGO!A:B, 2, FALSE) * C2869)*(1-VALUE(SUBSTITUTE(VLOOKUP(TRIM(A2869),'RESTAURANTESDESCUENTOS 2026'!A:B,2,FALSE),"%",""))/100)+I2869),(VLOOKUP(TRIM(D2869), CATALOGO!A:B, 2, FALSE) * C2869+I2869)),""))</f>
        <v/>
      </c>
      <c r="K2869" s="196"/>
      <c r="L2869" s="87"/>
      <c r="M2869" s="245"/>
      <c r="N2869" s="168"/>
    </row>
    <row r="2870" ht="22.5" hidden="1" customHeight="1">
      <c r="A2870" s="137"/>
      <c r="B2870" s="90"/>
      <c r="C2870" s="55"/>
      <c r="D2870" s="193"/>
      <c r="E2870" s="201"/>
      <c r="F2870" s="202"/>
      <c r="G2870" s="194"/>
      <c r="H2870" s="198"/>
      <c r="I2870" s="196"/>
      <c r="J2870" s="179" t="str">
        <f>IF(A2870="RAPPI",(VLOOKUP(TRIM(D2870), CATALOGO!F:G, 2, FALSE) * C2870)+I2870,IFERROR(IF(COUNTIF('RESTAURANTESDESCUENTOS 2026'!A:A,TRIM(A2870))&gt;0,((VLOOKUP(TRIM(D2870), CATALOGO!A:B, 2, FALSE) * C2870)*(1-VALUE(SUBSTITUTE(VLOOKUP(TRIM(A2870),'RESTAURANTESDESCUENTOS 2026'!A:B,2,FALSE),"%",""))/100)+I2870),(VLOOKUP(TRIM(D2870), CATALOGO!A:B, 2, FALSE) * C2870+I2870)),""))</f>
        <v/>
      </c>
      <c r="K2870" s="196"/>
      <c r="L2870" s="87"/>
      <c r="M2870" s="245"/>
      <c r="N2870" s="168"/>
    </row>
    <row r="2871" ht="22.5" hidden="1" customHeight="1">
      <c r="A2871" s="137"/>
      <c r="B2871" s="90"/>
      <c r="C2871" s="55"/>
      <c r="D2871" s="193"/>
      <c r="E2871" s="201"/>
      <c r="F2871" s="202"/>
      <c r="G2871" s="194"/>
      <c r="H2871" s="198"/>
      <c r="I2871" s="196"/>
      <c r="J2871" s="179" t="str">
        <f>IF(A2871="RAPPI",(VLOOKUP(TRIM(D2871), CATALOGO!F:G, 2, FALSE) * C2871)+I2871,IFERROR(IF(COUNTIF('RESTAURANTESDESCUENTOS 2026'!A:A,TRIM(A2871))&gt;0,((VLOOKUP(TRIM(D2871), CATALOGO!A:B, 2, FALSE) * C2871)*(1-VALUE(SUBSTITUTE(VLOOKUP(TRIM(A2871),'RESTAURANTESDESCUENTOS 2026'!A:B,2,FALSE),"%",""))/100)+I2871),(VLOOKUP(TRIM(D2871), CATALOGO!A:B, 2, FALSE) * C2871+I2871)),""))</f>
        <v/>
      </c>
      <c r="K2871" s="196"/>
      <c r="L2871" s="87"/>
      <c r="M2871" s="245"/>
      <c r="N2871" s="168"/>
    </row>
    <row r="2872" ht="22.5" hidden="1" customHeight="1">
      <c r="A2872" s="137"/>
      <c r="B2872" s="90"/>
      <c r="C2872" s="55"/>
      <c r="D2872" s="193"/>
      <c r="E2872" s="201"/>
      <c r="F2872" s="202"/>
      <c r="G2872" s="194"/>
      <c r="H2872" s="198"/>
      <c r="I2872" s="196"/>
      <c r="J2872" s="179" t="str">
        <f>IF(A2872="RAPPI",(VLOOKUP(TRIM(D2872), CATALOGO!F:G, 2, FALSE) * C2872)+I2872,IFERROR(IF(COUNTIF('RESTAURANTESDESCUENTOS 2026'!A:A,TRIM(A2872))&gt;0,((VLOOKUP(TRIM(D2872), CATALOGO!A:B, 2, FALSE) * C2872)*(1-VALUE(SUBSTITUTE(VLOOKUP(TRIM(A2872),'RESTAURANTESDESCUENTOS 2026'!A:B,2,FALSE),"%",""))/100)+I2872),(VLOOKUP(TRIM(D2872), CATALOGO!A:B, 2, FALSE) * C2872+I2872)),""))</f>
        <v/>
      </c>
      <c r="K2872" s="196"/>
      <c r="L2872" s="87"/>
      <c r="M2872" s="245"/>
      <c r="N2872" s="168"/>
    </row>
    <row r="2873" ht="22.5" hidden="1" customHeight="1">
      <c r="A2873" s="137"/>
      <c r="B2873" s="90"/>
      <c r="C2873" s="55"/>
      <c r="D2873" s="193"/>
      <c r="E2873" s="201"/>
      <c r="F2873" s="202"/>
      <c r="G2873" s="194"/>
      <c r="H2873" s="198"/>
      <c r="I2873" s="196"/>
      <c r="J2873" s="179" t="str">
        <f>IF(A2873="RAPPI",(VLOOKUP(TRIM(D2873), CATALOGO!F:G, 2, FALSE) * C2873)+I2873,IFERROR(IF(COUNTIF('RESTAURANTESDESCUENTOS 2026'!A:A,TRIM(A2873))&gt;0,((VLOOKUP(TRIM(D2873), CATALOGO!A:B, 2, FALSE) * C2873)*(1-VALUE(SUBSTITUTE(VLOOKUP(TRIM(A2873),'RESTAURANTESDESCUENTOS 2026'!A:B,2,FALSE),"%",""))/100)+I2873),(VLOOKUP(TRIM(D2873), CATALOGO!A:B, 2, FALSE) * C2873+I2873)),""))</f>
        <v/>
      </c>
      <c r="K2873" s="196"/>
      <c r="L2873" s="87"/>
      <c r="M2873" s="245"/>
      <c r="N2873" s="168"/>
    </row>
    <row r="2874" ht="22.5" hidden="1" customHeight="1">
      <c r="A2874" s="137"/>
      <c r="B2874" s="90"/>
      <c r="C2874" s="55"/>
      <c r="D2874" s="193"/>
      <c r="E2874" s="201"/>
      <c r="F2874" s="202"/>
      <c r="G2874" s="194"/>
      <c r="H2874" s="198"/>
      <c r="I2874" s="196"/>
      <c r="J2874" s="179" t="str">
        <f>IF(A2874="RAPPI",(VLOOKUP(TRIM(D2874), CATALOGO!F:G, 2, FALSE) * C2874)+I2874,IFERROR(IF(COUNTIF('RESTAURANTESDESCUENTOS 2026'!A:A,TRIM(A2874))&gt;0,((VLOOKUP(TRIM(D2874), CATALOGO!A:B, 2, FALSE) * C2874)*(1-VALUE(SUBSTITUTE(VLOOKUP(TRIM(A2874),'RESTAURANTESDESCUENTOS 2026'!A:B,2,FALSE),"%",""))/100)+I2874),(VLOOKUP(TRIM(D2874), CATALOGO!A:B, 2, FALSE) * C2874+I2874)),""))</f>
        <v/>
      </c>
      <c r="K2874" s="196"/>
      <c r="L2874" s="87"/>
      <c r="M2874" s="245"/>
      <c r="N2874" s="168"/>
    </row>
    <row r="2875" ht="22.5" hidden="1" customHeight="1">
      <c r="A2875" s="137"/>
      <c r="B2875" s="90"/>
      <c r="C2875" s="55"/>
      <c r="D2875" s="193"/>
      <c r="E2875" s="201"/>
      <c r="F2875" s="202"/>
      <c r="G2875" s="194"/>
      <c r="H2875" s="198"/>
      <c r="I2875" s="196"/>
      <c r="J2875" s="179" t="str">
        <f>IF(A2875="RAPPI",(VLOOKUP(TRIM(D2875), CATALOGO!F:G, 2, FALSE) * C2875)+I2875,IFERROR(IF(COUNTIF('RESTAURANTESDESCUENTOS 2026'!A:A,TRIM(A2875))&gt;0,((VLOOKUP(TRIM(D2875), CATALOGO!A:B, 2, FALSE) * C2875)*(1-VALUE(SUBSTITUTE(VLOOKUP(TRIM(A2875),'RESTAURANTESDESCUENTOS 2026'!A:B,2,FALSE),"%",""))/100)+I2875),(VLOOKUP(TRIM(D2875), CATALOGO!A:B, 2, FALSE) * C2875+I2875)),""))</f>
        <v/>
      </c>
      <c r="K2875" s="196"/>
      <c r="L2875" s="87"/>
      <c r="M2875" s="245"/>
      <c r="N2875" s="168"/>
    </row>
    <row r="2876" ht="22.5" hidden="1" customHeight="1">
      <c r="A2876" s="137"/>
      <c r="B2876" s="90"/>
      <c r="C2876" s="55"/>
      <c r="D2876" s="193"/>
      <c r="E2876" s="201"/>
      <c r="F2876" s="202"/>
      <c r="G2876" s="194"/>
      <c r="H2876" s="198"/>
      <c r="I2876" s="196"/>
      <c r="J2876" s="179" t="str">
        <f>IF(A2876="RAPPI",(VLOOKUP(TRIM(D2876), CATALOGO!F:G, 2, FALSE) * C2876)+I2876,IFERROR(IF(COUNTIF('RESTAURANTESDESCUENTOS 2026'!A:A,TRIM(A2876))&gt;0,((VLOOKUP(TRIM(D2876), CATALOGO!A:B, 2, FALSE) * C2876)*(1-VALUE(SUBSTITUTE(VLOOKUP(TRIM(A2876),'RESTAURANTESDESCUENTOS 2026'!A:B,2,FALSE),"%",""))/100)+I2876),(VLOOKUP(TRIM(D2876), CATALOGO!A:B, 2, FALSE) * C2876+I2876)),""))</f>
        <v/>
      </c>
      <c r="K2876" s="196"/>
      <c r="L2876" s="87"/>
      <c r="M2876" s="245"/>
      <c r="N2876" s="168"/>
    </row>
    <row r="2877" ht="22.5" hidden="1" customHeight="1">
      <c r="A2877" s="137"/>
      <c r="B2877" s="90"/>
      <c r="C2877" s="55"/>
      <c r="D2877" s="193"/>
      <c r="E2877" s="201"/>
      <c r="F2877" s="202"/>
      <c r="G2877" s="194"/>
      <c r="H2877" s="198"/>
      <c r="I2877" s="196"/>
      <c r="J2877" s="179" t="str">
        <f>IF(A2877="RAPPI",(VLOOKUP(TRIM(D2877), CATALOGO!F:G, 2, FALSE) * C2877)+I2877,IFERROR(IF(COUNTIF('RESTAURANTESDESCUENTOS 2026'!A:A,TRIM(A2877))&gt;0,((VLOOKUP(TRIM(D2877), CATALOGO!A:B, 2, FALSE) * C2877)*(1-VALUE(SUBSTITUTE(VLOOKUP(TRIM(A2877),'RESTAURANTESDESCUENTOS 2026'!A:B,2,FALSE),"%",""))/100)+I2877),(VLOOKUP(TRIM(D2877), CATALOGO!A:B, 2, FALSE) * C2877+I2877)),""))</f>
        <v/>
      </c>
      <c r="K2877" s="196"/>
      <c r="L2877" s="87"/>
      <c r="M2877" s="245"/>
      <c r="N2877" s="168"/>
    </row>
    <row r="2878" ht="22.5" hidden="1" customHeight="1">
      <c r="A2878" s="137"/>
      <c r="B2878" s="90"/>
      <c r="C2878" s="55"/>
      <c r="D2878" s="193"/>
      <c r="E2878" s="201"/>
      <c r="F2878" s="202"/>
      <c r="G2878" s="194"/>
      <c r="H2878" s="198"/>
      <c r="I2878" s="196"/>
      <c r="J2878" s="179" t="str">
        <f>IF(A2878="RAPPI",(VLOOKUP(TRIM(D2878), CATALOGO!F:G, 2, FALSE) * C2878)+I2878,IFERROR(IF(COUNTIF('RESTAURANTESDESCUENTOS 2026'!A:A,TRIM(A2878))&gt;0,((VLOOKUP(TRIM(D2878), CATALOGO!A:B, 2, FALSE) * C2878)*(1-VALUE(SUBSTITUTE(VLOOKUP(TRIM(A2878),'RESTAURANTESDESCUENTOS 2026'!A:B,2,FALSE),"%",""))/100)+I2878),(VLOOKUP(TRIM(D2878), CATALOGO!A:B, 2, FALSE) * C2878+I2878)),""))</f>
        <v/>
      </c>
      <c r="K2878" s="196"/>
      <c r="L2878" s="87"/>
      <c r="M2878" s="245"/>
      <c r="N2878" s="168"/>
    </row>
    <row r="2879" ht="22.5" hidden="1" customHeight="1">
      <c r="A2879" s="137"/>
      <c r="B2879" s="90"/>
      <c r="C2879" s="55"/>
      <c r="D2879" s="193"/>
      <c r="E2879" s="201"/>
      <c r="F2879" s="202"/>
      <c r="G2879" s="194"/>
      <c r="H2879" s="198"/>
      <c r="I2879" s="196"/>
      <c r="J2879" s="179" t="str">
        <f>IF(A2879="RAPPI",(VLOOKUP(TRIM(D2879), CATALOGO!F:G, 2, FALSE) * C2879)+I2879,IFERROR(IF(COUNTIF('RESTAURANTESDESCUENTOS 2026'!A:A,TRIM(A2879))&gt;0,((VLOOKUP(TRIM(D2879), CATALOGO!A:B, 2, FALSE) * C2879)*(1-VALUE(SUBSTITUTE(VLOOKUP(TRIM(A2879),'RESTAURANTESDESCUENTOS 2026'!A:B,2,FALSE),"%",""))/100)+I2879),(VLOOKUP(TRIM(D2879), CATALOGO!A:B, 2, FALSE) * C2879+I2879)),""))</f>
        <v/>
      </c>
      <c r="K2879" s="196"/>
      <c r="L2879" s="87"/>
      <c r="M2879" s="245"/>
      <c r="N2879" s="168"/>
    </row>
    <row r="2880" ht="22.5" hidden="1" customHeight="1">
      <c r="A2880" s="137"/>
      <c r="B2880" s="90"/>
      <c r="C2880" s="55"/>
      <c r="D2880" s="193"/>
      <c r="E2880" s="201"/>
      <c r="F2880" s="202"/>
      <c r="G2880" s="194"/>
      <c r="H2880" s="198"/>
      <c r="I2880" s="196"/>
      <c r="J2880" s="179" t="str">
        <f>IF(A2880="RAPPI",(VLOOKUP(TRIM(D2880), CATALOGO!F:G, 2, FALSE) * C2880)+I2880,IFERROR(IF(COUNTIF('RESTAURANTESDESCUENTOS 2026'!A:A,TRIM(A2880))&gt;0,((VLOOKUP(TRIM(D2880), CATALOGO!A:B, 2, FALSE) * C2880)*(1-VALUE(SUBSTITUTE(VLOOKUP(TRIM(A2880),'RESTAURANTESDESCUENTOS 2026'!A:B,2,FALSE),"%",""))/100)+I2880),(VLOOKUP(TRIM(D2880), CATALOGO!A:B, 2, FALSE) * C2880+I2880)),""))</f>
        <v/>
      </c>
      <c r="K2880" s="196"/>
      <c r="L2880" s="87"/>
      <c r="M2880" s="245"/>
      <c r="N2880" s="168"/>
    </row>
    <row r="2881" ht="22.5" hidden="1" customHeight="1">
      <c r="A2881" s="137"/>
      <c r="B2881" s="90"/>
      <c r="C2881" s="55"/>
      <c r="D2881" s="193"/>
      <c r="E2881" s="201"/>
      <c r="F2881" s="202"/>
      <c r="G2881" s="194"/>
      <c r="H2881" s="198"/>
      <c r="I2881" s="196"/>
      <c r="J2881" s="179" t="str">
        <f>IF(A2881="RAPPI",(VLOOKUP(TRIM(D2881), CATALOGO!F:G, 2, FALSE) * C2881)+I2881,IFERROR(IF(COUNTIF('RESTAURANTESDESCUENTOS 2026'!A:A,TRIM(A2881))&gt;0,((VLOOKUP(TRIM(D2881), CATALOGO!A:B, 2, FALSE) * C2881)*(1-VALUE(SUBSTITUTE(VLOOKUP(TRIM(A2881),'RESTAURANTESDESCUENTOS 2026'!A:B,2,FALSE),"%",""))/100)+I2881),(VLOOKUP(TRIM(D2881), CATALOGO!A:B, 2, FALSE) * C2881+I2881)),""))</f>
        <v/>
      </c>
      <c r="K2881" s="196"/>
      <c r="L2881" s="87"/>
      <c r="M2881" s="245"/>
      <c r="N2881" s="168"/>
    </row>
    <row r="2882" ht="22.5" hidden="1" customHeight="1">
      <c r="A2882" s="137"/>
      <c r="B2882" s="90"/>
      <c r="C2882" s="55"/>
      <c r="D2882" s="193"/>
      <c r="E2882" s="201"/>
      <c r="F2882" s="202"/>
      <c r="G2882" s="194"/>
      <c r="H2882" s="198"/>
      <c r="I2882" s="196"/>
      <c r="J2882" s="179" t="str">
        <f>IF(A2882="RAPPI",(VLOOKUP(TRIM(D2882), CATALOGO!F:G, 2, FALSE) * C2882)+I2882,IFERROR(IF(COUNTIF('RESTAURANTESDESCUENTOS 2026'!A:A,TRIM(A2882))&gt;0,((VLOOKUP(TRIM(D2882), CATALOGO!A:B, 2, FALSE) * C2882)*(1-VALUE(SUBSTITUTE(VLOOKUP(TRIM(A2882),'RESTAURANTESDESCUENTOS 2026'!A:B,2,FALSE),"%",""))/100)+I2882),(VLOOKUP(TRIM(D2882), CATALOGO!A:B, 2, FALSE) * C2882+I2882)),""))</f>
        <v/>
      </c>
      <c r="K2882" s="196"/>
      <c r="L2882" s="87"/>
      <c r="M2882" s="245"/>
      <c r="N2882" s="168"/>
    </row>
    <row r="2883" ht="22.5" hidden="1" customHeight="1">
      <c r="A2883" s="137"/>
      <c r="B2883" s="90"/>
      <c r="C2883" s="55"/>
      <c r="D2883" s="193"/>
      <c r="E2883" s="201"/>
      <c r="F2883" s="202"/>
      <c r="G2883" s="194"/>
      <c r="H2883" s="198"/>
      <c r="I2883" s="196"/>
      <c r="J2883" s="179" t="str">
        <f>IF(A2883="RAPPI",(VLOOKUP(TRIM(D2883), CATALOGO!F:G, 2, FALSE) * C2883)+I2883,IFERROR(IF(COUNTIF('RESTAURANTESDESCUENTOS 2026'!A:A,TRIM(A2883))&gt;0,((VLOOKUP(TRIM(D2883), CATALOGO!A:B, 2, FALSE) * C2883)*(1-VALUE(SUBSTITUTE(VLOOKUP(TRIM(A2883),'RESTAURANTESDESCUENTOS 2026'!A:B,2,FALSE),"%",""))/100)+I2883),(VLOOKUP(TRIM(D2883), CATALOGO!A:B, 2, FALSE) * C2883+I2883)),""))</f>
        <v/>
      </c>
      <c r="K2883" s="196"/>
      <c r="L2883" s="87"/>
      <c r="M2883" s="245"/>
      <c r="N2883" s="168"/>
    </row>
    <row r="2884" ht="22.5" hidden="1" customHeight="1">
      <c r="A2884" s="137"/>
      <c r="B2884" s="90"/>
      <c r="C2884" s="55"/>
      <c r="D2884" s="193"/>
      <c r="E2884" s="201"/>
      <c r="F2884" s="202"/>
      <c r="G2884" s="194"/>
      <c r="H2884" s="198"/>
      <c r="I2884" s="196"/>
      <c r="J2884" s="179" t="str">
        <f>IF(A2884="RAPPI",(VLOOKUP(TRIM(D2884), CATALOGO!F:G, 2, FALSE) * C2884)+I2884,IFERROR(IF(COUNTIF('RESTAURANTESDESCUENTOS 2026'!A:A,TRIM(A2884))&gt;0,((VLOOKUP(TRIM(D2884), CATALOGO!A:B, 2, FALSE) * C2884)*(1-VALUE(SUBSTITUTE(VLOOKUP(TRIM(A2884),'RESTAURANTESDESCUENTOS 2026'!A:B,2,FALSE),"%",""))/100)+I2884),(VLOOKUP(TRIM(D2884), CATALOGO!A:B, 2, FALSE) * C2884+I2884)),""))</f>
        <v/>
      </c>
      <c r="K2884" s="196"/>
      <c r="L2884" s="87"/>
      <c r="M2884" s="245"/>
      <c r="N2884" s="168"/>
    </row>
    <row r="2885" ht="22.5" hidden="1" customHeight="1">
      <c r="A2885" s="137"/>
      <c r="B2885" s="90"/>
      <c r="C2885" s="55"/>
      <c r="D2885" s="193"/>
      <c r="E2885" s="201"/>
      <c r="F2885" s="202"/>
      <c r="G2885" s="194"/>
      <c r="H2885" s="198"/>
      <c r="I2885" s="196"/>
      <c r="J2885" s="179" t="str">
        <f>IF(A2885="RAPPI",(VLOOKUP(TRIM(D2885), CATALOGO!F:G, 2, FALSE) * C2885)+I2885,IFERROR(IF(COUNTIF('RESTAURANTESDESCUENTOS 2026'!A:A,TRIM(A2885))&gt;0,((VLOOKUP(TRIM(D2885), CATALOGO!A:B, 2, FALSE) * C2885)*(1-VALUE(SUBSTITUTE(VLOOKUP(TRIM(A2885),'RESTAURANTESDESCUENTOS 2026'!A:B,2,FALSE),"%",""))/100)+I2885),(VLOOKUP(TRIM(D2885), CATALOGO!A:B, 2, FALSE) * C2885+I2885)),""))</f>
        <v/>
      </c>
      <c r="K2885" s="196"/>
      <c r="L2885" s="87"/>
      <c r="M2885" s="245"/>
      <c r="N2885" s="168"/>
    </row>
    <row r="2886" ht="22.5" hidden="1" customHeight="1">
      <c r="A2886" s="137"/>
      <c r="B2886" s="90"/>
      <c r="C2886" s="55"/>
      <c r="D2886" s="193"/>
      <c r="E2886" s="201"/>
      <c r="F2886" s="202"/>
      <c r="G2886" s="194"/>
      <c r="H2886" s="198"/>
      <c r="I2886" s="196"/>
      <c r="J2886" s="179" t="str">
        <f>IF(A2886="RAPPI",(VLOOKUP(TRIM(D2886), CATALOGO!F:G, 2, FALSE) * C2886)+I2886,IFERROR(IF(COUNTIF('RESTAURANTESDESCUENTOS 2026'!A:A,TRIM(A2886))&gt;0,((VLOOKUP(TRIM(D2886), CATALOGO!A:B, 2, FALSE) * C2886)*(1-VALUE(SUBSTITUTE(VLOOKUP(TRIM(A2886),'RESTAURANTESDESCUENTOS 2026'!A:B,2,FALSE),"%",""))/100)+I2886),(VLOOKUP(TRIM(D2886), CATALOGO!A:B, 2, FALSE) * C2886+I2886)),""))</f>
        <v/>
      </c>
      <c r="K2886" s="196"/>
      <c r="L2886" s="87"/>
      <c r="M2886" s="245"/>
      <c r="N2886" s="168"/>
    </row>
    <row r="2887" ht="22.5" hidden="1" customHeight="1">
      <c r="A2887" s="137"/>
      <c r="B2887" s="90"/>
      <c r="C2887" s="55"/>
      <c r="D2887" s="193"/>
      <c r="E2887" s="201"/>
      <c r="F2887" s="202"/>
      <c r="G2887" s="194"/>
      <c r="H2887" s="198"/>
      <c r="I2887" s="196"/>
      <c r="J2887" s="179" t="str">
        <f>IF(A2887="RAPPI",(VLOOKUP(TRIM(D2887), CATALOGO!F:G, 2, FALSE) * C2887)+I2887,IFERROR(IF(COUNTIF('RESTAURANTESDESCUENTOS 2026'!A:A,TRIM(A2887))&gt;0,((VLOOKUP(TRIM(D2887), CATALOGO!A:B, 2, FALSE) * C2887)*(1-VALUE(SUBSTITUTE(VLOOKUP(TRIM(A2887),'RESTAURANTESDESCUENTOS 2026'!A:B,2,FALSE),"%",""))/100)+I2887),(VLOOKUP(TRIM(D2887), CATALOGO!A:B, 2, FALSE) * C2887+I2887)),""))</f>
        <v/>
      </c>
      <c r="K2887" s="196"/>
      <c r="L2887" s="87"/>
      <c r="M2887" s="245"/>
      <c r="N2887" s="168"/>
    </row>
    <row r="2888" ht="22.5" hidden="1" customHeight="1">
      <c r="A2888" s="137"/>
      <c r="B2888" s="90"/>
      <c r="C2888" s="55"/>
      <c r="D2888" s="193"/>
      <c r="E2888" s="201"/>
      <c r="F2888" s="202"/>
      <c r="G2888" s="194"/>
      <c r="H2888" s="198"/>
      <c r="I2888" s="196"/>
      <c r="J2888" s="179" t="str">
        <f>IF(A2888="RAPPI",(VLOOKUP(TRIM(D2888), CATALOGO!F:G, 2, FALSE) * C2888)+I2888,IFERROR(IF(COUNTIF('RESTAURANTESDESCUENTOS 2026'!A:A,TRIM(A2888))&gt;0,((VLOOKUP(TRIM(D2888), CATALOGO!A:B, 2, FALSE) * C2888)*(1-VALUE(SUBSTITUTE(VLOOKUP(TRIM(A2888),'RESTAURANTESDESCUENTOS 2026'!A:B,2,FALSE),"%",""))/100)+I2888),(VLOOKUP(TRIM(D2888), CATALOGO!A:B, 2, FALSE) * C2888+I2888)),""))</f>
        <v/>
      </c>
      <c r="K2888" s="196"/>
      <c r="L2888" s="87"/>
      <c r="M2888" s="245"/>
      <c r="N2888" s="168"/>
    </row>
    <row r="2889" ht="22.5" hidden="1" customHeight="1">
      <c r="A2889" s="137"/>
      <c r="B2889" s="90"/>
      <c r="C2889" s="55"/>
      <c r="D2889" s="193"/>
      <c r="E2889" s="201"/>
      <c r="F2889" s="202"/>
      <c r="G2889" s="194"/>
      <c r="H2889" s="198"/>
      <c r="I2889" s="196"/>
      <c r="J2889" s="179" t="str">
        <f>IF(A2889="RAPPI",(VLOOKUP(TRIM(D2889), CATALOGO!F:G, 2, FALSE) * C2889)+I2889,IFERROR(IF(COUNTIF('RESTAURANTESDESCUENTOS 2026'!A:A,TRIM(A2889))&gt;0,((VLOOKUP(TRIM(D2889), CATALOGO!A:B, 2, FALSE) * C2889)*(1-VALUE(SUBSTITUTE(VLOOKUP(TRIM(A2889),'RESTAURANTESDESCUENTOS 2026'!A:B,2,FALSE),"%",""))/100)+I2889),(VLOOKUP(TRIM(D2889), CATALOGO!A:B, 2, FALSE) * C2889+I2889)),""))</f>
        <v/>
      </c>
      <c r="K2889" s="196"/>
      <c r="L2889" s="87"/>
      <c r="M2889" s="245"/>
      <c r="N2889" s="168"/>
    </row>
    <row r="2890" ht="22.5" hidden="1" customHeight="1">
      <c r="A2890" s="137"/>
      <c r="B2890" s="90"/>
      <c r="C2890" s="55"/>
      <c r="D2890" s="193"/>
      <c r="E2890" s="201"/>
      <c r="F2890" s="202"/>
      <c r="G2890" s="194"/>
      <c r="H2890" s="198"/>
      <c r="I2890" s="196"/>
      <c r="J2890" s="179" t="str">
        <f>IF(A2890="RAPPI",(VLOOKUP(TRIM(D2890), CATALOGO!F:G, 2, FALSE) * C2890)+I2890,IFERROR(IF(COUNTIF('RESTAURANTESDESCUENTOS 2026'!A:A,TRIM(A2890))&gt;0,((VLOOKUP(TRIM(D2890), CATALOGO!A:B, 2, FALSE) * C2890)*(1-VALUE(SUBSTITUTE(VLOOKUP(TRIM(A2890),'RESTAURANTESDESCUENTOS 2026'!A:B,2,FALSE),"%",""))/100)+I2890),(VLOOKUP(TRIM(D2890), CATALOGO!A:B, 2, FALSE) * C2890+I2890)),""))</f>
        <v/>
      </c>
      <c r="K2890" s="196"/>
      <c r="L2890" s="87"/>
      <c r="M2890" s="245"/>
      <c r="N2890" s="168"/>
    </row>
    <row r="2891" ht="22.5" hidden="1" customHeight="1">
      <c r="A2891" s="137"/>
      <c r="B2891" s="90"/>
      <c r="C2891" s="55"/>
      <c r="D2891" s="193"/>
      <c r="E2891" s="201"/>
      <c r="F2891" s="202"/>
      <c r="G2891" s="194"/>
      <c r="H2891" s="198"/>
      <c r="I2891" s="196"/>
      <c r="J2891" s="179" t="str">
        <f>IF(A2891="RAPPI",(VLOOKUP(TRIM(D2891), CATALOGO!F:G, 2, FALSE) * C2891)+I2891,IFERROR(IF(COUNTIF('RESTAURANTESDESCUENTOS 2026'!A:A,TRIM(A2891))&gt;0,((VLOOKUP(TRIM(D2891), CATALOGO!A:B, 2, FALSE) * C2891)*(1-VALUE(SUBSTITUTE(VLOOKUP(TRIM(A2891),'RESTAURANTESDESCUENTOS 2026'!A:B,2,FALSE),"%",""))/100)+I2891),(VLOOKUP(TRIM(D2891), CATALOGO!A:B, 2, FALSE) * C2891+I2891)),""))</f>
        <v/>
      </c>
      <c r="K2891" s="196"/>
      <c r="L2891" s="87"/>
      <c r="M2891" s="245"/>
      <c r="N2891" s="168"/>
    </row>
    <row r="2892" ht="22.5" hidden="1" customHeight="1">
      <c r="A2892" s="137"/>
      <c r="B2892" s="90"/>
      <c r="C2892" s="55"/>
      <c r="D2892" s="193"/>
      <c r="E2892" s="201"/>
      <c r="F2892" s="202"/>
      <c r="G2892" s="194"/>
      <c r="H2892" s="198"/>
      <c r="I2892" s="196"/>
      <c r="J2892" s="179" t="str">
        <f>IF(A2892="RAPPI",(VLOOKUP(TRIM(D2892), CATALOGO!F:G, 2, FALSE) * C2892)+I2892,IFERROR(IF(COUNTIF('RESTAURANTESDESCUENTOS 2026'!A:A,TRIM(A2892))&gt;0,((VLOOKUP(TRIM(D2892), CATALOGO!A:B, 2, FALSE) * C2892)*(1-VALUE(SUBSTITUTE(VLOOKUP(TRIM(A2892),'RESTAURANTESDESCUENTOS 2026'!A:B,2,FALSE),"%",""))/100)+I2892),(VLOOKUP(TRIM(D2892), CATALOGO!A:B, 2, FALSE) * C2892+I2892)),""))</f>
        <v/>
      </c>
      <c r="K2892" s="196"/>
      <c r="L2892" s="87"/>
      <c r="M2892" s="245"/>
      <c r="N2892" s="168"/>
    </row>
    <row r="2893" ht="22.5" hidden="1" customHeight="1">
      <c r="A2893" s="137"/>
      <c r="B2893" s="90"/>
      <c r="C2893" s="55"/>
      <c r="D2893" s="193"/>
      <c r="E2893" s="201"/>
      <c r="F2893" s="202"/>
      <c r="G2893" s="194"/>
      <c r="H2893" s="198"/>
      <c r="I2893" s="196"/>
      <c r="J2893" s="179" t="str">
        <f>IF(A2893="RAPPI",(VLOOKUP(TRIM(D2893), CATALOGO!F:G, 2, FALSE) * C2893)+I2893,IFERROR(IF(COUNTIF('RESTAURANTESDESCUENTOS 2026'!A:A,TRIM(A2893))&gt;0,((VLOOKUP(TRIM(D2893), CATALOGO!A:B, 2, FALSE) * C2893)*(1-VALUE(SUBSTITUTE(VLOOKUP(TRIM(A2893),'RESTAURANTESDESCUENTOS 2026'!A:B,2,FALSE),"%",""))/100)+I2893),(VLOOKUP(TRIM(D2893), CATALOGO!A:B, 2, FALSE) * C2893+I2893)),""))</f>
        <v/>
      </c>
      <c r="K2893" s="196"/>
      <c r="L2893" s="87"/>
      <c r="M2893" s="245"/>
      <c r="N2893" s="168"/>
    </row>
    <row r="2894" ht="22.5" hidden="1" customHeight="1">
      <c r="A2894" s="137"/>
      <c r="B2894" s="90"/>
      <c r="C2894" s="55"/>
      <c r="D2894" s="193"/>
      <c r="E2894" s="201"/>
      <c r="F2894" s="202"/>
      <c r="G2894" s="194"/>
      <c r="H2894" s="198"/>
      <c r="I2894" s="196"/>
      <c r="J2894" s="179" t="str">
        <f>IF(A2894="RAPPI",(VLOOKUP(TRIM(D2894), CATALOGO!F:G, 2, FALSE) * C2894)+I2894,IFERROR(IF(COUNTIF('RESTAURANTESDESCUENTOS 2026'!A:A,TRIM(A2894))&gt;0,((VLOOKUP(TRIM(D2894), CATALOGO!A:B, 2, FALSE) * C2894)*(1-VALUE(SUBSTITUTE(VLOOKUP(TRIM(A2894),'RESTAURANTESDESCUENTOS 2026'!A:B,2,FALSE),"%",""))/100)+I2894),(VLOOKUP(TRIM(D2894), CATALOGO!A:B, 2, FALSE) * C2894+I2894)),""))</f>
        <v/>
      </c>
      <c r="K2894" s="196"/>
      <c r="L2894" s="87"/>
      <c r="M2894" s="245"/>
      <c r="N2894" s="168"/>
    </row>
    <row r="2895" ht="22.5" hidden="1" customHeight="1">
      <c r="A2895" s="137"/>
      <c r="B2895" s="90"/>
      <c r="C2895" s="55"/>
      <c r="D2895" s="193"/>
      <c r="E2895" s="201"/>
      <c r="F2895" s="202"/>
      <c r="G2895" s="194"/>
      <c r="H2895" s="198"/>
      <c r="I2895" s="196"/>
      <c r="J2895" s="179" t="str">
        <f>IF(A2895="RAPPI",(VLOOKUP(TRIM(D2895), CATALOGO!F:G, 2, FALSE) * C2895)+I2895,IFERROR(IF(COUNTIF('RESTAURANTESDESCUENTOS 2026'!A:A,TRIM(A2895))&gt;0,((VLOOKUP(TRIM(D2895), CATALOGO!A:B, 2, FALSE) * C2895)*(1-VALUE(SUBSTITUTE(VLOOKUP(TRIM(A2895),'RESTAURANTESDESCUENTOS 2026'!A:B,2,FALSE),"%",""))/100)+I2895),(VLOOKUP(TRIM(D2895), CATALOGO!A:B, 2, FALSE) * C2895+I2895)),""))</f>
        <v/>
      </c>
      <c r="K2895" s="196"/>
      <c r="L2895" s="87"/>
      <c r="M2895" s="245"/>
      <c r="N2895" s="168"/>
    </row>
    <row r="2896" ht="22.5" hidden="1" customHeight="1">
      <c r="A2896" s="137"/>
      <c r="B2896" s="90"/>
      <c r="C2896" s="55"/>
      <c r="D2896" s="193"/>
      <c r="E2896" s="201"/>
      <c r="F2896" s="202"/>
      <c r="G2896" s="194"/>
      <c r="H2896" s="198"/>
      <c r="I2896" s="196"/>
      <c r="J2896" s="179" t="str">
        <f>IF(A2896="RAPPI",(VLOOKUP(TRIM(D2896), CATALOGO!F:G, 2, FALSE) * C2896)+I2896,IFERROR(IF(COUNTIF('RESTAURANTESDESCUENTOS 2026'!A:A,TRIM(A2896))&gt;0,((VLOOKUP(TRIM(D2896), CATALOGO!A:B, 2, FALSE) * C2896)*(1-VALUE(SUBSTITUTE(VLOOKUP(TRIM(A2896),'RESTAURANTESDESCUENTOS 2026'!A:B,2,FALSE),"%",""))/100)+I2896),(VLOOKUP(TRIM(D2896), CATALOGO!A:B, 2, FALSE) * C2896+I2896)),""))</f>
        <v/>
      </c>
      <c r="K2896" s="196"/>
      <c r="L2896" s="87"/>
      <c r="M2896" s="245"/>
      <c r="N2896" s="168"/>
    </row>
    <row r="2897" ht="22.5" hidden="1" customHeight="1">
      <c r="A2897" s="137"/>
      <c r="B2897" s="90"/>
      <c r="C2897" s="55"/>
      <c r="D2897" s="193"/>
      <c r="E2897" s="201"/>
      <c r="F2897" s="202"/>
      <c r="G2897" s="194"/>
      <c r="H2897" s="198"/>
      <c r="I2897" s="196"/>
      <c r="J2897" s="179" t="str">
        <f>IF(A2897="RAPPI",(VLOOKUP(TRIM(D2897), CATALOGO!F:G, 2, FALSE) * C2897)+I2897,IFERROR(IF(COUNTIF('RESTAURANTESDESCUENTOS 2026'!A:A,TRIM(A2897))&gt;0,((VLOOKUP(TRIM(D2897), CATALOGO!A:B, 2, FALSE) * C2897)*(1-VALUE(SUBSTITUTE(VLOOKUP(TRIM(A2897),'RESTAURANTESDESCUENTOS 2026'!A:B,2,FALSE),"%",""))/100)+I2897),(VLOOKUP(TRIM(D2897), CATALOGO!A:B, 2, FALSE) * C2897+I2897)),""))</f>
        <v/>
      </c>
      <c r="K2897" s="196"/>
      <c r="L2897" s="87"/>
      <c r="M2897" s="245"/>
      <c r="N2897" s="168"/>
    </row>
    <row r="2898" ht="22.5" hidden="1" customHeight="1">
      <c r="A2898" s="137"/>
      <c r="B2898" s="90"/>
      <c r="C2898" s="55"/>
      <c r="D2898" s="193"/>
      <c r="E2898" s="201"/>
      <c r="F2898" s="202"/>
      <c r="G2898" s="194"/>
      <c r="H2898" s="198"/>
      <c r="I2898" s="196"/>
      <c r="J2898" s="179" t="str">
        <f>IF(A2898="RAPPI",(VLOOKUP(TRIM(D2898), CATALOGO!F:G, 2, FALSE) * C2898)+I2898,IFERROR(IF(COUNTIF('RESTAURANTESDESCUENTOS 2026'!A:A,TRIM(A2898))&gt;0,((VLOOKUP(TRIM(D2898), CATALOGO!A:B, 2, FALSE) * C2898)*(1-VALUE(SUBSTITUTE(VLOOKUP(TRIM(A2898),'RESTAURANTESDESCUENTOS 2026'!A:B,2,FALSE),"%",""))/100)+I2898),(VLOOKUP(TRIM(D2898), CATALOGO!A:B, 2, FALSE) * C2898+I2898)),""))</f>
        <v/>
      </c>
      <c r="K2898" s="196"/>
      <c r="L2898" s="87"/>
      <c r="M2898" s="245"/>
      <c r="N2898" s="168"/>
    </row>
    <row r="2899" ht="22.5" hidden="1" customHeight="1">
      <c r="A2899" s="137"/>
      <c r="B2899" s="90"/>
      <c r="C2899" s="55"/>
      <c r="D2899" s="193"/>
      <c r="E2899" s="201"/>
      <c r="F2899" s="202"/>
      <c r="G2899" s="194"/>
      <c r="H2899" s="198"/>
      <c r="I2899" s="196"/>
      <c r="J2899" s="179" t="str">
        <f>IF(A2899="RAPPI",(VLOOKUP(TRIM(D2899), CATALOGO!F:G, 2, FALSE) * C2899)+I2899,IFERROR(IF(COUNTIF('RESTAURANTESDESCUENTOS 2026'!A:A,TRIM(A2899))&gt;0,((VLOOKUP(TRIM(D2899), CATALOGO!A:B, 2, FALSE) * C2899)*(1-VALUE(SUBSTITUTE(VLOOKUP(TRIM(A2899),'RESTAURANTESDESCUENTOS 2026'!A:B,2,FALSE),"%",""))/100)+I2899),(VLOOKUP(TRIM(D2899), CATALOGO!A:B, 2, FALSE) * C2899+I2899)),""))</f>
        <v/>
      </c>
      <c r="K2899" s="196"/>
      <c r="L2899" s="87"/>
      <c r="M2899" s="245"/>
      <c r="N2899" s="168"/>
    </row>
    <row r="2900" ht="22.5" hidden="1" customHeight="1">
      <c r="A2900" s="137"/>
      <c r="B2900" s="90"/>
      <c r="C2900" s="55"/>
      <c r="D2900" s="193"/>
      <c r="E2900" s="201"/>
      <c r="F2900" s="202"/>
      <c r="G2900" s="194"/>
      <c r="H2900" s="198"/>
      <c r="I2900" s="196"/>
      <c r="J2900" s="179" t="str">
        <f>IF(A2900="RAPPI",(VLOOKUP(TRIM(D2900), CATALOGO!F:G, 2, FALSE) * C2900)+I2900,IFERROR(IF(COUNTIF('RESTAURANTESDESCUENTOS 2026'!A:A,TRIM(A2900))&gt;0,((VLOOKUP(TRIM(D2900), CATALOGO!A:B, 2, FALSE) * C2900)*(1-VALUE(SUBSTITUTE(VLOOKUP(TRIM(A2900),'RESTAURANTESDESCUENTOS 2026'!A:B,2,FALSE),"%",""))/100)+I2900),(VLOOKUP(TRIM(D2900), CATALOGO!A:B, 2, FALSE) * C2900+I2900)),""))</f>
        <v/>
      </c>
      <c r="K2900" s="196"/>
      <c r="L2900" s="87"/>
      <c r="M2900" s="245"/>
      <c r="N2900" s="168"/>
    </row>
    <row r="2901" ht="22.5" hidden="1" customHeight="1">
      <c r="A2901" s="137"/>
      <c r="B2901" s="90"/>
      <c r="C2901" s="55"/>
      <c r="D2901" s="193"/>
      <c r="E2901" s="201"/>
      <c r="F2901" s="202"/>
      <c r="G2901" s="194"/>
      <c r="H2901" s="198"/>
      <c r="I2901" s="196"/>
      <c r="J2901" s="179" t="str">
        <f>IF(A2901="RAPPI",(VLOOKUP(TRIM(D2901), CATALOGO!F:G, 2, FALSE) * C2901)+I2901,IFERROR(IF(COUNTIF('RESTAURANTESDESCUENTOS 2026'!A:A,TRIM(A2901))&gt;0,((VLOOKUP(TRIM(D2901), CATALOGO!A:B, 2, FALSE) * C2901)*(1-VALUE(SUBSTITUTE(VLOOKUP(TRIM(A2901),'RESTAURANTESDESCUENTOS 2026'!A:B,2,FALSE),"%",""))/100)+I2901),(VLOOKUP(TRIM(D2901), CATALOGO!A:B, 2, FALSE) * C2901+I2901)),""))</f>
        <v/>
      </c>
      <c r="K2901" s="196"/>
      <c r="L2901" s="87"/>
      <c r="M2901" s="245"/>
      <c r="N2901" s="168"/>
    </row>
    <row r="2902" ht="22.5" hidden="1" customHeight="1">
      <c r="A2902" s="137"/>
      <c r="B2902" s="90"/>
      <c r="C2902" s="55"/>
      <c r="D2902" s="193"/>
      <c r="E2902" s="201"/>
      <c r="F2902" s="202"/>
      <c r="G2902" s="194"/>
      <c r="H2902" s="198"/>
      <c r="I2902" s="196"/>
      <c r="J2902" s="179" t="str">
        <f>IF(A2902="RAPPI",(VLOOKUP(TRIM(D2902), CATALOGO!F:G, 2, FALSE) * C2902)+I2902,IFERROR(IF(COUNTIF('RESTAURANTESDESCUENTOS 2026'!A:A,TRIM(A2902))&gt;0,((VLOOKUP(TRIM(D2902), CATALOGO!A:B, 2, FALSE) * C2902)*(1-VALUE(SUBSTITUTE(VLOOKUP(TRIM(A2902),'RESTAURANTESDESCUENTOS 2026'!A:B,2,FALSE),"%",""))/100)+I2902),(VLOOKUP(TRIM(D2902), CATALOGO!A:B, 2, FALSE) * C2902+I2902)),""))</f>
        <v/>
      </c>
      <c r="K2902" s="196"/>
      <c r="L2902" s="87"/>
      <c r="M2902" s="245"/>
      <c r="N2902" s="168"/>
    </row>
    <row r="2903" ht="22.5" hidden="1" customHeight="1">
      <c r="A2903" s="137"/>
      <c r="B2903" s="90"/>
      <c r="C2903" s="55"/>
      <c r="D2903" s="193"/>
      <c r="E2903" s="201"/>
      <c r="F2903" s="202"/>
      <c r="G2903" s="194"/>
      <c r="H2903" s="198"/>
      <c r="I2903" s="196"/>
      <c r="J2903" s="179" t="str">
        <f>IF(A2903="RAPPI",(VLOOKUP(TRIM(D2903), CATALOGO!F:G, 2, FALSE) * C2903)+I2903,IFERROR(IF(COUNTIF('RESTAURANTESDESCUENTOS 2026'!A:A,TRIM(A2903))&gt;0,((VLOOKUP(TRIM(D2903), CATALOGO!A:B, 2, FALSE) * C2903)*(1-VALUE(SUBSTITUTE(VLOOKUP(TRIM(A2903),'RESTAURANTESDESCUENTOS 2026'!A:B,2,FALSE),"%",""))/100)+I2903),(VLOOKUP(TRIM(D2903), CATALOGO!A:B, 2, FALSE) * C2903+I2903)),""))</f>
        <v/>
      </c>
      <c r="K2903" s="196"/>
      <c r="L2903" s="87"/>
      <c r="M2903" s="245"/>
      <c r="N2903" s="168"/>
    </row>
    <row r="2904" ht="22.5" hidden="1" customHeight="1">
      <c r="A2904" s="137"/>
      <c r="B2904" s="90"/>
      <c r="C2904" s="55"/>
      <c r="D2904" s="193"/>
      <c r="E2904" s="201"/>
      <c r="F2904" s="202"/>
      <c r="G2904" s="194"/>
      <c r="H2904" s="198"/>
      <c r="I2904" s="196"/>
      <c r="J2904" s="179" t="str">
        <f>IF(A2904="RAPPI",(VLOOKUP(TRIM(D2904), CATALOGO!F:G, 2, FALSE) * C2904)+I2904,IFERROR(IF(COUNTIF('RESTAURANTESDESCUENTOS 2026'!A:A,TRIM(A2904))&gt;0,((VLOOKUP(TRIM(D2904), CATALOGO!A:B, 2, FALSE) * C2904)*(1-VALUE(SUBSTITUTE(VLOOKUP(TRIM(A2904),'RESTAURANTESDESCUENTOS 2026'!A:B,2,FALSE),"%",""))/100)+I2904),(VLOOKUP(TRIM(D2904), CATALOGO!A:B, 2, FALSE) * C2904+I2904)),""))</f>
        <v/>
      </c>
      <c r="K2904" s="196"/>
      <c r="L2904" s="87"/>
      <c r="M2904" s="245"/>
      <c r="N2904" s="168"/>
    </row>
    <row r="2905" ht="22.5" hidden="1" customHeight="1">
      <c r="A2905" s="137"/>
      <c r="B2905" s="90"/>
      <c r="C2905" s="55"/>
      <c r="D2905" s="193"/>
      <c r="E2905" s="201"/>
      <c r="F2905" s="202"/>
      <c r="G2905" s="194"/>
      <c r="H2905" s="198"/>
      <c r="I2905" s="196"/>
      <c r="J2905" s="179" t="str">
        <f>IF(A2905="RAPPI",(VLOOKUP(TRIM(D2905), CATALOGO!F:G, 2, FALSE) * C2905)+I2905,IFERROR(IF(COUNTIF('RESTAURANTESDESCUENTOS 2026'!A:A,TRIM(A2905))&gt;0,((VLOOKUP(TRIM(D2905), CATALOGO!A:B, 2, FALSE) * C2905)*(1-VALUE(SUBSTITUTE(VLOOKUP(TRIM(A2905),'RESTAURANTESDESCUENTOS 2026'!A:B,2,FALSE),"%",""))/100)+I2905),(VLOOKUP(TRIM(D2905), CATALOGO!A:B, 2, FALSE) * C2905+I2905)),""))</f>
        <v/>
      </c>
      <c r="K2905" s="196"/>
      <c r="L2905" s="87"/>
      <c r="M2905" s="245"/>
      <c r="N2905" s="168"/>
    </row>
    <row r="2906" ht="22.5" hidden="1" customHeight="1">
      <c r="A2906" s="137"/>
      <c r="B2906" s="90"/>
      <c r="C2906" s="55"/>
      <c r="D2906" s="193"/>
      <c r="E2906" s="201"/>
      <c r="F2906" s="202"/>
      <c r="G2906" s="194"/>
      <c r="H2906" s="198"/>
      <c r="I2906" s="196"/>
      <c r="J2906" s="179" t="str">
        <f>IF(A2906="RAPPI",(VLOOKUP(TRIM(D2906), CATALOGO!F:G, 2, FALSE) * C2906)+I2906,IFERROR(IF(COUNTIF('RESTAURANTESDESCUENTOS 2026'!A:A,TRIM(A2906))&gt;0,((VLOOKUP(TRIM(D2906), CATALOGO!A:B, 2, FALSE) * C2906)*(1-VALUE(SUBSTITUTE(VLOOKUP(TRIM(A2906),'RESTAURANTESDESCUENTOS 2026'!A:B,2,FALSE),"%",""))/100)+I2906),(VLOOKUP(TRIM(D2906), CATALOGO!A:B, 2, FALSE) * C2906+I2906)),""))</f>
        <v/>
      </c>
      <c r="K2906" s="196"/>
      <c r="L2906" s="87"/>
      <c r="M2906" s="245"/>
      <c r="N2906" s="168"/>
    </row>
    <row r="2907" ht="22.5" hidden="1" customHeight="1">
      <c r="A2907" s="137"/>
      <c r="B2907" s="90"/>
      <c r="C2907" s="55"/>
      <c r="D2907" s="193"/>
      <c r="E2907" s="201"/>
      <c r="F2907" s="202"/>
      <c r="G2907" s="194"/>
      <c r="H2907" s="198"/>
      <c r="I2907" s="196"/>
      <c r="J2907" s="179" t="str">
        <f>IF(A2907="RAPPI",(VLOOKUP(TRIM(D2907), CATALOGO!F:G, 2, FALSE) * C2907)+I2907,IFERROR(IF(COUNTIF('RESTAURANTESDESCUENTOS 2026'!A:A,TRIM(A2907))&gt;0,((VLOOKUP(TRIM(D2907), CATALOGO!A:B, 2, FALSE) * C2907)*(1-VALUE(SUBSTITUTE(VLOOKUP(TRIM(A2907),'RESTAURANTESDESCUENTOS 2026'!A:B,2,FALSE),"%",""))/100)+I2907),(VLOOKUP(TRIM(D2907), CATALOGO!A:B, 2, FALSE) * C2907+I2907)),""))</f>
        <v/>
      </c>
      <c r="K2907" s="196"/>
      <c r="L2907" s="87"/>
      <c r="M2907" s="245"/>
      <c r="N2907" s="168"/>
    </row>
    <row r="2908" ht="22.5" hidden="1" customHeight="1">
      <c r="A2908" s="137"/>
      <c r="B2908" s="90"/>
      <c r="C2908" s="55"/>
      <c r="D2908" s="193"/>
      <c r="E2908" s="201"/>
      <c r="F2908" s="202"/>
      <c r="G2908" s="194"/>
      <c r="H2908" s="198"/>
      <c r="I2908" s="196"/>
      <c r="J2908" s="179" t="str">
        <f>IF(A2908="RAPPI",(VLOOKUP(TRIM(D2908), CATALOGO!F:G, 2, FALSE) * C2908)+I2908,IFERROR(IF(COUNTIF('RESTAURANTESDESCUENTOS 2026'!A:A,TRIM(A2908))&gt;0,((VLOOKUP(TRIM(D2908), CATALOGO!A:B, 2, FALSE) * C2908)*(1-VALUE(SUBSTITUTE(VLOOKUP(TRIM(A2908),'RESTAURANTESDESCUENTOS 2026'!A:B,2,FALSE),"%",""))/100)+I2908),(VLOOKUP(TRIM(D2908), CATALOGO!A:B, 2, FALSE) * C2908+I2908)),""))</f>
        <v/>
      </c>
      <c r="K2908" s="196"/>
      <c r="L2908" s="87"/>
      <c r="M2908" s="245"/>
      <c r="N2908" s="168"/>
    </row>
    <row r="2909" ht="22.5" hidden="1" customHeight="1">
      <c r="A2909" s="137"/>
      <c r="B2909" s="90"/>
      <c r="C2909" s="55"/>
      <c r="D2909" s="193"/>
      <c r="E2909" s="201"/>
      <c r="F2909" s="202"/>
      <c r="G2909" s="194"/>
      <c r="H2909" s="198"/>
      <c r="I2909" s="196"/>
      <c r="J2909" s="179" t="str">
        <f>IF(A2909="RAPPI",(VLOOKUP(TRIM(D2909), CATALOGO!F:G, 2, FALSE) * C2909)+I2909,IFERROR(IF(COUNTIF('RESTAURANTESDESCUENTOS 2026'!A:A,TRIM(A2909))&gt;0,((VLOOKUP(TRIM(D2909), CATALOGO!A:B, 2, FALSE) * C2909)*(1-VALUE(SUBSTITUTE(VLOOKUP(TRIM(A2909),'RESTAURANTESDESCUENTOS 2026'!A:B,2,FALSE),"%",""))/100)+I2909),(VLOOKUP(TRIM(D2909), CATALOGO!A:B, 2, FALSE) * C2909+I2909)),""))</f>
        <v/>
      </c>
      <c r="K2909" s="196"/>
      <c r="L2909" s="87"/>
      <c r="M2909" s="245"/>
      <c r="N2909" s="168"/>
    </row>
    <row r="2910" ht="22.5" hidden="1" customHeight="1">
      <c r="A2910" s="137"/>
      <c r="B2910" s="90"/>
      <c r="C2910" s="55"/>
      <c r="D2910" s="193"/>
      <c r="E2910" s="201"/>
      <c r="F2910" s="202"/>
      <c r="G2910" s="194"/>
      <c r="H2910" s="198"/>
      <c r="I2910" s="196"/>
      <c r="J2910" s="179" t="str">
        <f>IF(A2910="RAPPI",(VLOOKUP(TRIM(D2910), CATALOGO!F:G, 2, FALSE) * C2910)+I2910,IFERROR(IF(COUNTIF('RESTAURANTESDESCUENTOS 2026'!A:A,TRIM(A2910))&gt;0,((VLOOKUP(TRIM(D2910), CATALOGO!A:B, 2, FALSE) * C2910)*(1-VALUE(SUBSTITUTE(VLOOKUP(TRIM(A2910),'RESTAURANTESDESCUENTOS 2026'!A:B,2,FALSE),"%",""))/100)+I2910),(VLOOKUP(TRIM(D2910), CATALOGO!A:B, 2, FALSE) * C2910+I2910)),""))</f>
        <v/>
      </c>
      <c r="K2910" s="196"/>
      <c r="L2910" s="87"/>
      <c r="M2910" s="245"/>
      <c r="N2910" s="168"/>
    </row>
    <row r="2911" ht="22.5" hidden="1" customHeight="1">
      <c r="A2911" s="137"/>
      <c r="B2911" s="90"/>
      <c r="C2911" s="55"/>
      <c r="D2911" s="193"/>
      <c r="E2911" s="201"/>
      <c r="F2911" s="202"/>
      <c r="G2911" s="194"/>
      <c r="H2911" s="198"/>
      <c r="I2911" s="196"/>
      <c r="J2911" s="179" t="str">
        <f>IF(A2911="RAPPI",(VLOOKUP(TRIM(D2911), CATALOGO!F:G, 2, FALSE) * C2911)+I2911,IFERROR(IF(COUNTIF('RESTAURANTESDESCUENTOS 2026'!A:A,TRIM(A2911))&gt;0,((VLOOKUP(TRIM(D2911), CATALOGO!A:B, 2, FALSE) * C2911)*(1-VALUE(SUBSTITUTE(VLOOKUP(TRIM(A2911),'RESTAURANTESDESCUENTOS 2026'!A:B,2,FALSE),"%",""))/100)+I2911),(VLOOKUP(TRIM(D2911), CATALOGO!A:B, 2, FALSE) * C2911+I2911)),""))</f>
        <v/>
      </c>
      <c r="K2911" s="196"/>
      <c r="L2911" s="87"/>
      <c r="M2911" s="245"/>
      <c r="N2911" s="168"/>
    </row>
    <row r="2912" ht="22.5" hidden="1" customHeight="1">
      <c r="A2912" s="137"/>
      <c r="B2912" s="90"/>
      <c r="C2912" s="55"/>
      <c r="D2912" s="193"/>
      <c r="E2912" s="201"/>
      <c r="F2912" s="202"/>
      <c r="G2912" s="194"/>
      <c r="H2912" s="198"/>
      <c r="I2912" s="196"/>
      <c r="J2912" s="179" t="str">
        <f>IF(A2912="RAPPI",(VLOOKUP(TRIM(D2912), CATALOGO!F:G, 2, FALSE) * C2912)+I2912,IFERROR(IF(COUNTIF('RESTAURANTESDESCUENTOS 2026'!A:A,TRIM(A2912))&gt;0,((VLOOKUP(TRIM(D2912), CATALOGO!A:B, 2, FALSE) * C2912)*(1-VALUE(SUBSTITUTE(VLOOKUP(TRIM(A2912),'RESTAURANTESDESCUENTOS 2026'!A:B,2,FALSE),"%",""))/100)+I2912),(VLOOKUP(TRIM(D2912), CATALOGO!A:B, 2, FALSE) * C2912+I2912)),""))</f>
        <v/>
      </c>
      <c r="K2912" s="196"/>
      <c r="L2912" s="87"/>
      <c r="M2912" s="245"/>
      <c r="N2912" s="168"/>
    </row>
    <row r="2913" ht="22.5" hidden="1" customHeight="1">
      <c r="A2913" s="137"/>
      <c r="B2913" s="90"/>
      <c r="C2913" s="55"/>
      <c r="D2913" s="193"/>
      <c r="E2913" s="201"/>
      <c r="F2913" s="202"/>
      <c r="G2913" s="194"/>
      <c r="H2913" s="198"/>
      <c r="I2913" s="196"/>
      <c r="J2913" s="179" t="str">
        <f>IF(A2913="RAPPI",(VLOOKUP(TRIM(D2913), CATALOGO!F:G, 2, FALSE) * C2913)+I2913,IFERROR(IF(COUNTIF('RESTAURANTESDESCUENTOS 2026'!A:A,TRIM(A2913))&gt;0,((VLOOKUP(TRIM(D2913), CATALOGO!A:B, 2, FALSE) * C2913)*(1-VALUE(SUBSTITUTE(VLOOKUP(TRIM(A2913),'RESTAURANTESDESCUENTOS 2026'!A:B,2,FALSE),"%",""))/100)+I2913),(VLOOKUP(TRIM(D2913), CATALOGO!A:B, 2, FALSE) * C2913+I2913)),""))</f>
        <v/>
      </c>
      <c r="K2913" s="196"/>
      <c r="L2913" s="87"/>
      <c r="M2913" s="245"/>
      <c r="N2913" s="168"/>
    </row>
    <row r="2914" ht="22.5" hidden="1" customHeight="1">
      <c r="A2914" s="137"/>
      <c r="B2914" s="90"/>
      <c r="C2914" s="55"/>
      <c r="D2914" s="193"/>
      <c r="E2914" s="201"/>
      <c r="F2914" s="202"/>
      <c r="G2914" s="194"/>
      <c r="H2914" s="198"/>
      <c r="I2914" s="196"/>
      <c r="J2914" s="179" t="str">
        <f>IF(A2914="RAPPI",(VLOOKUP(TRIM(D2914), CATALOGO!F:G, 2, FALSE) * C2914)+I2914,IFERROR(IF(COUNTIF('RESTAURANTESDESCUENTOS 2026'!A:A,TRIM(A2914))&gt;0,((VLOOKUP(TRIM(D2914), CATALOGO!A:B, 2, FALSE) * C2914)*(1-VALUE(SUBSTITUTE(VLOOKUP(TRIM(A2914),'RESTAURANTESDESCUENTOS 2026'!A:B,2,FALSE),"%",""))/100)+I2914),(VLOOKUP(TRIM(D2914), CATALOGO!A:B, 2, FALSE) * C2914+I2914)),""))</f>
        <v/>
      </c>
      <c r="K2914" s="196"/>
      <c r="L2914" s="87"/>
      <c r="M2914" s="245"/>
      <c r="N2914" s="168"/>
    </row>
    <row r="2915" ht="22.5" hidden="1" customHeight="1">
      <c r="A2915" s="137"/>
      <c r="B2915" s="90"/>
      <c r="C2915" s="55"/>
      <c r="D2915" s="193"/>
      <c r="E2915" s="201"/>
      <c r="F2915" s="202"/>
      <c r="G2915" s="194"/>
      <c r="H2915" s="198"/>
      <c r="I2915" s="196"/>
      <c r="J2915" s="179" t="str">
        <f>IF(A2915="RAPPI",(VLOOKUP(TRIM(D2915), CATALOGO!F:G, 2, FALSE) * C2915)+I2915,IFERROR(IF(COUNTIF('RESTAURANTESDESCUENTOS 2026'!A:A,TRIM(A2915))&gt;0,((VLOOKUP(TRIM(D2915), CATALOGO!A:B, 2, FALSE) * C2915)*(1-VALUE(SUBSTITUTE(VLOOKUP(TRIM(A2915),'RESTAURANTESDESCUENTOS 2026'!A:B,2,FALSE),"%",""))/100)+I2915),(VLOOKUP(TRIM(D2915), CATALOGO!A:B, 2, FALSE) * C2915+I2915)),""))</f>
        <v/>
      </c>
      <c r="K2915" s="196"/>
      <c r="L2915" s="87"/>
      <c r="M2915" s="245"/>
      <c r="N2915" s="168"/>
    </row>
    <row r="2916" ht="22.5" hidden="1" customHeight="1">
      <c r="A2916" s="137"/>
      <c r="B2916" s="90"/>
      <c r="C2916" s="55"/>
      <c r="D2916" s="193"/>
      <c r="E2916" s="201"/>
      <c r="F2916" s="202"/>
      <c r="G2916" s="194"/>
      <c r="H2916" s="198"/>
      <c r="I2916" s="196"/>
      <c r="J2916" s="179" t="str">
        <f>IF(A2916="RAPPI",(VLOOKUP(TRIM(D2916), CATALOGO!F:G, 2, FALSE) * C2916)+I2916,IFERROR(IF(COUNTIF('RESTAURANTESDESCUENTOS 2026'!A:A,TRIM(A2916))&gt;0,((VLOOKUP(TRIM(D2916), CATALOGO!A:B, 2, FALSE) * C2916)*(1-VALUE(SUBSTITUTE(VLOOKUP(TRIM(A2916),'RESTAURANTESDESCUENTOS 2026'!A:B,2,FALSE),"%",""))/100)+I2916),(VLOOKUP(TRIM(D2916), CATALOGO!A:B, 2, FALSE) * C2916+I2916)),""))</f>
        <v/>
      </c>
      <c r="K2916" s="196"/>
      <c r="L2916" s="87"/>
      <c r="M2916" s="245"/>
      <c r="N2916" s="168"/>
    </row>
    <row r="2917" ht="22.5" hidden="1" customHeight="1">
      <c r="A2917" s="137"/>
      <c r="B2917" s="90"/>
      <c r="C2917" s="55"/>
      <c r="D2917" s="193"/>
      <c r="E2917" s="201"/>
      <c r="F2917" s="202"/>
      <c r="G2917" s="194"/>
      <c r="H2917" s="198"/>
      <c r="I2917" s="196"/>
      <c r="J2917" s="179" t="str">
        <f>IF(A2917="RAPPI",(VLOOKUP(TRIM(D2917), CATALOGO!F:G, 2, FALSE) * C2917)+I2917,IFERROR(IF(COUNTIF('RESTAURANTESDESCUENTOS 2026'!A:A,TRIM(A2917))&gt;0,((VLOOKUP(TRIM(D2917), CATALOGO!A:B, 2, FALSE) * C2917)*(1-VALUE(SUBSTITUTE(VLOOKUP(TRIM(A2917),'RESTAURANTESDESCUENTOS 2026'!A:B,2,FALSE),"%",""))/100)+I2917),(VLOOKUP(TRIM(D2917), CATALOGO!A:B, 2, FALSE) * C2917+I2917)),""))</f>
        <v/>
      </c>
      <c r="K2917" s="196"/>
      <c r="L2917" s="87"/>
      <c r="M2917" s="245"/>
      <c r="N2917" s="168"/>
    </row>
    <row r="2918" ht="22.5" hidden="1" customHeight="1">
      <c r="A2918" s="137"/>
      <c r="B2918" s="90"/>
      <c r="C2918" s="55"/>
      <c r="D2918" s="193"/>
      <c r="E2918" s="201"/>
      <c r="F2918" s="202"/>
      <c r="G2918" s="194"/>
      <c r="H2918" s="198"/>
      <c r="I2918" s="196"/>
      <c r="J2918" s="179" t="str">
        <f>IF(A2918="RAPPI",(VLOOKUP(TRIM(D2918), CATALOGO!F:G, 2, FALSE) * C2918)+I2918,IFERROR(IF(COUNTIF('RESTAURANTESDESCUENTOS 2026'!A:A,TRIM(A2918))&gt;0,((VLOOKUP(TRIM(D2918), CATALOGO!A:B, 2, FALSE) * C2918)*(1-VALUE(SUBSTITUTE(VLOOKUP(TRIM(A2918),'RESTAURANTESDESCUENTOS 2026'!A:B,2,FALSE),"%",""))/100)+I2918),(VLOOKUP(TRIM(D2918), CATALOGO!A:B, 2, FALSE) * C2918+I2918)),""))</f>
        <v/>
      </c>
      <c r="K2918" s="196"/>
      <c r="L2918" s="87"/>
      <c r="M2918" s="245"/>
      <c r="N2918" s="168"/>
    </row>
    <row r="2919" ht="22.5" hidden="1" customHeight="1">
      <c r="A2919" s="137"/>
      <c r="B2919" s="90"/>
      <c r="C2919" s="55"/>
      <c r="D2919" s="193"/>
      <c r="E2919" s="201"/>
      <c r="F2919" s="202"/>
      <c r="G2919" s="194"/>
      <c r="H2919" s="198"/>
      <c r="I2919" s="196"/>
      <c r="J2919" s="179" t="str">
        <f>IF(A2919="RAPPI",(VLOOKUP(TRIM(D2919), CATALOGO!F:G, 2, FALSE) * C2919)+I2919,IFERROR(IF(COUNTIF('RESTAURANTESDESCUENTOS 2026'!A:A,TRIM(A2919))&gt;0,((VLOOKUP(TRIM(D2919), CATALOGO!A:B, 2, FALSE) * C2919)*(1-VALUE(SUBSTITUTE(VLOOKUP(TRIM(A2919),'RESTAURANTESDESCUENTOS 2026'!A:B,2,FALSE),"%",""))/100)+I2919),(VLOOKUP(TRIM(D2919), CATALOGO!A:B, 2, FALSE) * C2919+I2919)),""))</f>
        <v/>
      </c>
      <c r="K2919" s="196"/>
      <c r="L2919" s="87"/>
      <c r="M2919" s="245"/>
      <c r="N2919" s="168"/>
    </row>
    <row r="2920" ht="22.5" hidden="1" customHeight="1">
      <c r="A2920" s="137"/>
      <c r="B2920" s="90"/>
      <c r="C2920" s="55"/>
      <c r="D2920" s="193"/>
      <c r="E2920" s="201"/>
      <c r="F2920" s="202"/>
      <c r="G2920" s="194"/>
      <c r="H2920" s="198"/>
      <c r="I2920" s="196"/>
      <c r="J2920" s="179" t="str">
        <f>IF(A2920="RAPPI",(VLOOKUP(TRIM(D2920), CATALOGO!F:G, 2, FALSE) * C2920)+I2920,IFERROR(IF(COUNTIF('RESTAURANTESDESCUENTOS 2026'!A:A,TRIM(A2920))&gt;0,((VLOOKUP(TRIM(D2920), CATALOGO!A:B, 2, FALSE) * C2920)*(1-VALUE(SUBSTITUTE(VLOOKUP(TRIM(A2920),'RESTAURANTESDESCUENTOS 2026'!A:B,2,FALSE),"%",""))/100)+I2920),(VLOOKUP(TRIM(D2920), CATALOGO!A:B, 2, FALSE) * C2920+I2920)),""))</f>
        <v/>
      </c>
      <c r="K2920" s="196"/>
      <c r="L2920" s="87"/>
      <c r="M2920" s="245"/>
      <c r="N2920" s="168"/>
    </row>
    <row r="2921" ht="22.5" hidden="1" customHeight="1">
      <c r="A2921" s="137"/>
      <c r="B2921" s="90"/>
      <c r="C2921" s="55"/>
      <c r="D2921" s="193"/>
      <c r="E2921" s="201"/>
      <c r="F2921" s="202"/>
      <c r="G2921" s="194"/>
      <c r="H2921" s="198"/>
      <c r="I2921" s="196"/>
      <c r="J2921" s="179" t="str">
        <f>IF(A2921="RAPPI",(VLOOKUP(TRIM(D2921), CATALOGO!F:G, 2, FALSE) * C2921)+I2921,IFERROR(IF(COUNTIF('RESTAURANTESDESCUENTOS 2026'!A:A,TRIM(A2921))&gt;0,((VLOOKUP(TRIM(D2921), CATALOGO!A:B, 2, FALSE) * C2921)*(1-VALUE(SUBSTITUTE(VLOOKUP(TRIM(A2921),'RESTAURANTESDESCUENTOS 2026'!A:B,2,FALSE),"%",""))/100)+I2921),(VLOOKUP(TRIM(D2921), CATALOGO!A:B, 2, FALSE) * C2921+I2921)),""))</f>
        <v/>
      </c>
      <c r="K2921" s="196"/>
      <c r="L2921" s="87"/>
      <c r="M2921" s="245"/>
      <c r="N2921" s="168"/>
    </row>
    <row r="2922" ht="22.5" hidden="1" customHeight="1">
      <c r="A2922" s="137"/>
      <c r="B2922" s="90"/>
      <c r="C2922" s="55"/>
      <c r="D2922" s="193"/>
      <c r="E2922" s="201"/>
      <c r="F2922" s="202"/>
      <c r="G2922" s="194"/>
      <c r="H2922" s="198"/>
      <c r="I2922" s="196"/>
      <c r="J2922" s="179" t="str">
        <f>IF(A2922="RAPPI",(VLOOKUP(TRIM(D2922), CATALOGO!F:G, 2, FALSE) * C2922)+I2922,IFERROR(IF(COUNTIF('RESTAURANTESDESCUENTOS 2026'!A:A,TRIM(A2922))&gt;0,((VLOOKUP(TRIM(D2922), CATALOGO!A:B, 2, FALSE) * C2922)*(1-VALUE(SUBSTITUTE(VLOOKUP(TRIM(A2922),'RESTAURANTESDESCUENTOS 2026'!A:B,2,FALSE),"%",""))/100)+I2922),(VLOOKUP(TRIM(D2922), CATALOGO!A:B, 2, FALSE) * C2922+I2922)),""))</f>
        <v/>
      </c>
      <c r="K2922" s="196"/>
      <c r="L2922" s="87"/>
      <c r="M2922" s="245"/>
      <c r="N2922" s="168"/>
    </row>
    <row r="2923" ht="22.5" hidden="1" customHeight="1">
      <c r="A2923" s="137"/>
      <c r="B2923" s="90"/>
      <c r="C2923" s="55"/>
      <c r="D2923" s="193"/>
      <c r="E2923" s="201"/>
      <c r="F2923" s="202"/>
      <c r="G2923" s="194"/>
      <c r="H2923" s="198"/>
      <c r="I2923" s="196"/>
      <c r="J2923" s="179" t="str">
        <f>IF(A2923="RAPPI",(VLOOKUP(TRIM(D2923), CATALOGO!F:G, 2, FALSE) * C2923)+I2923,IFERROR(IF(COUNTIF('RESTAURANTESDESCUENTOS 2026'!A:A,TRIM(A2923))&gt;0,((VLOOKUP(TRIM(D2923), CATALOGO!A:B, 2, FALSE) * C2923)*(1-VALUE(SUBSTITUTE(VLOOKUP(TRIM(A2923),'RESTAURANTESDESCUENTOS 2026'!A:B,2,FALSE),"%",""))/100)+I2923),(VLOOKUP(TRIM(D2923), CATALOGO!A:B, 2, FALSE) * C2923+I2923)),""))</f>
        <v/>
      </c>
      <c r="K2923" s="196"/>
      <c r="L2923" s="87"/>
      <c r="M2923" s="245"/>
      <c r="N2923" s="168"/>
    </row>
    <row r="2924" ht="22.5" hidden="1" customHeight="1">
      <c r="A2924" s="137"/>
      <c r="B2924" s="90"/>
      <c r="C2924" s="55"/>
      <c r="D2924" s="193"/>
      <c r="E2924" s="201"/>
      <c r="F2924" s="202"/>
      <c r="G2924" s="194"/>
      <c r="H2924" s="198"/>
      <c r="I2924" s="196"/>
      <c r="J2924" s="179" t="str">
        <f>IF(A2924="RAPPI",(VLOOKUP(TRIM(D2924), CATALOGO!F:G, 2, FALSE) * C2924)+I2924,IFERROR(IF(COUNTIF('RESTAURANTESDESCUENTOS 2026'!A:A,TRIM(A2924))&gt;0,((VLOOKUP(TRIM(D2924), CATALOGO!A:B, 2, FALSE) * C2924)*(1-VALUE(SUBSTITUTE(VLOOKUP(TRIM(A2924),'RESTAURANTESDESCUENTOS 2026'!A:B,2,FALSE),"%",""))/100)+I2924),(VLOOKUP(TRIM(D2924), CATALOGO!A:B, 2, FALSE) * C2924+I2924)),""))</f>
        <v/>
      </c>
      <c r="K2924" s="196"/>
      <c r="L2924" s="87"/>
      <c r="M2924" s="245"/>
      <c r="N2924" s="168"/>
    </row>
    <row r="2925" ht="22.5" hidden="1" customHeight="1">
      <c r="A2925" s="137"/>
      <c r="B2925" s="90"/>
      <c r="C2925" s="55"/>
      <c r="D2925" s="193"/>
      <c r="E2925" s="201"/>
      <c r="F2925" s="202"/>
      <c r="G2925" s="194"/>
      <c r="H2925" s="198"/>
      <c r="I2925" s="196"/>
      <c r="J2925" s="179" t="str">
        <f>IF(A2925="RAPPI",(VLOOKUP(TRIM(D2925), CATALOGO!F:G, 2, FALSE) * C2925)+I2925,IFERROR(IF(COUNTIF('RESTAURANTESDESCUENTOS 2026'!A:A,TRIM(A2925))&gt;0,((VLOOKUP(TRIM(D2925), CATALOGO!A:B, 2, FALSE) * C2925)*(1-VALUE(SUBSTITUTE(VLOOKUP(TRIM(A2925),'RESTAURANTESDESCUENTOS 2026'!A:B,2,FALSE),"%",""))/100)+I2925),(VLOOKUP(TRIM(D2925), CATALOGO!A:B, 2, FALSE) * C2925+I2925)),""))</f>
        <v/>
      </c>
      <c r="K2925" s="196"/>
      <c r="L2925" s="87"/>
      <c r="M2925" s="245"/>
      <c r="N2925" s="168"/>
    </row>
    <row r="2926" ht="22.5" hidden="1" customHeight="1">
      <c r="A2926" s="137"/>
      <c r="B2926" s="90"/>
      <c r="C2926" s="55"/>
      <c r="D2926" s="193"/>
      <c r="E2926" s="201"/>
      <c r="F2926" s="202"/>
      <c r="G2926" s="194"/>
      <c r="H2926" s="198"/>
      <c r="I2926" s="196"/>
      <c r="J2926" s="179" t="str">
        <f>IF(A2926="RAPPI",(VLOOKUP(TRIM(D2926), CATALOGO!F:G, 2, FALSE) * C2926)+I2926,IFERROR(IF(COUNTIF('RESTAURANTESDESCUENTOS 2026'!A:A,TRIM(A2926))&gt;0,((VLOOKUP(TRIM(D2926), CATALOGO!A:B, 2, FALSE) * C2926)*(1-VALUE(SUBSTITUTE(VLOOKUP(TRIM(A2926),'RESTAURANTESDESCUENTOS 2026'!A:B,2,FALSE),"%",""))/100)+I2926),(VLOOKUP(TRIM(D2926), CATALOGO!A:B, 2, FALSE) * C2926+I2926)),""))</f>
        <v/>
      </c>
      <c r="K2926" s="196"/>
      <c r="L2926" s="87"/>
      <c r="M2926" s="245"/>
      <c r="N2926" s="168"/>
    </row>
    <row r="2927" ht="22.5" hidden="1" customHeight="1">
      <c r="A2927" s="137"/>
      <c r="B2927" s="90"/>
      <c r="C2927" s="55"/>
      <c r="D2927" s="193"/>
      <c r="E2927" s="201"/>
      <c r="F2927" s="202"/>
      <c r="G2927" s="194"/>
      <c r="H2927" s="198"/>
      <c r="I2927" s="196"/>
      <c r="J2927" s="179" t="str">
        <f>IF(A2927="RAPPI",(VLOOKUP(TRIM(D2927), CATALOGO!F:G, 2, FALSE) * C2927)+I2927,IFERROR(IF(COUNTIF('RESTAURANTESDESCUENTOS 2026'!A:A,TRIM(A2927))&gt;0,((VLOOKUP(TRIM(D2927), CATALOGO!A:B, 2, FALSE) * C2927)*(1-VALUE(SUBSTITUTE(VLOOKUP(TRIM(A2927),'RESTAURANTESDESCUENTOS 2026'!A:B,2,FALSE),"%",""))/100)+I2927),(VLOOKUP(TRIM(D2927), CATALOGO!A:B, 2, FALSE) * C2927+I2927)),""))</f>
        <v/>
      </c>
      <c r="K2927" s="196"/>
      <c r="L2927" s="87"/>
      <c r="M2927" s="245"/>
      <c r="N2927" s="168"/>
    </row>
    <row r="2928" ht="22.5" hidden="1" customHeight="1">
      <c r="A2928" s="137"/>
      <c r="B2928" s="90"/>
      <c r="C2928" s="55"/>
      <c r="D2928" s="193"/>
      <c r="E2928" s="201"/>
      <c r="F2928" s="202"/>
      <c r="G2928" s="194"/>
      <c r="H2928" s="198"/>
      <c r="I2928" s="196"/>
      <c r="J2928" s="179" t="str">
        <f>IF(A2928="RAPPI",(VLOOKUP(TRIM(D2928), CATALOGO!F:G, 2, FALSE) * C2928)+I2928,IFERROR(IF(COUNTIF('RESTAURANTESDESCUENTOS 2026'!A:A,TRIM(A2928))&gt;0,((VLOOKUP(TRIM(D2928), CATALOGO!A:B, 2, FALSE) * C2928)*(1-VALUE(SUBSTITUTE(VLOOKUP(TRIM(A2928),'RESTAURANTESDESCUENTOS 2026'!A:B,2,FALSE),"%",""))/100)+I2928),(VLOOKUP(TRIM(D2928), CATALOGO!A:B, 2, FALSE) * C2928+I2928)),""))</f>
        <v/>
      </c>
      <c r="K2928" s="196"/>
      <c r="L2928" s="87"/>
      <c r="M2928" s="245"/>
      <c r="N2928" s="168"/>
    </row>
    <row r="2929" ht="22.5" hidden="1" customHeight="1">
      <c r="A2929" s="137"/>
      <c r="B2929" s="90"/>
      <c r="C2929" s="55"/>
      <c r="D2929" s="193"/>
      <c r="E2929" s="201"/>
      <c r="F2929" s="202"/>
      <c r="G2929" s="194"/>
      <c r="H2929" s="198"/>
      <c r="I2929" s="196"/>
      <c r="J2929" s="179" t="str">
        <f>IF(A2929="RAPPI",(VLOOKUP(TRIM(D2929), CATALOGO!F:G, 2, FALSE) * C2929)+I2929,IFERROR(IF(COUNTIF('RESTAURANTESDESCUENTOS 2026'!A:A,TRIM(A2929))&gt;0,((VLOOKUP(TRIM(D2929), CATALOGO!A:B, 2, FALSE) * C2929)*(1-VALUE(SUBSTITUTE(VLOOKUP(TRIM(A2929),'RESTAURANTESDESCUENTOS 2026'!A:B,2,FALSE),"%",""))/100)+I2929),(VLOOKUP(TRIM(D2929), CATALOGO!A:B, 2, FALSE) * C2929+I2929)),""))</f>
        <v/>
      </c>
      <c r="K2929" s="196"/>
      <c r="L2929" s="87"/>
      <c r="M2929" s="245"/>
      <c r="N2929" s="168"/>
    </row>
    <row r="2930" ht="22.5" hidden="1" customHeight="1">
      <c r="A2930" s="137"/>
      <c r="B2930" s="90"/>
      <c r="C2930" s="55"/>
      <c r="D2930" s="193"/>
      <c r="E2930" s="201"/>
      <c r="F2930" s="202"/>
      <c r="G2930" s="194"/>
      <c r="H2930" s="198"/>
      <c r="I2930" s="196"/>
      <c r="J2930" s="179" t="str">
        <f>IF(A2930="RAPPI",(VLOOKUP(TRIM(D2930), CATALOGO!F:G, 2, FALSE) * C2930)+I2930,IFERROR(IF(COUNTIF('RESTAURANTESDESCUENTOS 2026'!A:A,TRIM(A2930))&gt;0,((VLOOKUP(TRIM(D2930), CATALOGO!A:B, 2, FALSE) * C2930)*(1-VALUE(SUBSTITUTE(VLOOKUP(TRIM(A2930),'RESTAURANTESDESCUENTOS 2026'!A:B,2,FALSE),"%",""))/100)+I2930),(VLOOKUP(TRIM(D2930), CATALOGO!A:B, 2, FALSE) * C2930+I2930)),""))</f>
        <v/>
      </c>
      <c r="K2930" s="196"/>
      <c r="L2930" s="87"/>
      <c r="M2930" s="245"/>
      <c r="N2930" s="168"/>
    </row>
    <row r="2931" ht="22.5" hidden="1" customHeight="1">
      <c r="A2931" s="137"/>
      <c r="B2931" s="90"/>
      <c r="C2931" s="55"/>
      <c r="D2931" s="193"/>
      <c r="E2931" s="201"/>
      <c r="F2931" s="202"/>
      <c r="G2931" s="194"/>
      <c r="H2931" s="198"/>
      <c r="I2931" s="196"/>
      <c r="J2931" s="179" t="str">
        <f>IF(A2931="RAPPI",(VLOOKUP(TRIM(D2931), CATALOGO!F:G, 2, FALSE) * C2931)+I2931,IFERROR(IF(COUNTIF('RESTAURANTESDESCUENTOS 2026'!A:A,TRIM(A2931))&gt;0,((VLOOKUP(TRIM(D2931), CATALOGO!A:B, 2, FALSE) * C2931)*(1-VALUE(SUBSTITUTE(VLOOKUP(TRIM(A2931),'RESTAURANTESDESCUENTOS 2026'!A:B,2,FALSE),"%",""))/100)+I2931),(VLOOKUP(TRIM(D2931), CATALOGO!A:B, 2, FALSE) * C2931+I2931)),""))</f>
        <v/>
      </c>
      <c r="K2931" s="196"/>
      <c r="L2931" s="87"/>
      <c r="M2931" s="245"/>
      <c r="N2931" s="168"/>
    </row>
    <row r="2932" ht="22.5" hidden="1" customHeight="1">
      <c r="A2932" s="137"/>
      <c r="B2932" s="90"/>
      <c r="C2932" s="55"/>
      <c r="D2932" s="193"/>
      <c r="E2932" s="201"/>
      <c r="F2932" s="202"/>
      <c r="G2932" s="194"/>
      <c r="H2932" s="198"/>
      <c r="I2932" s="196"/>
      <c r="J2932" s="179" t="str">
        <f>IF(A2932="RAPPI",(VLOOKUP(TRIM(D2932), CATALOGO!F:G, 2, FALSE) * C2932)+I2932,IFERROR(IF(COUNTIF('RESTAURANTESDESCUENTOS 2026'!A:A,TRIM(A2932))&gt;0,((VLOOKUP(TRIM(D2932), CATALOGO!A:B, 2, FALSE) * C2932)*(1-VALUE(SUBSTITUTE(VLOOKUP(TRIM(A2932),'RESTAURANTESDESCUENTOS 2026'!A:B,2,FALSE),"%",""))/100)+I2932),(VLOOKUP(TRIM(D2932), CATALOGO!A:B, 2, FALSE) * C2932+I2932)),""))</f>
        <v/>
      </c>
      <c r="K2932" s="196"/>
      <c r="L2932" s="87"/>
      <c r="M2932" s="245"/>
      <c r="N2932" s="168"/>
    </row>
    <row r="2933" ht="22.5" hidden="1" customHeight="1">
      <c r="A2933" s="137"/>
      <c r="B2933" s="90"/>
      <c r="C2933" s="55"/>
      <c r="D2933" s="193"/>
      <c r="E2933" s="201"/>
      <c r="F2933" s="202"/>
      <c r="G2933" s="194"/>
      <c r="H2933" s="198"/>
      <c r="I2933" s="196"/>
      <c r="J2933" s="179" t="str">
        <f>IF(A2933="RAPPI",(VLOOKUP(TRIM(D2933), CATALOGO!F:G, 2, FALSE) * C2933)+I2933,IFERROR(IF(COUNTIF('RESTAURANTESDESCUENTOS 2026'!A:A,TRIM(A2933))&gt;0,((VLOOKUP(TRIM(D2933), CATALOGO!A:B, 2, FALSE) * C2933)*(1-VALUE(SUBSTITUTE(VLOOKUP(TRIM(A2933),'RESTAURANTESDESCUENTOS 2026'!A:B,2,FALSE),"%",""))/100)+I2933),(VLOOKUP(TRIM(D2933), CATALOGO!A:B, 2, FALSE) * C2933+I2933)),""))</f>
        <v/>
      </c>
      <c r="K2933" s="196"/>
      <c r="L2933" s="87"/>
      <c r="M2933" s="245"/>
      <c r="N2933" s="168"/>
    </row>
    <row r="2934" ht="22.5" hidden="1" customHeight="1">
      <c r="A2934" s="137"/>
      <c r="B2934" s="90"/>
      <c r="C2934" s="55"/>
      <c r="D2934" s="193"/>
      <c r="E2934" s="201"/>
      <c r="F2934" s="202"/>
      <c r="G2934" s="194"/>
      <c r="H2934" s="198"/>
      <c r="I2934" s="196"/>
      <c r="J2934" s="179" t="str">
        <f>IF(A2934="RAPPI",(VLOOKUP(TRIM(D2934), CATALOGO!F:G, 2, FALSE) * C2934)+I2934,IFERROR(IF(COUNTIF('RESTAURANTESDESCUENTOS 2026'!A:A,TRIM(A2934))&gt;0,((VLOOKUP(TRIM(D2934), CATALOGO!A:B, 2, FALSE) * C2934)*(1-VALUE(SUBSTITUTE(VLOOKUP(TRIM(A2934),'RESTAURANTESDESCUENTOS 2026'!A:B,2,FALSE),"%",""))/100)+I2934),(VLOOKUP(TRIM(D2934), CATALOGO!A:B, 2, FALSE) * C2934+I2934)),""))</f>
        <v/>
      </c>
      <c r="K2934" s="196"/>
      <c r="L2934" s="87"/>
      <c r="M2934" s="245"/>
      <c r="N2934" s="168"/>
    </row>
    <row r="2935" ht="22.5" hidden="1" customHeight="1">
      <c r="A2935" s="137"/>
      <c r="B2935" s="90"/>
      <c r="C2935" s="55"/>
      <c r="D2935" s="193"/>
      <c r="E2935" s="201"/>
      <c r="F2935" s="202"/>
      <c r="G2935" s="194"/>
      <c r="H2935" s="198"/>
      <c r="I2935" s="196"/>
      <c r="J2935" s="179" t="str">
        <f>IF(A2935="RAPPI",(VLOOKUP(TRIM(D2935), CATALOGO!F:G, 2, FALSE) * C2935)+I2935,IFERROR(IF(COUNTIF('RESTAURANTESDESCUENTOS 2026'!A:A,TRIM(A2935))&gt;0,((VLOOKUP(TRIM(D2935), CATALOGO!A:B, 2, FALSE) * C2935)*(1-VALUE(SUBSTITUTE(VLOOKUP(TRIM(A2935),'RESTAURANTESDESCUENTOS 2026'!A:B,2,FALSE),"%",""))/100)+I2935),(VLOOKUP(TRIM(D2935), CATALOGO!A:B, 2, FALSE) * C2935+I2935)),""))</f>
        <v/>
      </c>
      <c r="K2935" s="196"/>
      <c r="L2935" s="87"/>
      <c r="M2935" s="245"/>
      <c r="N2935" s="168"/>
    </row>
    <row r="2936" ht="22.5" hidden="1" customHeight="1">
      <c r="A2936" s="137"/>
      <c r="B2936" s="90"/>
      <c r="C2936" s="55"/>
      <c r="D2936" s="193"/>
      <c r="E2936" s="201"/>
      <c r="F2936" s="202"/>
      <c r="G2936" s="194"/>
      <c r="H2936" s="198"/>
      <c r="I2936" s="196"/>
      <c r="J2936" s="179" t="str">
        <f>IF(A2936="RAPPI",(VLOOKUP(TRIM(D2936), CATALOGO!F:G, 2, FALSE) * C2936)+I2936,IFERROR(IF(COUNTIF('RESTAURANTESDESCUENTOS 2026'!A:A,TRIM(A2936))&gt;0,((VLOOKUP(TRIM(D2936), CATALOGO!A:B, 2, FALSE) * C2936)*(1-VALUE(SUBSTITUTE(VLOOKUP(TRIM(A2936),'RESTAURANTESDESCUENTOS 2026'!A:B,2,FALSE),"%",""))/100)+I2936),(VLOOKUP(TRIM(D2936), CATALOGO!A:B, 2, FALSE) * C2936+I2936)),""))</f>
        <v/>
      </c>
      <c r="K2936" s="196"/>
      <c r="L2936" s="87"/>
      <c r="M2936" s="245"/>
      <c r="N2936" s="168"/>
    </row>
    <row r="2937" ht="22.5" hidden="1" customHeight="1">
      <c r="A2937" s="137"/>
      <c r="B2937" s="90"/>
      <c r="C2937" s="55"/>
      <c r="D2937" s="193"/>
      <c r="E2937" s="201"/>
      <c r="F2937" s="202"/>
      <c r="G2937" s="194"/>
      <c r="H2937" s="198"/>
      <c r="I2937" s="196"/>
      <c r="J2937" s="179" t="str">
        <f>IF(A2937="RAPPI",(VLOOKUP(TRIM(D2937), CATALOGO!F:G, 2, FALSE) * C2937)+I2937,IFERROR(IF(COUNTIF('RESTAURANTESDESCUENTOS 2026'!A:A,TRIM(A2937))&gt;0,((VLOOKUP(TRIM(D2937), CATALOGO!A:B, 2, FALSE) * C2937)*(1-VALUE(SUBSTITUTE(VLOOKUP(TRIM(A2937),'RESTAURANTESDESCUENTOS 2026'!A:B,2,FALSE),"%",""))/100)+I2937),(VLOOKUP(TRIM(D2937), CATALOGO!A:B, 2, FALSE) * C2937+I2937)),""))</f>
        <v/>
      </c>
      <c r="K2937" s="196"/>
      <c r="L2937" s="87"/>
      <c r="M2937" s="245"/>
      <c r="N2937" s="168"/>
    </row>
    <row r="2938" ht="22.5" hidden="1" customHeight="1">
      <c r="A2938" s="137"/>
      <c r="B2938" s="90"/>
      <c r="C2938" s="55"/>
      <c r="D2938" s="193"/>
      <c r="E2938" s="201"/>
      <c r="F2938" s="202"/>
      <c r="G2938" s="194"/>
      <c r="H2938" s="198"/>
      <c r="I2938" s="196"/>
      <c r="J2938" s="179" t="str">
        <f>IF(A2938="RAPPI",(VLOOKUP(TRIM(D2938), CATALOGO!F:G, 2, FALSE) * C2938)+I2938,IFERROR(IF(COUNTIF('RESTAURANTESDESCUENTOS 2026'!A:A,TRIM(A2938))&gt;0,((VLOOKUP(TRIM(D2938), CATALOGO!A:B, 2, FALSE) * C2938)*(1-VALUE(SUBSTITUTE(VLOOKUP(TRIM(A2938),'RESTAURANTESDESCUENTOS 2026'!A:B,2,FALSE),"%",""))/100)+I2938),(VLOOKUP(TRIM(D2938), CATALOGO!A:B, 2, FALSE) * C2938+I2938)),""))</f>
        <v/>
      </c>
      <c r="K2938" s="196"/>
      <c r="L2938" s="87"/>
      <c r="M2938" s="245"/>
      <c r="N2938" s="168"/>
    </row>
    <row r="2939" ht="22.5" hidden="1" customHeight="1">
      <c r="A2939" s="137"/>
      <c r="B2939" s="90"/>
      <c r="C2939" s="55"/>
      <c r="D2939" s="193"/>
      <c r="E2939" s="201"/>
      <c r="F2939" s="202"/>
      <c r="G2939" s="194"/>
      <c r="H2939" s="198"/>
      <c r="I2939" s="196"/>
      <c r="J2939" s="179" t="str">
        <f>IF(A2939="RAPPI",(VLOOKUP(TRIM(D2939), CATALOGO!F:G, 2, FALSE) * C2939)+I2939,IFERROR(IF(COUNTIF('RESTAURANTESDESCUENTOS 2026'!A:A,TRIM(A2939))&gt;0,((VLOOKUP(TRIM(D2939), CATALOGO!A:B, 2, FALSE) * C2939)*(1-VALUE(SUBSTITUTE(VLOOKUP(TRIM(A2939),'RESTAURANTESDESCUENTOS 2026'!A:B,2,FALSE),"%",""))/100)+I2939),(VLOOKUP(TRIM(D2939), CATALOGO!A:B, 2, FALSE) * C2939+I2939)),""))</f>
        <v/>
      </c>
      <c r="K2939" s="196"/>
      <c r="L2939" s="87"/>
      <c r="M2939" s="245"/>
      <c r="N2939" s="168"/>
    </row>
    <row r="2940" ht="22.5" hidden="1" customHeight="1">
      <c r="A2940" s="137"/>
      <c r="B2940" s="90"/>
      <c r="C2940" s="55"/>
      <c r="D2940" s="193"/>
      <c r="E2940" s="201"/>
      <c r="F2940" s="202"/>
      <c r="G2940" s="194"/>
      <c r="H2940" s="198"/>
      <c r="I2940" s="196"/>
      <c r="J2940" s="179" t="str">
        <f>IF(A2940="RAPPI",(VLOOKUP(TRIM(D2940), CATALOGO!F:G, 2, FALSE) * C2940)+I2940,IFERROR(IF(COUNTIF('RESTAURANTESDESCUENTOS 2026'!A:A,TRIM(A2940))&gt;0,((VLOOKUP(TRIM(D2940), CATALOGO!A:B, 2, FALSE) * C2940)*(1-VALUE(SUBSTITUTE(VLOOKUP(TRIM(A2940),'RESTAURANTESDESCUENTOS 2026'!A:B,2,FALSE),"%",""))/100)+I2940),(VLOOKUP(TRIM(D2940), CATALOGO!A:B, 2, FALSE) * C2940+I2940)),""))</f>
        <v/>
      </c>
      <c r="K2940" s="196"/>
      <c r="L2940" s="87"/>
      <c r="M2940" s="245"/>
      <c r="N2940" s="168"/>
    </row>
    <row r="2941" ht="22.5" hidden="1" customHeight="1">
      <c r="A2941" s="137"/>
      <c r="B2941" s="90"/>
      <c r="C2941" s="55"/>
      <c r="D2941" s="193"/>
      <c r="E2941" s="201"/>
      <c r="F2941" s="202"/>
      <c r="G2941" s="194"/>
      <c r="H2941" s="198"/>
      <c r="I2941" s="196"/>
      <c r="J2941" s="179" t="str">
        <f>IF(A2941="RAPPI",(VLOOKUP(TRIM(D2941), CATALOGO!F:G, 2, FALSE) * C2941)+I2941,IFERROR(IF(COUNTIF('RESTAURANTESDESCUENTOS 2026'!A:A,TRIM(A2941))&gt;0,((VLOOKUP(TRIM(D2941), CATALOGO!A:B, 2, FALSE) * C2941)*(1-VALUE(SUBSTITUTE(VLOOKUP(TRIM(A2941),'RESTAURANTESDESCUENTOS 2026'!A:B,2,FALSE),"%",""))/100)+I2941),(VLOOKUP(TRIM(D2941), CATALOGO!A:B, 2, FALSE) * C2941+I2941)),""))</f>
        <v/>
      </c>
      <c r="K2941" s="196"/>
      <c r="L2941" s="87"/>
      <c r="M2941" s="245"/>
      <c r="N2941" s="168"/>
    </row>
    <row r="2942" ht="22.5" hidden="1" customHeight="1">
      <c r="A2942" s="137"/>
      <c r="B2942" s="90"/>
      <c r="C2942" s="55"/>
      <c r="D2942" s="193"/>
      <c r="E2942" s="201"/>
      <c r="F2942" s="202"/>
      <c r="G2942" s="194"/>
      <c r="H2942" s="198"/>
      <c r="I2942" s="196"/>
      <c r="J2942" s="179" t="str">
        <f>IF(A2942="RAPPI",(VLOOKUP(TRIM(D2942), CATALOGO!F:G, 2, FALSE) * C2942)+I2942,IFERROR(IF(COUNTIF('RESTAURANTESDESCUENTOS 2026'!A:A,TRIM(A2942))&gt;0,((VLOOKUP(TRIM(D2942), CATALOGO!A:B, 2, FALSE) * C2942)*(1-VALUE(SUBSTITUTE(VLOOKUP(TRIM(A2942),'RESTAURANTESDESCUENTOS 2026'!A:B,2,FALSE),"%",""))/100)+I2942),(VLOOKUP(TRIM(D2942), CATALOGO!A:B, 2, FALSE) * C2942+I2942)),""))</f>
        <v/>
      </c>
      <c r="K2942" s="196"/>
      <c r="L2942" s="87"/>
      <c r="M2942" s="245"/>
      <c r="N2942" s="168"/>
    </row>
    <row r="2943" ht="22.5" hidden="1" customHeight="1">
      <c r="A2943" s="137"/>
      <c r="B2943" s="90"/>
      <c r="C2943" s="55"/>
      <c r="D2943" s="193"/>
      <c r="E2943" s="201"/>
      <c r="F2943" s="202"/>
      <c r="G2943" s="194"/>
      <c r="H2943" s="198"/>
      <c r="I2943" s="196"/>
      <c r="J2943" s="179" t="str">
        <f>IF(A2943="RAPPI",(VLOOKUP(TRIM(D2943), CATALOGO!F:G, 2, FALSE) * C2943)+I2943,IFERROR(IF(COUNTIF('RESTAURANTESDESCUENTOS 2026'!A:A,TRIM(A2943))&gt;0,((VLOOKUP(TRIM(D2943), CATALOGO!A:B, 2, FALSE) * C2943)*(1-VALUE(SUBSTITUTE(VLOOKUP(TRIM(A2943),'RESTAURANTESDESCUENTOS 2026'!A:B,2,FALSE),"%",""))/100)+I2943),(VLOOKUP(TRIM(D2943), CATALOGO!A:B, 2, FALSE) * C2943+I2943)),""))</f>
        <v/>
      </c>
      <c r="K2943" s="196"/>
      <c r="L2943" s="87"/>
      <c r="M2943" s="245"/>
      <c r="N2943" s="168"/>
    </row>
    <row r="2944" ht="22.5" hidden="1" customHeight="1">
      <c r="A2944" s="137"/>
      <c r="B2944" s="90"/>
      <c r="C2944" s="55"/>
      <c r="D2944" s="193"/>
      <c r="E2944" s="201"/>
      <c r="F2944" s="202"/>
      <c r="G2944" s="194"/>
      <c r="H2944" s="198"/>
      <c r="I2944" s="196"/>
      <c r="J2944" s="179" t="str">
        <f>IF(A2944="RAPPI",(VLOOKUP(TRIM(D2944), CATALOGO!F:G, 2, FALSE) * C2944)+I2944,IFERROR(IF(COUNTIF('RESTAURANTESDESCUENTOS 2026'!A:A,TRIM(A2944))&gt;0,((VLOOKUP(TRIM(D2944), CATALOGO!A:B, 2, FALSE) * C2944)*(1-VALUE(SUBSTITUTE(VLOOKUP(TRIM(A2944),'RESTAURANTESDESCUENTOS 2026'!A:B,2,FALSE),"%",""))/100)+I2944),(VLOOKUP(TRIM(D2944), CATALOGO!A:B, 2, FALSE) * C2944+I2944)),""))</f>
        <v/>
      </c>
      <c r="K2944" s="196"/>
      <c r="L2944" s="87"/>
      <c r="M2944" s="245"/>
      <c r="N2944" s="168"/>
    </row>
    <row r="2945" ht="22.5" hidden="1" customHeight="1">
      <c r="A2945" s="137"/>
      <c r="B2945" s="90"/>
      <c r="C2945" s="55"/>
      <c r="D2945" s="193"/>
      <c r="E2945" s="201"/>
      <c r="F2945" s="202"/>
      <c r="G2945" s="194"/>
      <c r="H2945" s="198"/>
      <c r="I2945" s="196"/>
      <c r="J2945" s="179" t="str">
        <f>IF(A2945="RAPPI",(VLOOKUP(TRIM(D2945), CATALOGO!F:G, 2, FALSE) * C2945)+I2945,IFERROR(IF(COUNTIF('RESTAURANTESDESCUENTOS 2026'!A:A,TRIM(A2945))&gt;0,((VLOOKUP(TRIM(D2945), CATALOGO!A:B, 2, FALSE) * C2945)*(1-VALUE(SUBSTITUTE(VLOOKUP(TRIM(A2945),'RESTAURANTESDESCUENTOS 2026'!A:B,2,FALSE),"%",""))/100)+I2945),(VLOOKUP(TRIM(D2945), CATALOGO!A:B, 2, FALSE) * C2945+I2945)),""))</f>
        <v/>
      </c>
      <c r="K2945" s="196"/>
      <c r="L2945" s="87"/>
      <c r="M2945" s="245"/>
      <c r="N2945" s="168"/>
    </row>
    <row r="2946" ht="22.5" hidden="1" customHeight="1">
      <c r="A2946" s="137"/>
      <c r="B2946" s="90"/>
      <c r="C2946" s="55"/>
      <c r="D2946" s="193"/>
      <c r="E2946" s="201"/>
      <c r="F2946" s="202"/>
      <c r="G2946" s="194"/>
      <c r="H2946" s="198"/>
      <c r="I2946" s="196"/>
      <c r="J2946" s="179" t="str">
        <f>IF(A2946="RAPPI",(VLOOKUP(TRIM(D2946), CATALOGO!F:G, 2, FALSE) * C2946)+I2946,IFERROR(IF(COUNTIF('RESTAURANTESDESCUENTOS 2026'!A:A,TRIM(A2946))&gt;0,((VLOOKUP(TRIM(D2946), CATALOGO!A:B, 2, FALSE) * C2946)*(1-VALUE(SUBSTITUTE(VLOOKUP(TRIM(A2946),'RESTAURANTESDESCUENTOS 2026'!A:B,2,FALSE),"%",""))/100)+I2946),(VLOOKUP(TRIM(D2946), CATALOGO!A:B, 2, FALSE) * C2946+I2946)),""))</f>
        <v/>
      </c>
      <c r="K2946" s="196"/>
      <c r="L2946" s="87"/>
      <c r="M2946" s="245"/>
      <c r="N2946" s="168"/>
    </row>
    <row r="2947" ht="22.5" hidden="1" customHeight="1">
      <c r="A2947" s="137"/>
      <c r="B2947" s="90"/>
      <c r="C2947" s="55"/>
      <c r="D2947" s="193"/>
      <c r="E2947" s="201"/>
      <c r="F2947" s="202"/>
      <c r="G2947" s="194"/>
      <c r="H2947" s="198"/>
      <c r="I2947" s="196"/>
      <c r="J2947" s="179" t="str">
        <f>IF(A2947="RAPPI",(VLOOKUP(TRIM(D2947), CATALOGO!F:G, 2, FALSE) * C2947)+I2947,IFERROR(IF(COUNTIF('RESTAURANTESDESCUENTOS 2026'!A:A,TRIM(A2947))&gt;0,((VLOOKUP(TRIM(D2947), CATALOGO!A:B, 2, FALSE) * C2947)*(1-VALUE(SUBSTITUTE(VLOOKUP(TRIM(A2947),'RESTAURANTESDESCUENTOS 2026'!A:B,2,FALSE),"%",""))/100)+I2947),(VLOOKUP(TRIM(D2947), CATALOGO!A:B, 2, FALSE) * C2947+I2947)),""))</f>
        <v/>
      </c>
      <c r="K2947" s="196"/>
      <c r="L2947" s="87"/>
      <c r="M2947" s="245"/>
      <c r="N2947" s="168"/>
    </row>
    <row r="2948" ht="22.5" hidden="1" customHeight="1">
      <c r="A2948" s="137"/>
      <c r="B2948" s="90"/>
      <c r="C2948" s="55"/>
      <c r="D2948" s="193"/>
      <c r="E2948" s="201"/>
      <c r="F2948" s="202"/>
      <c r="G2948" s="194"/>
      <c r="H2948" s="198"/>
      <c r="I2948" s="196"/>
      <c r="J2948" s="179" t="str">
        <f>IF(A2948="RAPPI",(VLOOKUP(TRIM(D2948), CATALOGO!F:G, 2, FALSE) * C2948)+I2948,IFERROR(IF(COUNTIF('RESTAURANTESDESCUENTOS 2026'!A:A,TRIM(A2948))&gt;0,((VLOOKUP(TRIM(D2948), CATALOGO!A:B, 2, FALSE) * C2948)*(1-VALUE(SUBSTITUTE(VLOOKUP(TRIM(A2948),'RESTAURANTESDESCUENTOS 2026'!A:B,2,FALSE),"%",""))/100)+I2948),(VLOOKUP(TRIM(D2948), CATALOGO!A:B, 2, FALSE) * C2948+I2948)),""))</f>
        <v/>
      </c>
      <c r="K2948" s="196"/>
      <c r="L2948" s="87"/>
      <c r="M2948" s="245"/>
      <c r="N2948" s="168"/>
    </row>
    <row r="2949" ht="22.5" hidden="1" customHeight="1">
      <c r="A2949" s="137"/>
      <c r="B2949" s="90"/>
      <c r="C2949" s="55"/>
      <c r="D2949" s="193"/>
      <c r="E2949" s="201"/>
      <c r="F2949" s="202"/>
      <c r="G2949" s="194"/>
      <c r="H2949" s="198"/>
      <c r="I2949" s="196"/>
      <c r="J2949" s="179" t="str">
        <f>IF(A2949="RAPPI",(VLOOKUP(TRIM(D2949), CATALOGO!F:G, 2, FALSE) * C2949)+I2949,IFERROR(IF(COUNTIF('RESTAURANTESDESCUENTOS 2026'!A:A,TRIM(A2949))&gt;0,((VLOOKUP(TRIM(D2949), CATALOGO!A:B, 2, FALSE) * C2949)*(1-VALUE(SUBSTITUTE(VLOOKUP(TRIM(A2949),'RESTAURANTESDESCUENTOS 2026'!A:B,2,FALSE),"%",""))/100)+I2949),(VLOOKUP(TRIM(D2949), CATALOGO!A:B, 2, FALSE) * C2949+I2949)),""))</f>
        <v/>
      </c>
      <c r="K2949" s="196"/>
      <c r="L2949" s="87"/>
      <c r="M2949" s="245"/>
      <c r="N2949" s="168"/>
    </row>
    <row r="2950" ht="22.5" hidden="1" customHeight="1">
      <c r="A2950" s="137"/>
      <c r="B2950" s="90"/>
      <c r="C2950" s="55"/>
      <c r="D2950" s="193"/>
      <c r="E2950" s="201"/>
      <c r="F2950" s="202"/>
      <c r="G2950" s="194"/>
      <c r="H2950" s="198"/>
      <c r="I2950" s="196"/>
      <c r="J2950" s="179" t="str">
        <f>IF(A2950="RAPPI",(VLOOKUP(TRIM(D2950), CATALOGO!F:G, 2, FALSE) * C2950)+I2950,IFERROR(IF(COUNTIF('RESTAURANTESDESCUENTOS 2026'!A:A,TRIM(A2950))&gt;0,((VLOOKUP(TRIM(D2950), CATALOGO!A:B, 2, FALSE) * C2950)*(1-VALUE(SUBSTITUTE(VLOOKUP(TRIM(A2950),'RESTAURANTESDESCUENTOS 2026'!A:B,2,FALSE),"%",""))/100)+I2950),(VLOOKUP(TRIM(D2950), CATALOGO!A:B, 2, FALSE) * C2950+I2950)),""))</f>
        <v/>
      </c>
      <c r="K2950" s="196"/>
      <c r="L2950" s="87"/>
      <c r="M2950" s="245"/>
      <c r="N2950" s="168"/>
    </row>
    <row r="2951" ht="22.5" hidden="1" customHeight="1">
      <c r="A2951" s="137"/>
      <c r="B2951" s="90"/>
      <c r="C2951" s="55"/>
      <c r="D2951" s="193"/>
      <c r="E2951" s="201"/>
      <c r="F2951" s="202"/>
      <c r="G2951" s="194"/>
      <c r="H2951" s="198"/>
      <c r="I2951" s="196"/>
      <c r="J2951" s="179" t="str">
        <f>IF(A2951="RAPPI",(VLOOKUP(TRIM(D2951), CATALOGO!F:G, 2, FALSE) * C2951)+I2951,IFERROR(IF(COUNTIF('RESTAURANTESDESCUENTOS 2026'!A:A,TRIM(A2951))&gt;0,((VLOOKUP(TRIM(D2951), CATALOGO!A:B, 2, FALSE) * C2951)*(1-VALUE(SUBSTITUTE(VLOOKUP(TRIM(A2951),'RESTAURANTESDESCUENTOS 2026'!A:B,2,FALSE),"%",""))/100)+I2951),(VLOOKUP(TRIM(D2951), CATALOGO!A:B, 2, FALSE) * C2951+I2951)),""))</f>
        <v/>
      </c>
      <c r="K2951" s="196"/>
      <c r="L2951" s="87"/>
      <c r="M2951" s="245"/>
      <c r="N2951" s="168"/>
    </row>
    <row r="2952" ht="22.5" hidden="1" customHeight="1">
      <c r="A2952" s="137"/>
      <c r="B2952" s="90"/>
      <c r="C2952" s="55"/>
      <c r="D2952" s="193"/>
      <c r="E2952" s="201"/>
      <c r="F2952" s="202"/>
      <c r="G2952" s="194"/>
      <c r="H2952" s="198"/>
      <c r="I2952" s="196"/>
      <c r="J2952" s="179" t="str">
        <f>IF(A2952="RAPPI",(VLOOKUP(TRIM(D2952), CATALOGO!F:G, 2, FALSE) * C2952)+I2952,IFERROR(IF(COUNTIF('RESTAURANTESDESCUENTOS 2026'!A:A,TRIM(A2952))&gt;0,((VLOOKUP(TRIM(D2952), CATALOGO!A:B, 2, FALSE) * C2952)*(1-VALUE(SUBSTITUTE(VLOOKUP(TRIM(A2952),'RESTAURANTESDESCUENTOS 2026'!A:B,2,FALSE),"%",""))/100)+I2952),(VLOOKUP(TRIM(D2952), CATALOGO!A:B, 2, FALSE) * C2952+I2952)),""))</f>
        <v/>
      </c>
      <c r="K2952" s="196"/>
      <c r="L2952" s="87"/>
      <c r="M2952" s="245"/>
      <c r="N2952" s="168"/>
    </row>
    <row r="2953" ht="22.5" hidden="1" customHeight="1">
      <c r="A2953" s="137"/>
      <c r="B2953" s="90"/>
      <c r="C2953" s="55"/>
      <c r="D2953" s="193"/>
      <c r="E2953" s="201"/>
      <c r="F2953" s="202"/>
      <c r="G2953" s="194"/>
      <c r="H2953" s="198"/>
      <c r="I2953" s="196"/>
      <c r="J2953" s="179" t="str">
        <f>IF(A2953="RAPPI",(VLOOKUP(TRIM(D2953), CATALOGO!F:G, 2, FALSE) * C2953)+I2953,IFERROR(IF(COUNTIF('RESTAURANTESDESCUENTOS 2026'!A:A,TRIM(A2953))&gt;0,((VLOOKUP(TRIM(D2953), CATALOGO!A:B, 2, FALSE) * C2953)*(1-VALUE(SUBSTITUTE(VLOOKUP(TRIM(A2953),'RESTAURANTESDESCUENTOS 2026'!A:B,2,FALSE),"%",""))/100)+I2953),(VLOOKUP(TRIM(D2953), CATALOGO!A:B, 2, FALSE) * C2953+I2953)),""))</f>
        <v/>
      </c>
      <c r="K2953" s="196"/>
      <c r="L2953" s="87"/>
      <c r="M2953" s="245"/>
      <c r="N2953" s="168"/>
    </row>
    <row r="2954" ht="22.5" hidden="1" customHeight="1">
      <c r="A2954" s="137"/>
      <c r="B2954" s="90"/>
      <c r="C2954" s="55"/>
      <c r="D2954" s="193"/>
      <c r="E2954" s="201"/>
      <c r="F2954" s="202"/>
      <c r="G2954" s="194"/>
      <c r="H2954" s="198"/>
      <c r="I2954" s="196"/>
      <c r="J2954" s="179" t="str">
        <f>IF(A2954="RAPPI",(VLOOKUP(TRIM(D2954), CATALOGO!F:G, 2, FALSE) * C2954)+I2954,IFERROR(IF(COUNTIF('RESTAURANTESDESCUENTOS 2026'!A:A,TRIM(A2954))&gt;0,((VLOOKUP(TRIM(D2954), CATALOGO!A:B, 2, FALSE) * C2954)*(1-VALUE(SUBSTITUTE(VLOOKUP(TRIM(A2954),'RESTAURANTESDESCUENTOS 2026'!A:B,2,FALSE),"%",""))/100)+I2954),(VLOOKUP(TRIM(D2954), CATALOGO!A:B, 2, FALSE) * C2954+I2954)),""))</f>
        <v/>
      </c>
      <c r="K2954" s="196"/>
      <c r="L2954" s="87"/>
      <c r="M2954" s="245"/>
      <c r="N2954" s="168"/>
    </row>
    <row r="2955" ht="22.5" hidden="1" customHeight="1">
      <c r="A2955" s="137"/>
      <c r="B2955" s="90"/>
      <c r="C2955" s="55"/>
      <c r="D2955" s="193"/>
      <c r="E2955" s="201"/>
      <c r="F2955" s="202"/>
      <c r="G2955" s="194"/>
      <c r="H2955" s="198"/>
      <c r="I2955" s="196"/>
      <c r="J2955" s="179" t="str">
        <f>IF(A2955="RAPPI",(VLOOKUP(TRIM(D2955), CATALOGO!F:G, 2, FALSE) * C2955)+I2955,IFERROR(IF(COUNTIF('RESTAURANTESDESCUENTOS 2026'!A:A,TRIM(A2955))&gt;0,((VLOOKUP(TRIM(D2955), CATALOGO!A:B, 2, FALSE) * C2955)*(1-VALUE(SUBSTITUTE(VLOOKUP(TRIM(A2955),'RESTAURANTESDESCUENTOS 2026'!A:B,2,FALSE),"%",""))/100)+I2955),(VLOOKUP(TRIM(D2955), CATALOGO!A:B, 2, FALSE) * C2955+I2955)),""))</f>
        <v/>
      </c>
      <c r="K2955" s="196"/>
      <c r="L2955" s="87"/>
      <c r="M2955" s="245"/>
      <c r="N2955" s="168"/>
    </row>
    <row r="2956" ht="22.5" hidden="1" customHeight="1">
      <c r="A2956" s="137"/>
      <c r="B2956" s="90"/>
      <c r="C2956" s="55"/>
      <c r="D2956" s="193"/>
      <c r="E2956" s="201"/>
      <c r="F2956" s="202"/>
      <c r="G2956" s="194"/>
      <c r="H2956" s="198"/>
      <c r="I2956" s="196"/>
      <c r="J2956" s="179" t="str">
        <f>IF(A2956="RAPPI",(VLOOKUP(TRIM(D2956), CATALOGO!F:G, 2, FALSE) * C2956)+I2956,IFERROR(IF(COUNTIF('RESTAURANTESDESCUENTOS 2026'!A:A,TRIM(A2956))&gt;0,((VLOOKUP(TRIM(D2956), CATALOGO!A:B, 2, FALSE) * C2956)*(1-VALUE(SUBSTITUTE(VLOOKUP(TRIM(A2956),'RESTAURANTESDESCUENTOS 2026'!A:B,2,FALSE),"%",""))/100)+I2956),(VLOOKUP(TRIM(D2956), CATALOGO!A:B, 2, FALSE) * C2956+I2956)),""))</f>
        <v/>
      </c>
      <c r="K2956" s="196"/>
      <c r="L2956" s="87"/>
      <c r="M2956" s="245"/>
      <c r="N2956" s="168"/>
    </row>
    <row r="2957" ht="22.5" hidden="1" customHeight="1">
      <c r="A2957" s="137"/>
      <c r="B2957" s="90"/>
      <c r="C2957" s="55"/>
      <c r="D2957" s="193"/>
      <c r="E2957" s="201"/>
      <c r="F2957" s="202"/>
      <c r="G2957" s="194"/>
      <c r="H2957" s="198"/>
      <c r="I2957" s="196"/>
      <c r="J2957" s="179" t="str">
        <f>IF(A2957="RAPPI",(VLOOKUP(TRIM(D2957), CATALOGO!F:G, 2, FALSE) * C2957)+I2957,IFERROR(IF(COUNTIF('RESTAURANTESDESCUENTOS 2026'!A:A,TRIM(A2957))&gt;0,((VLOOKUP(TRIM(D2957), CATALOGO!A:B, 2, FALSE) * C2957)*(1-VALUE(SUBSTITUTE(VLOOKUP(TRIM(A2957),'RESTAURANTESDESCUENTOS 2026'!A:B,2,FALSE),"%",""))/100)+I2957),(VLOOKUP(TRIM(D2957), CATALOGO!A:B, 2, FALSE) * C2957+I2957)),""))</f>
        <v/>
      </c>
      <c r="K2957" s="196"/>
      <c r="L2957" s="87"/>
      <c r="M2957" s="245"/>
      <c r="N2957" s="168"/>
    </row>
    <row r="2958" ht="22.5" hidden="1" customHeight="1">
      <c r="A2958" s="137"/>
      <c r="B2958" s="90"/>
      <c r="C2958" s="55"/>
      <c r="D2958" s="193"/>
      <c r="E2958" s="201"/>
      <c r="F2958" s="202"/>
      <c r="G2958" s="194"/>
      <c r="H2958" s="198"/>
      <c r="I2958" s="196"/>
      <c r="J2958" s="179" t="str">
        <f>IF(A2958="RAPPI",(VLOOKUP(TRIM(D2958), CATALOGO!F:G, 2, FALSE) * C2958)+I2958,IFERROR(IF(COUNTIF('RESTAURANTESDESCUENTOS 2026'!A:A,TRIM(A2958))&gt;0,((VLOOKUP(TRIM(D2958), CATALOGO!A:B, 2, FALSE) * C2958)*(1-VALUE(SUBSTITUTE(VLOOKUP(TRIM(A2958),'RESTAURANTESDESCUENTOS 2026'!A:B,2,FALSE),"%",""))/100)+I2958),(VLOOKUP(TRIM(D2958), CATALOGO!A:B, 2, FALSE) * C2958+I2958)),""))</f>
        <v/>
      </c>
      <c r="K2958" s="196"/>
      <c r="L2958" s="87"/>
      <c r="M2958" s="245"/>
      <c r="N2958" s="168"/>
    </row>
    <row r="2959" ht="22.5" hidden="1" customHeight="1">
      <c r="A2959" s="137"/>
      <c r="B2959" s="90"/>
      <c r="C2959" s="55"/>
      <c r="D2959" s="193"/>
      <c r="E2959" s="201"/>
      <c r="F2959" s="202"/>
      <c r="G2959" s="194"/>
      <c r="H2959" s="198"/>
      <c r="I2959" s="196"/>
      <c r="J2959" s="179" t="str">
        <f>IF(A2959="RAPPI",(VLOOKUP(TRIM(D2959), CATALOGO!F:G, 2, FALSE) * C2959)+I2959,IFERROR(IF(COUNTIF('RESTAURANTESDESCUENTOS 2026'!A:A,TRIM(A2959))&gt;0,((VLOOKUP(TRIM(D2959), CATALOGO!A:B, 2, FALSE) * C2959)*(1-VALUE(SUBSTITUTE(VLOOKUP(TRIM(A2959),'RESTAURANTESDESCUENTOS 2026'!A:B,2,FALSE),"%",""))/100)+I2959),(VLOOKUP(TRIM(D2959), CATALOGO!A:B, 2, FALSE) * C2959+I2959)),""))</f>
        <v/>
      </c>
      <c r="K2959" s="196"/>
      <c r="L2959" s="87"/>
      <c r="M2959" s="245"/>
      <c r="N2959" s="168"/>
    </row>
    <row r="2960" ht="22.5" hidden="1" customHeight="1">
      <c r="A2960" s="137"/>
      <c r="B2960" s="90"/>
      <c r="C2960" s="55"/>
      <c r="D2960" s="193"/>
      <c r="E2960" s="201"/>
      <c r="F2960" s="202"/>
      <c r="G2960" s="194"/>
      <c r="H2960" s="198"/>
      <c r="I2960" s="196"/>
      <c r="J2960" s="179" t="str">
        <f>IF(A2960="RAPPI",(VLOOKUP(TRIM(D2960), CATALOGO!F:G, 2, FALSE) * C2960)+I2960,IFERROR(IF(COUNTIF('RESTAURANTESDESCUENTOS 2026'!A:A,TRIM(A2960))&gt;0,((VLOOKUP(TRIM(D2960), CATALOGO!A:B, 2, FALSE) * C2960)*(1-VALUE(SUBSTITUTE(VLOOKUP(TRIM(A2960),'RESTAURANTESDESCUENTOS 2026'!A:B,2,FALSE),"%",""))/100)+I2960),(VLOOKUP(TRIM(D2960), CATALOGO!A:B, 2, FALSE) * C2960+I2960)),""))</f>
        <v/>
      </c>
      <c r="K2960" s="196"/>
      <c r="L2960" s="87"/>
      <c r="M2960" s="245"/>
      <c r="N2960" s="168"/>
    </row>
    <row r="2961" ht="22.5" hidden="1" customHeight="1">
      <c r="A2961" s="137"/>
      <c r="B2961" s="90"/>
      <c r="C2961" s="55"/>
      <c r="D2961" s="193"/>
      <c r="E2961" s="201"/>
      <c r="F2961" s="202"/>
      <c r="G2961" s="194"/>
      <c r="H2961" s="198"/>
      <c r="I2961" s="196"/>
      <c r="J2961" s="179" t="str">
        <f>IF(A2961="RAPPI",(VLOOKUP(TRIM(D2961), CATALOGO!F:G, 2, FALSE) * C2961)+I2961,IFERROR(IF(COUNTIF('RESTAURANTESDESCUENTOS 2026'!A:A,TRIM(A2961))&gt;0,((VLOOKUP(TRIM(D2961), CATALOGO!A:B, 2, FALSE) * C2961)*(1-VALUE(SUBSTITUTE(VLOOKUP(TRIM(A2961),'RESTAURANTESDESCUENTOS 2026'!A:B,2,FALSE),"%",""))/100)+I2961),(VLOOKUP(TRIM(D2961), CATALOGO!A:B, 2, FALSE) * C2961+I2961)),""))</f>
        <v/>
      </c>
      <c r="K2961" s="196"/>
      <c r="L2961" s="87"/>
      <c r="M2961" s="245"/>
      <c r="N2961" s="168"/>
    </row>
    <row r="2962" ht="22.5" hidden="1" customHeight="1">
      <c r="A2962" s="137"/>
      <c r="B2962" s="90"/>
      <c r="C2962" s="55"/>
      <c r="D2962" s="193"/>
      <c r="E2962" s="201"/>
      <c r="F2962" s="202"/>
      <c r="G2962" s="194"/>
      <c r="H2962" s="198"/>
      <c r="I2962" s="196"/>
      <c r="J2962" s="179" t="str">
        <f>IF(A2962="RAPPI",(VLOOKUP(TRIM(D2962), CATALOGO!F:G, 2, FALSE) * C2962)+I2962,IFERROR(IF(COUNTIF('RESTAURANTESDESCUENTOS 2026'!A:A,TRIM(A2962))&gt;0,((VLOOKUP(TRIM(D2962), CATALOGO!A:B, 2, FALSE) * C2962)*(1-VALUE(SUBSTITUTE(VLOOKUP(TRIM(A2962),'RESTAURANTESDESCUENTOS 2026'!A:B,2,FALSE),"%",""))/100)+I2962),(VLOOKUP(TRIM(D2962), CATALOGO!A:B, 2, FALSE) * C2962+I2962)),""))</f>
        <v/>
      </c>
      <c r="K2962" s="196"/>
      <c r="L2962" s="87"/>
      <c r="M2962" s="245"/>
      <c r="N2962" s="168"/>
    </row>
    <row r="2963" ht="22.5" hidden="1" customHeight="1">
      <c r="A2963" s="137"/>
      <c r="B2963" s="90"/>
      <c r="C2963" s="55"/>
      <c r="D2963" s="193"/>
      <c r="E2963" s="201"/>
      <c r="F2963" s="202"/>
      <c r="G2963" s="194"/>
      <c r="H2963" s="198"/>
      <c r="I2963" s="196"/>
      <c r="J2963" s="179" t="str">
        <f>IF(A2963="RAPPI",(VLOOKUP(TRIM(D2963), CATALOGO!F:G, 2, FALSE) * C2963)+I2963,IFERROR(IF(COUNTIF('RESTAURANTESDESCUENTOS 2026'!A:A,TRIM(A2963))&gt;0,((VLOOKUP(TRIM(D2963), CATALOGO!A:B, 2, FALSE) * C2963)*(1-VALUE(SUBSTITUTE(VLOOKUP(TRIM(A2963),'RESTAURANTESDESCUENTOS 2026'!A:B,2,FALSE),"%",""))/100)+I2963),(VLOOKUP(TRIM(D2963), CATALOGO!A:B, 2, FALSE) * C2963+I2963)),""))</f>
        <v/>
      </c>
      <c r="K2963" s="196"/>
      <c r="L2963" s="87"/>
      <c r="M2963" s="245"/>
      <c r="N2963" s="168"/>
    </row>
    <row r="2964" ht="22.5" hidden="1" customHeight="1">
      <c r="A2964" s="137"/>
      <c r="B2964" s="90"/>
      <c r="C2964" s="55"/>
      <c r="D2964" s="193"/>
      <c r="E2964" s="201"/>
      <c r="F2964" s="202"/>
      <c r="G2964" s="194"/>
      <c r="H2964" s="198"/>
      <c r="I2964" s="196"/>
      <c r="J2964" s="179" t="str">
        <f>IF(A2964="RAPPI",(VLOOKUP(TRIM(D2964), CATALOGO!F:G, 2, FALSE) * C2964)+I2964,IFERROR(IF(COUNTIF('RESTAURANTESDESCUENTOS 2026'!A:A,TRIM(A2964))&gt;0,((VLOOKUP(TRIM(D2964), CATALOGO!A:B, 2, FALSE) * C2964)*(1-VALUE(SUBSTITUTE(VLOOKUP(TRIM(A2964),'RESTAURANTESDESCUENTOS 2026'!A:B,2,FALSE),"%",""))/100)+I2964),(VLOOKUP(TRIM(D2964), CATALOGO!A:B, 2, FALSE) * C2964+I2964)),""))</f>
        <v/>
      </c>
      <c r="K2964" s="196"/>
      <c r="L2964" s="87"/>
      <c r="M2964" s="245"/>
      <c r="N2964" s="168"/>
    </row>
    <row r="2965" ht="22.5" hidden="1" customHeight="1">
      <c r="A2965" s="137"/>
      <c r="B2965" s="90"/>
      <c r="C2965" s="55"/>
      <c r="D2965" s="193"/>
      <c r="E2965" s="201"/>
      <c r="F2965" s="202"/>
      <c r="G2965" s="194"/>
      <c r="H2965" s="198"/>
      <c r="I2965" s="196"/>
      <c r="J2965" s="179" t="str">
        <f>IF(A2965="RAPPI",(VLOOKUP(TRIM(D2965), CATALOGO!F:G, 2, FALSE) * C2965)+I2965,IFERROR(IF(COUNTIF('RESTAURANTESDESCUENTOS 2026'!A:A,TRIM(A2965))&gt;0,((VLOOKUP(TRIM(D2965), CATALOGO!A:B, 2, FALSE) * C2965)*(1-VALUE(SUBSTITUTE(VLOOKUP(TRIM(A2965),'RESTAURANTESDESCUENTOS 2026'!A:B,2,FALSE),"%",""))/100)+I2965),(VLOOKUP(TRIM(D2965), CATALOGO!A:B, 2, FALSE) * C2965+I2965)),""))</f>
        <v/>
      </c>
      <c r="K2965" s="196"/>
      <c r="L2965" s="87"/>
      <c r="M2965" s="245"/>
      <c r="N2965" s="168"/>
    </row>
    <row r="2966" ht="22.5" hidden="1" customHeight="1">
      <c r="A2966" s="137"/>
      <c r="B2966" s="90"/>
      <c r="C2966" s="55"/>
      <c r="D2966" s="193"/>
      <c r="E2966" s="201"/>
      <c r="F2966" s="202"/>
      <c r="G2966" s="194"/>
      <c r="H2966" s="198"/>
      <c r="I2966" s="196"/>
      <c r="J2966" s="179" t="str">
        <f>IF(A2966="RAPPI",(VLOOKUP(TRIM(D2966), CATALOGO!F:G, 2, FALSE) * C2966)+I2966,IFERROR(IF(COUNTIF('RESTAURANTESDESCUENTOS 2026'!A:A,TRIM(A2966))&gt;0,((VLOOKUP(TRIM(D2966), CATALOGO!A:B, 2, FALSE) * C2966)*(1-VALUE(SUBSTITUTE(VLOOKUP(TRIM(A2966),'RESTAURANTESDESCUENTOS 2026'!A:B,2,FALSE),"%",""))/100)+I2966),(VLOOKUP(TRIM(D2966), CATALOGO!A:B, 2, FALSE) * C2966+I2966)),""))</f>
        <v/>
      </c>
      <c r="K2966" s="196"/>
      <c r="L2966" s="87"/>
      <c r="M2966" s="245"/>
      <c r="N2966" s="168"/>
    </row>
    <row r="2967" ht="22.5" hidden="1" customHeight="1">
      <c r="A2967" s="137"/>
      <c r="B2967" s="90"/>
      <c r="C2967" s="55"/>
      <c r="D2967" s="193"/>
      <c r="E2967" s="201"/>
      <c r="F2967" s="202"/>
      <c r="G2967" s="194"/>
      <c r="H2967" s="198"/>
      <c r="I2967" s="196"/>
      <c r="J2967" s="179" t="str">
        <f>IF(A2967="RAPPI",(VLOOKUP(TRIM(D2967), CATALOGO!F:G, 2, FALSE) * C2967)+I2967,IFERROR(IF(COUNTIF('RESTAURANTESDESCUENTOS 2026'!A:A,TRIM(A2967))&gt;0,((VLOOKUP(TRIM(D2967), CATALOGO!A:B, 2, FALSE) * C2967)*(1-VALUE(SUBSTITUTE(VLOOKUP(TRIM(A2967),'RESTAURANTESDESCUENTOS 2026'!A:B,2,FALSE),"%",""))/100)+I2967),(VLOOKUP(TRIM(D2967), CATALOGO!A:B, 2, FALSE) * C2967+I2967)),""))</f>
        <v/>
      </c>
      <c r="K2967" s="196"/>
      <c r="L2967" s="87"/>
      <c r="M2967" s="245"/>
      <c r="N2967" s="168"/>
    </row>
    <row r="2968" ht="22.5" hidden="1" customHeight="1">
      <c r="A2968" s="137"/>
      <c r="B2968" s="90"/>
      <c r="C2968" s="55"/>
      <c r="D2968" s="193"/>
      <c r="E2968" s="201"/>
      <c r="F2968" s="202"/>
      <c r="G2968" s="194"/>
      <c r="H2968" s="198"/>
      <c r="I2968" s="196"/>
      <c r="J2968" s="179" t="str">
        <f>IF(A2968="RAPPI",(VLOOKUP(TRIM(D2968), CATALOGO!F:G, 2, FALSE) * C2968)+I2968,IFERROR(IF(COUNTIF('RESTAURANTESDESCUENTOS 2026'!A:A,TRIM(A2968))&gt;0,((VLOOKUP(TRIM(D2968), CATALOGO!A:B, 2, FALSE) * C2968)*(1-VALUE(SUBSTITUTE(VLOOKUP(TRIM(A2968),'RESTAURANTESDESCUENTOS 2026'!A:B,2,FALSE),"%",""))/100)+I2968),(VLOOKUP(TRIM(D2968), CATALOGO!A:B, 2, FALSE) * C2968+I2968)),""))</f>
        <v/>
      </c>
      <c r="K2968" s="196"/>
      <c r="L2968" s="87"/>
      <c r="M2968" s="245"/>
      <c r="N2968" s="168"/>
    </row>
    <row r="2969" ht="22.5" hidden="1" customHeight="1">
      <c r="A2969" s="137"/>
      <c r="B2969" s="90"/>
      <c r="C2969" s="55"/>
      <c r="D2969" s="193"/>
      <c r="E2969" s="201"/>
      <c r="F2969" s="202"/>
      <c r="G2969" s="194"/>
      <c r="H2969" s="198"/>
      <c r="I2969" s="196"/>
      <c r="J2969" s="179" t="str">
        <f>IF(A2969="RAPPI",(VLOOKUP(TRIM(D2969), CATALOGO!F:G, 2, FALSE) * C2969)+I2969,IFERROR(IF(COUNTIF('RESTAURANTESDESCUENTOS 2026'!A:A,TRIM(A2969))&gt;0,((VLOOKUP(TRIM(D2969), CATALOGO!A:B, 2, FALSE) * C2969)*(1-VALUE(SUBSTITUTE(VLOOKUP(TRIM(A2969),'RESTAURANTESDESCUENTOS 2026'!A:B,2,FALSE),"%",""))/100)+I2969),(VLOOKUP(TRIM(D2969), CATALOGO!A:B, 2, FALSE) * C2969+I2969)),""))</f>
        <v/>
      </c>
      <c r="K2969" s="196"/>
      <c r="L2969" s="87"/>
      <c r="M2969" s="245"/>
      <c r="N2969" s="168"/>
    </row>
    <row r="2970" ht="22.5" hidden="1" customHeight="1">
      <c r="A2970" s="137"/>
      <c r="B2970" s="90"/>
      <c r="C2970" s="55"/>
      <c r="D2970" s="193"/>
      <c r="E2970" s="201"/>
      <c r="F2970" s="202"/>
      <c r="G2970" s="194"/>
      <c r="H2970" s="198"/>
      <c r="I2970" s="196"/>
      <c r="J2970" s="179" t="str">
        <f>IF(A2970="RAPPI",(VLOOKUP(TRIM(D2970), CATALOGO!F:G, 2, FALSE) * C2970)+I2970,IFERROR(IF(COUNTIF('RESTAURANTESDESCUENTOS 2026'!A:A,TRIM(A2970))&gt;0,((VLOOKUP(TRIM(D2970), CATALOGO!A:B, 2, FALSE) * C2970)*(1-VALUE(SUBSTITUTE(VLOOKUP(TRIM(A2970),'RESTAURANTESDESCUENTOS 2026'!A:B,2,FALSE),"%",""))/100)+I2970),(VLOOKUP(TRIM(D2970), CATALOGO!A:B, 2, FALSE) * C2970+I2970)),""))</f>
        <v/>
      </c>
      <c r="K2970" s="196"/>
      <c r="L2970" s="87"/>
      <c r="M2970" s="245"/>
      <c r="N2970" s="168"/>
    </row>
    <row r="2971" ht="22.5" hidden="1" customHeight="1">
      <c r="A2971" s="137"/>
      <c r="B2971" s="90"/>
      <c r="C2971" s="55"/>
      <c r="D2971" s="193"/>
      <c r="E2971" s="201"/>
      <c r="F2971" s="202"/>
      <c r="G2971" s="194"/>
      <c r="H2971" s="198"/>
      <c r="I2971" s="196"/>
      <c r="J2971" s="179" t="str">
        <f>IF(A2971="RAPPI",(VLOOKUP(TRIM(D2971), CATALOGO!F:G, 2, FALSE) * C2971)+I2971,IFERROR(IF(COUNTIF('RESTAURANTESDESCUENTOS 2026'!A:A,TRIM(A2971))&gt;0,((VLOOKUP(TRIM(D2971), CATALOGO!A:B, 2, FALSE) * C2971)*(1-VALUE(SUBSTITUTE(VLOOKUP(TRIM(A2971),'RESTAURANTESDESCUENTOS 2026'!A:B,2,FALSE),"%",""))/100)+I2971),(VLOOKUP(TRIM(D2971), CATALOGO!A:B, 2, FALSE) * C2971+I2971)),""))</f>
        <v/>
      </c>
      <c r="K2971" s="196"/>
      <c r="L2971" s="87"/>
      <c r="M2971" s="245"/>
      <c r="N2971" s="168"/>
    </row>
    <row r="2972" ht="22.5" hidden="1" customHeight="1">
      <c r="A2972" s="137"/>
      <c r="B2972" s="90"/>
      <c r="C2972" s="55"/>
      <c r="D2972" s="193"/>
      <c r="E2972" s="201"/>
      <c r="F2972" s="202"/>
      <c r="G2972" s="194"/>
      <c r="H2972" s="198"/>
      <c r="I2972" s="196"/>
      <c r="J2972" s="179" t="str">
        <f>IF(A2972="RAPPI",(VLOOKUP(TRIM(D2972), CATALOGO!F:G, 2, FALSE) * C2972)+I2972,IFERROR(IF(COUNTIF('RESTAURANTESDESCUENTOS 2026'!A:A,TRIM(A2972))&gt;0,((VLOOKUP(TRIM(D2972), CATALOGO!A:B, 2, FALSE) * C2972)*(1-VALUE(SUBSTITUTE(VLOOKUP(TRIM(A2972),'RESTAURANTESDESCUENTOS 2026'!A:B,2,FALSE),"%",""))/100)+I2972),(VLOOKUP(TRIM(D2972), CATALOGO!A:B, 2, FALSE) * C2972+I2972)),""))</f>
        <v/>
      </c>
      <c r="K2972" s="196"/>
      <c r="L2972" s="87"/>
      <c r="M2972" s="245"/>
      <c r="N2972" s="168"/>
    </row>
    <row r="2973" ht="22.5" hidden="1" customHeight="1">
      <c r="A2973" s="137"/>
      <c r="B2973" s="90"/>
      <c r="C2973" s="55"/>
      <c r="D2973" s="193"/>
      <c r="E2973" s="201"/>
      <c r="F2973" s="202"/>
      <c r="G2973" s="194"/>
      <c r="H2973" s="198"/>
      <c r="I2973" s="196"/>
      <c r="J2973" s="179" t="str">
        <f>IF(A2973="RAPPI",(VLOOKUP(TRIM(D2973), CATALOGO!F:G, 2, FALSE) * C2973)+I2973,IFERROR(IF(COUNTIF('RESTAURANTESDESCUENTOS 2026'!A:A,TRIM(A2973))&gt;0,((VLOOKUP(TRIM(D2973), CATALOGO!A:B, 2, FALSE) * C2973)*(1-VALUE(SUBSTITUTE(VLOOKUP(TRIM(A2973),'RESTAURANTESDESCUENTOS 2026'!A:B,2,FALSE),"%",""))/100)+I2973),(VLOOKUP(TRIM(D2973), CATALOGO!A:B, 2, FALSE) * C2973+I2973)),""))</f>
        <v/>
      </c>
      <c r="K2973" s="196"/>
      <c r="L2973" s="87"/>
      <c r="M2973" s="245"/>
      <c r="N2973" s="168"/>
    </row>
    <row r="2974" ht="22.5" hidden="1" customHeight="1">
      <c r="A2974" s="137"/>
      <c r="B2974" s="90"/>
      <c r="C2974" s="55"/>
      <c r="D2974" s="193"/>
      <c r="E2974" s="201"/>
      <c r="F2974" s="202"/>
      <c r="G2974" s="194"/>
      <c r="H2974" s="198"/>
      <c r="I2974" s="196"/>
      <c r="J2974" s="179" t="str">
        <f>IF(A2974="RAPPI",(VLOOKUP(TRIM(D2974), CATALOGO!F:G, 2, FALSE) * C2974)+I2974,IFERROR(IF(COUNTIF('RESTAURANTESDESCUENTOS 2026'!A:A,TRIM(A2974))&gt;0,((VLOOKUP(TRIM(D2974), CATALOGO!A:B, 2, FALSE) * C2974)*(1-VALUE(SUBSTITUTE(VLOOKUP(TRIM(A2974),'RESTAURANTESDESCUENTOS 2026'!A:B,2,FALSE),"%",""))/100)+I2974),(VLOOKUP(TRIM(D2974), CATALOGO!A:B, 2, FALSE) * C2974+I2974)),""))</f>
        <v/>
      </c>
      <c r="K2974" s="196"/>
      <c r="L2974" s="87"/>
      <c r="M2974" s="245"/>
      <c r="N2974" s="168"/>
    </row>
    <row r="2975" ht="22.5" hidden="1" customHeight="1">
      <c r="A2975" s="137"/>
      <c r="B2975" s="90"/>
      <c r="C2975" s="55"/>
      <c r="D2975" s="193"/>
      <c r="E2975" s="201"/>
      <c r="F2975" s="202"/>
      <c r="G2975" s="194"/>
      <c r="H2975" s="198"/>
      <c r="I2975" s="196"/>
      <c r="J2975" s="179" t="str">
        <f>IF(A2975="RAPPI",(VLOOKUP(TRIM(D2975), CATALOGO!F:G, 2, FALSE) * C2975)+I2975,IFERROR(IF(COUNTIF('RESTAURANTESDESCUENTOS 2026'!A:A,TRIM(A2975))&gt;0,((VLOOKUP(TRIM(D2975), CATALOGO!A:B, 2, FALSE) * C2975)*(1-VALUE(SUBSTITUTE(VLOOKUP(TRIM(A2975),'RESTAURANTESDESCUENTOS 2026'!A:B,2,FALSE),"%",""))/100)+I2975),(VLOOKUP(TRIM(D2975), CATALOGO!A:B, 2, FALSE) * C2975+I2975)),""))</f>
        <v/>
      </c>
      <c r="K2975" s="196"/>
      <c r="L2975" s="87"/>
      <c r="M2975" s="245"/>
      <c r="N2975" s="168"/>
    </row>
    <row r="2976" ht="22.5" hidden="1" customHeight="1">
      <c r="A2976" s="137"/>
      <c r="B2976" s="90"/>
      <c r="C2976" s="55"/>
      <c r="D2976" s="193"/>
      <c r="E2976" s="201"/>
      <c r="F2976" s="202"/>
      <c r="G2976" s="194"/>
      <c r="H2976" s="198"/>
      <c r="I2976" s="196"/>
      <c r="J2976" s="179" t="str">
        <f>IF(A2976="RAPPI",(VLOOKUP(TRIM(D2976), CATALOGO!F:G, 2, FALSE) * C2976)+I2976,IFERROR(IF(COUNTIF('RESTAURANTESDESCUENTOS 2026'!A:A,TRIM(A2976))&gt;0,((VLOOKUP(TRIM(D2976), CATALOGO!A:B, 2, FALSE) * C2976)*(1-VALUE(SUBSTITUTE(VLOOKUP(TRIM(A2976),'RESTAURANTESDESCUENTOS 2026'!A:B,2,FALSE),"%",""))/100)+I2976),(VLOOKUP(TRIM(D2976), CATALOGO!A:B, 2, FALSE) * C2976+I2976)),""))</f>
        <v/>
      </c>
      <c r="K2976" s="196"/>
      <c r="L2976" s="87"/>
      <c r="M2976" s="245"/>
      <c r="N2976" s="168"/>
    </row>
    <row r="2977" ht="22.5" hidden="1" customHeight="1">
      <c r="A2977" s="137"/>
      <c r="B2977" s="90"/>
      <c r="C2977" s="55"/>
      <c r="D2977" s="193"/>
      <c r="E2977" s="201"/>
      <c r="F2977" s="202"/>
      <c r="G2977" s="194"/>
      <c r="H2977" s="198"/>
      <c r="I2977" s="196"/>
      <c r="J2977" s="179" t="str">
        <f>IF(A2977="RAPPI",(VLOOKUP(TRIM(D2977), CATALOGO!F:G, 2, FALSE) * C2977)+I2977,IFERROR(IF(COUNTIF('RESTAURANTESDESCUENTOS 2026'!A:A,TRIM(A2977))&gt;0,((VLOOKUP(TRIM(D2977), CATALOGO!A:B, 2, FALSE) * C2977)*(1-VALUE(SUBSTITUTE(VLOOKUP(TRIM(A2977),'RESTAURANTESDESCUENTOS 2026'!A:B,2,FALSE),"%",""))/100)+I2977),(VLOOKUP(TRIM(D2977), CATALOGO!A:B, 2, FALSE) * C2977+I2977)),""))</f>
        <v/>
      </c>
      <c r="K2977" s="196"/>
      <c r="L2977" s="87"/>
      <c r="M2977" s="245"/>
      <c r="N2977" s="168"/>
    </row>
    <row r="2978" ht="22.5" hidden="1" customHeight="1">
      <c r="A2978" s="137"/>
      <c r="B2978" s="90"/>
      <c r="C2978" s="55"/>
      <c r="D2978" s="193"/>
      <c r="E2978" s="201"/>
      <c r="F2978" s="202"/>
      <c r="G2978" s="194"/>
      <c r="H2978" s="198"/>
      <c r="I2978" s="196"/>
      <c r="J2978" s="179" t="str">
        <f>IF(A2978="RAPPI",(VLOOKUP(TRIM(D2978), CATALOGO!F:G, 2, FALSE) * C2978)+I2978,IFERROR(IF(COUNTIF('RESTAURANTESDESCUENTOS 2026'!A:A,TRIM(A2978))&gt;0,((VLOOKUP(TRIM(D2978), CATALOGO!A:B, 2, FALSE) * C2978)*(1-VALUE(SUBSTITUTE(VLOOKUP(TRIM(A2978),'RESTAURANTESDESCUENTOS 2026'!A:B,2,FALSE),"%",""))/100)+I2978),(VLOOKUP(TRIM(D2978), CATALOGO!A:B, 2, FALSE) * C2978+I2978)),""))</f>
        <v/>
      </c>
      <c r="K2978" s="196"/>
      <c r="L2978" s="87"/>
      <c r="M2978" s="245"/>
      <c r="N2978" s="168"/>
    </row>
    <row r="2979" ht="22.5" hidden="1" customHeight="1">
      <c r="A2979" s="137"/>
      <c r="B2979" s="90"/>
      <c r="C2979" s="55"/>
      <c r="D2979" s="193"/>
      <c r="E2979" s="201"/>
      <c r="F2979" s="202"/>
      <c r="G2979" s="194"/>
      <c r="H2979" s="198"/>
      <c r="I2979" s="196"/>
      <c r="J2979" s="179" t="str">
        <f>IF(A2979="RAPPI",(VLOOKUP(TRIM(D2979), CATALOGO!F:G, 2, FALSE) * C2979)+I2979,IFERROR(IF(COUNTIF('RESTAURANTESDESCUENTOS 2026'!A:A,TRIM(A2979))&gt;0,((VLOOKUP(TRIM(D2979), CATALOGO!A:B, 2, FALSE) * C2979)*(1-VALUE(SUBSTITUTE(VLOOKUP(TRIM(A2979),'RESTAURANTESDESCUENTOS 2026'!A:B,2,FALSE),"%",""))/100)+I2979),(VLOOKUP(TRIM(D2979), CATALOGO!A:B, 2, FALSE) * C2979+I2979)),""))</f>
        <v/>
      </c>
      <c r="K2979" s="196"/>
      <c r="L2979" s="87"/>
      <c r="M2979" s="245"/>
      <c r="N2979" s="168"/>
    </row>
    <row r="2980" ht="22.5" hidden="1" customHeight="1">
      <c r="A2980" s="137"/>
      <c r="B2980" s="90"/>
      <c r="C2980" s="55"/>
      <c r="D2980" s="193"/>
      <c r="E2980" s="201"/>
      <c r="F2980" s="202"/>
      <c r="G2980" s="194"/>
      <c r="H2980" s="198"/>
      <c r="I2980" s="196"/>
      <c r="J2980" s="179" t="str">
        <f>IF(A2980="RAPPI",(VLOOKUP(TRIM(D2980), CATALOGO!F:G, 2, FALSE) * C2980)+I2980,IFERROR(IF(COUNTIF('RESTAURANTESDESCUENTOS 2026'!A:A,TRIM(A2980))&gt;0,((VLOOKUP(TRIM(D2980), CATALOGO!A:B, 2, FALSE) * C2980)*(1-VALUE(SUBSTITUTE(VLOOKUP(TRIM(A2980),'RESTAURANTESDESCUENTOS 2026'!A:B,2,FALSE),"%",""))/100)+I2980),(VLOOKUP(TRIM(D2980), CATALOGO!A:B, 2, FALSE) * C2980+I2980)),""))</f>
        <v/>
      </c>
      <c r="K2980" s="196"/>
      <c r="L2980" s="87"/>
      <c r="M2980" s="245"/>
      <c r="N2980" s="168"/>
    </row>
    <row r="2981" ht="22.5" hidden="1" customHeight="1">
      <c r="A2981" s="137"/>
      <c r="B2981" s="90"/>
      <c r="C2981" s="55"/>
      <c r="D2981" s="193"/>
      <c r="E2981" s="201"/>
      <c r="F2981" s="202"/>
      <c r="G2981" s="194"/>
      <c r="H2981" s="198"/>
      <c r="I2981" s="196"/>
      <c r="J2981" s="179" t="str">
        <f>IF(A2981="RAPPI",(VLOOKUP(TRIM(D2981), CATALOGO!F:G, 2, FALSE) * C2981)+I2981,IFERROR(IF(COUNTIF('RESTAURANTESDESCUENTOS 2026'!A:A,TRIM(A2981))&gt;0,((VLOOKUP(TRIM(D2981), CATALOGO!A:B, 2, FALSE) * C2981)*(1-VALUE(SUBSTITUTE(VLOOKUP(TRIM(A2981),'RESTAURANTESDESCUENTOS 2026'!A:B,2,FALSE),"%",""))/100)+I2981),(VLOOKUP(TRIM(D2981), CATALOGO!A:B, 2, FALSE) * C2981+I2981)),""))</f>
        <v/>
      </c>
      <c r="K2981" s="196"/>
      <c r="L2981" s="87"/>
      <c r="M2981" s="245"/>
      <c r="N2981" s="168"/>
    </row>
    <row r="2982" ht="22.5" hidden="1" customHeight="1">
      <c r="A2982" s="137"/>
      <c r="B2982" s="90"/>
      <c r="C2982" s="55"/>
      <c r="D2982" s="193"/>
      <c r="E2982" s="201"/>
      <c r="F2982" s="202"/>
      <c r="G2982" s="194"/>
      <c r="H2982" s="198"/>
      <c r="I2982" s="196"/>
      <c r="J2982" s="179" t="str">
        <f>IF(A2982="RAPPI",(VLOOKUP(TRIM(D2982), CATALOGO!F:G, 2, FALSE) * C2982)+I2982,IFERROR(IF(COUNTIF('RESTAURANTESDESCUENTOS 2026'!A:A,TRIM(A2982))&gt;0,((VLOOKUP(TRIM(D2982), CATALOGO!A:B, 2, FALSE) * C2982)*(1-VALUE(SUBSTITUTE(VLOOKUP(TRIM(A2982),'RESTAURANTESDESCUENTOS 2026'!A:B,2,FALSE),"%",""))/100)+I2982),(VLOOKUP(TRIM(D2982), CATALOGO!A:B, 2, FALSE) * C2982+I2982)),""))</f>
        <v/>
      </c>
      <c r="K2982" s="196"/>
      <c r="L2982" s="87"/>
      <c r="M2982" s="245"/>
      <c r="N2982" s="168"/>
    </row>
    <row r="2983" ht="22.5" hidden="1" customHeight="1">
      <c r="A2983" s="137"/>
      <c r="B2983" s="90"/>
      <c r="C2983" s="55"/>
      <c r="D2983" s="193"/>
      <c r="E2983" s="201"/>
      <c r="F2983" s="202"/>
      <c r="G2983" s="194"/>
      <c r="H2983" s="198"/>
      <c r="I2983" s="196"/>
      <c r="J2983" s="179" t="str">
        <f>IF(A2983="RAPPI",(VLOOKUP(TRIM(D2983), CATALOGO!F:G, 2, FALSE) * C2983)+I2983,IFERROR(IF(COUNTIF('RESTAURANTESDESCUENTOS 2026'!A:A,TRIM(A2983))&gt;0,((VLOOKUP(TRIM(D2983), CATALOGO!A:B, 2, FALSE) * C2983)*(1-VALUE(SUBSTITUTE(VLOOKUP(TRIM(A2983),'RESTAURANTESDESCUENTOS 2026'!A:B,2,FALSE),"%",""))/100)+I2983),(VLOOKUP(TRIM(D2983), CATALOGO!A:B, 2, FALSE) * C2983+I2983)),""))</f>
        <v/>
      </c>
      <c r="K2983" s="196"/>
      <c r="L2983" s="87"/>
      <c r="M2983" s="245"/>
      <c r="N2983" s="168"/>
    </row>
    <row r="2984" ht="22.5" hidden="1" customHeight="1">
      <c r="A2984" s="137"/>
      <c r="B2984" s="90"/>
      <c r="C2984" s="55"/>
      <c r="D2984" s="193"/>
      <c r="E2984" s="201"/>
      <c r="F2984" s="202"/>
      <c r="G2984" s="194"/>
      <c r="H2984" s="198"/>
      <c r="I2984" s="196"/>
      <c r="J2984" s="179" t="str">
        <f>IF(A2984="RAPPI",(VLOOKUP(TRIM(D2984), CATALOGO!F:G, 2, FALSE) * C2984)+I2984,IFERROR(IF(COUNTIF('RESTAURANTESDESCUENTOS 2026'!A:A,TRIM(A2984))&gt;0,((VLOOKUP(TRIM(D2984), CATALOGO!A:B, 2, FALSE) * C2984)*(1-VALUE(SUBSTITUTE(VLOOKUP(TRIM(A2984),'RESTAURANTESDESCUENTOS 2026'!A:B,2,FALSE),"%",""))/100)+I2984),(VLOOKUP(TRIM(D2984), CATALOGO!A:B, 2, FALSE) * C2984+I2984)),""))</f>
        <v/>
      </c>
      <c r="K2984" s="196"/>
      <c r="L2984" s="87"/>
      <c r="M2984" s="245"/>
      <c r="N2984" s="168"/>
    </row>
    <row r="2985" ht="22.5" hidden="1" customHeight="1">
      <c r="A2985" s="137"/>
      <c r="B2985" s="90"/>
      <c r="C2985" s="55"/>
      <c r="D2985" s="193"/>
      <c r="E2985" s="201"/>
      <c r="F2985" s="202"/>
      <c r="G2985" s="194"/>
      <c r="H2985" s="198"/>
      <c r="I2985" s="196"/>
      <c r="J2985" s="179" t="str">
        <f>IF(A2985="RAPPI",(VLOOKUP(TRIM(D2985), CATALOGO!F:G, 2, FALSE) * C2985)+I2985,IFERROR(IF(COUNTIF('RESTAURANTESDESCUENTOS 2026'!A:A,TRIM(A2985))&gt;0,((VLOOKUP(TRIM(D2985), CATALOGO!A:B, 2, FALSE) * C2985)*(1-VALUE(SUBSTITUTE(VLOOKUP(TRIM(A2985),'RESTAURANTESDESCUENTOS 2026'!A:B,2,FALSE),"%",""))/100)+I2985),(VLOOKUP(TRIM(D2985), CATALOGO!A:B, 2, FALSE) * C2985+I2985)),""))</f>
        <v/>
      </c>
      <c r="K2985" s="196"/>
      <c r="L2985" s="87"/>
      <c r="M2985" s="245"/>
      <c r="N2985" s="168"/>
    </row>
    <row r="2986" ht="22.5" hidden="1" customHeight="1">
      <c r="A2986" s="137"/>
      <c r="B2986" s="90"/>
      <c r="C2986" s="55"/>
      <c r="D2986" s="193"/>
      <c r="E2986" s="201"/>
      <c r="F2986" s="202"/>
      <c r="G2986" s="194"/>
      <c r="H2986" s="198"/>
      <c r="I2986" s="196"/>
      <c r="J2986" s="179" t="str">
        <f>IF(A2986="RAPPI",(VLOOKUP(TRIM(D2986), CATALOGO!F:G, 2, FALSE) * C2986)+I2986,IFERROR(IF(COUNTIF('RESTAURANTESDESCUENTOS 2026'!A:A,TRIM(A2986))&gt;0,((VLOOKUP(TRIM(D2986), CATALOGO!A:B, 2, FALSE) * C2986)*(1-VALUE(SUBSTITUTE(VLOOKUP(TRIM(A2986),'RESTAURANTESDESCUENTOS 2026'!A:B,2,FALSE),"%",""))/100)+I2986),(VLOOKUP(TRIM(D2986), CATALOGO!A:B, 2, FALSE) * C2986+I2986)),""))</f>
        <v/>
      </c>
      <c r="K2986" s="196"/>
      <c r="L2986" s="87"/>
      <c r="M2986" s="245"/>
      <c r="N2986" s="168"/>
    </row>
    <row r="2987" ht="22.5" hidden="1" customHeight="1">
      <c r="A2987" s="137"/>
      <c r="B2987" s="90"/>
      <c r="C2987" s="55"/>
      <c r="D2987" s="193"/>
      <c r="E2987" s="201"/>
      <c r="F2987" s="202"/>
      <c r="G2987" s="194"/>
      <c r="H2987" s="198"/>
      <c r="I2987" s="196"/>
      <c r="J2987" s="179" t="str">
        <f>IF(A2987="RAPPI",(VLOOKUP(TRIM(D2987), CATALOGO!F:G, 2, FALSE) * C2987)+I2987,IFERROR(IF(COUNTIF('RESTAURANTESDESCUENTOS 2026'!A:A,TRIM(A2987))&gt;0,((VLOOKUP(TRIM(D2987), CATALOGO!A:B, 2, FALSE) * C2987)*(1-VALUE(SUBSTITUTE(VLOOKUP(TRIM(A2987),'RESTAURANTESDESCUENTOS 2026'!A:B,2,FALSE),"%",""))/100)+I2987),(VLOOKUP(TRIM(D2987), CATALOGO!A:B, 2, FALSE) * C2987+I2987)),""))</f>
        <v/>
      </c>
      <c r="K2987" s="196"/>
      <c r="L2987" s="87"/>
      <c r="M2987" s="245"/>
      <c r="N2987" s="168"/>
    </row>
    <row r="2988" ht="22.5" hidden="1" customHeight="1">
      <c r="A2988" s="137"/>
      <c r="B2988" s="90"/>
      <c r="C2988" s="55"/>
      <c r="D2988" s="193"/>
      <c r="E2988" s="201"/>
      <c r="F2988" s="202"/>
      <c r="G2988" s="194"/>
      <c r="H2988" s="198"/>
      <c r="I2988" s="196"/>
      <c r="J2988" s="179" t="str">
        <f>IF(A2988="RAPPI",(VLOOKUP(TRIM(D2988), CATALOGO!F:G, 2, FALSE) * C2988)+I2988,IFERROR(IF(COUNTIF('RESTAURANTESDESCUENTOS 2026'!A:A,TRIM(A2988))&gt;0,((VLOOKUP(TRIM(D2988), CATALOGO!A:B, 2, FALSE) * C2988)*(1-VALUE(SUBSTITUTE(VLOOKUP(TRIM(A2988),'RESTAURANTESDESCUENTOS 2026'!A:B,2,FALSE),"%",""))/100)+I2988),(VLOOKUP(TRIM(D2988), CATALOGO!A:B, 2, FALSE) * C2988+I2988)),""))</f>
        <v/>
      </c>
      <c r="K2988" s="196"/>
      <c r="L2988" s="87"/>
      <c r="M2988" s="245"/>
      <c r="N2988" s="168"/>
    </row>
    <row r="2989" ht="22.5" hidden="1" customHeight="1">
      <c r="A2989" s="137"/>
      <c r="B2989" s="90"/>
      <c r="C2989" s="55"/>
      <c r="D2989" s="193"/>
      <c r="E2989" s="201"/>
      <c r="F2989" s="202"/>
      <c r="G2989" s="194"/>
      <c r="H2989" s="198"/>
      <c r="I2989" s="196"/>
      <c r="J2989" s="179" t="str">
        <f>IF(A2989="RAPPI",(VLOOKUP(TRIM(D2989), CATALOGO!F:G, 2, FALSE) * C2989)+I2989,IFERROR(IF(COUNTIF('RESTAURANTESDESCUENTOS 2026'!A:A,TRIM(A2989))&gt;0,((VLOOKUP(TRIM(D2989), CATALOGO!A:B, 2, FALSE) * C2989)*(1-VALUE(SUBSTITUTE(VLOOKUP(TRIM(A2989),'RESTAURANTESDESCUENTOS 2026'!A:B,2,FALSE),"%",""))/100)+I2989),(VLOOKUP(TRIM(D2989), CATALOGO!A:B, 2, FALSE) * C2989+I2989)),""))</f>
        <v/>
      </c>
      <c r="K2989" s="196"/>
      <c r="L2989" s="87"/>
      <c r="M2989" s="245"/>
      <c r="N2989" s="168"/>
    </row>
    <row r="2990" ht="22.5" hidden="1" customHeight="1">
      <c r="A2990" s="137"/>
      <c r="B2990" s="90"/>
      <c r="C2990" s="55"/>
      <c r="D2990" s="193"/>
      <c r="E2990" s="201"/>
      <c r="F2990" s="202"/>
      <c r="G2990" s="194"/>
      <c r="H2990" s="198"/>
      <c r="I2990" s="196"/>
      <c r="J2990" s="179" t="str">
        <f>IF(A2990="RAPPI",(VLOOKUP(TRIM(D2990), CATALOGO!F:G, 2, FALSE) * C2990)+I2990,IFERROR(IF(COUNTIF('RESTAURANTESDESCUENTOS 2026'!A:A,TRIM(A2990))&gt;0,((VLOOKUP(TRIM(D2990), CATALOGO!A:B, 2, FALSE) * C2990)*(1-VALUE(SUBSTITUTE(VLOOKUP(TRIM(A2990),'RESTAURANTESDESCUENTOS 2026'!A:B,2,FALSE),"%",""))/100)+I2990),(VLOOKUP(TRIM(D2990), CATALOGO!A:B, 2, FALSE) * C2990+I2990)),""))</f>
        <v/>
      </c>
      <c r="K2990" s="196"/>
      <c r="L2990" s="87"/>
      <c r="M2990" s="245"/>
      <c r="N2990" s="168"/>
    </row>
    <row r="2991" ht="22.5" hidden="1" customHeight="1">
      <c r="A2991" s="137"/>
      <c r="B2991" s="90"/>
      <c r="C2991" s="55"/>
      <c r="D2991" s="193"/>
      <c r="E2991" s="201"/>
      <c r="F2991" s="202"/>
      <c r="G2991" s="194"/>
      <c r="H2991" s="198"/>
      <c r="I2991" s="196"/>
      <c r="J2991" s="179" t="str">
        <f>IF(A2991="RAPPI",(VLOOKUP(TRIM(D2991), CATALOGO!F:G, 2, FALSE) * C2991)+I2991,IFERROR(IF(COUNTIF('RESTAURANTESDESCUENTOS 2026'!A:A,TRIM(A2991))&gt;0,((VLOOKUP(TRIM(D2991), CATALOGO!A:B, 2, FALSE) * C2991)*(1-VALUE(SUBSTITUTE(VLOOKUP(TRIM(A2991),'RESTAURANTESDESCUENTOS 2026'!A:B,2,FALSE),"%",""))/100)+I2991),(VLOOKUP(TRIM(D2991), CATALOGO!A:B, 2, FALSE) * C2991+I2991)),""))</f>
        <v/>
      </c>
      <c r="K2991" s="196"/>
      <c r="L2991" s="87"/>
      <c r="M2991" s="245"/>
      <c r="N2991" s="168"/>
    </row>
    <row r="2992" ht="22.5" hidden="1" customHeight="1">
      <c r="A2992" s="137"/>
      <c r="B2992" s="90"/>
      <c r="C2992" s="55"/>
      <c r="D2992" s="193"/>
      <c r="E2992" s="201"/>
      <c r="F2992" s="202"/>
      <c r="G2992" s="194"/>
      <c r="H2992" s="198"/>
      <c r="I2992" s="196"/>
      <c r="J2992" s="179" t="str">
        <f>IF(A2992="RAPPI",(VLOOKUP(TRIM(D2992), CATALOGO!F:G, 2, FALSE) * C2992)+I2992,IFERROR(IF(COUNTIF('RESTAURANTESDESCUENTOS 2026'!A:A,TRIM(A2992))&gt;0,((VLOOKUP(TRIM(D2992), CATALOGO!A:B, 2, FALSE) * C2992)*(1-VALUE(SUBSTITUTE(VLOOKUP(TRIM(A2992),'RESTAURANTESDESCUENTOS 2026'!A:B,2,FALSE),"%",""))/100)+I2992),(VLOOKUP(TRIM(D2992), CATALOGO!A:B, 2, FALSE) * C2992+I2992)),""))</f>
        <v/>
      </c>
      <c r="K2992" s="196"/>
      <c r="L2992" s="87"/>
      <c r="M2992" s="245"/>
      <c r="N2992" s="168"/>
    </row>
    <row r="2993" ht="22.5" hidden="1" customHeight="1">
      <c r="A2993" s="137"/>
      <c r="B2993" s="90"/>
      <c r="C2993" s="55"/>
      <c r="D2993" s="193"/>
      <c r="E2993" s="201"/>
      <c r="F2993" s="202"/>
      <c r="G2993" s="194"/>
      <c r="H2993" s="198"/>
      <c r="I2993" s="196"/>
      <c r="J2993" s="179" t="str">
        <f>IF(A2993="RAPPI",(VLOOKUP(TRIM(D2993), CATALOGO!F:G, 2, FALSE) * C2993)+I2993,IFERROR(IF(COUNTIF('RESTAURANTESDESCUENTOS 2026'!A:A,TRIM(A2993))&gt;0,((VLOOKUP(TRIM(D2993), CATALOGO!A:B, 2, FALSE) * C2993)*(1-VALUE(SUBSTITUTE(VLOOKUP(TRIM(A2993),'RESTAURANTESDESCUENTOS 2026'!A:B,2,FALSE),"%",""))/100)+I2993),(VLOOKUP(TRIM(D2993), CATALOGO!A:B, 2, FALSE) * C2993+I2993)),""))</f>
        <v/>
      </c>
      <c r="K2993" s="196"/>
      <c r="L2993" s="87"/>
      <c r="M2993" s="245"/>
      <c r="N2993" s="168"/>
    </row>
    <row r="2994" ht="22.5" hidden="1" customHeight="1">
      <c r="A2994" s="137"/>
      <c r="B2994" s="90"/>
      <c r="C2994" s="55"/>
      <c r="D2994" s="193"/>
      <c r="E2994" s="201"/>
      <c r="F2994" s="202"/>
      <c r="G2994" s="194"/>
      <c r="H2994" s="198"/>
      <c r="I2994" s="196"/>
      <c r="J2994" s="179" t="str">
        <f>IF(A2994="RAPPI",(VLOOKUP(TRIM(D2994), CATALOGO!F:G, 2, FALSE) * C2994)+I2994,IFERROR(IF(COUNTIF('RESTAURANTESDESCUENTOS 2026'!A:A,TRIM(A2994))&gt;0,((VLOOKUP(TRIM(D2994), CATALOGO!A:B, 2, FALSE) * C2994)*(1-VALUE(SUBSTITUTE(VLOOKUP(TRIM(A2994),'RESTAURANTESDESCUENTOS 2026'!A:B,2,FALSE),"%",""))/100)+I2994),(VLOOKUP(TRIM(D2994), CATALOGO!A:B, 2, FALSE) * C2994+I2994)),""))</f>
        <v/>
      </c>
      <c r="K2994" s="196"/>
      <c r="L2994" s="87"/>
      <c r="M2994" s="245"/>
      <c r="N2994" s="168"/>
    </row>
    <row r="2995" ht="22.5" hidden="1" customHeight="1">
      <c r="A2995" s="137"/>
      <c r="B2995" s="90"/>
      <c r="C2995" s="55"/>
      <c r="D2995" s="193"/>
      <c r="E2995" s="201"/>
      <c r="F2995" s="202"/>
      <c r="G2995" s="194"/>
      <c r="H2995" s="198"/>
      <c r="I2995" s="196"/>
      <c r="J2995" s="179" t="str">
        <f>IF(A2995="RAPPI",(VLOOKUP(TRIM(D2995), CATALOGO!F:G, 2, FALSE) * C2995)+I2995,IFERROR(IF(COUNTIF('RESTAURANTESDESCUENTOS 2026'!A:A,TRIM(A2995))&gt;0,((VLOOKUP(TRIM(D2995), CATALOGO!A:B, 2, FALSE) * C2995)*(1-VALUE(SUBSTITUTE(VLOOKUP(TRIM(A2995),'RESTAURANTESDESCUENTOS 2026'!A:B,2,FALSE),"%",""))/100)+I2995),(VLOOKUP(TRIM(D2995), CATALOGO!A:B, 2, FALSE) * C2995+I2995)),""))</f>
        <v/>
      </c>
      <c r="K2995" s="196"/>
      <c r="L2995" s="87"/>
      <c r="M2995" s="245"/>
      <c r="N2995" s="168"/>
    </row>
    <row r="2996" ht="22.5" hidden="1" customHeight="1">
      <c r="A2996" s="137"/>
      <c r="B2996" s="90"/>
      <c r="C2996" s="55"/>
      <c r="D2996" s="193"/>
      <c r="E2996" s="201"/>
      <c r="F2996" s="202"/>
      <c r="G2996" s="194"/>
      <c r="H2996" s="198"/>
      <c r="I2996" s="196"/>
      <c r="J2996" s="179" t="str">
        <f>IF(A2996="RAPPI",(VLOOKUP(TRIM(D2996), CATALOGO!F:G, 2, FALSE) * C2996)+I2996,IFERROR(IF(COUNTIF('RESTAURANTESDESCUENTOS 2026'!A:A,TRIM(A2996))&gt;0,((VLOOKUP(TRIM(D2996), CATALOGO!A:B, 2, FALSE) * C2996)*(1-VALUE(SUBSTITUTE(VLOOKUP(TRIM(A2996),'RESTAURANTESDESCUENTOS 2026'!A:B,2,FALSE),"%",""))/100)+I2996),(VLOOKUP(TRIM(D2996), CATALOGO!A:B, 2, FALSE) * C2996+I2996)),""))</f>
        <v/>
      </c>
      <c r="K2996" s="196"/>
      <c r="L2996" s="87"/>
      <c r="M2996" s="245"/>
      <c r="N2996" s="168"/>
    </row>
    <row r="2997" ht="22.5" hidden="1" customHeight="1">
      <c r="A2997" s="137"/>
      <c r="B2997" s="90"/>
      <c r="C2997" s="55"/>
      <c r="D2997" s="193"/>
      <c r="E2997" s="201"/>
      <c r="F2997" s="202"/>
      <c r="G2997" s="194"/>
      <c r="H2997" s="198"/>
      <c r="I2997" s="196"/>
      <c r="J2997" s="179" t="str">
        <f>IF(A2997="RAPPI",(VLOOKUP(TRIM(D2997), CATALOGO!F:G, 2, FALSE) * C2997)+I2997,IFERROR(IF(COUNTIF('RESTAURANTESDESCUENTOS 2026'!A:A,TRIM(A2997))&gt;0,((VLOOKUP(TRIM(D2997), CATALOGO!A:B, 2, FALSE) * C2997)*(1-VALUE(SUBSTITUTE(VLOOKUP(TRIM(A2997),'RESTAURANTESDESCUENTOS 2026'!A:B,2,FALSE),"%",""))/100)+I2997),(VLOOKUP(TRIM(D2997), CATALOGO!A:B, 2, FALSE) * C2997+I2997)),""))</f>
        <v/>
      </c>
      <c r="K2997" s="196"/>
      <c r="L2997" s="87"/>
      <c r="M2997" s="245"/>
      <c r="N2997" s="168"/>
    </row>
    <row r="2998" ht="22.5" hidden="1" customHeight="1">
      <c r="A2998" s="137"/>
      <c r="B2998" s="90"/>
      <c r="C2998" s="55"/>
      <c r="D2998" s="193"/>
      <c r="E2998" s="201"/>
      <c r="F2998" s="202"/>
      <c r="G2998" s="194"/>
      <c r="H2998" s="198"/>
      <c r="I2998" s="196"/>
      <c r="J2998" s="179" t="str">
        <f>IF(A2998="RAPPI",(VLOOKUP(TRIM(D2998), CATALOGO!F:G, 2, FALSE) * C2998)+I2998,IFERROR(IF(COUNTIF('RESTAURANTESDESCUENTOS 2026'!A:A,TRIM(A2998))&gt;0,((VLOOKUP(TRIM(D2998), CATALOGO!A:B, 2, FALSE) * C2998)*(1-VALUE(SUBSTITUTE(VLOOKUP(TRIM(A2998),'RESTAURANTESDESCUENTOS 2026'!A:B,2,FALSE),"%",""))/100)+I2998),(VLOOKUP(TRIM(D2998), CATALOGO!A:B, 2, FALSE) * C2998+I2998)),""))</f>
        <v/>
      </c>
      <c r="K2998" s="196"/>
      <c r="L2998" s="87"/>
      <c r="M2998" s="245"/>
      <c r="N2998" s="168"/>
    </row>
    <row r="2999" ht="22.5" hidden="1" customHeight="1">
      <c r="A2999" s="137"/>
      <c r="B2999" s="90"/>
      <c r="C2999" s="55"/>
      <c r="D2999" s="193"/>
      <c r="E2999" s="201"/>
      <c r="F2999" s="202"/>
      <c r="G2999" s="194"/>
      <c r="H2999" s="198"/>
      <c r="I2999" s="196"/>
      <c r="J2999" s="179" t="str">
        <f>IF(A2999="RAPPI",(VLOOKUP(TRIM(D2999), CATALOGO!F:G, 2, FALSE) * C2999)+I2999,IFERROR(IF(COUNTIF('RESTAURANTESDESCUENTOS 2026'!A:A,TRIM(A2999))&gt;0,((VLOOKUP(TRIM(D2999), CATALOGO!A:B, 2, FALSE) * C2999)*(1-VALUE(SUBSTITUTE(VLOOKUP(TRIM(A2999),'RESTAURANTESDESCUENTOS 2026'!A:B,2,FALSE),"%",""))/100)+I2999),(VLOOKUP(TRIM(D2999), CATALOGO!A:B, 2, FALSE) * C2999+I2999)),""))</f>
        <v/>
      </c>
      <c r="K2999" s="196"/>
      <c r="L2999" s="87"/>
      <c r="M2999" s="245"/>
      <c r="N2999" s="168"/>
    </row>
    <row r="3000" ht="22.5" hidden="1" customHeight="1">
      <c r="A3000" s="137"/>
      <c r="B3000" s="90"/>
      <c r="C3000" s="55"/>
      <c r="D3000" s="193"/>
      <c r="E3000" s="201"/>
      <c r="F3000" s="202"/>
      <c r="G3000" s="194"/>
      <c r="H3000" s="198"/>
      <c r="I3000" s="196"/>
      <c r="J3000" s="179" t="str">
        <f>IF(A3000="RAPPI",(VLOOKUP(TRIM(D3000), CATALOGO!F:G, 2, FALSE) * C3000)+I3000,IFERROR(IF(COUNTIF('RESTAURANTESDESCUENTOS 2026'!A:A,TRIM(A3000))&gt;0,((VLOOKUP(TRIM(D3000), CATALOGO!A:B, 2, FALSE) * C3000)*(1-VALUE(SUBSTITUTE(VLOOKUP(TRIM(A3000),'RESTAURANTESDESCUENTOS 2026'!A:B,2,FALSE),"%",""))/100)+I3000),(VLOOKUP(TRIM(D3000), CATALOGO!A:B, 2, FALSE) * C3000+I3000)),""))</f>
        <v/>
      </c>
      <c r="K3000" s="196"/>
      <c r="L3000" s="87"/>
      <c r="M3000" s="245"/>
      <c r="N3000" s="168"/>
    </row>
    <row r="3001" ht="22.5" hidden="1" customHeight="1">
      <c r="A3001" s="137"/>
      <c r="B3001" s="90"/>
      <c r="C3001" s="55"/>
      <c r="D3001" s="193"/>
      <c r="E3001" s="201"/>
      <c r="F3001" s="202"/>
      <c r="G3001" s="194"/>
      <c r="H3001" s="198"/>
      <c r="I3001" s="196"/>
      <c r="J3001" s="179" t="str">
        <f>IF(A3001="RAPPI",(VLOOKUP(TRIM(D3001), CATALOGO!F:G, 2, FALSE) * C3001)+I3001,IFERROR(IF(COUNTIF('RESTAURANTESDESCUENTOS 2026'!A:A,TRIM(A3001))&gt;0,((VLOOKUP(TRIM(D3001), CATALOGO!A:B, 2, FALSE) * C3001)*(1-VALUE(SUBSTITUTE(VLOOKUP(TRIM(A3001),'RESTAURANTESDESCUENTOS 2026'!A:B,2,FALSE),"%",""))/100)+I3001),(VLOOKUP(TRIM(D3001), CATALOGO!A:B, 2, FALSE) * C3001+I3001)),""))</f>
        <v/>
      </c>
      <c r="K3001" s="196"/>
      <c r="L3001" s="87"/>
      <c r="M3001" s="245"/>
      <c r="N3001" s="168"/>
    </row>
    <row r="3002" ht="22.5" hidden="1" customHeight="1">
      <c r="A3002" s="137"/>
      <c r="B3002" s="90"/>
      <c r="C3002" s="55"/>
      <c r="D3002" s="193"/>
      <c r="E3002" s="201"/>
      <c r="F3002" s="202"/>
      <c r="G3002" s="194"/>
      <c r="H3002" s="198"/>
      <c r="I3002" s="196"/>
      <c r="J3002" s="179" t="str">
        <f>IF(A3002="RAPPI",(VLOOKUP(TRIM(D3002), CATALOGO!F:G, 2, FALSE) * C3002)+I3002,IFERROR(IF(COUNTIF('RESTAURANTESDESCUENTOS 2026'!A:A,TRIM(A3002))&gt;0,((VLOOKUP(TRIM(D3002), CATALOGO!A:B, 2, FALSE) * C3002)*(1-VALUE(SUBSTITUTE(VLOOKUP(TRIM(A3002),'RESTAURANTESDESCUENTOS 2026'!A:B,2,FALSE),"%",""))/100)+I3002),(VLOOKUP(TRIM(D3002), CATALOGO!A:B, 2, FALSE) * C3002+I3002)),""))</f>
        <v/>
      </c>
      <c r="K3002" s="196"/>
      <c r="L3002" s="87"/>
      <c r="M3002" s="245"/>
      <c r="N3002" s="168"/>
    </row>
    <row r="3003" ht="22.5" hidden="1" customHeight="1">
      <c r="A3003" s="137"/>
      <c r="B3003" s="90"/>
      <c r="C3003" s="55"/>
      <c r="D3003" s="193"/>
      <c r="E3003" s="201"/>
      <c r="F3003" s="202"/>
      <c r="G3003" s="194"/>
      <c r="H3003" s="198"/>
      <c r="I3003" s="196"/>
      <c r="J3003" s="179" t="str">
        <f>IF(A3003="RAPPI",(VLOOKUP(TRIM(D3003), CATALOGO!F:G, 2, FALSE) * C3003)+I3003,IFERROR(IF(COUNTIF('RESTAURANTESDESCUENTOS 2026'!A:A,TRIM(A3003))&gt;0,((VLOOKUP(TRIM(D3003), CATALOGO!A:B, 2, FALSE) * C3003)*(1-VALUE(SUBSTITUTE(VLOOKUP(TRIM(A3003),'RESTAURANTESDESCUENTOS 2026'!A:B,2,FALSE),"%",""))/100)+I3003),(VLOOKUP(TRIM(D3003), CATALOGO!A:B, 2, FALSE) * C3003+I3003)),""))</f>
        <v/>
      </c>
      <c r="K3003" s="196"/>
      <c r="L3003" s="87"/>
      <c r="M3003" s="245"/>
      <c r="N3003" s="168"/>
    </row>
    <row r="3004" ht="22.5" hidden="1" customHeight="1">
      <c r="A3004" s="137"/>
      <c r="B3004" s="90"/>
      <c r="C3004" s="55"/>
      <c r="D3004" s="193"/>
      <c r="E3004" s="201"/>
      <c r="F3004" s="202"/>
      <c r="G3004" s="194"/>
      <c r="H3004" s="198"/>
      <c r="I3004" s="196"/>
      <c r="J3004" s="179" t="str">
        <f>IF(A3004="RAPPI",(VLOOKUP(TRIM(D3004), CATALOGO!F:G, 2, FALSE) * C3004)+I3004,IFERROR(IF(COUNTIF('RESTAURANTESDESCUENTOS 2026'!A:A,TRIM(A3004))&gt;0,((VLOOKUP(TRIM(D3004), CATALOGO!A:B, 2, FALSE) * C3004)*(1-VALUE(SUBSTITUTE(VLOOKUP(TRIM(A3004),'RESTAURANTESDESCUENTOS 2026'!A:B,2,FALSE),"%",""))/100)+I3004),(VLOOKUP(TRIM(D3004), CATALOGO!A:B, 2, FALSE) * C3004+I3004)),""))</f>
        <v/>
      </c>
      <c r="K3004" s="196"/>
      <c r="L3004" s="87"/>
      <c r="M3004" s="245"/>
      <c r="N3004" s="168"/>
    </row>
    <row r="3005" ht="22.5" hidden="1" customHeight="1">
      <c r="A3005" s="137"/>
      <c r="B3005" s="90"/>
      <c r="C3005" s="55"/>
      <c r="D3005" s="193"/>
      <c r="E3005" s="201"/>
      <c r="F3005" s="202"/>
      <c r="G3005" s="194"/>
      <c r="H3005" s="198"/>
      <c r="I3005" s="196"/>
      <c r="J3005" s="179" t="str">
        <f>IF(A3005="RAPPI",(VLOOKUP(TRIM(D3005), CATALOGO!F:G, 2, FALSE) * C3005)+I3005,IFERROR(IF(COUNTIF('RESTAURANTESDESCUENTOS 2026'!A:A,TRIM(A3005))&gt;0,((VLOOKUP(TRIM(D3005), CATALOGO!A:B, 2, FALSE) * C3005)*(1-VALUE(SUBSTITUTE(VLOOKUP(TRIM(A3005),'RESTAURANTESDESCUENTOS 2026'!A:B,2,FALSE),"%",""))/100)+I3005),(VLOOKUP(TRIM(D3005), CATALOGO!A:B, 2, FALSE) * C3005+I3005)),""))</f>
        <v/>
      </c>
      <c r="K3005" s="196"/>
      <c r="L3005" s="87"/>
      <c r="M3005" s="245"/>
      <c r="N3005" s="168"/>
    </row>
    <row r="3006" ht="22.5" hidden="1" customHeight="1">
      <c r="A3006" s="137"/>
      <c r="B3006" s="90"/>
      <c r="C3006" s="55"/>
      <c r="D3006" s="193"/>
      <c r="E3006" s="201"/>
      <c r="F3006" s="202"/>
      <c r="G3006" s="194"/>
      <c r="H3006" s="198"/>
      <c r="I3006" s="196"/>
      <c r="J3006" s="179" t="str">
        <f>IF(A3006="RAPPI",(VLOOKUP(TRIM(D3006), CATALOGO!F:G, 2, FALSE) * C3006)+I3006,IFERROR(IF(COUNTIF('RESTAURANTESDESCUENTOS 2026'!A:A,TRIM(A3006))&gt;0,((VLOOKUP(TRIM(D3006), CATALOGO!A:B, 2, FALSE) * C3006)*(1-VALUE(SUBSTITUTE(VLOOKUP(TRIM(A3006),'RESTAURANTESDESCUENTOS 2026'!A:B,2,FALSE),"%",""))/100)+I3006),(VLOOKUP(TRIM(D3006), CATALOGO!A:B, 2, FALSE) * C3006+I3006)),""))</f>
        <v/>
      </c>
      <c r="K3006" s="196"/>
      <c r="L3006" s="87"/>
      <c r="M3006" s="245"/>
      <c r="N3006" s="168"/>
    </row>
    <row r="3007" ht="22.5" hidden="1" customHeight="1">
      <c r="A3007" s="137"/>
      <c r="B3007" s="90"/>
      <c r="C3007" s="55"/>
      <c r="D3007" s="193"/>
      <c r="E3007" s="201"/>
      <c r="F3007" s="202"/>
      <c r="G3007" s="194"/>
      <c r="H3007" s="198"/>
      <c r="I3007" s="196"/>
      <c r="J3007" s="179" t="str">
        <f>IF(A3007="RAPPI",(VLOOKUP(TRIM(D3007), CATALOGO!F:G, 2, FALSE) * C3007)+I3007,IFERROR(IF(COUNTIF('RESTAURANTESDESCUENTOS 2026'!A:A,TRIM(A3007))&gt;0,((VLOOKUP(TRIM(D3007), CATALOGO!A:B, 2, FALSE) * C3007)*(1-VALUE(SUBSTITUTE(VLOOKUP(TRIM(A3007),'RESTAURANTESDESCUENTOS 2026'!A:B,2,FALSE),"%",""))/100)+I3007),(VLOOKUP(TRIM(D3007), CATALOGO!A:B, 2, FALSE) * C3007+I3007)),""))</f>
        <v/>
      </c>
      <c r="K3007" s="196"/>
      <c r="L3007" s="87"/>
      <c r="M3007" s="245"/>
      <c r="N3007" s="168"/>
    </row>
    <row r="3008" ht="22.5" hidden="1" customHeight="1">
      <c r="A3008" s="137"/>
      <c r="B3008" s="90"/>
      <c r="C3008" s="55"/>
      <c r="D3008" s="193"/>
      <c r="E3008" s="201"/>
      <c r="F3008" s="202"/>
      <c r="G3008" s="194"/>
      <c r="H3008" s="198"/>
      <c r="I3008" s="196"/>
      <c r="J3008" s="179" t="str">
        <f>IF(A3008="RAPPI",(VLOOKUP(TRIM(D3008), CATALOGO!F:G, 2, FALSE) * C3008)+I3008,IFERROR(IF(COUNTIF('RESTAURANTESDESCUENTOS 2026'!A:A,TRIM(A3008))&gt;0,((VLOOKUP(TRIM(D3008), CATALOGO!A:B, 2, FALSE) * C3008)*(1-VALUE(SUBSTITUTE(VLOOKUP(TRIM(A3008),'RESTAURANTESDESCUENTOS 2026'!A:B,2,FALSE),"%",""))/100)+I3008),(VLOOKUP(TRIM(D3008), CATALOGO!A:B, 2, FALSE) * C3008+I3008)),""))</f>
        <v/>
      </c>
      <c r="K3008" s="196"/>
      <c r="L3008" s="87"/>
      <c r="M3008" s="245"/>
      <c r="N3008" s="168"/>
    </row>
    <row r="3009" ht="22.5" hidden="1" customHeight="1">
      <c r="A3009" s="137"/>
      <c r="B3009" s="90"/>
      <c r="C3009" s="55"/>
      <c r="D3009" s="193"/>
      <c r="E3009" s="201"/>
      <c r="F3009" s="202"/>
      <c r="G3009" s="194"/>
      <c r="H3009" s="198"/>
      <c r="I3009" s="196"/>
      <c r="J3009" s="179" t="str">
        <f>IF(A3009="RAPPI",(VLOOKUP(TRIM(D3009), CATALOGO!F:G, 2, FALSE) * C3009)+I3009,IFERROR(IF(COUNTIF('RESTAURANTESDESCUENTOS 2026'!A:A,TRIM(A3009))&gt;0,((VLOOKUP(TRIM(D3009), CATALOGO!A:B, 2, FALSE) * C3009)*(1-VALUE(SUBSTITUTE(VLOOKUP(TRIM(A3009),'RESTAURANTESDESCUENTOS 2026'!A:B,2,FALSE),"%",""))/100)+I3009),(VLOOKUP(TRIM(D3009), CATALOGO!A:B, 2, FALSE) * C3009+I3009)),""))</f>
        <v/>
      </c>
      <c r="K3009" s="196"/>
      <c r="L3009" s="87"/>
      <c r="M3009" s="245"/>
      <c r="N3009" s="168"/>
    </row>
    <row r="3010" ht="22.5" hidden="1" customHeight="1">
      <c r="A3010" s="137"/>
      <c r="B3010" s="90"/>
      <c r="C3010" s="55"/>
      <c r="D3010" s="193"/>
      <c r="E3010" s="201"/>
      <c r="F3010" s="202"/>
      <c r="G3010" s="194"/>
      <c r="H3010" s="198"/>
      <c r="I3010" s="196"/>
      <c r="J3010" s="179" t="str">
        <f>IF(A3010="RAPPI",(VLOOKUP(TRIM(D3010), CATALOGO!F:G, 2, FALSE) * C3010)+I3010,IFERROR(IF(COUNTIF('RESTAURANTESDESCUENTOS 2026'!A:A,TRIM(A3010))&gt;0,((VLOOKUP(TRIM(D3010), CATALOGO!A:B, 2, FALSE) * C3010)*(1-VALUE(SUBSTITUTE(VLOOKUP(TRIM(A3010),'RESTAURANTESDESCUENTOS 2026'!A:B,2,FALSE),"%",""))/100)+I3010),(VLOOKUP(TRIM(D3010), CATALOGO!A:B, 2, FALSE) * C3010+I3010)),""))</f>
        <v/>
      </c>
      <c r="K3010" s="196"/>
      <c r="L3010" s="87"/>
      <c r="M3010" s="245"/>
      <c r="N3010" s="168"/>
    </row>
    <row r="3011" ht="22.5" hidden="1" customHeight="1">
      <c r="A3011" s="137"/>
      <c r="B3011" s="90"/>
      <c r="C3011" s="55"/>
      <c r="D3011" s="193"/>
      <c r="E3011" s="201"/>
      <c r="F3011" s="202"/>
      <c r="G3011" s="194"/>
      <c r="H3011" s="198"/>
      <c r="I3011" s="196"/>
      <c r="J3011" s="179" t="str">
        <f>IF(A3011="RAPPI",(VLOOKUP(TRIM(D3011), CATALOGO!F:G, 2, FALSE) * C3011)+I3011,IFERROR(IF(COUNTIF('RESTAURANTESDESCUENTOS 2026'!A:A,TRIM(A3011))&gt;0,((VLOOKUP(TRIM(D3011), CATALOGO!A:B, 2, FALSE) * C3011)*(1-VALUE(SUBSTITUTE(VLOOKUP(TRIM(A3011),'RESTAURANTESDESCUENTOS 2026'!A:B,2,FALSE),"%",""))/100)+I3011),(VLOOKUP(TRIM(D3011), CATALOGO!A:B, 2, FALSE) * C3011+I3011)),""))</f>
        <v/>
      </c>
      <c r="K3011" s="196"/>
      <c r="L3011" s="87"/>
      <c r="M3011" s="245"/>
      <c r="N3011" s="168"/>
    </row>
    <row r="3012" ht="22.5" hidden="1" customHeight="1">
      <c r="A3012" s="137"/>
      <c r="B3012" s="90"/>
      <c r="C3012" s="55"/>
      <c r="D3012" s="193"/>
      <c r="E3012" s="201"/>
      <c r="F3012" s="202"/>
      <c r="G3012" s="194"/>
      <c r="H3012" s="198"/>
      <c r="I3012" s="196"/>
      <c r="J3012" s="179" t="str">
        <f>IF(A3012="RAPPI",(VLOOKUP(TRIM(D3012), CATALOGO!F:G, 2, FALSE) * C3012)+I3012,IFERROR(IF(COUNTIF('RESTAURANTESDESCUENTOS 2026'!A:A,TRIM(A3012))&gt;0,((VLOOKUP(TRIM(D3012), CATALOGO!A:B, 2, FALSE) * C3012)*(1-VALUE(SUBSTITUTE(VLOOKUP(TRIM(A3012),'RESTAURANTESDESCUENTOS 2026'!A:B,2,FALSE),"%",""))/100)+I3012),(VLOOKUP(TRIM(D3012), CATALOGO!A:B, 2, FALSE) * C3012+I3012)),""))</f>
        <v/>
      </c>
      <c r="K3012" s="196"/>
      <c r="L3012" s="87"/>
      <c r="M3012" s="245"/>
      <c r="N3012" s="168"/>
    </row>
    <row r="3013" ht="22.5" hidden="1" customHeight="1">
      <c r="A3013" s="137"/>
      <c r="B3013" s="90"/>
      <c r="C3013" s="55"/>
      <c r="D3013" s="193"/>
      <c r="E3013" s="201"/>
      <c r="F3013" s="202"/>
      <c r="G3013" s="194"/>
      <c r="H3013" s="198"/>
      <c r="I3013" s="196"/>
      <c r="J3013" s="179" t="str">
        <f>IF(A3013="RAPPI",(VLOOKUP(TRIM(D3013), CATALOGO!F:G, 2, FALSE) * C3013)+I3013,IFERROR(IF(COUNTIF('RESTAURANTESDESCUENTOS 2026'!A:A,TRIM(A3013))&gt;0,((VLOOKUP(TRIM(D3013), CATALOGO!A:B, 2, FALSE) * C3013)*(1-VALUE(SUBSTITUTE(VLOOKUP(TRIM(A3013),'RESTAURANTESDESCUENTOS 2026'!A:B,2,FALSE),"%",""))/100)+I3013),(VLOOKUP(TRIM(D3013), CATALOGO!A:B, 2, FALSE) * C3013+I3013)),""))</f>
        <v/>
      </c>
      <c r="K3013" s="196"/>
      <c r="L3013" s="87"/>
      <c r="M3013" s="245"/>
      <c r="N3013" s="168"/>
    </row>
    <row r="3014" ht="22.5" hidden="1" customHeight="1">
      <c r="A3014" s="137"/>
      <c r="B3014" s="90"/>
      <c r="C3014" s="55"/>
      <c r="D3014" s="193"/>
      <c r="E3014" s="201"/>
      <c r="F3014" s="202"/>
      <c r="G3014" s="194"/>
      <c r="H3014" s="198"/>
      <c r="I3014" s="196"/>
      <c r="J3014" s="179" t="str">
        <f>IF(A3014="RAPPI",(VLOOKUP(TRIM(D3014), CATALOGO!F:G, 2, FALSE) * C3014)+I3014,IFERROR(IF(COUNTIF('RESTAURANTESDESCUENTOS 2026'!A:A,TRIM(A3014))&gt;0,((VLOOKUP(TRIM(D3014), CATALOGO!A:B, 2, FALSE) * C3014)*(1-VALUE(SUBSTITUTE(VLOOKUP(TRIM(A3014),'RESTAURANTESDESCUENTOS 2026'!A:B,2,FALSE),"%",""))/100)+I3014),(VLOOKUP(TRIM(D3014), CATALOGO!A:B, 2, FALSE) * C3014+I3014)),""))</f>
        <v/>
      </c>
      <c r="K3014" s="196"/>
      <c r="L3014" s="87"/>
      <c r="M3014" s="245"/>
      <c r="N3014" s="168"/>
    </row>
    <row r="3015" ht="22.5" hidden="1" customHeight="1">
      <c r="A3015" s="137"/>
      <c r="B3015" s="90"/>
      <c r="C3015" s="55"/>
      <c r="D3015" s="193"/>
      <c r="E3015" s="201"/>
      <c r="F3015" s="202"/>
      <c r="G3015" s="194"/>
      <c r="H3015" s="198"/>
      <c r="I3015" s="196"/>
      <c r="J3015" s="179" t="str">
        <f>IF(A3015="RAPPI",(VLOOKUP(TRIM(D3015), CATALOGO!F:G, 2, FALSE) * C3015)+I3015,IFERROR(IF(COUNTIF('RESTAURANTESDESCUENTOS 2026'!A:A,TRIM(A3015))&gt;0,((VLOOKUP(TRIM(D3015), CATALOGO!A:B, 2, FALSE) * C3015)*(1-VALUE(SUBSTITUTE(VLOOKUP(TRIM(A3015),'RESTAURANTESDESCUENTOS 2026'!A:B,2,FALSE),"%",""))/100)+I3015),(VLOOKUP(TRIM(D3015), CATALOGO!A:B, 2, FALSE) * C3015+I3015)),""))</f>
        <v/>
      </c>
      <c r="K3015" s="196"/>
      <c r="L3015" s="87"/>
      <c r="M3015" s="245"/>
      <c r="N3015" s="168"/>
    </row>
    <row r="3016" ht="22.5" hidden="1" customHeight="1">
      <c r="A3016" s="137"/>
      <c r="B3016" s="90"/>
      <c r="C3016" s="55"/>
      <c r="D3016" s="193"/>
      <c r="E3016" s="201"/>
      <c r="F3016" s="202"/>
      <c r="G3016" s="194"/>
      <c r="H3016" s="198"/>
      <c r="I3016" s="196"/>
      <c r="J3016" s="179" t="str">
        <f>IF(A3016="RAPPI",(VLOOKUP(TRIM(D3016), CATALOGO!F:G, 2, FALSE) * C3016)+I3016,IFERROR(IF(COUNTIF('RESTAURANTESDESCUENTOS 2026'!A:A,TRIM(A3016))&gt;0,((VLOOKUP(TRIM(D3016), CATALOGO!A:B, 2, FALSE) * C3016)*(1-VALUE(SUBSTITUTE(VLOOKUP(TRIM(A3016),'RESTAURANTESDESCUENTOS 2026'!A:B,2,FALSE),"%",""))/100)+I3016),(VLOOKUP(TRIM(D3016), CATALOGO!A:B, 2, FALSE) * C3016+I3016)),""))</f>
        <v/>
      </c>
      <c r="K3016" s="196"/>
      <c r="L3016" s="87"/>
      <c r="M3016" s="245"/>
      <c r="N3016" s="168"/>
    </row>
    <row r="3017" ht="22.5" hidden="1" customHeight="1">
      <c r="A3017" s="137"/>
      <c r="B3017" s="90"/>
      <c r="C3017" s="55"/>
      <c r="D3017" s="193"/>
      <c r="E3017" s="201"/>
      <c r="F3017" s="202"/>
      <c r="G3017" s="194"/>
      <c r="H3017" s="198"/>
      <c r="I3017" s="196"/>
      <c r="J3017" s="179" t="str">
        <f>IF(A3017="RAPPI",(VLOOKUP(TRIM(D3017), CATALOGO!F:G, 2, FALSE) * C3017)+I3017,IFERROR(IF(COUNTIF('RESTAURANTESDESCUENTOS 2026'!A:A,TRIM(A3017))&gt;0,((VLOOKUP(TRIM(D3017), CATALOGO!A:B, 2, FALSE) * C3017)*(1-VALUE(SUBSTITUTE(VLOOKUP(TRIM(A3017),'RESTAURANTESDESCUENTOS 2026'!A:B,2,FALSE),"%",""))/100)+I3017),(VLOOKUP(TRIM(D3017), CATALOGO!A:B, 2, FALSE) * C3017+I3017)),""))</f>
        <v/>
      </c>
      <c r="K3017" s="196"/>
      <c r="L3017" s="87"/>
      <c r="M3017" s="245"/>
      <c r="N3017" s="168"/>
    </row>
    <row r="3018" ht="22.5" hidden="1" customHeight="1">
      <c r="A3018" s="137"/>
      <c r="B3018" s="90"/>
      <c r="C3018" s="55"/>
      <c r="D3018" s="193"/>
      <c r="E3018" s="201"/>
      <c r="F3018" s="202"/>
      <c r="G3018" s="194"/>
      <c r="H3018" s="198"/>
      <c r="I3018" s="196"/>
      <c r="J3018" s="179" t="str">
        <f>IF(A3018="RAPPI",(VLOOKUP(TRIM(D3018), CATALOGO!F:G, 2, FALSE) * C3018)+I3018,IFERROR(IF(COUNTIF('RESTAURANTESDESCUENTOS 2026'!A:A,TRIM(A3018))&gt;0,((VLOOKUP(TRIM(D3018), CATALOGO!A:B, 2, FALSE) * C3018)*(1-VALUE(SUBSTITUTE(VLOOKUP(TRIM(A3018),'RESTAURANTESDESCUENTOS 2026'!A:B,2,FALSE),"%",""))/100)+I3018),(VLOOKUP(TRIM(D3018), CATALOGO!A:B, 2, FALSE) * C3018+I3018)),""))</f>
        <v/>
      </c>
      <c r="K3018" s="196"/>
      <c r="L3018" s="87"/>
      <c r="M3018" s="245"/>
      <c r="N3018" s="168"/>
    </row>
    <row r="3019" ht="22.5" hidden="1" customHeight="1">
      <c r="A3019" s="137"/>
      <c r="B3019" s="90"/>
      <c r="C3019" s="55"/>
      <c r="D3019" s="193"/>
      <c r="E3019" s="201"/>
      <c r="F3019" s="202"/>
      <c r="G3019" s="194"/>
      <c r="H3019" s="198"/>
      <c r="I3019" s="196"/>
      <c r="J3019" s="179" t="str">
        <f>IF(A3019="RAPPI",(VLOOKUP(TRIM(D3019), CATALOGO!F:G, 2, FALSE) * C3019)+I3019,IFERROR(IF(COUNTIF('RESTAURANTESDESCUENTOS 2026'!A:A,TRIM(A3019))&gt;0,((VLOOKUP(TRIM(D3019), CATALOGO!A:B, 2, FALSE) * C3019)*(1-VALUE(SUBSTITUTE(VLOOKUP(TRIM(A3019),'RESTAURANTESDESCUENTOS 2026'!A:B,2,FALSE),"%",""))/100)+I3019),(VLOOKUP(TRIM(D3019), CATALOGO!A:B, 2, FALSE) * C3019+I3019)),""))</f>
        <v/>
      </c>
      <c r="K3019" s="196"/>
      <c r="L3019" s="87"/>
      <c r="M3019" s="245"/>
      <c r="N3019" s="168"/>
    </row>
    <row r="3020" ht="22.5" hidden="1" customHeight="1">
      <c r="A3020" s="137"/>
      <c r="B3020" s="90"/>
      <c r="C3020" s="55"/>
      <c r="D3020" s="193"/>
      <c r="E3020" s="201"/>
      <c r="F3020" s="202"/>
      <c r="G3020" s="194"/>
      <c r="H3020" s="198"/>
      <c r="I3020" s="196"/>
      <c r="J3020" s="179" t="str">
        <f>IF(A3020="RAPPI",(VLOOKUP(TRIM(D3020), CATALOGO!F:G, 2, FALSE) * C3020)+I3020,IFERROR(IF(COUNTIF('RESTAURANTESDESCUENTOS 2026'!A:A,TRIM(A3020))&gt;0,((VLOOKUP(TRIM(D3020), CATALOGO!A:B, 2, FALSE) * C3020)*(1-VALUE(SUBSTITUTE(VLOOKUP(TRIM(A3020),'RESTAURANTESDESCUENTOS 2026'!A:B,2,FALSE),"%",""))/100)+I3020),(VLOOKUP(TRIM(D3020), CATALOGO!A:B, 2, FALSE) * C3020+I3020)),""))</f>
        <v/>
      </c>
      <c r="K3020" s="196"/>
      <c r="L3020" s="87"/>
      <c r="M3020" s="245"/>
      <c r="N3020" s="168"/>
    </row>
    <row r="3021" ht="22.5" hidden="1" customHeight="1">
      <c r="A3021" s="137"/>
      <c r="B3021" s="90"/>
      <c r="C3021" s="55"/>
      <c r="D3021" s="193"/>
      <c r="E3021" s="201"/>
      <c r="F3021" s="202"/>
      <c r="G3021" s="194"/>
      <c r="H3021" s="198"/>
      <c r="I3021" s="196"/>
      <c r="J3021" s="179" t="str">
        <f>IF(A3021="RAPPI",(VLOOKUP(TRIM(D3021), CATALOGO!F:G, 2, FALSE) * C3021)+I3021,IFERROR(IF(COUNTIF('RESTAURANTESDESCUENTOS 2026'!A:A,TRIM(A3021))&gt;0,((VLOOKUP(TRIM(D3021), CATALOGO!A:B, 2, FALSE) * C3021)*(1-VALUE(SUBSTITUTE(VLOOKUP(TRIM(A3021),'RESTAURANTESDESCUENTOS 2026'!A:B,2,FALSE),"%",""))/100)+I3021),(VLOOKUP(TRIM(D3021), CATALOGO!A:B, 2, FALSE) * C3021+I3021)),""))</f>
        <v/>
      </c>
      <c r="K3021" s="196"/>
      <c r="L3021" s="87"/>
      <c r="M3021" s="245"/>
      <c r="N3021" s="168"/>
    </row>
    <row r="3022" ht="22.5" hidden="1" customHeight="1">
      <c r="A3022" s="137"/>
      <c r="B3022" s="90"/>
      <c r="C3022" s="55"/>
      <c r="D3022" s="193"/>
      <c r="E3022" s="201"/>
      <c r="F3022" s="202"/>
      <c r="G3022" s="194"/>
      <c r="H3022" s="198"/>
      <c r="I3022" s="196"/>
      <c r="J3022" s="179" t="str">
        <f>IF(A3022="RAPPI",(VLOOKUP(TRIM(D3022), CATALOGO!F:G, 2, FALSE) * C3022)+I3022,IFERROR(IF(COUNTIF('RESTAURANTESDESCUENTOS 2026'!A:A,TRIM(A3022))&gt;0,((VLOOKUP(TRIM(D3022), CATALOGO!A:B, 2, FALSE) * C3022)*(1-VALUE(SUBSTITUTE(VLOOKUP(TRIM(A3022),'RESTAURANTESDESCUENTOS 2026'!A:B,2,FALSE),"%",""))/100)+I3022),(VLOOKUP(TRIM(D3022), CATALOGO!A:B, 2, FALSE) * C3022+I3022)),""))</f>
        <v/>
      </c>
      <c r="K3022" s="196"/>
      <c r="L3022" s="87"/>
      <c r="M3022" s="245"/>
      <c r="N3022" s="168"/>
    </row>
    <row r="3023" ht="22.5" hidden="1" customHeight="1">
      <c r="A3023" s="137"/>
      <c r="B3023" s="90"/>
      <c r="C3023" s="55"/>
      <c r="D3023" s="193"/>
      <c r="E3023" s="201"/>
      <c r="F3023" s="202"/>
      <c r="G3023" s="194"/>
      <c r="H3023" s="198"/>
      <c r="I3023" s="196"/>
      <c r="J3023" s="179" t="str">
        <f>IF(A3023="RAPPI",(VLOOKUP(TRIM(D3023), CATALOGO!F:G, 2, FALSE) * C3023)+I3023,IFERROR(IF(COUNTIF('RESTAURANTESDESCUENTOS 2026'!A:A,TRIM(A3023))&gt;0,((VLOOKUP(TRIM(D3023), CATALOGO!A:B, 2, FALSE) * C3023)*(1-VALUE(SUBSTITUTE(VLOOKUP(TRIM(A3023),'RESTAURANTESDESCUENTOS 2026'!A:B,2,FALSE),"%",""))/100)+I3023),(VLOOKUP(TRIM(D3023), CATALOGO!A:B, 2, FALSE) * C3023+I3023)),""))</f>
        <v/>
      </c>
      <c r="K3023" s="196"/>
      <c r="L3023" s="87"/>
      <c r="M3023" s="245"/>
      <c r="N3023" s="168"/>
    </row>
    <row r="3024" ht="22.5" hidden="1" customHeight="1">
      <c r="A3024" s="137"/>
      <c r="B3024" s="90"/>
      <c r="C3024" s="55"/>
      <c r="D3024" s="193"/>
      <c r="E3024" s="201"/>
      <c r="F3024" s="202"/>
      <c r="G3024" s="194"/>
      <c r="H3024" s="198"/>
      <c r="I3024" s="196"/>
      <c r="J3024" s="179" t="str">
        <f>IF(A3024="RAPPI",(VLOOKUP(TRIM(D3024), CATALOGO!F:G, 2, FALSE) * C3024)+I3024,IFERROR(IF(COUNTIF('RESTAURANTESDESCUENTOS 2026'!A:A,TRIM(A3024))&gt;0,((VLOOKUP(TRIM(D3024), CATALOGO!A:B, 2, FALSE) * C3024)*(1-VALUE(SUBSTITUTE(VLOOKUP(TRIM(A3024),'RESTAURANTESDESCUENTOS 2026'!A:B,2,FALSE),"%",""))/100)+I3024),(VLOOKUP(TRIM(D3024), CATALOGO!A:B, 2, FALSE) * C3024+I3024)),""))</f>
        <v/>
      </c>
      <c r="K3024" s="196"/>
      <c r="L3024" s="87"/>
      <c r="M3024" s="245"/>
      <c r="N3024" s="168"/>
    </row>
    <row r="3025" ht="22.5" hidden="1" customHeight="1">
      <c r="A3025" s="137"/>
      <c r="B3025" s="90"/>
      <c r="C3025" s="55"/>
      <c r="D3025" s="193"/>
      <c r="E3025" s="201"/>
      <c r="F3025" s="202"/>
      <c r="G3025" s="194"/>
      <c r="H3025" s="198"/>
      <c r="I3025" s="196"/>
      <c r="J3025" s="179" t="str">
        <f>IF(A3025="RAPPI",(VLOOKUP(TRIM(D3025), CATALOGO!F:G, 2, FALSE) * C3025)+I3025,IFERROR(IF(COUNTIF('RESTAURANTESDESCUENTOS 2026'!A:A,TRIM(A3025))&gt;0,((VLOOKUP(TRIM(D3025), CATALOGO!A:B, 2, FALSE) * C3025)*(1-VALUE(SUBSTITUTE(VLOOKUP(TRIM(A3025),'RESTAURANTESDESCUENTOS 2026'!A:B,2,FALSE),"%",""))/100)+I3025),(VLOOKUP(TRIM(D3025), CATALOGO!A:B, 2, FALSE) * C3025+I3025)),""))</f>
        <v/>
      </c>
      <c r="K3025" s="196"/>
      <c r="L3025" s="87"/>
      <c r="M3025" s="245"/>
      <c r="N3025" s="168"/>
    </row>
    <row r="3026" ht="22.5" hidden="1" customHeight="1">
      <c r="A3026" s="137"/>
      <c r="B3026" s="90"/>
      <c r="C3026" s="55"/>
      <c r="D3026" s="193"/>
      <c r="E3026" s="201"/>
      <c r="F3026" s="202"/>
      <c r="G3026" s="194"/>
      <c r="H3026" s="198"/>
      <c r="I3026" s="196"/>
      <c r="J3026" s="179" t="str">
        <f>IF(A3026="RAPPI",(VLOOKUP(TRIM(D3026), CATALOGO!F:G, 2, FALSE) * C3026)+I3026,IFERROR(IF(COUNTIF('RESTAURANTESDESCUENTOS 2026'!A:A,TRIM(A3026))&gt;0,((VLOOKUP(TRIM(D3026), CATALOGO!A:B, 2, FALSE) * C3026)*(1-VALUE(SUBSTITUTE(VLOOKUP(TRIM(A3026),'RESTAURANTESDESCUENTOS 2026'!A:B,2,FALSE),"%",""))/100)+I3026),(VLOOKUP(TRIM(D3026), CATALOGO!A:B, 2, FALSE) * C3026+I3026)),""))</f>
        <v/>
      </c>
      <c r="K3026" s="196"/>
      <c r="L3026" s="87"/>
      <c r="M3026" s="245"/>
      <c r="N3026" s="168"/>
    </row>
    <row r="3027" ht="22.5" hidden="1" customHeight="1">
      <c r="A3027" s="137"/>
      <c r="B3027" s="90"/>
      <c r="C3027" s="55"/>
      <c r="D3027" s="193"/>
      <c r="E3027" s="201"/>
      <c r="F3027" s="202"/>
      <c r="G3027" s="194"/>
      <c r="H3027" s="198"/>
      <c r="I3027" s="196"/>
      <c r="J3027" s="179" t="str">
        <f>IF(A3027="RAPPI",(VLOOKUP(TRIM(D3027), CATALOGO!F:G, 2, FALSE) * C3027)+I3027,IFERROR(IF(COUNTIF('RESTAURANTESDESCUENTOS 2026'!A:A,TRIM(A3027))&gt;0,((VLOOKUP(TRIM(D3027), CATALOGO!A:B, 2, FALSE) * C3027)*(1-VALUE(SUBSTITUTE(VLOOKUP(TRIM(A3027),'RESTAURANTESDESCUENTOS 2026'!A:B,2,FALSE),"%",""))/100)+I3027),(VLOOKUP(TRIM(D3027), CATALOGO!A:B, 2, FALSE) * C3027+I3027)),""))</f>
        <v/>
      </c>
      <c r="K3027" s="196"/>
      <c r="L3027" s="87"/>
      <c r="M3027" s="245"/>
      <c r="N3027" s="168"/>
    </row>
    <row r="3028" ht="22.5" hidden="1" customHeight="1">
      <c r="A3028" s="137"/>
      <c r="B3028" s="90"/>
      <c r="C3028" s="55"/>
      <c r="D3028" s="193"/>
      <c r="E3028" s="201"/>
      <c r="F3028" s="202"/>
      <c r="G3028" s="194"/>
      <c r="H3028" s="198"/>
      <c r="I3028" s="196"/>
      <c r="J3028" s="179" t="str">
        <f>IF(A3028="RAPPI",(VLOOKUP(TRIM(D3028), CATALOGO!F:G, 2, FALSE) * C3028)+I3028,IFERROR(IF(COUNTIF('RESTAURANTESDESCUENTOS 2026'!A:A,TRIM(A3028))&gt;0,((VLOOKUP(TRIM(D3028), CATALOGO!A:B, 2, FALSE) * C3028)*(1-VALUE(SUBSTITUTE(VLOOKUP(TRIM(A3028),'RESTAURANTESDESCUENTOS 2026'!A:B,2,FALSE),"%",""))/100)+I3028),(VLOOKUP(TRIM(D3028), CATALOGO!A:B, 2, FALSE) * C3028+I3028)),""))</f>
        <v/>
      </c>
      <c r="K3028" s="196"/>
      <c r="L3028" s="87"/>
      <c r="M3028" s="245"/>
      <c r="N3028" s="168"/>
    </row>
    <row r="3029" ht="22.5" hidden="1" customHeight="1">
      <c r="A3029" s="137"/>
      <c r="B3029" s="90"/>
      <c r="C3029" s="55"/>
      <c r="D3029" s="193"/>
      <c r="E3029" s="201"/>
      <c r="F3029" s="202"/>
      <c r="G3029" s="194"/>
      <c r="H3029" s="198"/>
      <c r="I3029" s="196"/>
      <c r="J3029" s="179" t="str">
        <f>IF(A3029="RAPPI",(VLOOKUP(TRIM(D3029), CATALOGO!F:G, 2, FALSE) * C3029)+I3029,IFERROR(IF(COUNTIF('RESTAURANTESDESCUENTOS 2026'!A:A,TRIM(A3029))&gt;0,((VLOOKUP(TRIM(D3029), CATALOGO!A:B, 2, FALSE) * C3029)*(1-VALUE(SUBSTITUTE(VLOOKUP(TRIM(A3029),'RESTAURANTESDESCUENTOS 2026'!A:B,2,FALSE),"%",""))/100)+I3029),(VLOOKUP(TRIM(D3029), CATALOGO!A:B, 2, FALSE) * C3029+I3029)),""))</f>
        <v/>
      </c>
      <c r="K3029" s="196"/>
      <c r="L3029" s="87"/>
      <c r="M3029" s="245"/>
      <c r="N3029" s="168"/>
    </row>
    <row r="3030" ht="22.5" hidden="1" customHeight="1">
      <c r="A3030" s="137"/>
      <c r="B3030" s="90"/>
      <c r="C3030" s="55"/>
      <c r="D3030" s="193"/>
      <c r="E3030" s="201"/>
      <c r="F3030" s="202"/>
      <c r="G3030" s="194"/>
      <c r="H3030" s="198"/>
      <c r="I3030" s="196"/>
      <c r="J3030" s="179" t="str">
        <f>IF(A3030="RAPPI",(VLOOKUP(TRIM(D3030), CATALOGO!F:G, 2, FALSE) * C3030)+I3030,IFERROR(IF(COUNTIF('RESTAURANTESDESCUENTOS 2026'!A:A,TRIM(A3030))&gt;0,((VLOOKUP(TRIM(D3030), CATALOGO!A:B, 2, FALSE) * C3030)*(1-VALUE(SUBSTITUTE(VLOOKUP(TRIM(A3030),'RESTAURANTESDESCUENTOS 2026'!A:B,2,FALSE),"%",""))/100)+I3030),(VLOOKUP(TRIM(D3030), CATALOGO!A:B, 2, FALSE) * C3030+I3030)),""))</f>
        <v/>
      </c>
      <c r="K3030" s="196"/>
      <c r="L3030" s="87"/>
      <c r="M3030" s="245"/>
      <c r="N3030" s="168"/>
    </row>
    <row r="3031" ht="22.5" hidden="1" customHeight="1">
      <c r="A3031" s="137"/>
      <c r="B3031" s="90"/>
      <c r="C3031" s="55"/>
      <c r="D3031" s="193"/>
      <c r="E3031" s="201"/>
      <c r="F3031" s="202"/>
      <c r="G3031" s="194"/>
      <c r="H3031" s="198"/>
      <c r="I3031" s="196"/>
      <c r="J3031" s="179" t="str">
        <f>IF(A3031="RAPPI",(VLOOKUP(TRIM(D3031), CATALOGO!F:G, 2, FALSE) * C3031)+I3031,IFERROR(IF(COUNTIF('RESTAURANTESDESCUENTOS 2026'!A:A,TRIM(A3031))&gt;0,((VLOOKUP(TRIM(D3031), CATALOGO!A:B, 2, FALSE) * C3031)*(1-VALUE(SUBSTITUTE(VLOOKUP(TRIM(A3031),'RESTAURANTESDESCUENTOS 2026'!A:B,2,FALSE),"%",""))/100)+I3031),(VLOOKUP(TRIM(D3031), CATALOGO!A:B, 2, FALSE) * C3031+I3031)),""))</f>
        <v/>
      </c>
      <c r="K3031" s="196"/>
      <c r="L3031" s="87"/>
      <c r="M3031" s="245"/>
      <c r="N3031" s="168"/>
    </row>
    <row r="3032" ht="22.5" hidden="1" customHeight="1">
      <c r="A3032" s="137"/>
      <c r="B3032" s="90"/>
      <c r="C3032" s="55"/>
      <c r="D3032" s="193"/>
      <c r="E3032" s="201"/>
      <c r="F3032" s="202"/>
      <c r="G3032" s="194"/>
      <c r="H3032" s="198"/>
      <c r="I3032" s="196"/>
      <c r="J3032" s="179" t="str">
        <f>IF(A3032="RAPPI",(VLOOKUP(TRIM(D3032), CATALOGO!F:G, 2, FALSE) * C3032)+I3032,IFERROR(IF(COUNTIF('RESTAURANTESDESCUENTOS 2026'!A:A,TRIM(A3032))&gt;0,((VLOOKUP(TRIM(D3032), CATALOGO!A:B, 2, FALSE) * C3032)*(1-VALUE(SUBSTITUTE(VLOOKUP(TRIM(A3032),'RESTAURANTESDESCUENTOS 2026'!A:B,2,FALSE),"%",""))/100)+I3032),(VLOOKUP(TRIM(D3032), CATALOGO!A:B, 2, FALSE) * C3032+I3032)),""))</f>
        <v/>
      </c>
      <c r="K3032" s="196"/>
      <c r="L3032" s="87"/>
      <c r="M3032" s="245"/>
      <c r="N3032" s="168"/>
    </row>
    <row r="3033" ht="22.5" hidden="1" customHeight="1">
      <c r="A3033" s="137"/>
      <c r="B3033" s="90"/>
      <c r="C3033" s="55"/>
      <c r="D3033" s="193"/>
      <c r="E3033" s="201"/>
      <c r="F3033" s="202"/>
      <c r="G3033" s="194"/>
      <c r="H3033" s="198"/>
      <c r="I3033" s="196"/>
      <c r="J3033" s="179" t="str">
        <f>IF(A3033="RAPPI",(VLOOKUP(TRIM(D3033), CATALOGO!F:G, 2, FALSE) * C3033)+I3033,IFERROR(IF(COUNTIF('RESTAURANTESDESCUENTOS 2026'!A:A,TRIM(A3033))&gt;0,((VLOOKUP(TRIM(D3033), CATALOGO!A:B, 2, FALSE) * C3033)*(1-VALUE(SUBSTITUTE(VLOOKUP(TRIM(A3033),'RESTAURANTESDESCUENTOS 2026'!A:B,2,FALSE),"%",""))/100)+I3033),(VLOOKUP(TRIM(D3033), CATALOGO!A:B, 2, FALSE) * C3033+I3033)),""))</f>
        <v/>
      </c>
      <c r="K3033" s="196"/>
      <c r="L3033" s="87"/>
      <c r="M3033" s="245"/>
      <c r="N3033" s="168"/>
    </row>
    <row r="3034" ht="22.5" hidden="1" customHeight="1">
      <c r="A3034" s="137"/>
      <c r="B3034" s="90"/>
      <c r="C3034" s="55"/>
      <c r="D3034" s="193"/>
      <c r="E3034" s="201"/>
      <c r="F3034" s="202"/>
      <c r="G3034" s="194"/>
      <c r="H3034" s="198"/>
      <c r="I3034" s="196"/>
      <c r="J3034" s="179" t="str">
        <f>IF(A3034="RAPPI",(VLOOKUP(TRIM(D3034), CATALOGO!F:G, 2, FALSE) * C3034)+I3034,IFERROR(IF(COUNTIF('RESTAURANTESDESCUENTOS 2026'!A:A,TRIM(A3034))&gt;0,((VLOOKUP(TRIM(D3034), CATALOGO!A:B, 2, FALSE) * C3034)*(1-VALUE(SUBSTITUTE(VLOOKUP(TRIM(A3034),'RESTAURANTESDESCUENTOS 2026'!A:B,2,FALSE),"%",""))/100)+I3034),(VLOOKUP(TRIM(D3034), CATALOGO!A:B, 2, FALSE) * C3034+I3034)),""))</f>
        <v/>
      </c>
      <c r="K3034" s="196"/>
      <c r="L3034" s="87"/>
      <c r="M3034" s="245"/>
      <c r="N3034" s="168"/>
    </row>
    <row r="3035" ht="22.5" hidden="1" customHeight="1">
      <c r="A3035" s="137"/>
      <c r="B3035" s="90"/>
      <c r="C3035" s="55"/>
      <c r="D3035" s="193"/>
      <c r="E3035" s="201"/>
      <c r="F3035" s="202"/>
      <c r="G3035" s="194"/>
      <c r="H3035" s="198"/>
      <c r="I3035" s="196"/>
      <c r="J3035" s="179" t="str">
        <f>IF(A3035="RAPPI",(VLOOKUP(TRIM(D3035), CATALOGO!F:G, 2, FALSE) * C3035)+I3035,IFERROR(IF(COUNTIF('RESTAURANTESDESCUENTOS 2026'!A:A,TRIM(A3035))&gt;0,((VLOOKUP(TRIM(D3035), CATALOGO!A:B, 2, FALSE) * C3035)*(1-VALUE(SUBSTITUTE(VLOOKUP(TRIM(A3035),'RESTAURANTESDESCUENTOS 2026'!A:B,2,FALSE),"%",""))/100)+I3035),(VLOOKUP(TRIM(D3035), CATALOGO!A:B, 2, FALSE) * C3035+I3035)),""))</f>
        <v/>
      </c>
      <c r="K3035" s="196"/>
      <c r="L3035" s="87"/>
      <c r="M3035" s="245"/>
      <c r="N3035" s="168"/>
    </row>
    <row r="3036" ht="22.5" hidden="1" customHeight="1">
      <c r="A3036" s="137"/>
      <c r="B3036" s="90"/>
      <c r="C3036" s="55"/>
      <c r="D3036" s="193"/>
      <c r="E3036" s="201"/>
      <c r="F3036" s="202"/>
      <c r="G3036" s="194"/>
      <c r="H3036" s="198"/>
      <c r="I3036" s="196"/>
      <c r="J3036" s="179" t="str">
        <f>IF(A3036="RAPPI",(VLOOKUP(TRIM(D3036), CATALOGO!F:G, 2, FALSE) * C3036)+I3036,IFERROR(IF(COUNTIF('RESTAURANTESDESCUENTOS 2026'!A:A,TRIM(A3036))&gt;0,((VLOOKUP(TRIM(D3036), CATALOGO!A:B, 2, FALSE) * C3036)*(1-VALUE(SUBSTITUTE(VLOOKUP(TRIM(A3036),'RESTAURANTESDESCUENTOS 2026'!A:B,2,FALSE),"%",""))/100)+I3036),(VLOOKUP(TRIM(D3036), CATALOGO!A:B, 2, FALSE) * C3036+I3036)),""))</f>
        <v/>
      </c>
      <c r="K3036" s="196"/>
      <c r="L3036" s="87"/>
      <c r="M3036" s="245"/>
      <c r="N3036" s="168"/>
    </row>
    <row r="3037" ht="22.5" hidden="1" customHeight="1">
      <c r="A3037" s="137"/>
      <c r="B3037" s="90"/>
      <c r="C3037" s="55"/>
      <c r="D3037" s="193"/>
      <c r="E3037" s="201"/>
      <c r="F3037" s="202"/>
      <c r="G3037" s="194"/>
      <c r="H3037" s="198"/>
      <c r="I3037" s="196"/>
      <c r="J3037" s="179" t="str">
        <f>IF(A3037="RAPPI",(VLOOKUP(TRIM(D3037), CATALOGO!F:G, 2, FALSE) * C3037)+I3037,IFERROR(IF(COUNTIF('RESTAURANTESDESCUENTOS 2026'!A:A,TRIM(A3037))&gt;0,((VLOOKUP(TRIM(D3037), CATALOGO!A:B, 2, FALSE) * C3037)*(1-VALUE(SUBSTITUTE(VLOOKUP(TRIM(A3037),'RESTAURANTESDESCUENTOS 2026'!A:B,2,FALSE),"%",""))/100)+I3037),(VLOOKUP(TRIM(D3037), CATALOGO!A:B, 2, FALSE) * C3037+I3037)),""))</f>
        <v/>
      </c>
      <c r="K3037" s="196"/>
      <c r="L3037" s="87"/>
      <c r="M3037" s="245"/>
      <c r="N3037" s="168"/>
    </row>
    <row r="3038" ht="22.5" hidden="1" customHeight="1">
      <c r="A3038" s="137"/>
      <c r="B3038" s="90"/>
      <c r="C3038" s="55"/>
      <c r="D3038" s="193"/>
      <c r="E3038" s="201"/>
      <c r="F3038" s="202"/>
      <c r="G3038" s="194"/>
      <c r="H3038" s="198"/>
      <c r="I3038" s="196"/>
      <c r="J3038" s="179" t="str">
        <f>IF(A3038="RAPPI",(VLOOKUP(TRIM(D3038), CATALOGO!F:G, 2, FALSE) * C3038)+I3038,IFERROR(IF(COUNTIF('RESTAURANTESDESCUENTOS 2026'!A:A,TRIM(A3038))&gt;0,((VLOOKUP(TRIM(D3038), CATALOGO!A:B, 2, FALSE) * C3038)*(1-VALUE(SUBSTITUTE(VLOOKUP(TRIM(A3038),'RESTAURANTESDESCUENTOS 2026'!A:B,2,FALSE),"%",""))/100)+I3038),(VLOOKUP(TRIM(D3038), CATALOGO!A:B, 2, FALSE) * C3038+I3038)),""))</f>
        <v/>
      </c>
      <c r="K3038" s="196"/>
      <c r="L3038" s="87"/>
      <c r="M3038" s="245"/>
      <c r="N3038" s="168"/>
    </row>
    <row r="3039" ht="22.5" hidden="1" customHeight="1">
      <c r="A3039" s="137"/>
      <c r="B3039" s="90"/>
      <c r="C3039" s="55"/>
      <c r="D3039" s="193"/>
      <c r="E3039" s="201"/>
      <c r="F3039" s="202"/>
      <c r="G3039" s="194"/>
      <c r="H3039" s="198"/>
      <c r="I3039" s="196"/>
      <c r="J3039" s="179" t="str">
        <f>IF(A3039="RAPPI",(VLOOKUP(TRIM(D3039), CATALOGO!F:G, 2, FALSE) * C3039)+I3039,IFERROR(IF(COUNTIF('RESTAURANTESDESCUENTOS 2026'!A:A,TRIM(A3039))&gt;0,((VLOOKUP(TRIM(D3039), CATALOGO!A:B, 2, FALSE) * C3039)*(1-VALUE(SUBSTITUTE(VLOOKUP(TRIM(A3039),'RESTAURANTESDESCUENTOS 2026'!A:B,2,FALSE),"%",""))/100)+I3039),(VLOOKUP(TRIM(D3039), CATALOGO!A:B, 2, FALSE) * C3039+I3039)),""))</f>
        <v/>
      </c>
      <c r="K3039" s="196"/>
      <c r="L3039" s="87"/>
      <c r="M3039" s="245"/>
      <c r="N3039" s="168"/>
    </row>
    <row r="3040" ht="22.5" hidden="1" customHeight="1">
      <c r="A3040" s="137"/>
      <c r="B3040" s="90"/>
      <c r="C3040" s="55"/>
      <c r="D3040" s="193"/>
      <c r="E3040" s="201"/>
      <c r="F3040" s="202"/>
      <c r="G3040" s="194"/>
      <c r="H3040" s="198"/>
      <c r="I3040" s="196"/>
      <c r="J3040" s="179" t="str">
        <f>IF(A3040="RAPPI",(VLOOKUP(TRIM(D3040), CATALOGO!F:G, 2, FALSE) * C3040)+I3040,IFERROR(IF(COUNTIF('RESTAURANTESDESCUENTOS 2026'!A:A,TRIM(A3040))&gt;0,((VLOOKUP(TRIM(D3040), CATALOGO!A:B, 2, FALSE) * C3040)*(1-VALUE(SUBSTITUTE(VLOOKUP(TRIM(A3040),'RESTAURANTESDESCUENTOS 2026'!A:B,2,FALSE),"%",""))/100)+I3040),(VLOOKUP(TRIM(D3040), CATALOGO!A:B, 2, FALSE) * C3040+I3040)),""))</f>
        <v/>
      </c>
      <c r="K3040" s="196"/>
      <c r="L3040" s="87"/>
      <c r="M3040" s="245"/>
      <c r="N3040" s="168"/>
    </row>
    <row r="3041" ht="22.5" hidden="1" customHeight="1">
      <c r="A3041" s="137"/>
      <c r="B3041" s="90"/>
      <c r="C3041" s="55"/>
      <c r="D3041" s="193"/>
      <c r="E3041" s="201"/>
      <c r="F3041" s="202"/>
      <c r="G3041" s="194"/>
      <c r="H3041" s="198"/>
      <c r="I3041" s="196"/>
      <c r="J3041" s="179" t="str">
        <f>IF(A3041="RAPPI",(VLOOKUP(TRIM(D3041), CATALOGO!F:G, 2, FALSE) * C3041)+I3041,IFERROR(IF(COUNTIF('RESTAURANTESDESCUENTOS 2026'!A:A,TRIM(A3041))&gt;0,((VLOOKUP(TRIM(D3041), CATALOGO!A:B, 2, FALSE) * C3041)*(1-VALUE(SUBSTITUTE(VLOOKUP(TRIM(A3041),'RESTAURANTESDESCUENTOS 2026'!A:B,2,FALSE),"%",""))/100)+I3041),(VLOOKUP(TRIM(D3041), CATALOGO!A:B, 2, FALSE) * C3041+I3041)),""))</f>
        <v/>
      </c>
      <c r="K3041" s="196"/>
      <c r="L3041" s="87"/>
      <c r="M3041" s="245"/>
      <c r="N3041" s="168"/>
    </row>
    <row r="3042" ht="22.5" hidden="1" customHeight="1">
      <c r="A3042" s="137"/>
      <c r="B3042" s="90"/>
      <c r="C3042" s="55"/>
      <c r="D3042" s="193"/>
      <c r="E3042" s="201"/>
      <c r="F3042" s="202"/>
      <c r="G3042" s="194"/>
      <c r="H3042" s="198"/>
      <c r="I3042" s="196"/>
      <c r="J3042" s="179" t="str">
        <f>IF(A3042="RAPPI",(VLOOKUP(TRIM(D3042), CATALOGO!F:G, 2, FALSE) * C3042)+I3042,IFERROR(IF(COUNTIF('RESTAURANTESDESCUENTOS 2026'!A:A,TRIM(A3042))&gt;0,((VLOOKUP(TRIM(D3042), CATALOGO!A:B, 2, FALSE) * C3042)*(1-VALUE(SUBSTITUTE(VLOOKUP(TRIM(A3042),'RESTAURANTESDESCUENTOS 2026'!A:B,2,FALSE),"%",""))/100)+I3042),(VLOOKUP(TRIM(D3042), CATALOGO!A:B, 2, FALSE) * C3042+I3042)),""))</f>
        <v/>
      </c>
      <c r="K3042" s="196"/>
      <c r="L3042" s="87"/>
      <c r="M3042" s="245"/>
      <c r="N3042" s="168"/>
    </row>
    <row r="3043" ht="22.5" hidden="1" customHeight="1">
      <c r="A3043" s="137"/>
      <c r="B3043" s="90"/>
      <c r="C3043" s="55"/>
      <c r="D3043" s="193"/>
      <c r="E3043" s="201"/>
      <c r="F3043" s="202"/>
      <c r="G3043" s="194"/>
      <c r="H3043" s="198"/>
      <c r="I3043" s="196"/>
      <c r="J3043" s="179" t="str">
        <f>IF(A3043="RAPPI",(VLOOKUP(TRIM(D3043), CATALOGO!F:G, 2, FALSE) * C3043)+I3043,IFERROR(IF(COUNTIF('RESTAURANTESDESCUENTOS 2026'!A:A,TRIM(A3043))&gt;0,((VLOOKUP(TRIM(D3043), CATALOGO!A:B, 2, FALSE) * C3043)*(1-VALUE(SUBSTITUTE(VLOOKUP(TRIM(A3043),'RESTAURANTESDESCUENTOS 2026'!A:B,2,FALSE),"%",""))/100)+I3043),(VLOOKUP(TRIM(D3043), CATALOGO!A:B, 2, FALSE) * C3043+I3043)),""))</f>
        <v/>
      </c>
      <c r="K3043" s="196"/>
      <c r="L3043" s="87"/>
      <c r="M3043" s="245"/>
      <c r="N3043" s="168"/>
    </row>
    <row r="3044" ht="22.5" hidden="1" customHeight="1">
      <c r="A3044" s="137"/>
      <c r="B3044" s="90"/>
      <c r="C3044" s="55"/>
      <c r="D3044" s="193"/>
      <c r="E3044" s="201"/>
      <c r="F3044" s="202"/>
      <c r="G3044" s="194"/>
      <c r="H3044" s="198"/>
      <c r="I3044" s="196"/>
      <c r="J3044" s="179" t="str">
        <f>IF(A3044="RAPPI",(VLOOKUP(TRIM(D3044), CATALOGO!F:G, 2, FALSE) * C3044)+I3044,IFERROR(IF(COUNTIF('RESTAURANTESDESCUENTOS 2026'!A:A,TRIM(A3044))&gt;0,((VLOOKUP(TRIM(D3044), CATALOGO!A:B, 2, FALSE) * C3044)*(1-VALUE(SUBSTITUTE(VLOOKUP(TRIM(A3044),'RESTAURANTESDESCUENTOS 2026'!A:B,2,FALSE),"%",""))/100)+I3044),(VLOOKUP(TRIM(D3044), CATALOGO!A:B, 2, FALSE) * C3044+I3044)),""))</f>
        <v/>
      </c>
      <c r="K3044" s="196"/>
      <c r="L3044" s="87"/>
      <c r="M3044" s="245"/>
      <c r="N3044" s="168"/>
    </row>
    <row r="3045" ht="22.5" hidden="1" customHeight="1">
      <c r="A3045" s="137"/>
      <c r="B3045" s="90"/>
      <c r="C3045" s="55"/>
      <c r="D3045" s="193"/>
      <c r="E3045" s="201"/>
      <c r="F3045" s="202"/>
      <c r="G3045" s="194"/>
      <c r="H3045" s="198"/>
      <c r="I3045" s="196"/>
      <c r="J3045" s="179" t="str">
        <f>IF(A3045="RAPPI",(VLOOKUP(TRIM(D3045), CATALOGO!F:G, 2, FALSE) * C3045)+I3045,IFERROR(IF(COUNTIF('RESTAURANTESDESCUENTOS 2026'!A:A,TRIM(A3045))&gt;0,((VLOOKUP(TRIM(D3045), CATALOGO!A:B, 2, FALSE) * C3045)*(1-VALUE(SUBSTITUTE(VLOOKUP(TRIM(A3045),'RESTAURANTESDESCUENTOS 2026'!A:B,2,FALSE),"%",""))/100)+I3045),(VLOOKUP(TRIM(D3045), CATALOGO!A:B, 2, FALSE) * C3045+I3045)),""))</f>
        <v/>
      </c>
      <c r="K3045" s="196"/>
      <c r="L3045" s="87"/>
      <c r="M3045" s="245"/>
      <c r="N3045" s="168"/>
    </row>
    <row r="3046" ht="22.5" hidden="1" customHeight="1">
      <c r="A3046" s="137"/>
      <c r="B3046" s="90"/>
      <c r="C3046" s="55"/>
      <c r="D3046" s="193"/>
      <c r="E3046" s="201"/>
      <c r="F3046" s="202"/>
      <c r="G3046" s="194"/>
      <c r="H3046" s="198"/>
      <c r="I3046" s="196"/>
      <c r="J3046" s="179" t="str">
        <f>IF(A3046="RAPPI",(VLOOKUP(TRIM(D3046), CATALOGO!F:G, 2, FALSE) * C3046)+I3046,IFERROR(IF(COUNTIF('RESTAURANTESDESCUENTOS 2026'!A:A,TRIM(A3046))&gt;0,((VLOOKUP(TRIM(D3046), CATALOGO!A:B, 2, FALSE) * C3046)*(1-VALUE(SUBSTITUTE(VLOOKUP(TRIM(A3046),'RESTAURANTESDESCUENTOS 2026'!A:B,2,FALSE),"%",""))/100)+I3046),(VLOOKUP(TRIM(D3046), CATALOGO!A:B, 2, FALSE) * C3046+I3046)),""))</f>
        <v/>
      </c>
      <c r="K3046" s="196"/>
      <c r="L3046" s="87"/>
      <c r="M3046" s="245"/>
      <c r="N3046" s="168"/>
    </row>
    <row r="3047" ht="22.5" hidden="1" customHeight="1">
      <c r="A3047" s="137"/>
      <c r="B3047" s="90"/>
      <c r="C3047" s="55"/>
      <c r="D3047" s="193"/>
      <c r="E3047" s="201"/>
      <c r="F3047" s="202"/>
      <c r="G3047" s="194"/>
      <c r="H3047" s="198"/>
      <c r="I3047" s="196"/>
      <c r="J3047" s="179" t="str">
        <f>IF(A3047="RAPPI",(VLOOKUP(TRIM(D3047), CATALOGO!F:G, 2, FALSE) * C3047)+I3047,IFERROR(IF(COUNTIF('RESTAURANTESDESCUENTOS 2026'!A:A,TRIM(A3047))&gt;0,((VLOOKUP(TRIM(D3047), CATALOGO!A:B, 2, FALSE) * C3047)*(1-VALUE(SUBSTITUTE(VLOOKUP(TRIM(A3047),'RESTAURANTESDESCUENTOS 2026'!A:B,2,FALSE),"%",""))/100)+I3047),(VLOOKUP(TRIM(D3047), CATALOGO!A:B, 2, FALSE) * C3047+I3047)),""))</f>
        <v/>
      </c>
      <c r="K3047" s="196"/>
      <c r="L3047" s="87"/>
      <c r="M3047" s="245"/>
      <c r="N3047" s="168"/>
    </row>
    <row r="3048" ht="22.5" hidden="1" customHeight="1">
      <c r="A3048" s="137"/>
      <c r="B3048" s="90"/>
      <c r="C3048" s="55"/>
      <c r="D3048" s="193"/>
      <c r="E3048" s="201"/>
      <c r="F3048" s="202"/>
      <c r="G3048" s="194"/>
      <c r="H3048" s="198"/>
      <c r="I3048" s="196"/>
      <c r="J3048" s="179" t="str">
        <f>IF(A3048="RAPPI",(VLOOKUP(TRIM(D3048), CATALOGO!F:G, 2, FALSE) * C3048)+I3048,IFERROR(IF(COUNTIF('RESTAURANTESDESCUENTOS 2026'!A:A,TRIM(A3048))&gt;0,((VLOOKUP(TRIM(D3048), CATALOGO!A:B, 2, FALSE) * C3048)*(1-VALUE(SUBSTITUTE(VLOOKUP(TRIM(A3048),'RESTAURANTESDESCUENTOS 2026'!A:B,2,FALSE),"%",""))/100)+I3048),(VLOOKUP(TRIM(D3048), CATALOGO!A:B, 2, FALSE) * C3048+I3048)),""))</f>
        <v/>
      </c>
      <c r="K3048" s="196"/>
      <c r="L3048" s="87"/>
      <c r="M3048" s="245"/>
      <c r="N3048" s="168"/>
    </row>
    <row r="3049" ht="22.5" hidden="1" customHeight="1">
      <c r="A3049" s="137"/>
      <c r="B3049" s="90"/>
      <c r="C3049" s="55"/>
      <c r="D3049" s="193"/>
      <c r="E3049" s="201"/>
      <c r="F3049" s="202"/>
      <c r="G3049" s="194"/>
      <c r="H3049" s="198"/>
      <c r="I3049" s="196"/>
      <c r="J3049" s="179" t="str">
        <f>IF(A3049="RAPPI",(VLOOKUP(TRIM(D3049), CATALOGO!F:G, 2, FALSE) * C3049)+I3049,IFERROR(IF(COUNTIF('RESTAURANTESDESCUENTOS 2026'!A:A,TRIM(A3049))&gt;0,((VLOOKUP(TRIM(D3049), CATALOGO!A:B, 2, FALSE) * C3049)*(1-VALUE(SUBSTITUTE(VLOOKUP(TRIM(A3049),'RESTAURANTESDESCUENTOS 2026'!A:B,2,FALSE),"%",""))/100)+I3049),(VLOOKUP(TRIM(D3049), CATALOGO!A:B, 2, FALSE) * C3049+I3049)),""))</f>
        <v/>
      </c>
      <c r="K3049" s="196"/>
      <c r="L3049" s="87"/>
      <c r="M3049" s="245"/>
      <c r="N3049" s="168"/>
    </row>
    <row r="3050" ht="22.5" hidden="1" customHeight="1">
      <c r="A3050" s="137"/>
      <c r="B3050" s="90"/>
      <c r="C3050" s="55"/>
      <c r="D3050" s="193"/>
      <c r="E3050" s="201"/>
      <c r="F3050" s="202"/>
      <c r="G3050" s="194"/>
      <c r="H3050" s="198"/>
      <c r="I3050" s="196"/>
      <c r="J3050" s="179" t="str">
        <f>IF(A3050="RAPPI",(VLOOKUP(TRIM(D3050), CATALOGO!F:G, 2, FALSE) * C3050)+I3050,IFERROR(IF(COUNTIF('RESTAURANTESDESCUENTOS 2026'!A:A,TRIM(A3050))&gt;0,((VLOOKUP(TRIM(D3050), CATALOGO!A:B, 2, FALSE) * C3050)*(1-VALUE(SUBSTITUTE(VLOOKUP(TRIM(A3050),'RESTAURANTESDESCUENTOS 2026'!A:B,2,FALSE),"%",""))/100)+I3050),(VLOOKUP(TRIM(D3050), CATALOGO!A:B, 2, FALSE) * C3050+I3050)),""))</f>
        <v/>
      </c>
      <c r="K3050" s="196"/>
      <c r="L3050" s="87"/>
      <c r="M3050" s="245"/>
      <c r="N3050" s="168"/>
    </row>
    <row r="3051" ht="22.5" hidden="1" customHeight="1">
      <c r="A3051" s="137"/>
      <c r="B3051" s="90"/>
      <c r="C3051" s="55"/>
      <c r="D3051" s="193"/>
      <c r="E3051" s="201"/>
      <c r="F3051" s="202"/>
      <c r="G3051" s="194"/>
      <c r="H3051" s="198"/>
      <c r="I3051" s="196"/>
      <c r="J3051" s="179" t="str">
        <f>IF(A3051="RAPPI",(VLOOKUP(TRIM(D3051), CATALOGO!F:G, 2, FALSE) * C3051)+I3051,IFERROR(IF(COUNTIF('RESTAURANTESDESCUENTOS 2026'!A:A,TRIM(A3051))&gt;0,((VLOOKUP(TRIM(D3051), CATALOGO!A:B, 2, FALSE) * C3051)*(1-VALUE(SUBSTITUTE(VLOOKUP(TRIM(A3051),'RESTAURANTESDESCUENTOS 2026'!A:B,2,FALSE),"%",""))/100)+I3051),(VLOOKUP(TRIM(D3051), CATALOGO!A:B, 2, FALSE) * C3051+I3051)),""))</f>
        <v/>
      </c>
      <c r="K3051" s="196"/>
      <c r="L3051" s="87"/>
      <c r="M3051" s="245"/>
      <c r="N3051" s="168"/>
    </row>
    <row r="3052" ht="22.5" hidden="1" customHeight="1">
      <c r="A3052" s="137"/>
      <c r="B3052" s="90"/>
      <c r="C3052" s="55"/>
      <c r="D3052" s="193"/>
      <c r="E3052" s="201"/>
      <c r="F3052" s="202"/>
      <c r="G3052" s="194"/>
      <c r="H3052" s="198"/>
      <c r="I3052" s="196"/>
      <c r="J3052" s="179" t="str">
        <f>IF(A3052="RAPPI",(VLOOKUP(TRIM(D3052), CATALOGO!F:G, 2, FALSE) * C3052)+I3052,IFERROR(IF(COUNTIF('RESTAURANTESDESCUENTOS 2026'!A:A,TRIM(A3052))&gt;0,((VLOOKUP(TRIM(D3052), CATALOGO!A:B, 2, FALSE) * C3052)*(1-VALUE(SUBSTITUTE(VLOOKUP(TRIM(A3052),'RESTAURANTESDESCUENTOS 2026'!A:B,2,FALSE),"%",""))/100)+I3052),(VLOOKUP(TRIM(D3052), CATALOGO!A:B, 2, FALSE) * C3052+I3052)),""))</f>
        <v/>
      </c>
      <c r="K3052" s="196"/>
      <c r="L3052" s="87"/>
      <c r="M3052" s="245"/>
      <c r="N3052" s="168"/>
    </row>
    <row r="3053" ht="22.5" hidden="1" customHeight="1">
      <c r="A3053" s="137"/>
      <c r="B3053" s="90"/>
      <c r="C3053" s="55"/>
      <c r="D3053" s="193"/>
      <c r="E3053" s="201"/>
      <c r="F3053" s="202"/>
      <c r="G3053" s="194"/>
      <c r="H3053" s="198"/>
      <c r="I3053" s="196"/>
      <c r="J3053" s="179" t="str">
        <f>IF(A3053="RAPPI",(VLOOKUP(TRIM(D3053), CATALOGO!F:G, 2, FALSE) * C3053)+I3053,IFERROR(IF(COUNTIF('RESTAURANTESDESCUENTOS 2026'!A:A,TRIM(A3053))&gt;0,((VLOOKUP(TRIM(D3053), CATALOGO!A:B, 2, FALSE) * C3053)*(1-VALUE(SUBSTITUTE(VLOOKUP(TRIM(A3053),'RESTAURANTESDESCUENTOS 2026'!A:B,2,FALSE),"%",""))/100)+I3053),(VLOOKUP(TRIM(D3053), CATALOGO!A:B, 2, FALSE) * C3053+I3053)),""))</f>
        <v/>
      </c>
      <c r="K3053" s="196"/>
      <c r="L3053" s="87"/>
      <c r="M3053" s="245"/>
      <c r="N3053" s="168"/>
    </row>
    <row r="3054" ht="22.5" hidden="1" customHeight="1">
      <c r="A3054" s="137"/>
      <c r="B3054" s="90"/>
      <c r="C3054" s="55"/>
      <c r="D3054" s="193"/>
      <c r="E3054" s="201"/>
      <c r="F3054" s="202"/>
      <c r="G3054" s="194"/>
      <c r="H3054" s="198"/>
      <c r="I3054" s="196"/>
      <c r="J3054" s="179" t="str">
        <f>IF(A3054="RAPPI",(VLOOKUP(TRIM(D3054), CATALOGO!F:G, 2, FALSE) * C3054)+I3054,IFERROR(IF(COUNTIF('RESTAURANTESDESCUENTOS 2026'!A:A,TRIM(A3054))&gt;0,((VLOOKUP(TRIM(D3054), CATALOGO!A:B, 2, FALSE) * C3054)*(1-VALUE(SUBSTITUTE(VLOOKUP(TRIM(A3054),'RESTAURANTESDESCUENTOS 2026'!A:B,2,FALSE),"%",""))/100)+I3054),(VLOOKUP(TRIM(D3054), CATALOGO!A:B, 2, FALSE) * C3054+I3054)),""))</f>
        <v/>
      </c>
      <c r="K3054" s="196"/>
      <c r="L3054" s="87"/>
      <c r="M3054" s="245"/>
      <c r="N3054" s="168"/>
    </row>
    <row r="3055" ht="22.5" hidden="1" customHeight="1">
      <c r="A3055" s="137"/>
      <c r="B3055" s="90"/>
      <c r="C3055" s="55"/>
      <c r="D3055" s="193"/>
      <c r="E3055" s="201"/>
      <c r="F3055" s="202"/>
      <c r="G3055" s="194"/>
      <c r="H3055" s="198"/>
      <c r="I3055" s="196"/>
      <c r="J3055" s="179" t="str">
        <f>IF(A3055="RAPPI",(VLOOKUP(TRIM(D3055), CATALOGO!F:G, 2, FALSE) * C3055)+I3055,IFERROR(IF(COUNTIF('RESTAURANTESDESCUENTOS 2026'!A:A,TRIM(A3055))&gt;0,((VLOOKUP(TRIM(D3055), CATALOGO!A:B, 2, FALSE) * C3055)*(1-VALUE(SUBSTITUTE(VLOOKUP(TRIM(A3055),'RESTAURANTESDESCUENTOS 2026'!A:B,2,FALSE),"%",""))/100)+I3055),(VLOOKUP(TRIM(D3055), CATALOGO!A:B, 2, FALSE) * C3055+I3055)),""))</f>
        <v/>
      </c>
      <c r="K3055" s="196"/>
      <c r="L3055" s="87"/>
      <c r="M3055" s="245"/>
      <c r="N3055" s="168"/>
    </row>
    <row r="3056" ht="22.5" hidden="1" customHeight="1">
      <c r="A3056" s="137"/>
      <c r="B3056" s="90"/>
      <c r="C3056" s="55"/>
      <c r="D3056" s="193"/>
      <c r="E3056" s="201"/>
      <c r="F3056" s="202"/>
      <c r="G3056" s="194"/>
      <c r="H3056" s="198"/>
      <c r="I3056" s="196"/>
      <c r="J3056" s="179" t="str">
        <f>IF(A3056="RAPPI",(VLOOKUP(TRIM(D3056), CATALOGO!F:G, 2, FALSE) * C3056)+I3056,IFERROR(IF(COUNTIF('RESTAURANTESDESCUENTOS 2026'!A:A,TRIM(A3056))&gt;0,((VLOOKUP(TRIM(D3056), CATALOGO!A:B, 2, FALSE) * C3056)*(1-VALUE(SUBSTITUTE(VLOOKUP(TRIM(A3056),'RESTAURANTESDESCUENTOS 2026'!A:B,2,FALSE),"%",""))/100)+I3056),(VLOOKUP(TRIM(D3056), CATALOGO!A:B, 2, FALSE) * C3056+I3056)),""))</f>
        <v/>
      </c>
      <c r="K3056" s="196"/>
      <c r="L3056" s="87"/>
      <c r="M3056" s="245"/>
      <c r="N3056" s="168"/>
    </row>
    <row r="3057" ht="22.5" hidden="1" customHeight="1">
      <c r="A3057" s="137"/>
      <c r="B3057" s="90"/>
      <c r="C3057" s="55"/>
      <c r="D3057" s="193"/>
      <c r="E3057" s="201"/>
      <c r="F3057" s="202"/>
      <c r="G3057" s="194"/>
      <c r="H3057" s="198"/>
      <c r="I3057" s="196"/>
      <c r="J3057" s="179" t="str">
        <f>IF(A3057="RAPPI",(VLOOKUP(TRIM(D3057), CATALOGO!F:G, 2, FALSE) * C3057)+I3057,IFERROR(IF(COUNTIF('RESTAURANTESDESCUENTOS 2026'!A:A,TRIM(A3057))&gt;0,((VLOOKUP(TRIM(D3057), CATALOGO!A:B, 2, FALSE) * C3057)*(1-VALUE(SUBSTITUTE(VLOOKUP(TRIM(A3057),'RESTAURANTESDESCUENTOS 2026'!A:B,2,FALSE),"%",""))/100)+I3057),(VLOOKUP(TRIM(D3057), CATALOGO!A:B, 2, FALSE) * C3057+I3057)),""))</f>
        <v/>
      </c>
      <c r="K3057" s="196"/>
      <c r="L3057" s="87"/>
      <c r="M3057" s="245"/>
      <c r="N3057" s="168"/>
    </row>
    <row r="3058" ht="22.5" hidden="1" customHeight="1">
      <c r="A3058" s="137"/>
      <c r="B3058" s="90"/>
      <c r="C3058" s="55"/>
      <c r="D3058" s="193"/>
      <c r="E3058" s="201"/>
      <c r="F3058" s="202"/>
      <c r="G3058" s="194"/>
      <c r="H3058" s="198"/>
      <c r="I3058" s="196"/>
      <c r="J3058" s="179" t="str">
        <f>IF(A3058="RAPPI",(VLOOKUP(TRIM(D3058), CATALOGO!F:G, 2, FALSE) * C3058)+I3058,IFERROR(IF(COUNTIF('RESTAURANTESDESCUENTOS 2026'!A:A,TRIM(A3058))&gt;0,((VLOOKUP(TRIM(D3058), CATALOGO!A:B, 2, FALSE) * C3058)*(1-VALUE(SUBSTITUTE(VLOOKUP(TRIM(A3058),'RESTAURANTESDESCUENTOS 2026'!A:B,2,FALSE),"%",""))/100)+I3058),(VLOOKUP(TRIM(D3058), CATALOGO!A:B, 2, FALSE) * C3058+I3058)),""))</f>
        <v/>
      </c>
      <c r="K3058" s="196"/>
      <c r="L3058" s="87"/>
      <c r="M3058" s="245"/>
      <c r="N3058" s="168"/>
    </row>
    <row r="3059" ht="22.5" hidden="1" customHeight="1">
      <c r="A3059" s="137"/>
      <c r="B3059" s="90"/>
      <c r="C3059" s="55"/>
      <c r="D3059" s="193"/>
      <c r="E3059" s="201"/>
      <c r="F3059" s="202"/>
      <c r="G3059" s="194"/>
      <c r="H3059" s="198"/>
      <c r="I3059" s="196"/>
      <c r="J3059" s="179" t="str">
        <f>IF(A3059="RAPPI",(VLOOKUP(TRIM(D3059), CATALOGO!F:G, 2, FALSE) * C3059)+I3059,IFERROR(IF(COUNTIF('RESTAURANTESDESCUENTOS 2026'!A:A,TRIM(A3059))&gt;0,((VLOOKUP(TRIM(D3059), CATALOGO!A:B, 2, FALSE) * C3059)*(1-VALUE(SUBSTITUTE(VLOOKUP(TRIM(A3059),'RESTAURANTESDESCUENTOS 2026'!A:B,2,FALSE),"%",""))/100)+I3059),(VLOOKUP(TRIM(D3059), CATALOGO!A:B, 2, FALSE) * C3059+I3059)),""))</f>
        <v/>
      </c>
      <c r="K3059" s="196"/>
      <c r="L3059" s="87"/>
      <c r="M3059" s="245"/>
      <c r="N3059" s="168"/>
    </row>
    <row r="3060" ht="22.5" hidden="1" customHeight="1">
      <c r="A3060" s="137"/>
      <c r="B3060" s="90"/>
      <c r="C3060" s="55"/>
      <c r="D3060" s="193"/>
      <c r="E3060" s="201"/>
      <c r="F3060" s="202"/>
      <c r="G3060" s="194"/>
      <c r="H3060" s="198"/>
      <c r="I3060" s="196"/>
      <c r="J3060" s="179" t="str">
        <f>IF(A3060="RAPPI",(VLOOKUP(TRIM(D3060), CATALOGO!F:G, 2, FALSE) * C3060)+I3060,IFERROR(IF(COUNTIF('RESTAURANTESDESCUENTOS 2026'!A:A,TRIM(A3060))&gt;0,((VLOOKUP(TRIM(D3060), CATALOGO!A:B, 2, FALSE) * C3060)*(1-VALUE(SUBSTITUTE(VLOOKUP(TRIM(A3060),'RESTAURANTESDESCUENTOS 2026'!A:B,2,FALSE),"%",""))/100)+I3060),(VLOOKUP(TRIM(D3060), CATALOGO!A:B, 2, FALSE) * C3060+I3060)),""))</f>
        <v/>
      </c>
      <c r="K3060" s="196"/>
      <c r="L3060" s="87"/>
      <c r="M3060" s="245"/>
      <c r="N3060" s="168"/>
    </row>
    <row r="3061" ht="22.5" hidden="1" customHeight="1">
      <c r="A3061" s="137"/>
      <c r="B3061" s="90"/>
      <c r="C3061" s="55"/>
      <c r="D3061" s="193"/>
      <c r="E3061" s="201"/>
      <c r="F3061" s="202"/>
      <c r="G3061" s="194"/>
      <c r="H3061" s="198"/>
      <c r="I3061" s="196"/>
      <c r="J3061" s="179" t="str">
        <f>IF(A3061="RAPPI",(VLOOKUP(TRIM(D3061), CATALOGO!F:G, 2, FALSE) * C3061)+I3061,IFERROR(IF(COUNTIF('RESTAURANTESDESCUENTOS 2026'!A:A,TRIM(A3061))&gt;0,((VLOOKUP(TRIM(D3061), CATALOGO!A:B, 2, FALSE) * C3061)*(1-VALUE(SUBSTITUTE(VLOOKUP(TRIM(A3061),'RESTAURANTESDESCUENTOS 2026'!A:B,2,FALSE),"%",""))/100)+I3061),(VLOOKUP(TRIM(D3061), CATALOGO!A:B, 2, FALSE) * C3061+I3061)),""))</f>
        <v/>
      </c>
      <c r="K3061" s="196"/>
      <c r="L3061" s="87"/>
      <c r="M3061" s="245"/>
      <c r="N3061" s="168"/>
    </row>
    <row r="3062" ht="22.5" hidden="1" customHeight="1">
      <c r="A3062" s="137"/>
      <c r="B3062" s="90"/>
      <c r="C3062" s="55"/>
      <c r="D3062" s="193"/>
      <c r="E3062" s="201"/>
      <c r="F3062" s="202"/>
      <c r="G3062" s="194"/>
      <c r="H3062" s="198"/>
      <c r="I3062" s="196"/>
      <c r="J3062" s="179" t="str">
        <f>IF(A3062="RAPPI",(VLOOKUP(TRIM(D3062), CATALOGO!F:G, 2, FALSE) * C3062)+I3062,IFERROR(IF(COUNTIF('RESTAURANTESDESCUENTOS 2026'!A:A,TRIM(A3062))&gt;0,((VLOOKUP(TRIM(D3062), CATALOGO!A:B, 2, FALSE) * C3062)*(1-VALUE(SUBSTITUTE(VLOOKUP(TRIM(A3062),'RESTAURANTESDESCUENTOS 2026'!A:B,2,FALSE),"%",""))/100)+I3062),(VLOOKUP(TRIM(D3062), CATALOGO!A:B, 2, FALSE) * C3062+I3062)),""))</f>
        <v/>
      </c>
      <c r="K3062" s="196"/>
      <c r="L3062" s="87"/>
      <c r="M3062" s="245"/>
      <c r="N3062" s="168"/>
    </row>
    <row r="3063" ht="22.5" hidden="1" customHeight="1">
      <c r="A3063" s="137"/>
      <c r="B3063" s="90"/>
      <c r="C3063" s="55"/>
      <c r="D3063" s="193"/>
      <c r="E3063" s="201"/>
      <c r="F3063" s="202"/>
      <c r="G3063" s="194"/>
      <c r="H3063" s="198"/>
      <c r="I3063" s="196"/>
      <c r="J3063" s="179" t="str">
        <f>IF(A3063="RAPPI",(VLOOKUP(TRIM(D3063), CATALOGO!F:G, 2, FALSE) * C3063)+I3063,IFERROR(IF(COUNTIF('RESTAURANTESDESCUENTOS 2026'!A:A,TRIM(A3063))&gt;0,((VLOOKUP(TRIM(D3063), CATALOGO!A:B, 2, FALSE) * C3063)*(1-VALUE(SUBSTITUTE(VLOOKUP(TRIM(A3063),'RESTAURANTESDESCUENTOS 2026'!A:B,2,FALSE),"%",""))/100)+I3063),(VLOOKUP(TRIM(D3063), CATALOGO!A:B, 2, FALSE) * C3063+I3063)),""))</f>
        <v/>
      </c>
      <c r="K3063" s="196"/>
      <c r="L3063" s="87"/>
      <c r="M3063" s="245"/>
      <c r="N3063" s="168"/>
    </row>
    <row r="3064" ht="22.5" hidden="1" customHeight="1">
      <c r="A3064" s="137"/>
      <c r="B3064" s="90"/>
      <c r="C3064" s="55"/>
      <c r="D3064" s="193"/>
      <c r="E3064" s="201"/>
      <c r="F3064" s="202"/>
      <c r="G3064" s="194"/>
      <c r="H3064" s="198"/>
      <c r="I3064" s="196"/>
      <c r="J3064" s="179" t="str">
        <f>IF(A3064="RAPPI",(VLOOKUP(TRIM(D3064), CATALOGO!F:G, 2, FALSE) * C3064)+I3064,IFERROR(IF(COUNTIF('RESTAURANTESDESCUENTOS 2026'!A:A,TRIM(A3064))&gt;0,((VLOOKUP(TRIM(D3064), CATALOGO!A:B, 2, FALSE) * C3064)*(1-VALUE(SUBSTITUTE(VLOOKUP(TRIM(A3064),'RESTAURANTESDESCUENTOS 2026'!A:B,2,FALSE),"%",""))/100)+I3064),(VLOOKUP(TRIM(D3064), CATALOGO!A:B, 2, FALSE) * C3064+I3064)),""))</f>
        <v/>
      </c>
      <c r="K3064" s="196"/>
      <c r="L3064" s="87"/>
      <c r="M3064" s="245"/>
      <c r="N3064" s="168"/>
    </row>
    <row r="3065" ht="22.5" hidden="1" customHeight="1">
      <c r="A3065" s="137"/>
      <c r="B3065" s="90"/>
      <c r="C3065" s="55"/>
      <c r="D3065" s="193"/>
      <c r="E3065" s="201"/>
      <c r="F3065" s="202"/>
      <c r="G3065" s="194"/>
      <c r="H3065" s="198"/>
      <c r="I3065" s="196"/>
      <c r="J3065" s="179" t="str">
        <f>IF(A3065="RAPPI",(VLOOKUP(TRIM(D3065), CATALOGO!F:G, 2, FALSE) * C3065)+I3065,IFERROR(IF(COUNTIF('RESTAURANTESDESCUENTOS 2026'!A:A,TRIM(A3065))&gt;0,((VLOOKUP(TRIM(D3065), CATALOGO!A:B, 2, FALSE) * C3065)*(1-VALUE(SUBSTITUTE(VLOOKUP(TRIM(A3065),'RESTAURANTESDESCUENTOS 2026'!A:B,2,FALSE),"%",""))/100)+I3065),(VLOOKUP(TRIM(D3065), CATALOGO!A:B, 2, FALSE) * C3065+I3065)),""))</f>
        <v/>
      </c>
      <c r="K3065" s="196"/>
      <c r="L3065" s="87"/>
      <c r="M3065" s="245"/>
      <c r="N3065" s="168"/>
    </row>
    <row r="3066" ht="22.5" hidden="1" customHeight="1">
      <c r="A3066" s="137"/>
      <c r="B3066" s="90"/>
      <c r="C3066" s="55"/>
      <c r="D3066" s="193"/>
      <c r="E3066" s="201"/>
      <c r="F3066" s="202"/>
      <c r="G3066" s="194"/>
      <c r="H3066" s="198"/>
      <c r="I3066" s="196"/>
      <c r="J3066" s="179" t="str">
        <f>IF(A3066="RAPPI",(VLOOKUP(TRIM(D3066), CATALOGO!F:G, 2, FALSE) * C3066)+I3066,IFERROR(IF(COUNTIF('RESTAURANTESDESCUENTOS 2026'!A:A,TRIM(A3066))&gt;0,((VLOOKUP(TRIM(D3066), CATALOGO!A:B, 2, FALSE) * C3066)*(1-VALUE(SUBSTITUTE(VLOOKUP(TRIM(A3066),'RESTAURANTESDESCUENTOS 2026'!A:B,2,FALSE),"%",""))/100)+I3066),(VLOOKUP(TRIM(D3066), CATALOGO!A:B, 2, FALSE) * C3066+I3066)),""))</f>
        <v/>
      </c>
      <c r="K3066" s="196"/>
      <c r="L3066" s="87"/>
      <c r="M3066" s="245"/>
      <c r="N3066" s="168"/>
    </row>
    <row r="3067" ht="22.5" hidden="1" customHeight="1">
      <c r="A3067" s="137"/>
      <c r="B3067" s="90"/>
      <c r="C3067" s="55"/>
      <c r="D3067" s="193"/>
      <c r="E3067" s="201"/>
      <c r="F3067" s="202"/>
      <c r="G3067" s="194"/>
      <c r="H3067" s="198"/>
      <c r="I3067" s="196"/>
      <c r="J3067" s="179" t="str">
        <f>IF(A3067="RAPPI",(VLOOKUP(TRIM(D3067), CATALOGO!F:G, 2, FALSE) * C3067)+I3067,IFERROR(IF(COUNTIF('RESTAURANTESDESCUENTOS 2026'!A:A,TRIM(A3067))&gt;0,((VLOOKUP(TRIM(D3067), CATALOGO!A:B, 2, FALSE) * C3067)*(1-VALUE(SUBSTITUTE(VLOOKUP(TRIM(A3067),'RESTAURANTESDESCUENTOS 2026'!A:B,2,FALSE),"%",""))/100)+I3067),(VLOOKUP(TRIM(D3067), CATALOGO!A:B, 2, FALSE) * C3067+I3067)),""))</f>
        <v/>
      </c>
      <c r="K3067" s="196"/>
      <c r="L3067" s="87"/>
      <c r="M3067" s="245"/>
      <c r="N3067" s="168"/>
    </row>
    <row r="3068" ht="22.5" hidden="1" customHeight="1">
      <c r="A3068" s="137"/>
      <c r="B3068" s="90"/>
      <c r="C3068" s="55"/>
      <c r="D3068" s="193"/>
      <c r="E3068" s="201"/>
      <c r="F3068" s="202"/>
      <c r="G3068" s="194"/>
      <c r="H3068" s="198"/>
      <c r="I3068" s="196"/>
      <c r="J3068" s="179" t="str">
        <f>IF(A3068="RAPPI",(VLOOKUP(TRIM(D3068), CATALOGO!F:G, 2, FALSE) * C3068)+I3068,IFERROR(IF(COUNTIF('RESTAURANTESDESCUENTOS 2026'!A:A,TRIM(A3068))&gt;0,((VLOOKUP(TRIM(D3068), CATALOGO!A:B, 2, FALSE) * C3068)*(1-VALUE(SUBSTITUTE(VLOOKUP(TRIM(A3068),'RESTAURANTESDESCUENTOS 2026'!A:B,2,FALSE),"%",""))/100)+I3068),(VLOOKUP(TRIM(D3068), CATALOGO!A:B, 2, FALSE) * C3068+I3068)),""))</f>
        <v/>
      </c>
      <c r="K3068" s="196"/>
      <c r="L3068" s="87"/>
      <c r="M3068" s="245"/>
      <c r="N3068" s="168"/>
    </row>
    <row r="3069" ht="22.5" hidden="1" customHeight="1">
      <c r="A3069" s="137"/>
      <c r="B3069" s="90"/>
      <c r="C3069" s="55"/>
      <c r="D3069" s="193"/>
      <c r="E3069" s="201"/>
      <c r="F3069" s="202"/>
      <c r="G3069" s="194"/>
      <c r="H3069" s="198"/>
      <c r="I3069" s="196"/>
      <c r="J3069" s="179" t="str">
        <f>IF(A3069="RAPPI",(VLOOKUP(TRIM(D3069), CATALOGO!F:G, 2, FALSE) * C3069)+I3069,IFERROR(IF(COUNTIF('RESTAURANTESDESCUENTOS 2026'!A:A,TRIM(A3069))&gt;0,((VLOOKUP(TRIM(D3069), CATALOGO!A:B, 2, FALSE) * C3069)*(1-VALUE(SUBSTITUTE(VLOOKUP(TRIM(A3069),'RESTAURANTESDESCUENTOS 2026'!A:B,2,FALSE),"%",""))/100)+I3069),(VLOOKUP(TRIM(D3069), CATALOGO!A:B, 2, FALSE) * C3069+I3069)),""))</f>
        <v/>
      </c>
      <c r="K3069" s="196"/>
      <c r="L3069" s="87"/>
      <c r="M3069" s="245"/>
      <c r="N3069" s="168"/>
    </row>
    <row r="3070" ht="22.5" hidden="1" customHeight="1">
      <c r="A3070" s="137"/>
      <c r="B3070" s="90"/>
      <c r="C3070" s="55"/>
      <c r="D3070" s="193"/>
      <c r="E3070" s="201"/>
      <c r="F3070" s="202"/>
      <c r="G3070" s="194"/>
      <c r="H3070" s="198"/>
      <c r="I3070" s="196"/>
      <c r="J3070" s="179" t="str">
        <f>IF(A3070="RAPPI",(VLOOKUP(TRIM(D3070), CATALOGO!F:G, 2, FALSE) * C3070)+I3070,IFERROR(IF(COUNTIF('RESTAURANTESDESCUENTOS 2026'!A:A,TRIM(A3070))&gt;0,((VLOOKUP(TRIM(D3070), CATALOGO!A:B, 2, FALSE) * C3070)*(1-VALUE(SUBSTITUTE(VLOOKUP(TRIM(A3070),'RESTAURANTESDESCUENTOS 2026'!A:B,2,FALSE),"%",""))/100)+I3070),(VLOOKUP(TRIM(D3070), CATALOGO!A:B, 2, FALSE) * C3070+I3070)),""))</f>
        <v/>
      </c>
      <c r="K3070" s="196"/>
      <c r="L3070" s="87"/>
      <c r="M3070" s="245"/>
      <c r="N3070" s="168"/>
    </row>
    <row r="3071" ht="22.5" hidden="1" customHeight="1">
      <c r="A3071" s="137"/>
      <c r="B3071" s="90"/>
      <c r="C3071" s="55"/>
      <c r="D3071" s="193"/>
      <c r="E3071" s="201"/>
      <c r="F3071" s="202"/>
      <c r="G3071" s="194"/>
      <c r="H3071" s="198"/>
      <c r="I3071" s="196"/>
      <c r="J3071" s="179" t="str">
        <f>IF(A3071="RAPPI",(VLOOKUP(TRIM(D3071), CATALOGO!F:G, 2, FALSE) * C3071)+I3071,IFERROR(IF(COUNTIF('RESTAURANTESDESCUENTOS 2026'!A:A,TRIM(A3071))&gt;0,((VLOOKUP(TRIM(D3071), CATALOGO!A:B, 2, FALSE) * C3071)*(1-VALUE(SUBSTITUTE(VLOOKUP(TRIM(A3071),'RESTAURANTESDESCUENTOS 2026'!A:B,2,FALSE),"%",""))/100)+I3071),(VLOOKUP(TRIM(D3071), CATALOGO!A:B, 2, FALSE) * C3071+I3071)),""))</f>
        <v/>
      </c>
      <c r="K3071" s="196"/>
      <c r="L3071" s="87"/>
      <c r="M3071" s="245"/>
      <c r="N3071" s="168"/>
    </row>
    <row r="3072" ht="22.5" hidden="1" customHeight="1">
      <c r="A3072" s="137"/>
      <c r="B3072" s="90"/>
      <c r="C3072" s="55"/>
      <c r="D3072" s="193"/>
      <c r="E3072" s="201"/>
      <c r="F3072" s="202"/>
      <c r="G3072" s="194"/>
      <c r="H3072" s="198"/>
      <c r="I3072" s="196"/>
      <c r="J3072" s="179" t="str">
        <f>IF(A3072="RAPPI",(VLOOKUP(TRIM(D3072), CATALOGO!F:G, 2, FALSE) * C3072)+I3072,IFERROR(IF(COUNTIF('RESTAURANTESDESCUENTOS 2026'!A:A,TRIM(A3072))&gt;0,((VLOOKUP(TRIM(D3072), CATALOGO!A:B, 2, FALSE) * C3072)*(1-VALUE(SUBSTITUTE(VLOOKUP(TRIM(A3072),'RESTAURANTESDESCUENTOS 2026'!A:B,2,FALSE),"%",""))/100)+I3072),(VLOOKUP(TRIM(D3072), CATALOGO!A:B, 2, FALSE) * C3072+I3072)),""))</f>
        <v/>
      </c>
      <c r="K3072" s="196"/>
      <c r="L3072" s="87"/>
      <c r="M3072" s="245"/>
      <c r="N3072" s="168"/>
    </row>
    <row r="3073" ht="22.5" hidden="1" customHeight="1">
      <c r="A3073" s="137"/>
      <c r="B3073" s="90"/>
      <c r="C3073" s="55"/>
      <c r="D3073" s="193"/>
      <c r="E3073" s="201"/>
      <c r="F3073" s="202"/>
      <c r="G3073" s="194"/>
      <c r="H3073" s="198"/>
      <c r="I3073" s="196"/>
      <c r="J3073" s="179" t="str">
        <f>IF(A3073="RAPPI",(VLOOKUP(TRIM(D3073), CATALOGO!F:G, 2, FALSE) * C3073)+I3073,IFERROR(IF(COUNTIF('RESTAURANTESDESCUENTOS 2026'!A:A,TRIM(A3073))&gt;0,((VLOOKUP(TRIM(D3073), CATALOGO!A:B, 2, FALSE) * C3073)*(1-VALUE(SUBSTITUTE(VLOOKUP(TRIM(A3073),'RESTAURANTESDESCUENTOS 2026'!A:B,2,FALSE),"%",""))/100)+I3073),(VLOOKUP(TRIM(D3073), CATALOGO!A:B, 2, FALSE) * C3073+I3073)),""))</f>
        <v/>
      </c>
      <c r="K3073" s="196"/>
      <c r="L3073" s="87"/>
      <c r="M3073" s="245"/>
      <c r="N3073" s="168"/>
    </row>
    <row r="3074" ht="22.5" hidden="1" customHeight="1">
      <c r="A3074" s="137"/>
      <c r="B3074" s="90"/>
      <c r="C3074" s="55"/>
      <c r="D3074" s="193"/>
      <c r="E3074" s="201"/>
      <c r="F3074" s="202"/>
      <c r="G3074" s="194"/>
      <c r="H3074" s="198"/>
      <c r="I3074" s="196"/>
      <c r="J3074" s="179" t="str">
        <f>IF(A3074="RAPPI",(VLOOKUP(TRIM(D3074), CATALOGO!F:G, 2, FALSE) * C3074)+I3074,IFERROR(IF(COUNTIF('RESTAURANTESDESCUENTOS 2026'!A:A,TRIM(A3074))&gt;0,((VLOOKUP(TRIM(D3074), CATALOGO!A:B, 2, FALSE) * C3074)*(1-VALUE(SUBSTITUTE(VLOOKUP(TRIM(A3074),'RESTAURANTESDESCUENTOS 2026'!A:B,2,FALSE),"%",""))/100)+I3074),(VLOOKUP(TRIM(D3074), CATALOGO!A:B, 2, FALSE) * C3074+I3074)),""))</f>
        <v/>
      </c>
      <c r="K3074" s="196"/>
      <c r="L3074" s="87"/>
      <c r="M3074" s="245"/>
      <c r="N3074" s="168"/>
    </row>
    <row r="3075" ht="22.5" hidden="1" customHeight="1">
      <c r="A3075" s="137"/>
      <c r="B3075" s="90"/>
      <c r="C3075" s="55"/>
      <c r="D3075" s="193"/>
      <c r="E3075" s="201"/>
      <c r="F3075" s="202"/>
      <c r="G3075" s="194"/>
      <c r="H3075" s="198"/>
      <c r="I3075" s="196"/>
      <c r="J3075" s="179" t="str">
        <f>IF(A3075="RAPPI",(VLOOKUP(TRIM(D3075), CATALOGO!F:G, 2, FALSE) * C3075)+I3075,IFERROR(IF(COUNTIF('RESTAURANTESDESCUENTOS 2026'!A:A,TRIM(A3075))&gt;0,((VLOOKUP(TRIM(D3075), CATALOGO!A:B, 2, FALSE) * C3075)*(1-VALUE(SUBSTITUTE(VLOOKUP(TRIM(A3075),'RESTAURANTESDESCUENTOS 2026'!A:B,2,FALSE),"%",""))/100)+I3075),(VLOOKUP(TRIM(D3075), CATALOGO!A:B, 2, FALSE) * C3075+I3075)),""))</f>
        <v/>
      </c>
      <c r="K3075" s="196"/>
      <c r="L3075" s="87"/>
      <c r="M3075" s="245"/>
      <c r="N3075" s="168"/>
    </row>
    <row r="3076" ht="22.5" hidden="1" customHeight="1">
      <c r="A3076" s="137"/>
      <c r="B3076" s="90"/>
      <c r="C3076" s="55"/>
      <c r="D3076" s="193"/>
      <c r="E3076" s="201"/>
      <c r="F3076" s="202"/>
      <c r="G3076" s="194"/>
      <c r="H3076" s="198"/>
      <c r="I3076" s="196"/>
      <c r="J3076" s="179" t="str">
        <f>IF(A3076="RAPPI",(VLOOKUP(TRIM(D3076), CATALOGO!F:G, 2, FALSE) * C3076)+I3076,IFERROR(IF(COUNTIF('RESTAURANTESDESCUENTOS 2026'!A:A,TRIM(A3076))&gt;0,((VLOOKUP(TRIM(D3076), CATALOGO!A:B, 2, FALSE) * C3076)*(1-VALUE(SUBSTITUTE(VLOOKUP(TRIM(A3076),'RESTAURANTESDESCUENTOS 2026'!A:B,2,FALSE),"%",""))/100)+I3076),(VLOOKUP(TRIM(D3076), CATALOGO!A:B, 2, FALSE) * C3076+I3076)),""))</f>
        <v/>
      </c>
      <c r="K3076" s="196"/>
      <c r="L3076" s="87"/>
      <c r="M3076" s="245"/>
      <c r="N3076" s="168"/>
    </row>
    <row r="3077" ht="22.5" hidden="1" customHeight="1">
      <c r="A3077" s="137"/>
      <c r="B3077" s="90"/>
      <c r="C3077" s="55"/>
      <c r="D3077" s="193"/>
      <c r="E3077" s="201"/>
      <c r="F3077" s="202"/>
      <c r="G3077" s="194"/>
      <c r="H3077" s="198"/>
      <c r="I3077" s="196"/>
      <c r="J3077" s="179" t="str">
        <f>IF(A3077="RAPPI",(VLOOKUP(TRIM(D3077), CATALOGO!F:G, 2, FALSE) * C3077)+I3077,IFERROR(IF(COUNTIF('RESTAURANTESDESCUENTOS 2026'!A:A,TRIM(A3077))&gt;0,((VLOOKUP(TRIM(D3077), CATALOGO!A:B, 2, FALSE) * C3077)*(1-VALUE(SUBSTITUTE(VLOOKUP(TRIM(A3077),'RESTAURANTESDESCUENTOS 2026'!A:B,2,FALSE),"%",""))/100)+I3077),(VLOOKUP(TRIM(D3077), CATALOGO!A:B, 2, FALSE) * C3077+I3077)),""))</f>
        <v/>
      </c>
      <c r="K3077" s="196"/>
      <c r="L3077" s="87"/>
      <c r="M3077" s="245"/>
      <c r="N3077" s="168"/>
    </row>
    <row r="3078" ht="22.5" hidden="1" customHeight="1">
      <c r="A3078" s="137"/>
      <c r="B3078" s="90"/>
      <c r="C3078" s="55"/>
      <c r="D3078" s="193"/>
      <c r="E3078" s="201"/>
      <c r="F3078" s="202"/>
      <c r="G3078" s="194"/>
      <c r="H3078" s="198"/>
      <c r="I3078" s="196"/>
      <c r="J3078" s="179" t="str">
        <f>IF(A3078="RAPPI",(VLOOKUP(TRIM(D3078), CATALOGO!F:G, 2, FALSE) * C3078)+I3078,IFERROR(IF(COUNTIF('RESTAURANTESDESCUENTOS 2026'!A:A,TRIM(A3078))&gt;0,((VLOOKUP(TRIM(D3078), CATALOGO!A:B, 2, FALSE) * C3078)*(1-VALUE(SUBSTITUTE(VLOOKUP(TRIM(A3078),'RESTAURANTESDESCUENTOS 2026'!A:B,2,FALSE),"%",""))/100)+I3078),(VLOOKUP(TRIM(D3078), CATALOGO!A:B, 2, FALSE) * C3078+I3078)),""))</f>
        <v/>
      </c>
      <c r="K3078" s="196"/>
      <c r="L3078" s="87"/>
      <c r="M3078" s="245"/>
      <c r="N3078" s="168"/>
    </row>
    <row r="3079" ht="22.5" hidden="1" customHeight="1">
      <c r="A3079" s="137"/>
      <c r="B3079" s="90"/>
      <c r="C3079" s="55"/>
      <c r="D3079" s="193"/>
      <c r="E3079" s="201"/>
      <c r="F3079" s="202"/>
      <c r="G3079" s="194"/>
      <c r="H3079" s="198"/>
      <c r="I3079" s="196"/>
      <c r="J3079" s="179" t="str">
        <f>IF(A3079="RAPPI",(VLOOKUP(TRIM(D3079), CATALOGO!F:G, 2, FALSE) * C3079)+I3079,IFERROR(IF(COUNTIF('RESTAURANTESDESCUENTOS 2026'!A:A,TRIM(A3079))&gt;0,((VLOOKUP(TRIM(D3079), CATALOGO!A:B, 2, FALSE) * C3079)*(1-VALUE(SUBSTITUTE(VLOOKUP(TRIM(A3079),'RESTAURANTESDESCUENTOS 2026'!A:B,2,FALSE),"%",""))/100)+I3079),(VLOOKUP(TRIM(D3079), CATALOGO!A:B, 2, FALSE) * C3079+I3079)),""))</f>
        <v/>
      </c>
      <c r="K3079" s="196"/>
      <c r="L3079" s="87"/>
      <c r="M3079" s="245"/>
      <c r="N3079" s="168"/>
    </row>
    <row r="3080" ht="22.5" hidden="1" customHeight="1">
      <c r="A3080" s="137"/>
      <c r="B3080" s="90"/>
      <c r="C3080" s="55"/>
      <c r="D3080" s="193"/>
      <c r="E3080" s="201"/>
      <c r="F3080" s="202"/>
      <c r="G3080" s="194"/>
      <c r="H3080" s="198"/>
      <c r="I3080" s="196"/>
      <c r="J3080" s="179" t="str">
        <f>IF(A3080="RAPPI",(VLOOKUP(TRIM(D3080), CATALOGO!F:G, 2, FALSE) * C3080)+I3080,IFERROR(IF(COUNTIF('RESTAURANTESDESCUENTOS 2026'!A:A,TRIM(A3080))&gt;0,((VLOOKUP(TRIM(D3080), CATALOGO!A:B, 2, FALSE) * C3080)*(1-VALUE(SUBSTITUTE(VLOOKUP(TRIM(A3080),'RESTAURANTESDESCUENTOS 2026'!A:B,2,FALSE),"%",""))/100)+I3080),(VLOOKUP(TRIM(D3080), CATALOGO!A:B, 2, FALSE) * C3080+I3080)),""))</f>
        <v/>
      </c>
      <c r="K3080" s="196"/>
      <c r="L3080" s="87"/>
      <c r="M3080" s="245"/>
      <c r="N3080" s="168"/>
    </row>
    <row r="3081" ht="22.5" hidden="1" customHeight="1">
      <c r="A3081" s="137"/>
      <c r="B3081" s="90"/>
      <c r="C3081" s="55"/>
      <c r="D3081" s="193"/>
      <c r="E3081" s="201"/>
      <c r="F3081" s="202"/>
      <c r="G3081" s="194"/>
      <c r="H3081" s="198"/>
      <c r="I3081" s="196"/>
      <c r="J3081" s="179" t="str">
        <f>IF(A3081="RAPPI",(VLOOKUP(TRIM(D3081), CATALOGO!F:G, 2, FALSE) * C3081)+I3081,IFERROR(IF(COUNTIF('RESTAURANTESDESCUENTOS 2026'!A:A,TRIM(A3081))&gt;0,((VLOOKUP(TRIM(D3081), CATALOGO!A:B, 2, FALSE) * C3081)*(1-VALUE(SUBSTITUTE(VLOOKUP(TRIM(A3081),'RESTAURANTESDESCUENTOS 2026'!A:B,2,FALSE),"%",""))/100)+I3081),(VLOOKUP(TRIM(D3081), CATALOGO!A:B, 2, FALSE) * C3081+I3081)),""))</f>
        <v/>
      </c>
      <c r="K3081" s="196"/>
      <c r="L3081" s="87"/>
      <c r="M3081" s="245"/>
      <c r="N3081" s="168"/>
    </row>
    <row r="3082" ht="22.5" hidden="1" customHeight="1">
      <c r="A3082" s="137"/>
      <c r="B3082" s="90"/>
      <c r="C3082" s="55"/>
      <c r="D3082" s="193"/>
      <c r="E3082" s="201"/>
      <c r="F3082" s="202"/>
      <c r="G3082" s="194"/>
      <c r="H3082" s="198"/>
      <c r="I3082" s="196"/>
      <c r="J3082" s="179" t="str">
        <f>IF(A3082="RAPPI",(VLOOKUP(TRIM(D3082), CATALOGO!F:G, 2, FALSE) * C3082)+I3082,IFERROR(IF(COUNTIF('RESTAURANTESDESCUENTOS 2026'!A:A,TRIM(A3082))&gt;0,((VLOOKUP(TRIM(D3082), CATALOGO!A:B, 2, FALSE) * C3082)*(1-VALUE(SUBSTITUTE(VLOOKUP(TRIM(A3082),'RESTAURANTESDESCUENTOS 2026'!A:B,2,FALSE),"%",""))/100)+I3082),(VLOOKUP(TRIM(D3082), CATALOGO!A:B, 2, FALSE) * C3082+I3082)),""))</f>
        <v/>
      </c>
      <c r="K3082" s="196"/>
      <c r="L3082" s="87"/>
      <c r="M3082" s="245"/>
      <c r="N3082" s="168"/>
    </row>
    <row r="3083" ht="22.5" hidden="1" customHeight="1">
      <c r="A3083" s="137"/>
      <c r="B3083" s="90"/>
      <c r="C3083" s="55"/>
      <c r="D3083" s="193"/>
      <c r="E3083" s="201"/>
      <c r="F3083" s="202"/>
      <c r="G3083" s="194"/>
      <c r="H3083" s="198"/>
      <c r="I3083" s="196"/>
      <c r="J3083" s="179" t="str">
        <f>IF(A3083="RAPPI",(VLOOKUP(TRIM(D3083), CATALOGO!F:G, 2, FALSE) * C3083)+I3083,IFERROR(IF(COUNTIF('RESTAURANTESDESCUENTOS 2026'!A:A,TRIM(A3083))&gt;0,((VLOOKUP(TRIM(D3083), CATALOGO!A:B, 2, FALSE) * C3083)*(1-VALUE(SUBSTITUTE(VLOOKUP(TRIM(A3083),'RESTAURANTESDESCUENTOS 2026'!A:B,2,FALSE),"%",""))/100)+I3083),(VLOOKUP(TRIM(D3083), CATALOGO!A:B, 2, FALSE) * C3083+I3083)),""))</f>
        <v/>
      </c>
      <c r="K3083" s="196"/>
      <c r="L3083" s="87"/>
      <c r="M3083" s="245"/>
      <c r="N3083" s="168"/>
    </row>
    <row r="3084" ht="22.5" hidden="1" customHeight="1">
      <c r="A3084" s="137"/>
      <c r="B3084" s="90"/>
      <c r="C3084" s="55"/>
      <c r="D3084" s="193"/>
      <c r="E3084" s="201"/>
      <c r="F3084" s="202"/>
      <c r="G3084" s="194"/>
      <c r="H3084" s="198"/>
      <c r="I3084" s="196"/>
      <c r="J3084" s="179" t="str">
        <f>IF(A3084="RAPPI",(VLOOKUP(TRIM(D3084), CATALOGO!F:G, 2, FALSE) * C3084)+I3084,IFERROR(IF(COUNTIF('RESTAURANTESDESCUENTOS 2026'!A:A,TRIM(A3084))&gt;0,((VLOOKUP(TRIM(D3084), CATALOGO!A:B, 2, FALSE) * C3084)*(1-VALUE(SUBSTITUTE(VLOOKUP(TRIM(A3084),'RESTAURANTESDESCUENTOS 2026'!A:B,2,FALSE),"%",""))/100)+I3084),(VLOOKUP(TRIM(D3084), CATALOGO!A:B, 2, FALSE) * C3084+I3084)),""))</f>
        <v/>
      </c>
      <c r="K3084" s="196"/>
      <c r="L3084" s="87"/>
      <c r="M3084" s="245"/>
      <c r="N3084" s="168"/>
    </row>
    <row r="3085" ht="22.5" hidden="1" customHeight="1">
      <c r="A3085" s="137"/>
      <c r="B3085" s="90"/>
      <c r="C3085" s="55"/>
      <c r="D3085" s="193"/>
      <c r="E3085" s="201"/>
      <c r="F3085" s="202"/>
      <c r="G3085" s="194"/>
      <c r="H3085" s="198"/>
      <c r="I3085" s="196"/>
      <c r="J3085" s="179" t="str">
        <f>IF(A3085="RAPPI",(VLOOKUP(TRIM(D3085), CATALOGO!F:G, 2, FALSE) * C3085)+I3085,IFERROR(IF(COUNTIF('RESTAURANTESDESCUENTOS 2026'!A:A,TRIM(A3085))&gt;0,((VLOOKUP(TRIM(D3085), CATALOGO!A:B, 2, FALSE) * C3085)*(1-VALUE(SUBSTITUTE(VLOOKUP(TRIM(A3085),'RESTAURANTESDESCUENTOS 2026'!A:B,2,FALSE),"%",""))/100)+I3085),(VLOOKUP(TRIM(D3085), CATALOGO!A:B, 2, FALSE) * C3085+I3085)),""))</f>
        <v/>
      </c>
      <c r="K3085" s="196"/>
      <c r="L3085" s="87"/>
      <c r="M3085" s="245"/>
      <c r="N3085" s="168"/>
    </row>
    <row r="3086" ht="22.5" hidden="1" customHeight="1">
      <c r="A3086" s="137"/>
      <c r="B3086" s="90"/>
      <c r="C3086" s="55"/>
      <c r="D3086" s="193"/>
      <c r="E3086" s="201"/>
      <c r="F3086" s="202"/>
      <c r="G3086" s="194"/>
      <c r="H3086" s="198"/>
      <c r="I3086" s="196"/>
      <c r="J3086" s="179" t="str">
        <f>IF(A3086="RAPPI",(VLOOKUP(TRIM(D3086), CATALOGO!F:G, 2, FALSE) * C3086)+I3086,IFERROR(IF(COUNTIF('RESTAURANTESDESCUENTOS 2026'!A:A,TRIM(A3086))&gt;0,((VLOOKUP(TRIM(D3086), CATALOGO!A:B, 2, FALSE) * C3086)*(1-VALUE(SUBSTITUTE(VLOOKUP(TRIM(A3086),'RESTAURANTESDESCUENTOS 2026'!A:B,2,FALSE),"%",""))/100)+I3086),(VLOOKUP(TRIM(D3086), CATALOGO!A:B, 2, FALSE) * C3086+I3086)),""))</f>
        <v/>
      </c>
      <c r="K3086" s="196"/>
      <c r="L3086" s="87"/>
      <c r="M3086" s="245"/>
      <c r="N3086" s="168"/>
    </row>
    <row r="3087" ht="22.5" hidden="1" customHeight="1">
      <c r="A3087" s="137"/>
      <c r="B3087" s="90"/>
      <c r="C3087" s="55"/>
      <c r="D3087" s="193"/>
      <c r="E3087" s="201"/>
      <c r="F3087" s="202"/>
      <c r="G3087" s="194"/>
      <c r="H3087" s="198"/>
      <c r="I3087" s="196"/>
      <c r="J3087" s="179" t="str">
        <f>IF(A3087="RAPPI",(VLOOKUP(TRIM(D3087), CATALOGO!F:G, 2, FALSE) * C3087)+I3087,IFERROR(IF(COUNTIF('RESTAURANTESDESCUENTOS 2026'!A:A,TRIM(A3087))&gt;0,((VLOOKUP(TRIM(D3087), CATALOGO!A:B, 2, FALSE) * C3087)*(1-VALUE(SUBSTITUTE(VLOOKUP(TRIM(A3087),'RESTAURANTESDESCUENTOS 2026'!A:B,2,FALSE),"%",""))/100)+I3087),(VLOOKUP(TRIM(D3087), CATALOGO!A:B, 2, FALSE) * C3087+I3087)),""))</f>
        <v/>
      </c>
      <c r="K3087" s="196"/>
      <c r="L3087" s="87"/>
      <c r="M3087" s="245"/>
      <c r="N3087" s="168"/>
    </row>
    <row r="3088" ht="22.5" hidden="1" customHeight="1">
      <c r="A3088" s="137"/>
      <c r="B3088" s="90"/>
      <c r="C3088" s="55"/>
      <c r="D3088" s="193"/>
      <c r="E3088" s="201"/>
      <c r="F3088" s="202"/>
      <c r="G3088" s="194"/>
      <c r="H3088" s="198"/>
      <c r="I3088" s="196"/>
      <c r="J3088" s="179" t="str">
        <f>IF(A3088="RAPPI",(VLOOKUP(TRIM(D3088), CATALOGO!F:G, 2, FALSE) * C3088)+I3088,IFERROR(IF(COUNTIF('RESTAURANTESDESCUENTOS 2026'!A:A,TRIM(A3088))&gt;0,((VLOOKUP(TRIM(D3088), CATALOGO!A:B, 2, FALSE) * C3088)*(1-VALUE(SUBSTITUTE(VLOOKUP(TRIM(A3088),'RESTAURANTESDESCUENTOS 2026'!A:B,2,FALSE),"%",""))/100)+I3088),(VLOOKUP(TRIM(D3088), CATALOGO!A:B, 2, FALSE) * C3088+I3088)),""))</f>
        <v/>
      </c>
      <c r="K3088" s="196"/>
      <c r="L3088" s="87"/>
      <c r="M3088" s="245"/>
      <c r="N3088" s="168"/>
    </row>
    <row r="3089" ht="22.5" hidden="1" customHeight="1">
      <c r="A3089" s="137"/>
      <c r="B3089" s="90"/>
      <c r="C3089" s="55"/>
      <c r="D3089" s="193"/>
      <c r="E3089" s="201"/>
      <c r="F3089" s="202"/>
      <c r="G3089" s="194"/>
      <c r="H3089" s="198"/>
      <c r="I3089" s="196"/>
      <c r="J3089" s="179" t="str">
        <f>IF(A3089="RAPPI",(VLOOKUP(TRIM(D3089), CATALOGO!F:G, 2, FALSE) * C3089)+I3089,IFERROR(IF(COUNTIF('RESTAURANTESDESCUENTOS 2026'!A:A,TRIM(A3089))&gt;0,((VLOOKUP(TRIM(D3089), CATALOGO!A:B, 2, FALSE) * C3089)*(1-VALUE(SUBSTITUTE(VLOOKUP(TRIM(A3089),'RESTAURANTESDESCUENTOS 2026'!A:B,2,FALSE),"%",""))/100)+I3089),(VLOOKUP(TRIM(D3089), CATALOGO!A:B, 2, FALSE) * C3089+I3089)),""))</f>
        <v/>
      </c>
      <c r="K3089" s="196"/>
      <c r="L3089" s="87"/>
      <c r="M3089" s="245"/>
      <c r="N3089" s="168"/>
    </row>
    <row r="3090" ht="22.5" hidden="1" customHeight="1">
      <c r="A3090" s="137"/>
      <c r="B3090" s="90"/>
      <c r="C3090" s="55"/>
      <c r="D3090" s="193"/>
      <c r="E3090" s="201"/>
      <c r="F3090" s="202"/>
      <c r="G3090" s="194"/>
      <c r="H3090" s="198"/>
      <c r="I3090" s="196"/>
      <c r="J3090" s="179" t="str">
        <f>IF(A3090="RAPPI",(VLOOKUP(TRIM(D3090), CATALOGO!F:G, 2, FALSE) * C3090)+I3090,IFERROR(IF(COUNTIF('RESTAURANTESDESCUENTOS 2026'!A:A,TRIM(A3090))&gt;0,((VLOOKUP(TRIM(D3090), CATALOGO!A:B, 2, FALSE) * C3090)*(1-VALUE(SUBSTITUTE(VLOOKUP(TRIM(A3090),'RESTAURANTESDESCUENTOS 2026'!A:B,2,FALSE),"%",""))/100)+I3090),(VLOOKUP(TRIM(D3090), CATALOGO!A:B, 2, FALSE) * C3090+I3090)),""))</f>
        <v/>
      </c>
      <c r="K3090" s="196"/>
      <c r="L3090" s="87"/>
      <c r="M3090" s="245"/>
      <c r="N3090" s="168"/>
    </row>
    <row r="3091" ht="22.5" hidden="1" customHeight="1">
      <c r="A3091" s="137"/>
      <c r="B3091" s="90"/>
      <c r="C3091" s="55"/>
      <c r="D3091" s="193"/>
      <c r="E3091" s="201"/>
      <c r="F3091" s="202"/>
      <c r="G3091" s="194"/>
      <c r="H3091" s="198"/>
      <c r="I3091" s="196"/>
      <c r="J3091" s="179" t="str">
        <f>IF(A3091="RAPPI",(VLOOKUP(TRIM(D3091), CATALOGO!F:G, 2, FALSE) * C3091)+I3091,IFERROR(IF(COUNTIF('RESTAURANTESDESCUENTOS 2026'!A:A,TRIM(A3091))&gt;0,((VLOOKUP(TRIM(D3091), CATALOGO!A:B, 2, FALSE) * C3091)*(1-VALUE(SUBSTITUTE(VLOOKUP(TRIM(A3091),'RESTAURANTESDESCUENTOS 2026'!A:B,2,FALSE),"%",""))/100)+I3091),(VLOOKUP(TRIM(D3091), CATALOGO!A:B, 2, FALSE) * C3091+I3091)),""))</f>
        <v/>
      </c>
      <c r="K3091" s="196"/>
      <c r="L3091" s="87"/>
      <c r="M3091" s="245"/>
      <c r="N3091" s="168"/>
    </row>
    <row r="3092" ht="22.5" hidden="1" customHeight="1">
      <c r="A3092" s="137"/>
      <c r="B3092" s="90"/>
      <c r="C3092" s="55"/>
      <c r="D3092" s="193"/>
      <c r="E3092" s="201"/>
      <c r="F3092" s="202"/>
      <c r="G3092" s="194"/>
      <c r="H3092" s="198"/>
      <c r="I3092" s="196"/>
      <c r="J3092" s="179" t="str">
        <f>IF(A3092="RAPPI",(VLOOKUP(TRIM(D3092), CATALOGO!F:G, 2, FALSE) * C3092)+I3092,IFERROR(IF(COUNTIF('RESTAURANTESDESCUENTOS 2026'!A:A,TRIM(A3092))&gt;0,((VLOOKUP(TRIM(D3092), CATALOGO!A:B, 2, FALSE) * C3092)*(1-VALUE(SUBSTITUTE(VLOOKUP(TRIM(A3092),'RESTAURANTESDESCUENTOS 2026'!A:B,2,FALSE),"%",""))/100)+I3092),(VLOOKUP(TRIM(D3092), CATALOGO!A:B, 2, FALSE) * C3092+I3092)),""))</f>
        <v/>
      </c>
      <c r="K3092" s="196"/>
      <c r="L3092" s="87"/>
      <c r="M3092" s="245"/>
      <c r="N3092" s="168"/>
    </row>
    <row r="3093" ht="22.5" hidden="1" customHeight="1">
      <c r="A3093" s="137"/>
      <c r="B3093" s="90"/>
      <c r="C3093" s="55"/>
      <c r="D3093" s="193"/>
      <c r="E3093" s="201"/>
      <c r="F3093" s="202"/>
      <c r="G3093" s="194"/>
      <c r="H3093" s="198"/>
      <c r="I3093" s="196"/>
      <c r="J3093" s="179" t="str">
        <f>IF(A3093="RAPPI",(VLOOKUP(TRIM(D3093), CATALOGO!F:G, 2, FALSE) * C3093)+I3093,IFERROR(IF(COUNTIF('RESTAURANTESDESCUENTOS 2026'!A:A,TRIM(A3093))&gt;0,((VLOOKUP(TRIM(D3093), CATALOGO!A:B, 2, FALSE) * C3093)*(1-VALUE(SUBSTITUTE(VLOOKUP(TRIM(A3093),'RESTAURANTESDESCUENTOS 2026'!A:B,2,FALSE),"%",""))/100)+I3093),(VLOOKUP(TRIM(D3093), CATALOGO!A:B, 2, FALSE) * C3093+I3093)),""))</f>
        <v/>
      </c>
      <c r="K3093" s="196"/>
      <c r="L3093" s="87"/>
      <c r="M3093" s="245"/>
      <c r="N3093" s="168"/>
    </row>
    <row r="3094" ht="22.5" hidden="1" customHeight="1">
      <c r="A3094" s="137"/>
      <c r="B3094" s="90"/>
      <c r="C3094" s="55"/>
      <c r="D3094" s="193"/>
      <c r="E3094" s="201"/>
      <c r="F3094" s="202"/>
      <c r="G3094" s="194"/>
      <c r="H3094" s="198"/>
      <c r="I3094" s="196"/>
      <c r="J3094" s="179" t="str">
        <f>IF(A3094="RAPPI",(VLOOKUP(TRIM(D3094), CATALOGO!F:G, 2, FALSE) * C3094)+I3094,IFERROR(IF(COUNTIF('RESTAURANTESDESCUENTOS 2026'!A:A,TRIM(A3094))&gt;0,((VLOOKUP(TRIM(D3094), CATALOGO!A:B, 2, FALSE) * C3094)*(1-VALUE(SUBSTITUTE(VLOOKUP(TRIM(A3094),'RESTAURANTESDESCUENTOS 2026'!A:B,2,FALSE),"%",""))/100)+I3094),(VLOOKUP(TRIM(D3094), CATALOGO!A:B, 2, FALSE) * C3094+I3094)),""))</f>
        <v/>
      </c>
      <c r="K3094" s="196"/>
      <c r="L3094" s="87"/>
      <c r="M3094" s="245"/>
      <c r="N3094" s="168"/>
    </row>
    <row r="3095" ht="22.5" hidden="1" customHeight="1">
      <c r="A3095" s="137"/>
      <c r="B3095" s="90"/>
      <c r="C3095" s="55"/>
      <c r="D3095" s="193"/>
      <c r="E3095" s="201"/>
      <c r="F3095" s="202"/>
      <c r="G3095" s="194"/>
      <c r="H3095" s="198"/>
      <c r="I3095" s="196"/>
      <c r="J3095" s="179" t="str">
        <f>IF(A3095="RAPPI",(VLOOKUP(TRIM(D3095), CATALOGO!F:G, 2, FALSE) * C3095)+I3095,IFERROR(IF(COUNTIF('RESTAURANTESDESCUENTOS 2026'!A:A,TRIM(A3095))&gt;0,((VLOOKUP(TRIM(D3095), CATALOGO!A:B, 2, FALSE) * C3095)*(1-VALUE(SUBSTITUTE(VLOOKUP(TRIM(A3095),'RESTAURANTESDESCUENTOS 2026'!A:B,2,FALSE),"%",""))/100)+I3095),(VLOOKUP(TRIM(D3095), CATALOGO!A:B, 2, FALSE) * C3095+I3095)),""))</f>
        <v/>
      </c>
      <c r="K3095" s="196"/>
      <c r="L3095" s="87"/>
      <c r="M3095" s="245"/>
      <c r="N3095" s="168"/>
    </row>
    <row r="3096" ht="22.5" hidden="1" customHeight="1">
      <c r="A3096" s="137"/>
      <c r="B3096" s="90"/>
      <c r="C3096" s="55"/>
      <c r="D3096" s="193"/>
      <c r="E3096" s="201"/>
      <c r="F3096" s="202"/>
      <c r="G3096" s="194"/>
      <c r="H3096" s="198"/>
      <c r="I3096" s="196"/>
      <c r="J3096" s="179" t="str">
        <f>IF(A3096="RAPPI",(VLOOKUP(TRIM(D3096), CATALOGO!F:G, 2, FALSE) * C3096)+I3096,IFERROR(IF(COUNTIF('RESTAURANTESDESCUENTOS 2026'!A:A,TRIM(A3096))&gt;0,((VLOOKUP(TRIM(D3096), CATALOGO!A:B, 2, FALSE) * C3096)*(1-VALUE(SUBSTITUTE(VLOOKUP(TRIM(A3096),'RESTAURANTESDESCUENTOS 2026'!A:B,2,FALSE),"%",""))/100)+I3096),(VLOOKUP(TRIM(D3096), CATALOGO!A:B, 2, FALSE) * C3096+I3096)),""))</f>
        <v/>
      </c>
      <c r="K3096" s="196"/>
      <c r="L3096" s="87"/>
      <c r="M3096" s="245"/>
      <c r="N3096" s="168"/>
    </row>
    <row r="3097" ht="22.5" hidden="1" customHeight="1">
      <c r="A3097" s="137"/>
      <c r="B3097" s="90"/>
      <c r="C3097" s="55"/>
      <c r="D3097" s="193"/>
      <c r="E3097" s="201"/>
      <c r="F3097" s="202"/>
      <c r="G3097" s="194"/>
      <c r="H3097" s="198"/>
      <c r="I3097" s="196"/>
      <c r="J3097" s="179" t="str">
        <f>IF(A3097="RAPPI",(VLOOKUP(TRIM(D3097), CATALOGO!F:G, 2, FALSE) * C3097)+I3097,IFERROR(IF(COUNTIF('RESTAURANTESDESCUENTOS 2026'!A:A,TRIM(A3097))&gt;0,((VLOOKUP(TRIM(D3097), CATALOGO!A:B, 2, FALSE) * C3097)*(1-VALUE(SUBSTITUTE(VLOOKUP(TRIM(A3097),'RESTAURANTESDESCUENTOS 2026'!A:B,2,FALSE),"%",""))/100)+I3097),(VLOOKUP(TRIM(D3097), CATALOGO!A:B, 2, FALSE) * C3097+I3097)),""))</f>
        <v/>
      </c>
      <c r="K3097" s="196"/>
      <c r="L3097" s="87"/>
      <c r="M3097" s="245"/>
      <c r="N3097" s="168"/>
    </row>
    <row r="3098" ht="22.5" hidden="1" customHeight="1">
      <c r="A3098" s="137"/>
      <c r="B3098" s="90"/>
      <c r="C3098" s="55"/>
      <c r="D3098" s="193"/>
      <c r="E3098" s="201"/>
      <c r="F3098" s="202"/>
      <c r="G3098" s="194"/>
      <c r="H3098" s="198"/>
      <c r="I3098" s="196"/>
      <c r="J3098" s="179" t="str">
        <f>IF(A3098="RAPPI",(VLOOKUP(TRIM(D3098), CATALOGO!F:G, 2, FALSE) * C3098)+I3098,IFERROR(IF(COUNTIF('RESTAURANTESDESCUENTOS 2026'!A:A,TRIM(A3098))&gt;0,((VLOOKUP(TRIM(D3098), CATALOGO!A:B, 2, FALSE) * C3098)*(1-VALUE(SUBSTITUTE(VLOOKUP(TRIM(A3098),'RESTAURANTESDESCUENTOS 2026'!A:B,2,FALSE),"%",""))/100)+I3098),(VLOOKUP(TRIM(D3098), CATALOGO!A:B, 2, FALSE) * C3098+I3098)),""))</f>
        <v/>
      </c>
      <c r="K3098" s="196"/>
      <c r="L3098" s="87"/>
      <c r="M3098" s="245"/>
      <c r="N3098" s="168"/>
    </row>
    <row r="3099" ht="22.5" hidden="1" customHeight="1">
      <c r="A3099" s="137"/>
      <c r="B3099" s="90"/>
      <c r="C3099" s="55"/>
      <c r="D3099" s="193"/>
      <c r="E3099" s="201"/>
      <c r="F3099" s="202"/>
      <c r="G3099" s="194"/>
      <c r="H3099" s="198"/>
      <c r="I3099" s="196"/>
      <c r="J3099" s="179" t="str">
        <f>IF(A3099="RAPPI",(VLOOKUP(TRIM(D3099), CATALOGO!F:G, 2, FALSE) * C3099)+I3099,IFERROR(IF(COUNTIF('RESTAURANTESDESCUENTOS 2026'!A:A,TRIM(A3099))&gt;0,((VLOOKUP(TRIM(D3099), CATALOGO!A:B, 2, FALSE) * C3099)*(1-VALUE(SUBSTITUTE(VLOOKUP(TRIM(A3099),'RESTAURANTESDESCUENTOS 2026'!A:B,2,FALSE),"%",""))/100)+I3099),(VLOOKUP(TRIM(D3099), CATALOGO!A:B, 2, FALSE) * C3099+I3099)),""))</f>
        <v/>
      </c>
      <c r="K3099" s="196"/>
      <c r="L3099" s="87"/>
      <c r="M3099" s="245"/>
      <c r="N3099" s="168"/>
    </row>
    <row r="3100" ht="22.5" hidden="1" customHeight="1">
      <c r="A3100" s="137"/>
      <c r="B3100" s="90"/>
      <c r="C3100" s="55"/>
      <c r="D3100" s="193"/>
      <c r="E3100" s="201"/>
      <c r="F3100" s="202"/>
      <c r="G3100" s="194"/>
      <c r="H3100" s="198"/>
      <c r="I3100" s="196"/>
      <c r="J3100" s="179" t="str">
        <f>IF(A3100="RAPPI",(VLOOKUP(TRIM(D3100), CATALOGO!F:G, 2, FALSE) * C3100)+I3100,IFERROR(IF(COUNTIF('RESTAURANTESDESCUENTOS 2026'!A:A,TRIM(A3100))&gt;0,((VLOOKUP(TRIM(D3100), CATALOGO!A:B, 2, FALSE) * C3100)*(1-VALUE(SUBSTITUTE(VLOOKUP(TRIM(A3100),'RESTAURANTESDESCUENTOS 2026'!A:B,2,FALSE),"%",""))/100)+I3100),(VLOOKUP(TRIM(D3100), CATALOGO!A:B, 2, FALSE) * C3100+I3100)),""))</f>
        <v/>
      </c>
      <c r="K3100" s="196"/>
      <c r="L3100" s="87"/>
      <c r="M3100" s="245"/>
      <c r="N3100" s="168"/>
    </row>
    <row r="3101" ht="22.5" hidden="1" customHeight="1">
      <c r="A3101" s="137"/>
      <c r="B3101" s="90"/>
      <c r="C3101" s="55"/>
      <c r="D3101" s="193"/>
      <c r="E3101" s="201"/>
      <c r="F3101" s="202"/>
      <c r="G3101" s="194"/>
      <c r="H3101" s="198"/>
      <c r="I3101" s="196"/>
      <c r="J3101" s="179" t="str">
        <f>IF(A3101="RAPPI",(VLOOKUP(TRIM(D3101), CATALOGO!F:G, 2, FALSE) * C3101)+I3101,IFERROR(IF(COUNTIF('RESTAURANTESDESCUENTOS 2026'!A:A,TRIM(A3101))&gt;0,((VLOOKUP(TRIM(D3101), CATALOGO!A:B, 2, FALSE) * C3101)*(1-VALUE(SUBSTITUTE(VLOOKUP(TRIM(A3101),'RESTAURANTESDESCUENTOS 2026'!A:B,2,FALSE),"%",""))/100)+I3101),(VLOOKUP(TRIM(D3101), CATALOGO!A:B, 2, FALSE) * C3101+I3101)),""))</f>
        <v/>
      </c>
      <c r="K3101" s="196"/>
      <c r="L3101" s="87"/>
      <c r="M3101" s="245"/>
      <c r="N3101" s="168"/>
    </row>
    <row r="3102" ht="22.5" hidden="1" customHeight="1">
      <c r="A3102" s="137"/>
      <c r="B3102" s="90"/>
      <c r="C3102" s="55"/>
      <c r="D3102" s="193"/>
      <c r="E3102" s="201"/>
      <c r="F3102" s="202"/>
      <c r="G3102" s="194"/>
      <c r="H3102" s="198"/>
      <c r="I3102" s="196"/>
      <c r="J3102" s="179" t="str">
        <f>IF(A3102="RAPPI",(VLOOKUP(TRIM(D3102), CATALOGO!F:G, 2, FALSE) * C3102)+I3102,IFERROR(IF(COUNTIF('RESTAURANTESDESCUENTOS 2026'!A:A,TRIM(A3102))&gt;0,((VLOOKUP(TRIM(D3102), CATALOGO!A:B, 2, FALSE) * C3102)*(1-VALUE(SUBSTITUTE(VLOOKUP(TRIM(A3102),'RESTAURANTESDESCUENTOS 2026'!A:B,2,FALSE),"%",""))/100)+I3102),(VLOOKUP(TRIM(D3102), CATALOGO!A:B, 2, FALSE) * C3102+I3102)),""))</f>
        <v/>
      </c>
      <c r="K3102" s="196"/>
      <c r="L3102" s="87"/>
      <c r="M3102" s="245"/>
      <c r="N3102" s="168"/>
    </row>
    <row r="3103" ht="22.5" hidden="1" customHeight="1">
      <c r="A3103" s="137"/>
      <c r="B3103" s="90"/>
      <c r="C3103" s="55"/>
      <c r="D3103" s="193"/>
      <c r="E3103" s="201"/>
      <c r="F3103" s="202"/>
      <c r="G3103" s="194"/>
      <c r="H3103" s="198"/>
      <c r="I3103" s="196"/>
      <c r="J3103" s="179" t="str">
        <f>IF(A3103="RAPPI",(VLOOKUP(TRIM(D3103), CATALOGO!F:G, 2, FALSE) * C3103)+I3103,IFERROR(IF(COUNTIF('RESTAURANTESDESCUENTOS 2026'!A:A,TRIM(A3103))&gt;0,((VLOOKUP(TRIM(D3103), CATALOGO!A:B, 2, FALSE) * C3103)*(1-VALUE(SUBSTITUTE(VLOOKUP(TRIM(A3103),'RESTAURANTESDESCUENTOS 2026'!A:B,2,FALSE),"%",""))/100)+I3103),(VLOOKUP(TRIM(D3103), CATALOGO!A:B, 2, FALSE) * C3103+I3103)),""))</f>
        <v/>
      </c>
      <c r="K3103" s="196"/>
      <c r="L3103" s="87"/>
      <c r="M3103" s="245"/>
      <c r="N3103" s="168"/>
    </row>
    <row r="3104" ht="22.5" hidden="1" customHeight="1">
      <c r="A3104" s="137"/>
      <c r="B3104" s="90"/>
      <c r="C3104" s="55"/>
      <c r="D3104" s="193"/>
      <c r="E3104" s="201"/>
      <c r="F3104" s="202"/>
      <c r="G3104" s="194"/>
      <c r="H3104" s="198"/>
      <c r="I3104" s="196"/>
      <c r="J3104" s="179" t="str">
        <f>IF(A3104="RAPPI",(VLOOKUP(TRIM(D3104), CATALOGO!F:G, 2, FALSE) * C3104)+I3104,IFERROR(IF(COUNTIF('RESTAURANTESDESCUENTOS 2026'!A:A,TRIM(A3104))&gt;0,((VLOOKUP(TRIM(D3104), CATALOGO!A:B, 2, FALSE) * C3104)*(1-VALUE(SUBSTITUTE(VLOOKUP(TRIM(A3104),'RESTAURANTESDESCUENTOS 2026'!A:B,2,FALSE),"%",""))/100)+I3104),(VLOOKUP(TRIM(D3104), CATALOGO!A:B, 2, FALSE) * C3104+I3104)),""))</f>
        <v/>
      </c>
      <c r="K3104" s="196"/>
      <c r="L3104" s="87"/>
      <c r="M3104" s="245"/>
      <c r="N3104" s="168"/>
    </row>
    <row r="3105" ht="22.5" hidden="1" customHeight="1">
      <c r="A3105" s="137"/>
      <c r="B3105" s="90"/>
      <c r="C3105" s="55"/>
      <c r="D3105" s="193"/>
      <c r="E3105" s="201"/>
      <c r="F3105" s="202"/>
      <c r="G3105" s="194"/>
      <c r="H3105" s="198"/>
      <c r="I3105" s="196"/>
      <c r="J3105" s="179" t="str">
        <f>IF(A3105="RAPPI",(VLOOKUP(TRIM(D3105), CATALOGO!F:G, 2, FALSE) * C3105)+I3105,IFERROR(IF(COUNTIF('RESTAURANTESDESCUENTOS 2026'!A:A,TRIM(A3105))&gt;0,((VLOOKUP(TRIM(D3105), CATALOGO!A:B, 2, FALSE) * C3105)*(1-VALUE(SUBSTITUTE(VLOOKUP(TRIM(A3105),'RESTAURANTESDESCUENTOS 2026'!A:B,2,FALSE),"%",""))/100)+I3105),(VLOOKUP(TRIM(D3105), CATALOGO!A:B, 2, FALSE) * C3105+I3105)),""))</f>
        <v/>
      </c>
      <c r="K3105" s="196"/>
      <c r="L3105" s="87"/>
      <c r="M3105" s="245"/>
      <c r="N3105" s="168"/>
    </row>
    <row r="3106" ht="22.5" hidden="1" customHeight="1">
      <c r="A3106" s="137"/>
      <c r="B3106" s="90"/>
      <c r="C3106" s="55"/>
      <c r="D3106" s="193"/>
      <c r="E3106" s="201"/>
      <c r="F3106" s="202"/>
      <c r="G3106" s="194"/>
      <c r="H3106" s="198"/>
      <c r="I3106" s="196"/>
      <c r="J3106" s="179" t="str">
        <f>IF(A3106="RAPPI",(VLOOKUP(TRIM(D3106), CATALOGO!F:G, 2, FALSE) * C3106)+I3106,IFERROR(IF(COUNTIF('RESTAURANTESDESCUENTOS 2026'!A:A,TRIM(A3106))&gt;0,((VLOOKUP(TRIM(D3106), CATALOGO!A:B, 2, FALSE) * C3106)*(1-VALUE(SUBSTITUTE(VLOOKUP(TRIM(A3106),'RESTAURANTESDESCUENTOS 2026'!A:B,2,FALSE),"%",""))/100)+I3106),(VLOOKUP(TRIM(D3106), CATALOGO!A:B, 2, FALSE) * C3106+I3106)),""))</f>
        <v/>
      </c>
      <c r="K3106" s="196"/>
      <c r="L3106" s="87"/>
      <c r="M3106" s="245"/>
      <c r="N3106" s="168"/>
    </row>
    <row r="3107" ht="22.5" hidden="1" customHeight="1">
      <c r="A3107" s="137"/>
      <c r="B3107" s="90"/>
      <c r="C3107" s="55"/>
      <c r="D3107" s="193"/>
      <c r="E3107" s="201"/>
      <c r="F3107" s="202"/>
      <c r="G3107" s="194"/>
      <c r="H3107" s="198"/>
      <c r="I3107" s="196"/>
      <c r="J3107" s="179" t="str">
        <f>IF(A3107="RAPPI",(VLOOKUP(TRIM(D3107), CATALOGO!F:G, 2, FALSE) * C3107)+I3107,IFERROR(IF(COUNTIF('RESTAURANTESDESCUENTOS 2026'!A:A,TRIM(A3107))&gt;0,((VLOOKUP(TRIM(D3107), CATALOGO!A:B, 2, FALSE) * C3107)*(1-VALUE(SUBSTITUTE(VLOOKUP(TRIM(A3107),'RESTAURANTESDESCUENTOS 2026'!A:B,2,FALSE),"%",""))/100)+I3107),(VLOOKUP(TRIM(D3107), CATALOGO!A:B, 2, FALSE) * C3107+I3107)),""))</f>
        <v/>
      </c>
      <c r="K3107" s="196"/>
      <c r="L3107" s="87"/>
      <c r="M3107" s="245"/>
      <c r="N3107" s="168"/>
    </row>
    <row r="3108" ht="22.5" hidden="1" customHeight="1">
      <c r="A3108" s="137"/>
      <c r="B3108" s="90"/>
      <c r="C3108" s="55"/>
      <c r="D3108" s="193"/>
      <c r="E3108" s="201"/>
      <c r="F3108" s="202"/>
      <c r="G3108" s="194"/>
      <c r="H3108" s="198"/>
      <c r="I3108" s="196"/>
      <c r="J3108" s="179" t="str">
        <f>IF(A3108="RAPPI",(VLOOKUP(TRIM(D3108), CATALOGO!F:G, 2, FALSE) * C3108)+I3108,IFERROR(IF(COUNTIF('RESTAURANTESDESCUENTOS 2026'!A:A,TRIM(A3108))&gt;0,((VLOOKUP(TRIM(D3108), CATALOGO!A:B, 2, FALSE) * C3108)*(1-VALUE(SUBSTITUTE(VLOOKUP(TRIM(A3108),'RESTAURANTESDESCUENTOS 2026'!A:B,2,FALSE),"%",""))/100)+I3108),(VLOOKUP(TRIM(D3108), CATALOGO!A:B, 2, FALSE) * C3108+I3108)),""))</f>
        <v/>
      </c>
      <c r="K3108" s="196"/>
      <c r="L3108" s="87"/>
      <c r="M3108" s="245"/>
      <c r="N3108" s="168"/>
    </row>
    <row r="3109" ht="22.5" hidden="1" customHeight="1">
      <c r="A3109" s="137"/>
      <c r="B3109" s="90"/>
      <c r="C3109" s="55"/>
      <c r="D3109" s="193"/>
      <c r="E3109" s="201"/>
      <c r="F3109" s="202"/>
      <c r="G3109" s="194"/>
      <c r="H3109" s="198"/>
      <c r="I3109" s="196"/>
      <c r="J3109" s="179" t="str">
        <f>IF(A3109="RAPPI",(VLOOKUP(TRIM(D3109), CATALOGO!F:G, 2, FALSE) * C3109)+I3109,IFERROR(IF(COUNTIF('RESTAURANTESDESCUENTOS 2026'!A:A,TRIM(A3109))&gt;0,((VLOOKUP(TRIM(D3109), CATALOGO!A:B, 2, FALSE) * C3109)*(1-VALUE(SUBSTITUTE(VLOOKUP(TRIM(A3109),'RESTAURANTESDESCUENTOS 2026'!A:B,2,FALSE),"%",""))/100)+I3109),(VLOOKUP(TRIM(D3109), CATALOGO!A:B, 2, FALSE) * C3109+I3109)),""))</f>
        <v/>
      </c>
      <c r="K3109" s="196"/>
      <c r="L3109" s="87"/>
      <c r="M3109" s="245"/>
      <c r="N3109" s="168"/>
    </row>
    <row r="3110" ht="22.5" hidden="1" customHeight="1">
      <c r="A3110" s="137"/>
      <c r="B3110" s="90"/>
      <c r="C3110" s="55"/>
      <c r="D3110" s="193"/>
      <c r="E3110" s="201"/>
      <c r="F3110" s="202"/>
      <c r="G3110" s="194"/>
      <c r="H3110" s="198"/>
      <c r="I3110" s="196"/>
      <c r="J3110" s="179" t="str">
        <f>IF(A3110="RAPPI",(VLOOKUP(TRIM(D3110), CATALOGO!F:G, 2, FALSE) * C3110)+I3110,IFERROR(IF(COUNTIF('RESTAURANTESDESCUENTOS 2026'!A:A,TRIM(A3110))&gt;0,((VLOOKUP(TRIM(D3110), CATALOGO!A:B, 2, FALSE) * C3110)*(1-VALUE(SUBSTITUTE(VLOOKUP(TRIM(A3110),'RESTAURANTESDESCUENTOS 2026'!A:B,2,FALSE),"%",""))/100)+I3110),(VLOOKUP(TRIM(D3110), CATALOGO!A:B, 2, FALSE) * C3110+I3110)),""))</f>
        <v/>
      </c>
      <c r="K3110" s="196"/>
      <c r="L3110" s="87"/>
      <c r="M3110" s="245"/>
      <c r="N3110" s="168"/>
    </row>
    <row r="3111" ht="22.5" hidden="1" customHeight="1">
      <c r="A3111" s="137"/>
      <c r="B3111" s="90"/>
      <c r="C3111" s="55"/>
      <c r="D3111" s="193"/>
      <c r="E3111" s="201"/>
      <c r="F3111" s="202"/>
      <c r="G3111" s="194"/>
      <c r="H3111" s="198"/>
      <c r="I3111" s="196"/>
      <c r="J3111" s="179" t="str">
        <f>IF(A3111="RAPPI",(VLOOKUP(TRIM(D3111), CATALOGO!F:G, 2, FALSE) * C3111)+I3111,IFERROR(IF(COUNTIF('RESTAURANTESDESCUENTOS 2026'!A:A,TRIM(A3111))&gt;0,((VLOOKUP(TRIM(D3111), CATALOGO!A:B, 2, FALSE) * C3111)*(1-VALUE(SUBSTITUTE(VLOOKUP(TRIM(A3111),'RESTAURANTESDESCUENTOS 2026'!A:B,2,FALSE),"%",""))/100)+I3111),(VLOOKUP(TRIM(D3111), CATALOGO!A:B, 2, FALSE) * C3111+I3111)),""))</f>
        <v/>
      </c>
      <c r="K3111" s="196"/>
      <c r="L3111" s="87"/>
      <c r="M3111" s="245"/>
      <c r="N3111" s="168"/>
    </row>
    <row r="3112" ht="22.5" hidden="1" customHeight="1">
      <c r="A3112" s="137"/>
      <c r="B3112" s="90"/>
      <c r="C3112" s="55"/>
      <c r="D3112" s="193"/>
      <c r="E3112" s="201"/>
      <c r="F3112" s="202"/>
      <c r="G3112" s="194"/>
      <c r="H3112" s="198"/>
      <c r="I3112" s="196"/>
      <c r="J3112" s="179" t="str">
        <f>IF(A3112="RAPPI",(VLOOKUP(TRIM(D3112), CATALOGO!F:G, 2, FALSE) * C3112)+I3112,IFERROR(IF(COUNTIF('RESTAURANTESDESCUENTOS 2026'!A:A,TRIM(A3112))&gt;0,((VLOOKUP(TRIM(D3112), CATALOGO!A:B, 2, FALSE) * C3112)*(1-VALUE(SUBSTITUTE(VLOOKUP(TRIM(A3112),'RESTAURANTESDESCUENTOS 2026'!A:B,2,FALSE),"%",""))/100)+I3112),(VLOOKUP(TRIM(D3112), CATALOGO!A:B, 2, FALSE) * C3112+I3112)),""))</f>
        <v/>
      </c>
      <c r="K3112" s="196"/>
      <c r="L3112" s="87"/>
      <c r="M3112" s="245"/>
      <c r="N3112" s="168"/>
    </row>
    <row r="3113" ht="22.5" hidden="1" customHeight="1">
      <c r="A3113" s="137"/>
      <c r="B3113" s="90"/>
      <c r="C3113" s="55"/>
      <c r="D3113" s="193"/>
      <c r="E3113" s="201"/>
      <c r="F3113" s="202"/>
      <c r="G3113" s="194"/>
      <c r="H3113" s="198"/>
      <c r="I3113" s="196"/>
      <c r="J3113" s="179" t="str">
        <f>IF(A3113="RAPPI",(VLOOKUP(TRIM(D3113), CATALOGO!F:G, 2, FALSE) * C3113)+I3113,IFERROR(IF(COUNTIF('RESTAURANTESDESCUENTOS 2026'!A:A,TRIM(A3113))&gt;0,((VLOOKUP(TRIM(D3113), CATALOGO!A:B, 2, FALSE) * C3113)*(1-VALUE(SUBSTITUTE(VLOOKUP(TRIM(A3113),'RESTAURANTESDESCUENTOS 2026'!A:B,2,FALSE),"%",""))/100)+I3113),(VLOOKUP(TRIM(D3113), CATALOGO!A:B, 2, FALSE) * C3113+I3113)),""))</f>
        <v/>
      </c>
      <c r="K3113" s="196"/>
      <c r="L3113" s="87"/>
      <c r="M3113" s="245"/>
      <c r="N3113" s="168"/>
    </row>
    <row r="3114" ht="22.5" hidden="1" customHeight="1">
      <c r="A3114" s="137"/>
      <c r="B3114" s="90"/>
      <c r="C3114" s="55"/>
      <c r="D3114" s="193"/>
      <c r="E3114" s="201"/>
      <c r="F3114" s="202"/>
      <c r="G3114" s="194"/>
      <c r="H3114" s="198"/>
      <c r="I3114" s="196"/>
      <c r="J3114" s="179" t="str">
        <f>IF(A3114="RAPPI",(VLOOKUP(TRIM(D3114), CATALOGO!F:G, 2, FALSE) * C3114)+I3114,IFERROR(IF(COUNTIF('RESTAURANTESDESCUENTOS 2026'!A:A,TRIM(A3114))&gt;0,((VLOOKUP(TRIM(D3114), CATALOGO!A:B, 2, FALSE) * C3114)*(1-VALUE(SUBSTITUTE(VLOOKUP(TRIM(A3114),'RESTAURANTESDESCUENTOS 2026'!A:B,2,FALSE),"%",""))/100)+I3114),(VLOOKUP(TRIM(D3114), CATALOGO!A:B, 2, FALSE) * C3114+I3114)),""))</f>
        <v/>
      </c>
      <c r="K3114" s="196"/>
      <c r="L3114" s="87"/>
      <c r="M3114" s="245"/>
      <c r="N3114" s="168"/>
    </row>
    <row r="3115" ht="22.5" hidden="1" customHeight="1">
      <c r="A3115" s="137"/>
      <c r="B3115" s="90"/>
      <c r="C3115" s="55"/>
      <c r="D3115" s="193"/>
      <c r="E3115" s="201"/>
      <c r="F3115" s="202"/>
      <c r="G3115" s="194"/>
      <c r="H3115" s="198"/>
      <c r="I3115" s="196"/>
      <c r="J3115" s="179" t="str">
        <f>IF(A3115="RAPPI",(VLOOKUP(TRIM(D3115), CATALOGO!F:G, 2, FALSE) * C3115)+I3115,IFERROR(IF(COUNTIF('RESTAURANTESDESCUENTOS 2026'!A:A,TRIM(A3115))&gt;0,((VLOOKUP(TRIM(D3115), CATALOGO!A:B, 2, FALSE) * C3115)*(1-VALUE(SUBSTITUTE(VLOOKUP(TRIM(A3115),'RESTAURANTESDESCUENTOS 2026'!A:B,2,FALSE),"%",""))/100)+I3115),(VLOOKUP(TRIM(D3115), CATALOGO!A:B, 2, FALSE) * C3115+I3115)),""))</f>
        <v/>
      </c>
      <c r="K3115" s="196"/>
      <c r="L3115" s="87"/>
      <c r="M3115" s="245"/>
      <c r="N3115" s="168"/>
    </row>
    <row r="3116" ht="22.5" hidden="1" customHeight="1">
      <c r="A3116" s="137"/>
      <c r="B3116" s="90"/>
      <c r="C3116" s="55"/>
      <c r="D3116" s="193"/>
      <c r="E3116" s="201"/>
      <c r="F3116" s="202"/>
      <c r="G3116" s="194"/>
      <c r="H3116" s="198"/>
      <c r="I3116" s="196"/>
      <c r="J3116" s="179" t="str">
        <f>IF(A3116="RAPPI",(VLOOKUP(TRIM(D3116), CATALOGO!F:G, 2, FALSE) * C3116)+I3116,IFERROR(IF(COUNTIF('RESTAURANTESDESCUENTOS 2026'!A:A,TRIM(A3116))&gt;0,((VLOOKUP(TRIM(D3116), CATALOGO!A:B, 2, FALSE) * C3116)*(1-VALUE(SUBSTITUTE(VLOOKUP(TRIM(A3116),'RESTAURANTESDESCUENTOS 2026'!A:B,2,FALSE),"%",""))/100)+I3116),(VLOOKUP(TRIM(D3116), CATALOGO!A:B, 2, FALSE) * C3116+I3116)),""))</f>
        <v/>
      </c>
      <c r="K3116" s="196"/>
      <c r="L3116" s="87"/>
      <c r="M3116" s="245"/>
      <c r="N3116" s="168"/>
    </row>
    <row r="3117" ht="22.5" hidden="1" customHeight="1">
      <c r="A3117" s="137"/>
      <c r="B3117" s="90"/>
      <c r="C3117" s="55"/>
      <c r="D3117" s="193"/>
      <c r="E3117" s="201"/>
      <c r="F3117" s="202"/>
      <c r="G3117" s="194"/>
      <c r="H3117" s="198"/>
      <c r="I3117" s="196"/>
      <c r="J3117" s="179" t="str">
        <f>IF(A3117="RAPPI",(VLOOKUP(TRIM(D3117), CATALOGO!F:G, 2, FALSE) * C3117)+I3117,IFERROR(IF(COUNTIF('RESTAURANTESDESCUENTOS 2026'!A:A,TRIM(A3117))&gt;0,((VLOOKUP(TRIM(D3117), CATALOGO!A:B, 2, FALSE) * C3117)*(1-VALUE(SUBSTITUTE(VLOOKUP(TRIM(A3117),'RESTAURANTESDESCUENTOS 2026'!A:B,2,FALSE),"%",""))/100)+I3117),(VLOOKUP(TRIM(D3117), CATALOGO!A:B, 2, FALSE) * C3117+I3117)),""))</f>
        <v/>
      </c>
      <c r="K3117" s="196"/>
      <c r="L3117" s="87"/>
      <c r="M3117" s="245"/>
      <c r="N3117" s="168"/>
    </row>
    <row r="3118" ht="22.5" hidden="1" customHeight="1">
      <c r="A3118" s="137"/>
      <c r="B3118" s="90"/>
      <c r="C3118" s="55"/>
      <c r="D3118" s="193"/>
      <c r="E3118" s="201"/>
      <c r="F3118" s="202"/>
      <c r="G3118" s="194"/>
      <c r="H3118" s="198"/>
      <c r="I3118" s="196"/>
      <c r="J3118" s="179" t="str">
        <f>IF(A3118="RAPPI",(VLOOKUP(TRIM(D3118), CATALOGO!F:G, 2, FALSE) * C3118)+I3118,IFERROR(IF(COUNTIF('RESTAURANTESDESCUENTOS 2026'!A:A,TRIM(A3118))&gt;0,((VLOOKUP(TRIM(D3118), CATALOGO!A:B, 2, FALSE) * C3118)*(1-VALUE(SUBSTITUTE(VLOOKUP(TRIM(A3118),'RESTAURANTESDESCUENTOS 2026'!A:B,2,FALSE),"%",""))/100)+I3118),(VLOOKUP(TRIM(D3118), CATALOGO!A:B, 2, FALSE) * C3118+I3118)),""))</f>
        <v/>
      </c>
      <c r="K3118" s="196"/>
      <c r="L3118" s="87"/>
      <c r="M3118" s="245"/>
      <c r="N3118" s="168"/>
    </row>
    <row r="3119" ht="22.5" hidden="1" customHeight="1">
      <c r="A3119" s="137"/>
      <c r="B3119" s="90"/>
      <c r="C3119" s="55"/>
      <c r="D3119" s="193"/>
      <c r="E3119" s="201"/>
      <c r="F3119" s="202"/>
      <c r="G3119" s="194"/>
      <c r="H3119" s="198"/>
      <c r="I3119" s="196"/>
      <c r="J3119" s="179" t="str">
        <f>IF(A3119="RAPPI",(VLOOKUP(TRIM(D3119), CATALOGO!F:G, 2, FALSE) * C3119)+I3119,IFERROR(IF(COUNTIF('RESTAURANTESDESCUENTOS 2026'!A:A,TRIM(A3119))&gt;0,((VLOOKUP(TRIM(D3119), CATALOGO!A:B, 2, FALSE) * C3119)*(1-VALUE(SUBSTITUTE(VLOOKUP(TRIM(A3119),'RESTAURANTESDESCUENTOS 2026'!A:B,2,FALSE),"%",""))/100)+I3119),(VLOOKUP(TRIM(D3119), CATALOGO!A:B, 2, FALSE) * C3119+I3119)),""))</f>
        <v/>
      </c>
      <c r="K3119" s="196"/>
      <c r="L3119" s="87"/>
      <c r="M3119" s="245"/>
      <c r="N3119" s="168"/>
    </row>
    <row r="3120" ht="22.5" hidden="1" customHeight="1">
      <c r="A3120" s="137"/>
      <c r="B3120" s="90"/>
      <c r="C3120" s="55"/>
      <c r="D3120" s="193"/>
      <c r="E3120" s="201"/>
      <c r="F3120" s="202"/>
      <c r="G3120" s="194"/>
      <c r="H3120" s="198"/>
      <c r="I3120" s="196"/>
      <c r="J3120" s="179" t="str">
        <f>IF(A3120="RAPPI",(VLOOKUP(TRIM(D3120), CATALOGO!F:G, 2, FALSE) * C3120)+I3120,IFERROR(IF(COUNTIF('RESTAURANTESDESCUENTOS 2026'!A:A,TRIM(A3120))&gt;0,((VLOOKUP(TRIM(D3120), CATALOGO!A:B, 2, FALSE) * C3120)*(1-VALUE(SUBSTITUTE(VLOOKUP(TRIM(A3120),'RESTAURANTESDESCUENTOS 2026'!A:B,2,FALSE),"%",""))/100)+I3120),(VLOOKUP(TRIM(D3120), CATALOGO!A:B, 2, FALSE) * C3120+I3120)),""))</f>
        <v/>
      </c>
      <c r="K3120" s="196"/>
      <c r="L3120" s="87"/>
      <c r="M3120" s="245"/>
      <c r="N3120" s="168"/>
    </row>
    <row r="3121" ht="22.5" hidden="1" customHeight="1">
      <c r="A3121" s="137"/>
      <c r="B3121" s="90"/>
      <c r="C3121" s="55"/>
      <c r="D3121" s="193"/>
      <c r="E3121" s="201"/>
      <c r="F3121" s="202"/>
      <c r="G3121" s="194"/>
      <c r="H3121" s="198"/>
      <c r="I3121" s="196"/>
      <c r="J3121" s="179" t="str">
        <f>IF(A3121="RAPPI",(VLOOKUP(TRIM(D3121), CATALOGO!F:G, 2, FALSE) * C3121)+I3121,IFERROR(IF(COUNTIF('RESTAURANTESDESCUENTOS 2026'!A:A,TRIM(A3121))&gt;0,((VLOOKUP(TRIM(D3121), CATALOGO!A:B, 2, FALSE) * C3121)*(1-VALUE(SUBSTITUTE(VLOOKUP(TRIM(A3121),'RESTAURANTESDESCUENTOS 2026'!A:B,2,FALSE),"%",""))/100)+I3121),(VLOOKUP(TRIM(D3121), CATALOGO!A:B, 2, FALSE) * C3121+I3121)),""))</f>
        <v/>
      </c>
      <c r="K3121" s="196"/>
      <c r="L3121" s="87"/>
      <c r="M3121" s="245"/>
      <c r="N3121" s="168"/>
    </row>
    <row r="3122" ht="22.5" hidden="1" customHeight="1">
      <c r="A3122" s="137"/>
      <c r="B3122" s="90"/>
      <c r="C3122" s="55"/>
      <c r="D3122" s="193"/>
      <c r="E3122" s="201"/>
      <c r="F3122" s="202"/>
      <c r="G3122" s="194"/>
      <c r="H3122" s="198"/>
      <c r="I3122" s="196"/>
      <c r="J3122" s="179" t="str">
        <f>IF(A3122="RAPPI",(VLOOKUP(TRIM(D3122), CATALOGO!F:G, 2, FALSE) * C3122)+I3122,IFERROR(IF(COUNTIF('RESTAURANTESDESCUENTOS 2026'!A:A,TRIM(A3122))&gt;0,((VLOOKUP(TRIM(D3122), CATALOGO!A:B, 2, FALSE) * C3122)*(1-VALUE(SUBSTITUTE(VLOOKUP(TRIM(A3122),'RESTAURANTESDESCUENTOS 2026'!A:B,2,FALSE),"%",""))/100)+I3122),(VLOOKUP(TRIM(D3122), CATALOGO!A:B, 2, FALSE) * C3122+I3122)),""))</f>
        <v/>
      </c>
      <c r="K3122" s="196"/>
      <c r="L3122" s="87"/>
      <c r="M3122" s="245"/>
      <c r="N3122" s="168"/>
    </row>
    <row r="3123" ht="22.5" hidden="1" customHeight="1">
      <c r="A3123" s="137"/>
      <c r="B3123" s="90"/>
      <c r="C3123" s="55"/>
      <c r="D3123" s="193"/>
      <c r="E3123" s="201"/>
      <c r="F3123" s="202"/>
      <c r="G3123" s="194"/>
      <c r="H3123" s="198"/>
      <c r="I3123" s="196"/>
      <c r="J3123" s="179" t="str">
        <f>IF(A3123="RAPPI",(VLOOKUP(TRIM(D3123), CATALOGO!F:G, 2, FALSE) * C3123)+I3123,IFERROR(IF(COUNTIF('RESTAURANTESDESCUENTOS 2026'!A:A,TRIM(A3123))&gt;0,((VLOOKUP(TRIM(D3123), CATALOGO!A:B, 2, FALSE) * C3123)*(1-VALUE(SUBSTITUTE(VLOOKUP(TRIM(A3123),'RESTAURANTESDESCUENTOS 2026'!A:B,2,FALSE),"%",""))/100)+I3123),(VLOOKUP(TRIM(D3123), CATALOGO!A:B, 2, FALSE) * C3123+I3123)),""))</f>
        <v/>
      </c>
      <c r="K3123" s="196"/>
      <c r="L3123" s="87"/>
      <c r="M3123" s="245"/>
      <c r="N3123" s="168"/>
    </row>
    <row r="3124" ht="22.5" hidden="1" customHeight="1">
      <c r="A3124" s="137"/>
      <c r="B3124" s="90"/>
      <c r="C3124" s="55"/>
      <c r="D3124" s="193"/>
      <c r="E3124" s="201"/>
      <c r="F3124" s="202"/>
      <c r="G3124" s="194"/>
      <c r="H3124" s="198"/>
      <c r="I3124" s="196"/>
      <c r="J3124" s="179" t="str">
        <f>IF(A3124="RAPPI",(VLOOKUP(TRIM(D3124), CATALOGO!F:G, 2, FALSE) * C3124)+I3124,IFERROR(IF(COUNTIF('RESTAURANTESDESCUENTOS 2026'!A:A,TRIM(A3124))&gt;0,((VLOOKUP(TRIM(D3124), CATALOGO!A:B, 2, FALSE) * C3124)*(1-VALUE(SUBSTITUTE(VLOOKUP(TRIM(A3124),'RESTAURANTESDESCUENTOS 2026'!A:B,2,FALSE),"%",""))/100)+I3124),(VLOOKUP(TRIM(D3124), CATALOGO!A:B, 2, FALSE) * C3124+I3124)),""))</f>
        <v/>
      </c>
      <c r="K3124" s="196"/>
      <c r="L3124" s="87"/>
      <c r="M3124" s="245"/>
      <c r="N3124" s="168"/>
    </row>
    <row r="3125" ht="22.5" hidden="1" customHeight="1">
      <c r="A3125" s="137"/>
      <c r="B3125" s="90"/>
      <c r="C3125" s="55"/>
      <c r="D3125" s="193"/>
      <c r="E3125" s="201"/>
      <c r="F3125" s="202"/>
      <c r="G3125" s="194"/>
      <c r="H3125" s="198"/>
      <c r="I3125" s="196"/>
      <c r="J3125" s="179" t="str">
        <f>IF(A3125="RAPPI",(VLOOKUP(TRIM(D3125), CATALOGO!F:G, 2, FALSE) * C3125)+I3125,IFERROR(IF(COUNTIF('RESTAURANTESDESCUENTOS 2026'!A:A,TRIM(A3125))&gt;0,((VLOOKUP(TRIM(D3125), CATALOGO!A:B, 2, FALSE) * C3125)*(1-VALUE(SUBSTITUTE(VLOOKUP(TRIM(A3125),'RESTAURANTESDESCUENTOS 2026'!A:B,2,FALSE),"%",""))/100)+I3125),(VLOOKUP(TRIM(D3125), CATALOGO!A:B, 2, FALSE) * C3125+I3125)),""))</f>
        <v/>
      </c>
      <c r="K3125" s="196"/>
      <c r="L3125" s="87"/>
      <c r="M3125" s="245"/>
      <c r="N3125" s="168"/>
    </row>
    <row r="3126" ht="22.5" hidden="1" customHeight="1">
      <c r="A3126" s="137"/>
      <c r="B3126" s="90"/>
      <c r="C3126" s="55"/>
      <c r="D3126" s="193"/>
      <c r="E3126" s="201"/>
      <c r="F3126" s="202"/>
      <c r="G3126" s="194"/>
      <c r="H3126" s="198"/>
      <c r="I3126" s="196"/>
      <c r="J3126" s="179" t="str">
        <f>IF(A3126="RAPPI",(VLOOKUP(TRIM(D3126), CATALOGO!F:G, 2, FALSE) * C3126)+I3126,IFERROR(IF(COUNTIF('RESTAURANTESDESCUENTOS 2026'!A:A,TRIM(A3126))&gt;0,((VLOOKUP(TRIM(D3126), CATALOGO!A:B, 2, FALSE) * C3126)*(1-VALUE(SUBSTITUTE(VLOOKUP(TRIM(A3126),'RESTAURANTESDESCUENTOS 2026'!A:B,2,FALSE),"%",""))/100)+I3126),(VLOOKUP(TRIM(D3126), CATALOGO!A:B, 2, FALSE) * C3126+I3126)),""))</f>
        <v/>
      </c>
      <c r="K3126" s="196"/>
      <c r="L3126" s="87"/>
      <c r="M3126" s="245"/>
      <c r="N3126" s="168"/>
    </row>
    <row r="3127" ht="22.5" hidden="1" customHeight="1">
      <c r="A3127" s="137"/>
      <c r="B3127" s="90"/>
      <c r="C3127" s="55"/>
      <c r="D3127" s="193"/>
      <c r="E3127" s="201"/>
      <c r="F3127" s="202"/>
      <c r="G3127" s="194"/>
      <c r="H3127" s="198"/>
      <c r="I3127" s="196"/>
      <c r="J3127" s="179" t="str">
        <f>IF(A3127="RAPPI",(VLOOKUP(TRIM(D3127), CATALOGO!F:G, 2, FALSE) * C3127)+I3127,IFERROR(IF(COUNTIF('RESTAURANTESDESCUENTOS 2026'!A:A,TRIM(A3127))&gt;0,((VLOOKUP(TRIM(D3127), CATALOGO!A:B, 2, FALSE) * C3127)*(1-VALUE(SUBSTITUTE(VLOOKUP(TRIM(A3127),'RESTAURANTESDESCUENTOS 2026'!A:B,2,FALSE),"%",""))/100)+I3127),(VLOOKUP(TRIM(D3127), CATALOGO!A:B, 2, FALSE) * C3127+I3127)),""))</f>
        <v/>
      </c>
      <c r="K3127" s="196"/>
      <c r="L3127" s="87"/>
      <c r="M3127" s="245"/>
      <c r="N3127" s="168"/>
    </row>
    <row r="3128" ht="22.5" hidden="1" customHeight="1">
      <c r="A3128" s="137"/>
      <c r="B3128" s="90"/>
      <c r="C3128" s="55"/>
      <c r="D3128" s="193"/>
      <c r="E3128" s="201"/>
      <c r="F3128" s="202"/>
      <c r="G3128" s="194"/>
      <c r="H3128" s="198"/>
      <c r="I3128" s="196"/>
      <c r="J3128" s="179" t="str">
        <f>IF(A3128="RAPPI",(VLOOKUP(TRIM(D3128), CATALOGO!F:G, 2, FALSE) * C3128)+I3128,IFERROR(IF(COUNTIF('RESTAURANTESDESCUENTOS 2026'!A:A,TRIM(A3128))&gt;0,((VLOOKUP(TRIM(D3128), CATALOGO!A:B, 2, FALSE) * C3128)*(1-VALUE(SUBSTITUTE(VLOOKUP(TRIM(A3128),'RESTAURANTESDESCUENTOS 2026'!A:B,2,FALSE),"%",""))/100)+I3128),(VLOOKUP(TRIM(D3128), CATALOGO!A:B, 2, FALSE) * C3128+I3128)),""))</f>
        <v/>
      </c>
      <c r="K3128" s="196"/>
      <c r="L3128" s="87"/>
      <c r="M3128" s="245"/>
      <c r="N3128" s="168"/>
    </row>
    <row r="3129" ht="22.5" hidden="1" customHeight="1">
      <c r="A3129" s="137"/>
      <c r="B3129" s="90"/>
      <c r="C3129" s="55"/>
      <c r="D3129" s="193"/>
      <c r="E3129" s="201"/>
      <c r="F3129" s="202"/>
      <c r="G3129" s="194"/>
      <c r="H3129" s="198"/>
      <c r="I3129" s="196"/>
      <c r="J3129" s="179" t="str">
        <f>IF(A3129="RAPPI",(VLOOKUP(TRIM(D3129), CATALOGO!F:G, 2, FALSE) * C3129)+I3129,IFERROR(IF(COUNTIF('RESTAURANTESDESCUENTOS 2026'!A:A,TRIM(A3129))&gt;0,((VLOOKUP(TRIM(D3129), CATALOGO!A:B, 2, FALSE) * C3129)*(1-VALUE(SUBSTITUTE(VLOOKUP(TRIM(A3129),'RESTAURANTESDESCUENTOS 2026'!A:B,2,FALSE),"%",""))/100)+I3129),(VLOOKUP(TRIM(D3129), CATALOGO!A:B, 2, FALSE) * C3129+I3129)),""))</f>
        <v/>
      </c>
      <c r="K3129" s="196"/>
      <c r="L3129" s="87"/>
      <c r="M3129" s="245"/>
      <c r="N3129" s="168"/>
    </row>
    <row r="3130" ht="22.5" hidden="1" customHeight="1">
      <c r="A3130" s="137"/>
      <c r="B3130" s="90"/>
      <c r="C3130" s="55"/>
      <c r="D3130" s="193"/>
      <c r="E3130" s="201"/>
      <c r="F3130" s="202"/>
      <c r="G3130" s="194"/>
      <c r="H3130" s="198"/>
      <c r="I3130" s="196"/>
      <c r="J3130" s="179" t="str">
        <f>IF(A3130="RAPPI",(VLOOKUP(TRIM(D3130), CATALOGO!F:G, 2, FALSE) * C3130)+I3130,IFERROR(IF(COUNTIF('RESTAURANTESDESCUENTOS 2026'!A:A,TRIM(A3130))&gt;0,((VLOOKUP(TRIM(D3130), CATALOGO!A:B, 2, FALSE) * C3130)*(1-VALUE(SUBSTITUTE(VLOOKUP(TRIM(A3130),'RESTAURANTESDESCUENTOS 2026'!A:B,2,FALSE),"%",""))/100)+I3130),(VLOOKUP(TRIM(D3130), CATALOGO!A:B, 2, FALSE) * C3130+I3130)),""))</f>
        <v/>
      </c>
      <c r="K3130" s="196"/>
      <c r="L3130" s="87"/>
      <c r="M3130" s="245"/>
      <c r="N3130" s="168"/>
    </row>
    <row r="3131" ht="22.5" hidden="1" customHeight="1">
      <c r="A3131" s="137"/>
      <c r="B3131" s="90"/>
      <c r="C3131" s="55"/>
      <c r="D3131" s="193"/>
      <c r="E3131" s="201"/>
      <c r="F3131" s="202"/>
      <c r="G3131" s="194"/>
      <c r="H3131" s="198"/>
      <c r="I3131" s="196"/>
      <c r="J3131" s="179" t="str">
        <f>IF(A3131="RAPPI",(VLOOKUP(TRIM(D3131), CATALOGO!F:G, 2, FALSE) * C3131)+I3131,IFERROR(IF(COUNTIF('RESTAURANTESDESCUENTOS 2026'!A:A,TRIM(A3131))&gt;0,((VLOOKUP(TRIM(D3131), CATALOGO!A:B, 2, FALSE) * C3131)*(1-VALUE(SUBSTITUTE(VLOOKUP(TRIM(A3131),'RESTAURANTESDESCUENTOS 2026'!A:B,2,FALSE),"%",""))/100)+I3131),(VLOOKUP(TRIM(D3131), CATALOGO!A:B, 2, FALSE) * C3131+I3131)),""))</f>
        <v/>
      </c>
      <c r="K3131" s="196"/>
      <c r="L3131" s="87"/>
      <c r="M3131" s="245"/>
      <c r="N3131" s="168"/>
    </row>
    <row r="3132" ht="22.5" hidden="1" customHeight="1">
      <c r="A3132" s="137"/>
      <c r="B3132" s="90"/>
      <c r="C3132" s="55"/>
      <c r="D3132" s="193"/>
      <c r="E3132" s="201"/>
      <c r="F3132" s="202"/>
      <c r="G3132" s="194"/>
      <c r="H3132" s="198"/>
      <c r="I3132" s="196"/>
      <c r="J3132" s="179" t="str">
        <f>IF(A3132="RAPPI",(VLOOKUP(TRIM(D3132), CATALOGO!F:G, 2, FALSE) * C3132)+I3132,IFERROR(IF(COUNTIF('RESTAURANTESDESCUENTOS 2026'!A:A,TRIM(A3132))&gt;0,((VLOOKUP(TRIM(D3132), CATALOGO!A:B, 2, FALSE) * C3132)*(1-VALUE(SUBSTITUTE(VLOOKUP(TRIM(A3132),'RESTAURANTESDESCUENTOS 2026'!A:B,2,FALSE),"%",""))/100)+I3132),(VLOOKUP(TRIM(D3132), CATALOGO!A:B, 2, FALSE) * C3132+I3132)),""))</f>
        <v/>
      </c>
      <c r="K3132" s="196"/>
      <c r="L3132" s="87"/>
      <c r="M3132" s="245"/>
      <c r="N3132" s="168"/>
    </row>
    <row r="3133" ht="22.5" hidden="1" customHeight="1">
      <c r="A3133" s="137"/>
      <c r="B3133" s="90"/>
      <c r="C3133" s="55"/>
      <c r="D3133" s="193"/>
      <c r="E3133" s="201"/>
      <c r="F3133" s="202"/>
      <c r="G3133" s="194"/>
      <c r="H3133" s="198"/>
      <c r="I3133" s="196"/>
      <c r="J3133" s="179" t="str">
        <f>IF(A3133="RAPPI",(VLOOKUP(TRIM(D3133), CATALOGO!F:G, 2, FALSE) * C3133)+I3133,IFERROR(IF(COUNTIF('RESTAURANTESDESCUENTOS 2026'!A:A,TRIM(A3133))&gt;0,((VLOOKUP(TRIM(D3133), CATALOGO!A:B, 2, FALSE) * C3133)*(1-VALUE(SUBSTITUTE(VLOOKUP(TRIM(A3133),'RESTAURANTESDESCUENTOS 2026'!A:B,2,FALSE),"%",""))/100)+I3133),(VLOOKUP(TRIM(D3133), CATALOGO!A:B, 2, FALSE) * C3133+I3133)),""))</f>
        <v/>
      </c>
      <c r="K3133" s="196"/>
      <c r="L3133" s="87"/>
      <c r="M3133" s="245"/>
      <c r="N3133" s="168"/>
    </row>
    <row r="3134" ht="22.5" hidden="1" customHeight="1">
      <c r="A3134" s="137"/>
      <c r="B3134" s="90"/>
      <c r="C3134" s="55"/>
      <c r="D3134" s="193"/>
      <c r="E3134" s="201"/>
      <c r="F3134" s="202"/>
      <c r="G3134" s="194"/>
      <c r="H3134" s="198"/>
      <c r="I3134" s="196"/>
      <c r="J3134" s="179" t="str">
        <f>IF(A3134="RAPPI",(VLOOKUP(TRIM(D3134), CATALOGO!F:G, 2, FALSE) * C3134)+I3134,IFERROR(IF(COUNTIF('RESTAURANTESDESCUENTOS 2026'!A:A,TRIM(A3134))&gt;0,((VLOOKUP(TRIM(D3134), CATALOGO!A:B, 2, FALSE) * C3134)*(1-VALUE(SUBSTITUTE(VLOOKUP(TRIM(A3134),'RESTAURANTESDESCUENTOS 2026'!A:B,2,FALSE),"%",""))/100)+I3134),(VLOOKUP(TRIM(D3134), CATALOGO!A:B, 2, FALSE) * C3134+I3134)),""))</f>
        <v/>
      </c>
      <c r="K3134" s="196"/>
      <c r="L3134" s="87"/>
      <c r="M3134" s="245"/>
      <c r="N3134" s="168"/>
    </row>
    <row r="3135" ht="22.5" hidden="1" customHeight="1">
      <c r="A3135" s="137"/>
      <c r="B3135" s="90"/>
      <c r="C3135" s="55"/>
      <c r="D3135" s="193"/>
      <c r="E3135" s="201"/>
      <c r="F3135" s="202"/>
      <c r="G3135" s="194"/>
      <c r="H3135" s="198"/>
      <c r="I3135" s="196"/>
      <c r="J3135" s="179" t="str">
        <f>IF(A3135="RAPPI",(VLOOKUP(TRIM(D3135), CATALOGO!F:G, 2, FALSE) * C3135)+I3135,IFERROR(IF(COUNTIF('RESTAURANTESDESCUENTOS 2026'!A:A,TRIM(A3135))&gt;0,((VLOOKUP(TRIM(D3135), CATALOGO!A:B, 2, FALSE) * C3135)*(1-VALUE(SUBSTITUTE(VLOOKUP(TRIM(A3135),'RESTAURANTESDESCUENTOS 2026'!A:B,2,FALSE),"%",""))/100)+I3135),(VLOOKUP(TRIM(D3135), CATALOGO!A:B, 2, FALSE) * C3135+I3135)),""))</f>
        <v/>
      </c>
      <c r="K3135" s="196"/>
      <c r="L3135" s="87"/>
      <c r="M3135" s="245"/>
      <c r="N3135" s="168"/>
    </row>
    <row r="3136" ht="22.5" hidden="1" customHeight="1">
      <c r="A3136" s="137"/>
      <c r="B3136" s="90"/>
      <c r="C3136" s="55"/>
      <c r="D3136" s="193"/>
      <c r="E3136" s="201"/>
      <c r="F3136" s="202"/>
      <c r="G3136" s="194"/>
      <c r="H3136" s="198"/>
      <c r="I3136" s="196"/>
      <c r="J3136" s="179" t="str">
        <f>IF(A3136="RAPPI",(VLOOKUP(TRIM(D3136), CATALOGO!F:G, 2, FALSE) * C3136)+I3136,IFERROR(IF(COUNTIF('RESTAURANTESDESCUENTOS 2026'!A:A,TRIM(A3136))&gt;0,((VLOOKUP(TRIM(D3136), CATALOGO!A:B, 2, FALSE) * C3136)*(1-VALUE(SUBSTITUTE(VLOOKUP(TRIM(A3136),'RESTAURANTESDESCUENTOS 2026'!A:B,2,FALSE),"%",""))/100)+I3136),(VLOOKUP(TRIM(D3136), CATALOGO!A:B, 2, FALSE) * C3136+I3136)),""))</f>
        <v/>
      </c>
      <c r="K3136" s="196"/>
      <c r="L3136" s="87"/>
      <c r="M3136" s="245"/>
      <c r="N3136" s="168"/>
    </row>
    <row r="3137" ht="22.5" hidden="1" customHeight="1">
      <c r="A3137" s="137"/>
      <c r="B3137" s="90"/>
      <c r="C3137" s="55"/>
      <c r="D3137" s="193"/>
      <c r="E3137" s="201"/>
      <c r="F3137" s="202"/>
      <c r="G3137" s="194"/>
      <c r="H3137" s="198"/>
      <c r="I3137" s="196"/>
      <c r="J3137" s="179" t="str">
        <f>IF(A3137="RAPPI",(VLOOKUP(TRIM(D3137), CATALOGO!F:G, 2, FALSE) * C3137)+I3137,IFERROR(IF(COUNTIF('RESTAURANTESDESCUENTOS 2026'!A:A,TRIM(A3137))&gt;0,((VLOOKUP(TRIM(D3137), CATALOGO!A:B, 2, FALSE) * C3137)*(1-VALUE(SUBSTITUTE(VLOOKUP(TRIM(A3137),'RESTAURANTESDESCUENTOS 2026'!A:B,2,FALSE),"%",""))/100)+I3137),(VLOOKUP(TRIM(D3137), CATALOGO!A:B, 2, FALSE) * C3137+I3137)),""))</f>
        <v/>
      </c>
      <c r="K3137" s="196"/>
      <c r="L3137" s="87"/>
      <c r="M3137" s="245"/>
      <c r="N3137" s="168"/>
    </row>
    <row r="3138" ht="22.5" hidden="1" customHeight="1">
      <c r="A3138" s="137"/>
      <c r="B3138" s="90"/>
      <c r="C3138" s="55"/>
      <c r="D3138" s="193"/>
      <c r="E3138" s="201"/>
      <c r="F3138" s="202"/>
      <c r="G3138" s="194"/>
      <c r="H3138" s="198"/>
      <c r="I3138" s="196"/>
      <c r="J3138" s="179" t="str">
        <f>IF(A3138="RAPPI",(VLOOKUP(TRIM(D3138), CATALOGO!F:G, 2, FALSE) * C3138)+I3138,IFERROR(IF(COUNTIF('RESTAURANTESDESCUENTOS 2026'!A:A,TRIM(A3138))&gt;0,((VLOOKUP(TRIM(D3138), CATALOGO!A:B, 2, FALSE) * C3138)*(1-VALUE(SUBSTITUTE(VLOOKUP(TRIM(A3138),'RESTAURANTESDESCUENTOS 2026'!A:B,2,FALSE),"%",""))/100)+I3138),(VLOOKUP(TRIM(D3138), CATALOGO!A:B, 2, FALSE) * C3138+I3138)),""))</f>
        <v/>
      </c>
      <c r="K3138" s="196"/>
      <c r="L3138" s="87"/>
      <c r="M3138" s="245"/>
      <c r="N3138" s="168"/>
    </row>
    <row r="3139" ht="22.5" hidden="1" customHeight="1">
      <c r="A3139" s="137"/>
      <c r="B3139" s="90"/>
      <c r="C3139" s="55"/>
      <c r="D3139" s="193"/>
      <c r="E3139" s="201"/>
      <c r="F3139" s="202"/>
      <c r="G3139" s="194"/>
      <c r="H3139" s="198"/>
      <c r="I3139" s="196"/>
      <c r="J3139" s="179" t="str">
        <f>IF(A3139="RAPPI",(VLOOKUP(TRIM(D3139), CATALOGO!F:G, 2, FALSE) * C3139)+I3139,IFERROR(IF(COUNTIF('RESTAURANTESDESCUENTOS 2026'!A:A,TRIM(A3139))&gt;0,((VLOOKUP(TRIM(D3139), CATALOGO!A:B, 2, FALSE) * C3139)*(1-VALUE(SUBSTITUTE(VLOOKUP(TRIM(A3139),'RESTAURANTESDESCUENTOS 2026'!A:B,2,FALSE),"%",""))/100)+I3139),(VLOOKUP(TRIM(D3139), CATALOGO!A:B, 2, FALSE) * C3139+I3139)),""))</f>
        <v/>
      </c>
      <c r="K3139" s="196"/>
      <c r="L3139" s="87"/>
      <c r="M3139" s="245"/>
      <c r="N3139" s="168"/>
    </row>
    <row r="3140" ht="22.5" hidden="1" customHeight="1">
      <c r="A3140" s="137"/>
      <c r="B3140" s="90"/>
      <c r="C3140" s="55"/>
      <c r="D3140" s="193"/>
      <c r="E3140" s="201"/>
      <c r="F3140" s="202"/>
      <c r="G3140" s="194"/>
      <c r="H3140" s="198"/>
      <c r="I3140" s="196"/>
      <c r="J3140" s="179" t="str">
        <f>IF(A3140="RAPPI",(VLOOKUP(TRIM(D3140), CATALOGO!F:G, 2, FALSE) * C3140)+I3140,IFERROR(IF(COUNTIF('RESTAURANTESDESCUENTOS 2026'!A:A,TRIM(A3140))&gt;0,((VLOOKUP(TRIM(D3140), CATALOGO!A:B, 2, FALSE) * C3140)*(1-VALUE(SUBSTITUTE(VLOOKUP(TRIM(A3140),'RESTAURANTESDESCUENTOS 2026'!A:B,2,FALSE),"%",""))/100)+I3140),(VLOOKUP(TRIM(D3140), CATALOGO!A:B, 2, FALSE) * C3140+I3140)),""))</f>
        <v/>
      </c>
      <c r="K3140" s="196"/>
      <c r="L3140" s="87"/>
      <c r="M3140" s="245"/>
      <c r="N3140" s="168"/>
    </row>
    <row r="3141" ht="22.5" hidden="1" customHeight="1">
      <c r="A3141" s="137"/>
      <c r="B3141" s="90"/>
      <c r="C3141" s="55"/>
      <c r="D3141" s="193"/>
      <c r="E3141" s="201"/>
      <c r="F3141" s="202"/>
      <c r="G3141" s="194"/>
      <c r="H3141" s="198"/>
      <c r="I3141" s="196"/>
      <c r="J3141" s="179" t="str">
        <f>IF(A3141="RAPPI",(VLOOKUP(TRIM(D3141), CATALOGO!F:G, 2, FALSE) * C3141)+I3141,IFERROR(IF(COUNTIF('RESTAURANTESDESCUENTOS 2026'!A:A,TRIM(A3141))&gt;0,((VLOOKUP(TRIM(D3141), CATALOGO!A:B, 2, FALSE) * C3141)*(1-VALUE(SUBSTITUTE(VLOOKUP(TRIM(A3141),'RESTAURANTESDESCUENTOS 2026'!A:B,2,FALSE),"%",""))/100)+I3141),(VLOOKUP(TRIM(D3141), CATALOGO!A:B, 2, FALSE) * C3141+I3141)),""))</f>
        <v/>
      </c>
      <c r="K3141" s="196"/>
      <c r="L3141" s="87"/>
      <c r="M3141" s="245"/>
      <c r="N3141" s="168"/>
    </row>
    <row r="3142" ht="22.5" hidden="1" customHeight="1">
      <c r="A3142" s="137"/>
      <c r="B3142" s="90"/>
      <c r="C3142" s="55"/>
      <c r="D3142" s="193"/>
      <c r="E3142" s="201"/>
      <c r="F3142" s="202"/>
      <c r="G3142" s="194"/>
      <c r="H3142" s="198"/>
      <c r="I3142" s="196"/>
      <c r="J3142" s="179" t="str">
        <f>IF(A3142="RAPPI",(VLOOKUP(TRIM(D3142), CATALOGO!F:G, 2, FALSE) * C3142)+I3142,IFERROR(IF(COUNTIF('RESTAURANTESDESCUENTOS 2026'!A:A,TRIM(A3142))&gt;0,((VLOOKUP(TRIM(D3142), CATALOGO!A:B, 2, FALSE) * C3142)*(1-VALUE(SUBSTITUTE(VLOOKUP(TRIM(A3142),'RESTAURANTESDESCUENTOS 2026'!A:B,2,FALSE),"%",""))/100)+I3142),(VLOOKUP(TRIM(D3142), CATALOGO!A:B, 2, FALSE) * C3142+I3142)),""))</f>
        <v/>
      </c>
      <c r="K3142" s="196"/>
      <c r="L3142" s="87"/>
      <c r="M3142" s="245"/>
      <c r="N3142" s="168"/>
    </row>
    <row r="3143" ht="22.5" hidden="1" customHeight="1">
      <c r="A3143" s="137"/>
      <c r="B3143" s="90"/>
      <c r="C3143" s="55"/>
      <c r="D3143" s="193"/>
      <c r="E3143" s="201"/>
      <c r="F3143" s="202"/>
      <c r="G3143" s="194"/>
      <c r="H3143" s="198"/>
      <c r="I3143" s="196"/>
      <c r="J3143" s="179" t="str">
        <f>IF(A3143="RAPPI",(VLOOKUP(TRIM(D3143), CATALOGO!F:G, 2, FALSE) * C3143)+I3143,IFERROR(IF(COUNTIF('RESTAURANTESDESCUENTOS 2026'!A:A,TRIM(A3143))&gt;0,((VLOOKUP(TRIM(D3143), CATALOGO!A:B, 2, FALSE) * C3143)*(1-VALUE(SUBSTITUTE(VLOOKUP(TRIM(A3143),'RESTAURANTESDESCUENTOS 2026'!A:B,2,FALSE),"%",""))/100)+I3143),(VLOOKUP(TRIM(D3143), CATALOGO!A:B, 2, FALSE) * C3143+I3143)),""))</f>
        <v/>
      </c>
      <c r="K3143" s="196"/>
      <c r="L3143" s="87"/>
      <c r="M3143" s="245"/>
      <c r="N3143" s="168"/>
    </row>
    <row r="3144" ht="22.5" hidden="1" customHeight="1">
      <c r="A3144" s="137"/>
      <c r="B3144" s="90"/>
      <c r="C3144" s="55"/>
      <c r="D3144" s="193"/>
      <c r="E3144" s="201"/>
      <c r="F3144" s="202"/>
      <c r="G3144" s="194"/>
      <c r="H3144" s="198"/>
      <c r="I3144" s="196"/>
      <c r="J3144" s="179" t="str">
        <f>IF(A3144="RAPPI",(VLOOKUP(TRIM(D3144), CATALOGO!F:G, 2, FALSE) * C3144)+I3144,IFERROR(IF(COUNTIF('RESTAURANTESDESCUENTOS 2026'!A:A,TRIM(A3144))&gt;0,((VLOOKUP(TRIM(D3144), CATALOGO!A:B, 2, FALSE) * C3144)*(1-VALUE(SUBSTITUTE(VLOOKUP(TRIM(A3144),'RESTAURANTESDESCUENTOS 2026'!A:B,2,FALSE),"%",""))/100)+I3144),(VLOOKUP(TRIM(D3144), CATALOGO!A:B, 2, FALSE) * C3144+I3144)),""))</f>
        <v/>
      </c>
      <c r="K3144" s="196"/>
      <c r="L3144" s="87"/>
      <c r="M3144" s="245"/>
      <c r="N3144" s="168"/>
    </row>
    <row r="3145" ht="22.5" hidden="1" customHeight="1">
      <c r="A3145" s="137"/>
      <c r="B3145" s="90"/>
      <c r="C3145" s="55"/>
      <c r="D3145" s="193"/>
      <c r="E3145" s="201"/>
      <c r="F3145" s="202"/>
      <c r="G3145" s="194"/>
      <c r="H3145" s="198"/>
      <c r="I3145" s="196"/>
      <c r="J3145" s="179" t="str">
        <f>IF(A3145="RAPPI",(VLOOKUP(TRIM(D3145), CATALOGO!F:G, 2, FALSE) * C3145)+I3145,IFERROR(IF(COUNTIF('RESTAURANTESDESCUENTOS 2026'!A:A,TRIM(A3145))&gt;0,((VLOOKUP(TRIM(D3145), CATALOGO!A:B, 2, FALSE) * C3145)*(1-VALUE(SUBSTITUTE(VLOOKUP(TRIM(A3145),'RESTAURANTESDESCUENTOS 2026'!A:B,2,FALSE),"%",""))/100)+I3145),(VLOOKUP(TRIM(D3145), CATALOGO!A:B, 2, FALSE) * C3145+I3145)),""))</f>
        <v/>
      </c>
      <c r="K3145" s="196"/>
      <c r="L3145" s="87"/>
      <c r="M3145" s="245"/>
      <c r="N3145" s="168"/>
    </row>
    <row r="3146" ht="22.5" hidden="1" customHeight="1">
      <c r="A3146" s="137"/>
      <c r="B3146" s="90"/>
      <c r="C3146" s="55"/>
      <c r="D3146" s="193"/>
      <c r="E3146" s="201"/>
      <c r="F3146" s="202"/>
      <c r="G3146" s="194"/>
      <c r="H3146" s="198"/>
      <c r="I3146" s="196"/>
      <c r="J3146" s="179" t="str">
        <f>IF(A3146="RAPPI",(VLOOKUP(TRIM(D3146), CATALOGO!F:G, 2, FALSE) * C3146)+I3146,IFERROR(IF(COUNTIF('RESTAURANTESDESCUENTOS 2026'!A:A,TRIM(A3146))&gt;0,((VLOOKUP(TRIM(D3146), CATALOGO!A:B, 2, FALSE) * C3146)*(1-VALUE(SUBSTITUTE(VLOOKUP(TRIM(A3146),'RESTAURANTESDESCUENTOS 2026'!A:B,2,FALSE),"%",""))/100)+I3146),(VLOOKUP(TRIM(D3146), CATALOGO!A:B, 2, FALSE) * C3146+I3146)),""))</f>
        <v/>
      </c>
      <c r="K3146" s="196"/>
      <c r="L3146" s="87"/>
      <c r="M3146" s="245"/>
      <c r="N3146" s="168"/>
    </row>
    <row r="3147" ht="22.5" hidden="1" customHeight="1">
      <c r="A3147" s="137"/>
      <c r="B3147" s="90"/>
      <c r="C3147" s="55"/>
      <c r="D3147" s="193"/>
      <c r="E3147" s="201"/>
      <c r="F3147" s="202"/>
      <c r="G3147" s="194"/>
      <c r="H3147" s="198"/>
      <c r="I3147" s="196"/>
      <c r="J3147" s="179" t="str">
        <f>IF(A3147="RAPPI",(VLOOKUP(TRIM(D3147), CATALOGO!F:G, 2, FALSE) * C3147)+I3147,IFERROR(IF(COUNTIF('RESTAURANTESDESCUENTOS 2026'!A:A,TRIM(A3147))&gt;0,((VLOOKUP(TRIM(D3147), CATALOGO!A:B, 2, FALSE) * C3147)*(1-VALUE(SUBSTITUTE(VLOOKUP(TRIM(A3147),'RESTAURANTESDESCUENTOS 2026'!A:B,2,FALSE),"%",""))/100)+I3147),(VLOOKUP(TRIM(D3147), CATALOGO!A:B, 2, FALSE) * C3147+I3147)),""))</f>
        <v/>
      </c>
      <c r="K3147" s="196"/>
      <c r="L3147" s="87"/>
      <c r="M3147" s="245"/>
      <c r="N3147" s="168"/>
    </row>
    <row r="3148" ht="22.5" hidden="1" customHeight="1">
      <c r="A3148" s="137"/>
      <c r="B3148" s="90"/>
      <c r="C3148" s="55"/>
      <c r="D3148" s="193"/>
      <c r="E3148" s="201"/>
      <c r="F3148" s="202"/>
      <c r="G3148" s="194"/>
      <c r="H3148" s="198"/>
      <c r="I3148" s="196"/>
      <c r="J3148" s="179" t="str">
        <f>IF(A3148="RAPPI",(VLOOKUP(TRIM(D3148), CATALOGO!F:G, 2, FALSE) * C3148)+I3148,IFERROR(IF(COUNTIF('RESTAURANTESDESCUENTOS 2026'!A:A,TRIM(A3148))&gt;0,((VLOOKUP(TRIM(D3148), CATALOGO!A:B, 2, FALSE) * C3148)*(1-VALUE(SUBSTITUTE(VLOOKUP(TRIM(A3148),'RESTAURANTESDESCUENTOS 2026'!A:B,2,FALSE),"%",""))/100)+I3148),(VLOOKUP(TRIM(D3148), CATALOGO!A:B, 2, FALSE) * C3148+I3148)),""))</f>
        <v/>
      </c>
      <c r="K3148" s="196"/>
      <c r="L3148" s="87"/>
      <c r="M3148" s="245"/>
      <c r="N3148" s="168"/>
    </row>
    <row r="3149" ht="22.5" hidden="1" customHeight="1">
      <c r="A3149" s="137"/>
      <c r="B3149" s="90"/>
      <c r="C3149" s="55"/>
      <c r="D3149" s="193"/>
      <c r="E3149" s="201"/>
      <c r="F3149" s="202"/>
      <c r="G3149" s="194"/>
      <c r="H3149" s="198"/>
      <c r="I3149" s="196"/>
      <c r="J3149" s="179" t="str">
        <f>IF(A3149="RAPPI",(VLOOKUP(TRIM(D3149), CATALOGO!F:G, 2, FALSE) * C3149)+I3149,IFERROR(IF(COUNTIF('RESTAURANTESDESCUENTOS 2026'!A:A,TRIM(A3149))&gt;0,((VLOOKUP(TRIM(D3149), CATALOGO!A:B, 2, FALSE) * C3149)*(1-VALUE(SUBSTITUTE(VLOOKUP(TRIM(A3149),'RESTAURANTESDESCUENTOS 2026'!A:B,2,FALSE),"%",""))/100)+I3149),(VLOOKUP(TRIM(D3149), CATALOGO!A:B, 2, FALSE) * C3149+I3149)),""))</f>
        <v/>
      </c>
      <c r="K3149" s="196"/>
      <c r="L3149" s="87"/>
      <c r="M3149" s="245"/>
      <c r="N3149" s="168"/>
    </row>
    <row r="3150" ht="22.5" hidden="1" customHeight="1">
      <c r="A3150" s="137"/>
      <c r="B3150" s="90"/>
      <c r="C3150" s="55"/>
      <c r="D3150" s="193"/>
      <c r="E3150" s="201"/>
      <c r="F3150" s="202"/>
      <c r="G3150" s="194"/>
      <c r="H3150" s="198"/>
      <c r="I3150" s="196"/>
      <c r="J3150" s="179" t="str">
        <f>IF(A3150="RAPPI",(VLOOKUP(TRIM(D3150), CATALOGO!F:G, 2, FALSE) * C3150)+I3150,IFERROR(IF(COUNTIF('RESTAURANTESDESCUENTOS 2026'!A:A,TRIM(A3150))&gt;0,((VLOOKUP(TRIM(D3150), CATALOGO!A:B, 2, FALSE) * C3150)*(1-VALUE(SUBSTITUTE(VLOOKUP(TRIM(A3150),'RESTAURANTESDESCUENTOS 2026'!A:B,2,FALSE),"%",""))/100)+I3150),(VLOOKUP(TRIM(D3150), CATALOGO!A:B, 2, FALSE) * C3150+I3150)),""))</f>
        <v/>
      </c>
      <c r="K3150" s="196"/>
      <c r="L3150" s="87"/>
      <c r="M3150" s="245"/>
      <c r="N3150" s="168"/>
    </row>
    <row r="3151" ht="22.5" hidden="1" customHeight="1">
      <c r="A3151" s="137"/>
      <c r="B3151" s="90"/>
      <c r="C3151" s="55"/>
      <c r="D3151" s="193"/>
      <c r="E3151" s="201"/>
      <c r="F3151" s="202"/>
      <c r="G3151" s="194"/>
      <c r="H3151" s="198"/>
      <c r="I3151" s="196"/>
      <c r="J3151" s="179" t="str">
        <f>IF(A3151="RAPPI",(VLOOKUP(TRIM(D3151), CATALOGO!F:G, 2, FALSE) * C3151)+I3151,IFERROR(IF(COUNTIF('RESTAURANTESDESCUENTOS 2026'!A:A,TRIM(A3151))&gt;0,((VLOOKUP(TRIM(D3151), CATALOGO!A:B, 2, FALSE) * C3151)*(1-VALUE(SUBSTITUTE(VLOOKUP(TRIM(A3151),'RESTAURANTESDESCUENTOS 2026'!A:B,2,FALSE),"%",""))/100)+I3151),(VLOOKUP(TRIM(D3151), CATALOGO!A:B, 2, FALSE) * C3151+I3151)),""))</f>
        <v/>
      </c>
      <c r="K3151" s="196"/>
      <c r="L3151" s="87"/>
      <c r="M3151" s="245"/>
      <c r="N3151" s="168"/>
    </row>
    <row r="3152" ht="22.5" hidden="1" customHeight="1">
      <c r="A3152" s="137"/>
      <c r="B3152" s="90"/>
      <c r="C3152" s="55"/>
      <c r="D3152" s="193"/>
      <c r="E3152" s="201"/>
      <c r="F3152" s="202"/>
      <c r="G3152" s="194"/>
      <c r="H3152" s="198"/>
      <c r="I3152" s="196"/>
      <c r="J3152" s="179" t="str">
        <f>IF(A3152="RAPPI",(VLOOKUP(TRIM(D3152), CATALOGO!F:G, 2, FALSE) * C3152)+I3152,IFERROR(IF(COUNTIF('RESTAURANTESDESCUENTOS 2026'!A:A,TRIM(A3152))&gt;0,((VLOOKUP(TRIM(D3152), CATALOGO!A:B, 2, FALSE) * C3152)*(1-VALUE(SUBSTITUTE(VLOOKUP(TRIM(A3152),'RESTAURANTESDESCUENTOS 2026'!A:B,2,FALSE),"%",""))/100)+I3152),(VLOOKUP(TRIM(D3152), CATALOGO!A:B, 2, FALSE) * C3152+I3152)),""))</f>
        <v/>
      </c>
      <c r="K3152" s="196"/>
      <c r="L3152" s="87"/>
      <c r="M3152" s="245"/>
      <c r="N3152" s="168"/>
    </row>
    <row r="3153" ht="22.5" hidden="1" customHeight="1">
      <c r="A3153" s="137"/>
      <c r="B3153" s="90"/>
      <c r="C3153" s="55"/>
      <c r="D3153" s="193"/>
      <c r="E3153" s="201"/>
      <c r="F3153" s="202"/>
      <c r="G3153" s="194"/>
      <c r="H3153" s="198"/>
      <c r="I3153" s="196"/>
      <c r="J3153" s="179" t="str">
        <f>IF(A3153="RAPPI",(VLOOKUP(TRIM(D3153), CATALOGO!F:G, 2, FALSE) * C3153)+I3153,IFERROR(IF(COUNTIF('RESTAURANTESDESCUENTOS 2026'!A:A,TRIM(A3153))&gt;0,((VLOOKUP(TRIM(D3153), CATALOGO!A:B, 2, FALSE) * C3153)*(1-VALUE(SUBSTITUTE(VLOOKUP(TRIM(A3153),'RESTAURANTESDESCUENTOS 2026'!A:B,2,FALSE),"%",""))/100)+I3153),(VLOOKUP(TRIM(D3153), CATALOGO!A:B, 2, FALSE) * C3153+I3153)),""))</f>
        <v/>
      </c>
      <c r="K3153" s="196"/>
      <c r="L3153" s="87"/>
      <c r="M3153" s="245"/>
      <c r="N3153" s="168"/>
    </row>
    <row r="3154" ht="22.5" hidden="1" customHeight="1">
      <c r="A3154" s="137"/>
      <c r="B3154" s="90"/>
      <c r="C3154" s="55"/>
      <c r="D3154" s="193"/>
      <c r="E3154" s="201"/>
      <c r="F3154" s="202"/>
      <c r="G3154" s="194"/>
      <c r="H3154" s="198"/>
      <c r="I3154" s="196"/>
      <c r="J3154" s="179" t="str">
        <f>IF(A3154="RAPPI",(VLOOKUP(TRIM(D3154), CATALOGO!F:G, 2, FALSE) * C3154)+I3154,IFERROR(IF(COUNTIF('RESTAURANTESDESCUENTOS 2026'!A:A,TRIM(A3154))&gt;0,((VLOOKUP(TRIM(D3154), CATALOGO!A:B, 2, FALSE) * C3154)*(1-VALUE(SUBSTITUTE(VLOOKUP(TRIM(A3154),'RESTAURANTESDESCUENTOS 2026'!A:B,2,FALSE),"%",""))/100)+I3154),(VLOOKUP(TRIM(D3154), CATALOGO!A:B, 2, FALSE) * C3154+I3154)),""))</f>
        <v/>
      </c>
      <c r="K3154" s="196"/>
      <c r="L3154" s="87"/>
      <c r="M3154" s="245"/>
      <c r="N3154" s="168"/>
    </row>
    <row r="3155" ht="22.5" hidden="1" customHeight="1">
      <c r="A3155" s="137"/>
      <c r="B3155" s="90"/>
      <c r="C3155" s="55"/>
      <c r="D3155" s="193"/>
      <c r="E3155" s="201"/>
      <c r="F3155" s="202"/>
      <c r="G3155" s="194"/>
      <c r="H3155" s="198"/>
      <c r="I3155" s="196"/>
      <c r="J3155" s="179" t="str">
        <f>IF(A3155="RAPPI",(VLOOKUP(TRIM(D3155), CATALOGO!F:G, 2, FALSE) * C3155)+I3155,IFERROR(IF(COUNTIF('RESTAURANTESDESCUENTOS 2026'!A:A,TRIM(A3155))&gt;0,((VLOOKUP(TRIM(D3155), CATALOGO!A:B, 2, FALSE) * C3155)*(1-VALUE(SUBSTITUTE(VLOOKUP(TRIM(A3155),'RESTAURANTESDESCUENTOS 2026'!A:B,2,FALSE),"%",""))/100)+I3155),(VLOOKUP(TRIM(D3155), CATALOGO!A:B, 2, FALSE) * C3155+I3155)),""))</f>
        <v/>
      </c>
      <c r="K3155" s="196"/>
      <c r="L3155" s="87"/>
      <c r="M3155" s="245"/>
      <c r="N3155" s="168"/>
    </row>
    <row r="3156" ht="22.5" hidden="1" customHeight="1">
      <c r="A3156" s="137"/>
      <c r="B3156" s="90"/>
      <c r="C3156" s="55"/>
      <c r="D3156" s="193"/>
      <c r="E3156" s="201"/>
      <c r="F3156" s="202"/>
      <c r="G3156" s="194"/>
      <c r="H3156" s="198"/>
      <c r="I3156" s="196"/>
      <c r="J3156" s="179" t="str">
        <f>IF(A3156="RAPPI",(VLOOKUP(TRIM(D3156), CATALOGO!F:G, 2, FALSE) * C3156)+I3156,IFERROR(IF(COUNTIF('RESTAURANTESDESCUENTOS 2026'!A:A,TRIM(A3156))&gt;0,((VLOOKUP(TRIM(D3156), CATALOGO!A:B, 2, FALSE) * C3156)*(1-VALUE(SUBSTITUTE(VLOOKUP(TRIM(A3156),'RESTAURANTESDESCUENTOS 2026'!A:B,2,FALSE),"%",""))/100)+I3156),(VLOOKUP(TRIM(D3156), CATALOGO!A:B, 2, FALSE) * C3156+I3156)),""))</f>
        <v/>
      </c>
      <c r="K3156" s="196"/>
      <c r="L3156" s="87"/>
      <c r="M3156" s="245"/>
      <c r="N3156" s="168"/>
    </row>
    <row r="3157" ht="22.5" hidden="1" customHeight="1">
      <c r="A3157" s="137"/>
      <c r="B3157" s="90"/>
      <c r="C3157" s="55"/>
      <c r="D3157" s="193"/>
      <c r="E3157" s="201"/>
      <c r="F3157" s="202"/>
      <c r="G3157" s="194"/>
      <c r="H3157" s="198"/>
      <c r="I3157" s="196"/>
      <c r="J3157" s="179" t="str">
        <f>IF(A3157="RAPPI",(VLOOKUP(TRIM(D3157), CATALOGO!F:G, 2, FALSE) * C3157)+I3157,IFERROR(IF(COUNTIF('RESTAURANTESDESCUENTOS 2026'!A:A,TRIM(A3157))&gt;0,((VLOOKUP(TRIM(D3157), CATALOGO!A:B, 2, FALSE) * C3157)*(1-VALUE(SUBSTITUTE(VLOOKUP(TRIM(A3157),'RESTAURANTESDESCUENTOS 2026'!A:B,2,FALSE),"%",""))/100)+I3157),(VLOOKUP(TRIM(D3157), CATALOGO!A:B, 2, FALSE) * C3157+I3157)),""))</f>
        <v/>
      </c>
      <c r="K3157" s="196"/>
      <c r="L3157" s="87"/>
      <c r="M3157" s="245"/>
      <c r="N3157" s="168"/>
    </row>
    <row r="3158" ht="22.5" hidden="1" customHeight="1">
      <c r="A3158" s="137"/>
      <c r="B3158" s="90"/>
      <c r="C3158" s="55"/>
      <c r="D3158" s="193"/>
      <c r="E3158" s="201"/>
      <c r="F3158" s="202"/>
      <c r="G3158" s="194"/>
      <c r="H3158" s="198"/>
      <c r="I3158" s="196"/>
      <c r="J3158" s="179" t="str">
        <f>IF(A3158="RAPPI",(VLOOKUP(TRIM(D3158), CATALOGO!F:G, 2, FALSE) * C3158)+I3158,IFERROR(IF(COUNTIF('RESTAURANTESDESCUENTOS 2026'!A:A,TRIM(A3158))&gt;0,((VLOOKUP(TRIM(D3158), CATALOGO!A:B, 2, FALSE) * C3158)*(1-VALUE(SUBSTITUTE(VLOOKUP(TRIM(A3158),'RESTAURANTESDESCUENTOS 2026'!A:B,2,FALSE),"%",""))/100)+I3158),(VLOOKUP(TRIM(D3158), CATALOGO!A:B, 2, FALSE) * C3158+I3158)),""))</f>
        <v/>
      </c>
      <c r="K3158" s="196"/>
      <c r="L3158" s="87"/>
      <c r="M3158" s="245"/>
      <c r="N3158" s="168"/>
    </row>
    <row r="3159" ht="22.5" hidden="1" customHeight="1">
      <c r="A3159" s="137"/>
      <c r="B3159" s="90"/>
      <c r="C3159" s="55"/>
      <c r="D3159" s="193"/>
      <c r="E3159" s="201"/>
      <c r="F3159" s="202"/>
      <c r="G3159" s="194"/>
      <c r="H3159" s="198"/>
      <c r="I3159" s="196"/>
      <c r="J3159" s="179" t="str">
        <f>IF(A3159="RAPPI",(VLOOKUP(TRIM(D3159), CATALOGO!F:G, 2, FALSE) * C3159)+I3159,IFERROR(IF(COUNTIF('RESTAURANTESDESCUENTOS 2026'!A:A,TRIM(A3159))&gt;0,((VLOOKUP(TRIM(D3159), CATALOGO!A:B, 2, FALSE) * C3159)*(1-VALUE(SUBSTITUTE(VLOOKUP(TRIM(A3159),'RESTAURANTESDESCUENTOS 2026'!A:B,2,FALSE),"%",""))/100)+I3159),(VLOOKUP(TRIM(D3159), CATALOGO!A:B, 2, FALSE) * C3159+I3159)),""))</f>
        <v/>
      </c>
      <c r="K3159" s="196"/>
      <c r="L3159" s="87"/>
      <c r="M3159" s="245"/>
      <c r="N3159" s="168"/>
    </row>
    <row r="3160" ht="22.5" hidden="1" customHeight="1">
      <c r="A3160" s="137"/>
      <c r="B3160" s="90"/>
      <c r="C3160" s="55"/>
      <c r="D3160" s="193"/>
      <c r="E3160" s="201"/>
      <c r="F3160" s="202"/>
      <c r="G3160" s="194"/>
      <c r="H3160" s="198"/>
      <c r="I3160" s="196"/>
      <c r="J3160" s="179" t="str">
        <f>IF(A3160="RAPPI",(VLOOKUP(TRIM(D3160), CATALOGO!F:G, 2, FALSE) * C3160)+I3160,IFERROR(IF(COUNTIF('RESTAURANTESDESCUENTOS 2026'!A:A,TRIM(A3160))&gt;0,((VLOOKUP(TRIM(D3160), CATALOGO!A:B, 2, FALSE) * C3160)*(1-VALUE(SUBSTITUTE(VLOOKUP(TRIM(A3160),'RESTAURANTESDESCUENTOS 2026'!A:B,2,FALSE),"%",""))/100)+I3160),(VLOOKUP(TRIM(D3160), CATALOGO!A:B, 2, FALSE) * C3160+I3160)),""))</f>
        <v/>
      </c>
      <c r="K3160" s="196"/>
      <c r="L3160" s="87"/>
      <c r="M3160" s="245"/>
      <c r="N3160" s="168"/>
    </row>
    <row r="3161" ht="22.5" hidden="1" customHeight="1">
      <c r="A3161" s="137"/>
      <c r="B3161" s="90"/>
      <c r="C3161" s="55"/>
      <c r="D3161" s="193"/>
      <c r="E3161" s="201"/>
      <c r="F3161" s="202"/>
      <c r="G3161" s="194"/>
      <c r="H3161" s="198"/>
      <c r="I3161" s="196"/>
      <c r="J3161" s="179" t="str">
        <f>IF(A3161="RAPPI",(VLOOKUP(TRIM(D3161), CATALOGO!F:G, 2, FALSE) * C3161)+I3161,IFERROR(IF(COUNTIF('RESTAURANTESDESCUENTOS 2026'!A:A,TRIM(A3161))&gt;0,((VLOOKUP(TRIM(D3161), CATALOGO!A:B, 2, FALSE) * C3161)*(1-VALUE(SUBSTITUTE(VLOOKUP(TRIM(A3161),'RESTAURANTESDESCUENTOS 2026'!A:B,2,FALSE),"%",""))/100)+I3161),(VLOOKUP(TRIM(D3161), CATALOGO!A:B, 2, FALSE) * C3161+I3161)),""))</f>
        <v/>
      </c>
      <c r="K3161" s="196"/>
      <c r="L3161" s="87"/>
      <c r="M3161" s="245"/>
      <c r="N3161" s="168"/>
    </row>
    <row r="3162" ht="22.5" hidden="1" customHeight="1">
      <c r="A3162" s="137"/>
      <c r="B3162" s="90"/>
      <c r="C3162" s="55"/>
      <c r="D3162" s="193"/>
      <c r="E3162" s="201"/>
      <c r="F3162" s="202"/>
      <c r="G3162" s="194"/>
      <c r="H3162" s="198"/>
      <c r="I3162" s="196"/>
      <c r="J3162" s="179" t="str">
        <f>IF(A3162="RAPPI",(VLOOKUP(TRIM(D3162), CATALOGO!F:G, 2, FALSE) * C3162)+I3162,IFERROR(IF(COUNTIF('RESTAURANTESDESCUENTOS 2026'!A:A,TRIM(A3162))&gt;0,((VLOOKUP(TRIM(D3162), CATALOGO!A:B, 2, FALSE) * C3162)*(1-VALUE(SUBSTITUTE(VLOOKUP(TRIM(A3162),'RESTAURANTESDESCUENTOS 2026'!A:B,2,FALSE),"%",""))/100)+I3162),(VLOOKUP(TRIM(D3162), CATALOGO!A:B, 2, FALSE) * C3162+I3162)),""))</f>
        <v/>
      </c>
      <c r="K3162" s="196"/>
      <c r="L3162" s="87"/>
      <c r="M3162" s="245"/>
      <c r="N3162" s="168"/>
    </row>
    <row r="3163" ht="22.5" hidden="1" customHeight="1">
      <c r="A3163" s="137"/>
      <c r="B3163" s="90"/>
      <c r="C3163" s="55"/>
      <c r="D3163" s="193"/>
      <c r="E3163" s="201"/>
      <c r="F3163" s="202"/>
      <c r="G3163" s="194"/>
      <c r="H3163" s="198"/>
      <c r="I3163" s="196"/>
      <c r="J3163" s="179" t="str">
        <f>IF(A3163="RAPPI",(VLOOKUP(TRIM(D3163), CATALOGO!F:G, 2, FALSE) * C3163)+I3163,IFERROR(IF(COUNTIF('RESTAURANTESDESCUENTOS 2026'!A:A,TRIM(A3163))&gt;0,((VLOOKUP(TRIM(D3163), CATALOGO!A:B, 2, FALSE) * C3163)*(1-VALUE(SUBSTITUTE(VLOOKUP(TRIM(A3163),'RESTAURANTESDESCUENTOS 2026'!A:B,2,FALSE),"%",""))/100)+I3163),(VLOOKUP(TRIM(D3163), CATALOGO!A:B, 2, FALSE) * C3163+I3163)),""))</f>
        <v/>
      </c>
      <c r="K3163" s="196"/>
      <c r="L3163" s="87"/>
      <c r="M3163" s="245"/>
      <c r="N3163" s="168"/>
    </row>
    <row r="3164" ht="22.5" hidden="1" customHeight="1">
      <c r="A3164" s="137"/>
      <c r="B3164" s="90"/>
      <c r="C3164" s="55"/>
      <c r="D3164" s="193"/>
      <c r="E3164" s="201"/>
      <c r="F3164" s="202"/>
      <c r="G3164" s="194"/>
      <c r="H3164" s="198"/>
      <c r="I3164" s="196"/>
      <c r="J3164" s="179" t="str">
        <f>IF(A3164="RAPPI",(VLOOKUP(TRIM(D3164), CATALOGO!F:G, 2, FALSE) * C3164)+I3164,IFERROR(IF(COUNTIF('RESTAURANTESDESCUENTOS 2026'!A:A,TRIM(A3164))&gt;0,((VLOOKUP(TRIM(D3164), CATALOGO!A:B, 2, FALSE) * C3164)*(1-VALUE(SUBSTITUTE(VLOOKUP(TRIM(A3164),'RESTAURANTESDESCUENTOS 2026'!A:B,2,FALSE),"%",""))/100)+I3164),(VLOOKUP(TRIM(D3164), CATALOGO!A:B, 2, FALSE) * C3164+I3164)),""))</f>
        <v/>
      </c>
      <c r="K3164" s="196"/>
      <c r="L3164" s="87"/>
      <c r="M3164" s="245"/>
      <c r="N3164" s="168"/>
    </row>
    <row r="3165" ht="22.5" hidden="1" customHeight="1">
      <c r="A3165" s="137"/>
      <c r="B3165" s="90"/>
      <c r="C3165" s="55"/>
      <c r="D3165" s="193"/>
      <c r="E3165" s="201"/>
      <c r="F3165" s="202"/>
      <c r="G3165" s="194"/>
      <c r="H3165" s="198"/>
      <c r="I3165" s="196"/>
      <c r="J3165" s="179" t="str">
        <f>IF(A3165="RAPPI",(VLOOKUP(TRIM(D3165), CATALOGO!F:G, 2, FALSE) * C3165)+I3165,IFERROR(IF(COUNTIF('RESTAURANTESDESCUENTOS 2026'!A:A,TRIM(A3165))&gt;0,((VLOOKUP(TRIM(D3165), CATALOGO!A:B, 2, FALSE) * C3165)*(1-VALUE(SUBSTITUTE(VLOOKUP(TRIM(A3165),'RESTAURANTESDESCUENTOS 2026'!A:B,2,FALSE),"%",""))/100)+I3165),(VLOOKUP(TRIM(D3165), CATALOGO!A:B, 2, FALSE) * C3165+I3165)),""))</f>
        <v/>
      </c>
      <c r="K3165" s="196"/>
      <c r="L3165" s="87"/>
      <c r="M3165" s="245"/>
      <c r="N3165" s="168"/>
    </row>
    <row r="3166" ht="22.5" hidden="1" customHeight="1">
      <c r="A3166" s="137"/>
      <c r="B3166" s="90"/>
      <c r="C3166" s="55"/>
      <c r="D3166" s="193"/>
      <c r="E3166" s="201"/>
      <c r="F3166" s="202"/>
      <c r="G3166" s="194"/>
      <c r="H3166" s="198"/>
      <c r="I3166" s="196"/>
      <c r="J3166" s="179" t="str">
        <f>IF(A3166="RAPPI",(VLOOKUP(TRIM(D3166), CATALOGO!F:G, 2, FALSE) * C3166)+I3166,IFERROR(IF(COUNTIF('RESTAURANTESDESCUENTOS 2026'!A:A,TRIM(A3166))&gt;0,((VLOOKUP(TRIM(D3166), CATALOGO!A:B, 2, FALSE) * C3166)*(1-VALUE(SUBSTITUTE(VLOOKUP(TRIM(A3166),'RESTAURANTESDESCUENTOS 2026'!A:B,2,FALSE),"%",""))/100)+I3166),(VLOOKUP(TRIM(D3166), CATALOGO!A:B, 2, FALSE) * C3166+I3166)),""))</f>
        <v/>
      </c>
      <c r="K3166" s="196"/>
      <c r="L3166" s="87"/>
      <c r="M3166" s="245"/>
      <c r="N3166" s="168"/>
    </row>
    <row r="3167" ht="22.5" hidden="1" customHeight="1">
      <c r="A3167" s="137"/>
      <c r="B3167" s="90"/>
      <c r="C3167" s="55"/>
      <c r="D3167" s="193"/>
      <c r="E3167" s="201"/>
      <c r="F3167" s="202"/>
      <c r="G3167" s="194"/>
      <c r="H3167" s="198"/>
      <c r="I3167" s="196"/>
      <c r="J3167" s="179" t="str">
        <f>IF(A3167="RAPPI",(VLOOKUP(TRIM(D3167), CATALOGO!F:G, 2, FALSE) * C3167)+I3167,IFERROR(IF(COUNTIF('RESTAURANTESDESCUENTOS 2026'!A:A,TRIM(A3167))&gt;0,((VLOOKUP(TRIM(D3167), CATALOGO!A:B, 2, FALSE) * C3167)*(1-VALUE(SUBSTITUTE(VLOOKUP(TRIM(A3167),'RESTAURANTESDESCUENTOS 2026'!A:B,2,FALSE),"%",""))/100)+I3167),(VLOOKUP(TRIM(D3167), CATALOGO!A:B, 2, FALSE) * C3167+I3167)),""))</f>
        <v/>
      </c>
      <c r="K3167" s="196"/>
      <c r="L3167" s="87"/>
      <c r="M3167" s="245"/>
      <c r="N3167" s="168"/>
    </row>
    <row r="3168" ht="22.5" hidden="1" customHeight="1">
      <c r="A3168" s="137"/>
      <c r="B3168" s="90"/>
      <c r="C3168" s="55"/>
      <c r="D3168" s="193"/>
      <c r="E3168" s="201"/>
      <c r="F3168" s="202"/>
      <c r="G3168" s="194"/>
      <c r="H3168" s="198"/>
      <c r="I3168" s="196"/>
      <c r="J3168" s="179" t="str">
        <f>IF(A3168="RAPPI",(VLOOKUP(TRIM(D3168), CATALOGO!F:G, 2, FALSE) * C3168)+I3168,IFERROR(IF(COUNTIF('RESTAURANTESDESCUENTOS 2026'!A:A,TRIM(A3168))&gt;0,((VLOOKUP(TRIM(D3168), CATALOGO!A:B, 2, FALSE) * C3168)*(1-VALUE(SUBSTITUTE(VLOOKUP(TRIM(A3168),'RESTAURANTESDESCUENTOS 2026'!A:B,2,FALSE),"%",""))/100)+I3168),(VLOOKUP(TRIM(D3168), CATALOGO!A:B, 2, FALSE) * C3168+I3168)),""))</f>
        <v/>
      </c>
      <c r="K3168" s="196"/>
      <c r="L3168" s="87"/>
      <c r="M3168" s="245"/>
      <c r="N3168" s="168"/>
    </row>
    <row r="3169" ht="22.5" hidden="1" customHeight="1">
      <c r="A3169" s="137"/>
      <c r="B3169" s="90"/>
      <c r="C3169" s="55"/>
      <c r="D3169" s="193"/>
      <c r="E3169" s="201"/>
      <c r="F3169" s="202"/>
      <c r="G3169" s="194"/>
      <c r="H3169" s="198"/>
      <c r="I3169" s="196"/>
      <c r="J3169" s="179" t="str">
        <f>IF(A3169="RAPPI",(VLOOKUP(TRIM(D3169), CATALOGO!F:G, 2, FALSE) * C3169)+I3169,IFERROR(IF(COUNTIF('RESTAURANTESDESCUENTOS 2026'!A:A,TRIM(A3169))&gt;0,((VLOOKUP(TRIM(D3169), CATALOGO!A:B, 2, FALSE) * C3169)*(1-VALUE(SUBSTITUTE(VLOOKUP(TRIM(A3169),'RESTAURANTESDESCUENTOS 2026'!A:B,2,FALSE),"%",""))/100)+I3169),(VLOOKUP(TRIM(D3169), CATALOGO!A:B, 2, FALSE) * C3169+I3169)),""))</f>
        <v/>
      </c>
      <c r="K3169" s="196"/>
      <c r="L3169" s="87"/>
      <c r="M3169" s="245"/>
      <c r="N3169" s="168"/>
    </row>
    <row r="3170" ht="22.5" hidden="1" customHeight="1">
      <c r="A3170" s="137"/>
      <c r="B3170" s="90"/>
      <c r="C3170" s="55"/>
      <c r="D3170" s="193"/>
      <c r="E3170" s="201"/>
      <c r="F3170" s="202"/>
      <c r="G3170" s="194"/>
      <c r="H3170" s="198"/>
      <c r="I3170" s="196"/>
      <c r="J3170" s="179" t="str">
        <f>IF(A3170="RAPPI",(VLOOKUP(TRIM(D3170), CATALOGO!F:G, 2, FALSE) * C3170)+I3170,IFERROR(IF(COUNTIF('RESTAURANTESDESCUENTOS 2026'!A:A,TRIM(A3170))&gt;0,((VLOOKUP(TRIM(D3170), CATALOGO!A:B, 2, FALSE) * C3170)*(1-VALUE(SUBSTITUTE(VLOOKUP(TRIM(A3170),'RESTAURANTESDESCUENTOS 2026'!A:B,2,FALSE),"%",""))/100)+I3170),(VLOOKUP(TRIM(D3170), CATALOGO!A:B, 2, FALSE) * C3170+I3170)),""))</f>
        <v/>
      </c>
      <c r="K3170" s="196"/>
      <c r="L3170" s="87"/>
      <c r="M3170" s="245"/>
      <c r="N3170" s="168"/>
    </row>
    <row r="3171" ht="22.5" hidden="1" customHeight="1">
      <c r="A3171" s="137"/>
      <c r="B3171" s="90"/>
      <c r="C3171" s="55"/>
      <c r="D3171" s="193"/>
      <c r="E3171" s="201"/>
      <c r="F3171" s="202"/>
      <c r="G3171" s="194"/>
      <c r="H3171" s="198"/>
      <c r="I3171" s="196"/>
      <c r="J3171" s="179" t="str">
        <f>IF(A3171="RAPPI",(VLOOKUP(TRIM(D3171), CATALOGO!F:G, 2, FALSE) * C3171)+I3171,IFERROR(IF(COUNTIF('RESTAURANTESDESCUENTOS 2026'!A:A,TRIM(A3171))&gt;0,((VLOOKUP(TRIM(D3171), CATALOGO!A:B, 2, FALSE) * C3171)*(1-VALUE(SUBSTITUTE(VLOOKUP(TRIM(A3171),'RESTAURANTESDESCUENTOS 2026'!A:B,2,FALSE),"%",""))/100)+I3171),(VLOOKUP(TRIM(D3171), CATALOGO!A:B, 2, FALSE) * C3171+I3171)),""))</f>
        <v/>
      </c>
      <c r="K3171" s="196"/>
      <c r="L3171" s="87"/>
      <c r="M3171" s="245"/>
      <c r="N3171" s="168"/>
    </row>
    <row r="3172" ht="22.5" hidden="1" customHeight="1">
      <c r="A3172" s="137"/>
      <c r="B3172" s="90"/>
      <c r="C3172" s="55"/>
      <c r="D3172" s="193"/>
      <c r="E3172" s="201"/>
      <c r="F3172" s="202"/>
      <c r="G3172" s="194"/>
      <c r="H3172" s="198"/>
      <c r="I3172" s="196"/>
      <c r="J3172" s="179" t="str">
        <f>IF(A3172="RAPPI",(VLOOKUP(TRIM(D3172), CATALOGO!F:G, 2, FALSE) * C3172)+I3172,IFERROR(IF(COUNTIF('RESTAURANTESDESCUENTOS 2026'!A:A,TRIM(A3172))&gt;0,((VLOOKUP(TRIM(D3172), CATALOGO!A:B, 2, FALSE) * C3172)*(1-VALUE(SUBSTITUTE(VLOOKUP(TRIM(A3172),'RESTAURANTESDESCUENTOS 2026'!A:B,2,FALSE),"%",""))/100)+I3172),(VLOOKUP(TRIM(D3172), CATALOGO!A:B, 2, FALSE) * C3172+I3172)),""))</f>
        <v/>
      </c>
      <c r="K3172" s="196"/>
      <c r="L3172" s="87"/>
      <c r="M3172" s="245"/>
      <c r="N3172" s="168"/>
    </row>
    <row r="3173" ht="22.5" hidden="1" customHeight="1">
      <c r="A3173" s="137"/>
      <c r="B3173" s="90"/>
      <c r="C3173" s="55"/>
      <c r="D3173" s="193"/>
      <c r="E3173" s="201"/>
      <c r="F3173" s="202"/>
      <c r="G3173" s="194"/>
      <c r="H3173" s="198"/>
      <c r="I3173" s="196"/>
      <c r="J3173" s="179" t="str">
        <f>IF(A3173="RAPPI",(VLOOKUP(TRIM(D3173), CATALOGO!F:G, 2, FALSE) * C3173)+I3173,IFERROR(IF(COUNTIF('RESTAURANTESDESCUENTOS 2026'!A:A,TRIM(A3173))&gt;0,((VLOOKUP(TRIM(D3173), CATALOGO!A:B, 2, FALSE) * C3173)*(1-VALUE(SUBSTITUTE(VLOOKUP(TRIM(A3173),'RESTAURANTESDESCUENTOS 2026'!A:B,2,FALSE),"%",""))/100)+I3173),(VLOOKUP(TRIM(D3173), CATALOGO!A:B, 2, FALSE) * C3173+I3173)),""))</f>
        <v/>
      </c>
      <c r="K3173" s="196"/>
      <c r="L3173" s="87"/>
      <c r="M3173" s="245"/>
      <c r="N3173" s="168"/>
    </row>
    <row r="3174" ht="22.5" hidden="1" customHeight="1">
      <c r="A3174" s="137"/>
      <c r="B3174" s="90"/>
      <c r="C3174" s="55"/>
      <c r="D3174" s="193"/>
      <c r="E3174" s="201"/>
      <c r="F3174" s="202"/>
      <c r="G3174" s="194"/>
      <c r="H3174" s="198"/>
      <c r="I3174" s="196"/>
      <c r="J3174" s="179" t="str">
        <f>IF(A3174="RAPPI",(VLOOKUP(TRIM(D3174), CATALOGO!F:G, 2, FALSE) * C3174)+I3174,IFERROR(IF(COUNTIF('RESTAURANTESDESCUENTOS 2026'!A:A,TRIM(A3174))&gt;0,((VLOOKUP(TRIM(D3174), CATALOGO!A:B, 2, FALSE) * C3174)*(1-VALUE(SUBSTITUTE(VLOOKUP(TRIM(A3174),'RESTAURANTESDESCUENTOS 2026'!A:B,2,FALSE),"%",""))/100)+I3174),(VLOOKUP(TRIM(D3174), CATALOGO!A:B, 2, FALSE) * C3174+I3174)),""))</f>
        <v/>
      </c>
      <c r="K3174" s="196"/>
      <c r="L3174" s="87"/>
      <c r="M3174" s="245"/>
      <c r="N3174" s="168"/>
    </row>
    <row r="3175" ht="22.5" hidden="1" customHeight="1">
      <c r="A3175" s="137"/>
      <c r="B3175" s="90"/>
      <c r="C3175" s="55"/>
      <c r="D3175" s="193"/>
      <c r="E3175" s="201"/>
      <c r="F3175" s="202"/>
      <c r="G3175" s="194"/>
      <c r="H3175" s="198"/>
      <c r="I3175" s="196"/>
      <c r="J3175" s="179" t="str">
        <f>IF(A3175="RAPPI",(VLOOKUP(TRIM(D3175), CATALOGO!F:G, 2, FALSE) * C3175)+I3175,IFERROR(IF(COUNTIF('RESTAURANTESDESCUENTOS 2026'!A:A,TRIM(A3175))&gt;0,((VLOOKUP(TRIM(D3175), CATALOGO!A:B, 2, FALSE) * C3175)*(1-VALUE(SUBSTITUTE(VLOOKUP(TRIM(A3175),'RESTAURANTESDESCUENTOS 2026'!A:B,2,FALSE),"%",""))/100)+I3175),(VLOOKUP(TRIM(D3175), CATALOGO!A:B, 2, FALSE) * C3175+I3175)),""))</f>
        <v/>
      </c>
      <c r="K3175" s="196"/>
      <c r="L3175" s="87"/>
      <c r="M3175" s="245"/>
      <c r="N3175" s="168"/>
    </row>
    <row r="3176" ht="22.5" hidden="1" customHeight="1">
      <c r="A3176" s="137"/>
      <c r="B3176" s="90"/>
      <c r="C3176" s="55"/>
      <c r="D3176" s="193"/>
      <c r="E3176" s="201"/>
      <c r="F3176" s="202"/>
      <c r="G3176" s="194"/>
      <c r="H3176" s="198"/>
      <c r="I3176" s="196"/>
      <c r="J3176" s="179" t="str">
        <f>IF(A3176="RAPPI",(VLOOKUP(TRIM(D3176), CATALOGO!F:G, 2, FALSE) * C3176)+I3176,IFERROR(IF(COUNTIF('RESTAURANTESDESCUENTOS 2026'!A:A,TRIM(A3176))&gt;0,((VLOOKUP(TRIM(D3176), CATALOGO!A:B, 2, FALSE) * C3176)*(1-VALUE(SUBSTITUTE(VLOOKUP(TRIM(A3176),'RESTAURANTESDESCUENTOS 2026'!A:B,2,FALSE),"%",""))/100)+I3176),(VLOOKUP(TRIM(D3176), CATALOGO!A:B, 2, FALSE) * C3176+I3176)),""))</f>
        <v/>
      </c>
      <c r="K3176" s="196"/>
      <c r="L3176" s="87"/>
      <c r="M3176" s="245"/>
      <c r="N3176" s="168"/>
    </row>
    <row r="3177" ht="22.5" hidden="1" customHeight="1">
      <c r="A3177" s="137"/>
      <c r="B3177" s="90"/>
      <c r="C3177" s="55"/>
      <c r="D3177" s="193"/>
      <c r="E3177" s="201"/>
      <c r="F3177" s="202"/>
      <c r="G3177" s="194"/>
      <c r="H3177" s="198"/>
      <c r="I3177" s="196"/>
      <c r="J3177" s="179" t="str">
        <f>IF(A3177="RAPPI",(VLOOKUP(TRIM(D3177), CATALOGO!F:G, 2, FALSE) * C3177)+I3177,IFERROR(IF(COUNTIF('RESTAURANTESDESCUENTOS 2026'!A:A,TRIM(A3177))&gt;0,((VLOOKUP(TRIM(D3177), CATALOGO!A:B, 2, FALSE) * C3177)*(1-VALUE(SUBSTITUTE(VLOOKUP(TRIM(A3177),'RESTAURANTESDESCUENTOS 2026'!A:B,2,FALSE),"%",""))/100)+I3177),(VLOOKUP(TRIM(D3177), CATALOGO!A:B, 2, FALSE) * C3177+I3177)),""))</f>
        <v/>
      </c>
      <c r="K3177" s="196"/>
      <c r="L3177" s="87"/>
      <c r="M3177" s="245"/>
      <c r="N3177" s="168"/>
    </row>
    <row r="3178" ht="22.5" hidden="1" customHeight="1">
      <c r="A3178" s="137"/>
      <c r="B3178" s="90"/>
      <c r="C3178" s="55"/>
      <c r="D3178" s="193"/>
      <c r="E3178" s="201"/>
      <c r="F3178" s="202"/>
      <c r="G3178" s="194"/>
      <c r="H3178" s="198"/>
      <c r="I3178" s="196"/>
      <c r="J3178" s="179" t="str">
        <f>IF(A3178="RAPPI",(VLOOKUP(TRIM(D3178), CATALOGO!F:G, 2, FALSE) * C3178)+I3178,IFERROR(IF(COUNTIF('RESTAURANTESDESCUENTOS 2026'!A:A,TRIM(A3178))&gt;0,((VLOOKUP(TRIM(D3178), CATALOGO!A:B, 2, FALSE) * C3178)*(1-VALUE(SUBSTITUTE(VLOOKUP(TRIM(A3178),'RESTAURANTESDESCUENTOS 2026'!A:B,2,FALSE),"%",""))/100)+I3178),(VLOOKUP(TRIM(D3178), CATALOGO!A:B, 2, FALSE) * C3178+I3178)),""))</f>
        <v/>
      </c>
      <c r="K3178" s="196"/>
      <c r="L3178" s="87"/>
      <c r="M3178" s="245"/>
      <c r="N3178" s="168"/>
    </row>
    <row r="3179" ht="22.5" hidden="1" customHeight="1">
      <c r="A3179" s="137"/>
      <c r="B3179" s="90"/>
      <c r="C3179" s="55"/>
      <c r="D3179" s="193"/>
      <c r="E3179" s="201"/>
      <c r="F3179" s="202"/>
      <c r="G3179" s="194"/>
      <c r="H3179" s="198"/>
      <c r="I3179" s="196"/>
      <c r="J3179" s="179" t="str">
        <f>IF(A3179="RAPPI",(VLOOKUP(TRIM(D3179), CATALOGO!F:G, 2, FALSE) * C3179)+I3179,IFERROR(IF(COUNTIF('RESTAURANTESDESCUENTOS 2026'!A:A,TRIM(A3179))&gt;0,((VLOOKUP(TRIM(D3179), CATALOGO!A:B, 2, FALSE) * C3179)*(1-VALUE(SUBSTITUTE(VLOOKUP(TRIM(A3179),'RESTAURANTESDESCUENTOS 2026'!A:B,2,FALSE),"%",""))/100)+I3179),(VLOOKUP(TRIM(D3179), CATALOGO!A:B, 2, FALSE) * C3179+I3179)),""))</f>
        <v/>
      </c>
      <c r="K3179" s="196"/>
      <c r="L3179" s="87"/>
      <c r="M3179" s="245"/>
      <c r="N3179" s="168"/>
    </row>
    <row r="3180" ht="22.5" hidden="1" customHeight="1">
      <c r="A3180" s="137"/>
      <c r="B3180" s="90"/>
      <c r="C3180" s="55"/>
      <c r="D3180" s="193"/>
      <c r="E3180" s="201"/>
      <c r="F3180" s="202"/>
      <c r="G3180" s="194"/>
      <c r="H3180" s="198"/>
      <c r="I3180" s="196"/>
      <c r="J3180" s="179" t="str">
        <f>IF(A3180="RAPPI",(VLOOKUP(TRIM(D3180), CATALOGO!F:G, 2, FALSE) * C3180)+I3180,IFERROR(IF(COUNTIF('RESTAURANTESDESCUENTOS 2026'!A:A,TRIM(A3180))&gt;0,((VLOOKUP(TRIM(D3180), CATALOGO!A:B, 2, FALSE) * C3180)*(1-VALUE(SUBSTITUTE(VLOOKUP(TRIM(A3180),'RESTAURANTESDESCUENTOS 2026'!A:B,2,FALSE),"%",""))/100)+I3180),(VLOOKUP(TRIM(D3180), CATALOGO!A:B, 2, FALSE) * C3180+I3180)),""))</f>
        <v/>
      </c>
      <c r="K3180" s="196"/>
      <c r="L3180" s="87"/>
      <c r="M3180" s="245"/>
      <c r="N3180" s="168"/>
    </row>
    <row r="3181" ht="22.5" hidden="1" customHeight="1">
      <c r="A3181" s="137"/>
      <c r="B3181" s="90"/>
      <c r="C3181" s="55"/>
      <c r="D3181" s="193"/>
      <c r="E3181" s="201"/>
      <c r="F3181" s="202"/>
      <c r="G3181" s="194"/>
      <c r="H3181" s="198"/>
      <c r="I3181" s="196"/>
      <c r="J3181" s="179" t="str">
        <f>IF(A3181="RAPPI",(VLOOKUP(TRIM(D3181), CATALOGO!F:G, 2, FALSE) * C3181)+I3181,IFERROR(IF(COUNTIF('RESTAURANTESDESCUENTOS 2026'!A:A,TRIM(A3181))&gt;0,((VLOOKUP(TRIM(D3181), CATALOGO!A:B, 2, FALSE) * C3181)*(1-VALUE(SUBSTITUTE(VLOOKUP(TRIM(A3181),'RESTAURANTESDESCUENTOS 2026'!A:B,2,FALSE),"%",""))/100)+I3181),(VLOOKUP(TRIM(D3181), CATALOGO!A:B, 2, FALSE) * C3181+I3181)),""))</f>
        <v/>
      </c>
      <c r="K3181" s="196"/>
      <c r="L3181" s="87"/>
      <c r="M3181" s="245"/>
      <c r="N3181" s="168"/>
    </row>
    <row r="3182" ht="22.5" hidden="1" customHeight="1">
      <c r="A3182" s="137"/>
      <c r="B3182" s="90"/>
      <c r="C3182" s="55"/>
      <c r="D3182" s="193"/>
      <c r="E3182" s="201"/>
      <c r="F3182" s="202"/>
      <c r="G3182" s="194"/>
      <c r="H3182" s="198"/>
      <c r="I3182" s="196"/>
      <c r="J3182" s="179" t="str">
        <f>IF(A3182="RAPPI",(VLOOKUP(TRIM(D3182), CATALOGO!F:G, 2, FALSE) * C3182)+I3182,IFERROR(IF(COUNTIF('RESTAURANTESDESCUENTOS 2026'!A:A,TRIM(A3182))&gt;0,((VLOOKUP(TRIM(D3182), CATALOGO!A:B, 2, FALSE) * C3182)*(1-VALUE(SUBSTITUTE(VLOOKUP(TRIM(A3182),'RESTAURANTESDESCUENTOS 2026'!A:B,2,FALSE),"%",""))/100)+I3182),(VLOOKUP(TRIM(D3182), CATALOGO!A:B, 2, FALSE) * C3182+I3182)),""))</f>
        <v/>
      </c>
      <c r="K3182" s="196"/>
      <c r="L3182" s="87"/>
      <c r="M3182" s="245"/>
      <c r="N3182" s="168"/>
    </row>
    <row r="3183" ht="22.5" hidden="1" customHeight="1">
      <c r="A3183" s="137"/>
      <c r="B3183" s="90"/>
      <c r="C3183" s="55"/>
      <c r="D3183" s="193"/>
      <c r="E3183" s="201"/>
      <c r="F3183" s="202"/>
      <c r="G3183" s="194"/>
      <c r="H3183" s="198"/>
      <c r="I3183" s="196"/>
      <c r="J3183" s="179" t="str">
        <f>IF(A3183="RAPPI",(VLOOKUP(TRIM(D3183), CATALOGO!F:G, 2, FALSE) * C3183)+I3183,IFERROR(IF(COUNTIF('RESTAURANTESDESCUENTOS 2026'!A:A,TRIM(A3183))&gt;0,((VLOOKUP(TRIM(D3183), CATALOGO!A:B, 2, FALSE) * C3183)*(1-VALUE(SUBSTITUTE(VLOOKUP(TRIM(A3183),'RESTAURANTESDESCUENTOS 2026'!A:B,2,FALSE),"%",""))/100)+I3183),(VLOOKUP(TRIM(D3183), CATALOGO!A:B, 2, FALSE) * C3183+I3183)),""))</f>
        <v/>
      </c>
      <c r="K3183" s="196"/>
      <c r="L3183" s="87"/>
      <c r="M3183" s="245"/>
      <c r="N3183" s="168"/>
    </row>
    <row r="3184" ht="22.5" hidden="1" customHeight="1">
      <c r="A3184" s="137"/>
      <c r="B3184" s="90"/>
      <c r="C3184" s="55"/>
      <c r="D3184" s="193"/>
      <c r="E3184" s="201"/>
      <c r="F3184" s="202"/>
      <c r="G3184" s="194"/>
      <c r="H3184" s="198"/>
      <c r="I3184" s="196"/>
      <c r="J3184" s="179" t="str">
        <f>IF(A3184="RAPPI",(VLOOKUP(TRIM(D3184), CATALOGO!F:G, 2, FALSE) * C3184)+I3184,IFERROR(IF(COUNTIF('RESTAURANTESDESCUENTOS 2026'!A:A,TRIM(A3184))&gt;0,((VLOOKUP(TRIM(D3184), CATALOGO!A:B, 2, FALSE) * C3184)*(1-VALUE(SUBSTITUTE(VLOOKUP(TRIM(A3184),'RESTAURANTESDESCUENTOS 2026'!A:B,2,FALSE),"%",""))/100)+I3184),(VLOOKUP(TRIM(D3184), CATALOGO!A:B, 2, FALSE) * C3184+I3184)),""))</f>
        <v/>
      </c>
      <c r="K3184" s="196"/>
      <c r="L3184" s="87"/>
      <c r="M3184" s="245"/>
      <c r="N3184" s="168"/>
    </row>
    <row r="3185" ht="22.5" hidden="1" customHeight="1">
      <c r="A3185" s="137"/>
      <c r="B3185" s="90"/>
      <c r="C3185" s="55"/>
      <c r="D3185" s="193"/>
      <c r="E3185" s="201"/>
      <c r="F3185" s="202"/>
      <c r="G3185" s="194"/>
      <c r="H3185" s="198"/>
      <c r="I3185" s="196"/>
      <c r="J3185" s="179" t="str">
        <f>IF(A3185="RAPPI",(VLOOKUP(TRIM(D3185), CATALOGO!F:G, 2, FALSE) * C3185)+I3185,IFERROR(IF(COUNTIF('RESTAURANTESDESCUENTOS 2026'!A:A,TRIM(A3185))&gt;0,((VLOOKUP(TRIM(D3185), CATALOGO!A:B, 2, FALSE) * C3185)*(1-VALUE(SUBSTITUTE(VLOOKUP(TRIM(A3185),'RESTAURANTESDESCUENTOS 2026'!A:B,2,FALSE),"%",""))/100)+I3185),(VLOOKUP(TRIM(D3185), CATALOGO!A:B, 2, FALSE) * C3185+I3185)),""))</f>
        <v/>
      </c>
      <c r="K3185" s="196"/>
      <c r="L3185" s="87"/>
      <c r="M3185" s="245"/>
      <c r="N3185" s="168"/>
    </row>
    <row r="3186" ht="22.5" hidden="1" customHeight="1">
      <c r="A3186" s="137"/>
      <c r="B3186" s="90"/>
      <c r="C3186" s="55"/>
      <c r="D3186" s="193"/>
      <c r="E3186" s="201"/>
      <c r="F3186" s="202"/>
      <c r="G3186" s="194"/>
      <c r="H3186" s="198"/>
      <c r="I3186" s="196"/>
      <c r="J3186" s="179" t="str">
        <f>IF(A3186="RAPPI",(VLOOKUP(TRIM(D3186), CATALOGO!F:G, 2, FALSE) * C3186)+I3186,IFERROR(IF(COUNTIF('RESTAURANTESDESCUENTOS 2026'!A:A,TRIM(A3186))&gt;0,((VLOOKUP(TRIM(D3186), CATALOGO!A:B, 2, FALSE) * C3186)*(1-VALUE(SUBSTITUTE(VLOOKUP(TRIM(A3186),'RESTAURANTESDESCUENTOS 2026'!A:B,2,FALSE),"%",""))/100)+I3186),(VLOOKUP(TRIM(D3186), CATALOGO!A:B, 2, FALSE) * C3186+I3186)),""))</f>
        <v/>
      </c>
      <c r="K3186" s="196"/>
      <c r="L3186" s="87"/>
      <c r="M3186" s="245"/>
      <c r="N3186" s="168"/>
    </row>
    <row r="3187" ht="22.5" hidden="1" customHeight="1">
      <c r="A3187" s="137"/>
      <c r="B3187" s="90"/>
      <c r="C3187" s="55"/>
      <c r="D3187" s="193"/>
      <c r="E3187" s="201"/>
      <c r="F3187" s="202"/>
      <c r="G3187" s="194"/>
      <c r="H3187" s="198"/>
      <c r="I3187" s="196"/>
      <c r="J3187" s="179" t="str">
        <f>IF(A3187="RAPPI",(VLOOKUP(TRIM(D3187), CATALOGO!F:G, 2, FALSE) * C3187)+I3187,IFERROR(IF(COUNTIF('RESTAURANTESDESCUENTOS 2026'!A:A,TRIM(A3187))&gt;0,((VLOOKUP(TRIM(D3187), CATALOGO!A:B, 2, FALSE) * C3187)*(1-VALUE(SUBSTITUTE(VLOOKUP(TRIM(A3187),'RESTAURANTESDESCUENTOS 2026'!A:B,2,FALSE),"%",""))/100)+I3187),(VLOOKUP(TRIM(D3187), CATALOGO!A:B, 2, FALSE) * C3187+I3187)),""))</f>
        <v/>
      </c>
      <c r="K3187" s="196"/>
      <c r="L3187" s="87"/>
      <c r="M3187" s="245"/>
      <c r="N3187" s="168"/>
    </row>
    <row r="3188" ht="22.5" hidden="1" customHeight="1">
      <c r="A3188" s="137"/>
      <c r="B3188" s="90"/>
      <c r="C3188" s="55"/>
      <c r="D3188" s="193"/>
      <c r="E3188" s="201"/>
      <c r="F3188" s="202"/>
      <c r="G3188" s="194"/>
      <c r="H3188" s="198"/>
      <c r="I3188" s="196"/>
      <c r="J3188" s="179" t="str">
        <f>IF(A3188="RAPPI",(VLOOKUP(TRIM(D3188), CATALOGO!F:G, 2, FALSE) * C3188)+I3188,IFERROR(IF(COUNTIF('RESTAURANTESDESCUENTOS 2026'!A:A,TRIM(A3188))&gt;0,((VLOOKUP(TRIM(D3188), CATALOGO!A:B, 2, FALSE) * C3188)*(1-VALUE(SUBSTITUTE(VLOOKUP(TRIM(A3188),'RESTAURANTESDESCUENTOS 2026'!A:B,2,FALSE),"%",""))/100)+I3188),(VLOOKUP(TRIM(D3188), CATALOGO!A:B, 2, FALSE) * C3188+I3188)),""))</f>
        <v/>
      </c>
      <c r="K3188" s="196"/>
      <c r="L3188" s="87"/>
      <c r="M3188" s="245"/>
      <c r="N3188" s="168"/>
    </row>
    <row r="3189" ht="22.5" hidden="1" customHeight="1">
      <c r="A3189" s="137"/>
      <c r="B3189" s="90"/>
      <c r="C3189" s="55"/>
      <c r="D3189" s="193"/>
      <c r="E3189" s="201"/>
      <c r="F3189" s="202"/>
      <c r="G3189" s="194"/>
      <c r="H3189" s="198"/>
      <c r="I3189" s="196"/>
      <c r="J3189" s="179" t="str">
        <f>IF(A3189="RAPPI",(VLOOKUP(TRIM(D3189), CATALOGO!F:G, 2, FALSE) * C3189)+I3189,IFERROR(IF(COUNTIF('RESTAURANTESDESCUENTOS 2026'!A:A,TRIM(A3189))&gt;0,((VLOOKUP(TRIM(D3189), CATALOGO!A:B, 2, FALSE) * C3189)*(1-VALUE(SUBSTITUTE(VLOOKUP(TRIM(A3189),'RESTAURANTESDESCUENTOS 2026'!A:B,2,FALSE),"%",""))/100)+I3189),(VLOOKUP(TRIM(D3189), CATALOGO!A:B, 2, FALSE) * C3189+I3189)),""))</f>
        <v/>
      </c>
      <c r="K3189" s="196"/>
      <c r="L3189" s="87"/>
      <c r="M3189" s="245"/>
      <c r="N3189" s="168"/>
    </row>
    <row r="3190" ht="22.5" hidden="1" customHeight="1">
      <c r="A3190" s="137"/>
      <c r="B3190" s="90"/>
      <c r="C3190" s="55"/>
      <c r="D3190" s="193"/>
      <c r="E3190" s="201"/>
      <c r="F3190" s="202"/>
      <c r="G3190" s="194"/>
      <c r="H3190" s="198"/>
      <c r="I3190" s="196"/>
      <c r="J3190" s="179" t="str">
        <f>IF(A3190="RAPPI",(VLOOKUP(TRIM(D3190), CATALOGO!F:G, 2, FALSE) * C3190)+I3190,IFERROR(IF(COUNTIF('RESTAURANTESDESCUENTOS 2026'!A:A,TRIM(A3190))&gt;0,((VLOOKUP(TRIM(D3190), CATALOGO!A:B, 2, FALSE) * C3190)*(1-VALUE(SUBSTITUTE(VLOOKUP(TRIM(A3190),'RESTAURANTESDESCUENTOS 2026'!A:B,2,FALSE),"%",""))/100)+I3190),(VLOOKUP(TRIM(D3190), CATALOGO!A:B, 2, FALSE) * C3190+I3190)),""))</f>
        <v/>
      </c>
      <c r="K3190" s="196"/>
      <c r="L3190" s="87"/>
      <c r="M3190" s="245"/>
      <c r="N3190" s="168"/>
    </row>
    <row r="3191" ht="22.5" hidden="1" customHeight="1">
      <c r="A3191" s="137"/>
      <c r="B3191" s="90"/>
      <c r="C3191" s="55"/>
      <c r="D3191" s="193"/>
      <c r="E3191" s="201"/>
      <c r="F3191" s="202"/>
      <c r="G3191" s="194"/>
      <c r="H3191" s="198"/>
      <c r="I3191" s="196"/>
      <c r="J3191" s="179" t="str">
        <f>IF(A3191="RAPPI",(VLOOKUP(TRIM(D3191), CATALOGO!F:G, 2, FALSE) * C3191)+I3191,IFERROR(IF(COUNTIF('RESTAURANTESDESCUENTOS 2026'!A:A,TRIM(A3191))&gt;0,((VLOOKUP(TRIM(D3191), CATALOGO!A:B, 2, FALSE) * C3191)*(1-VALUE(SUBSTITUTE(VLOOKUP(TRIM(A3191),'RESTAURANTESDESCUENTOS 2026'!A:B,2,FALSE),"%",""))/100)+I3191),(VLOOKUP(TRIM(D3191), CATALOGO!A:B, 2, FALSE) * C3191+I3191)),""))</f>
        <v/>
      </c>
      <c r="K3191" s="196"/>
      <c r="L3191" s="87"/>
      <c r="M3191" s="245"/>
      <c r="N3191" s="168"/>
    </row>
    <row r="3192" ht="22.5" hidden="1" customHeight="1">
      <c r="A3192" s="137"/>
      <c r="B3192" s="90"/>
      <c r="C3192" s="55"/>
      <c r="D3192" s="193"/>
      <c r="E3192" s="201"/>
      <c r="F3192" s="202"/>
      <c r="G3192" s="194"/>
      <c r="H3192" s="198"/>
      <c r="I3192" s="196"/>
      <c r="J3192" s="179" t="str">
        <f>IF(A3192="RAPPI",(VLOOKUP(TRIM(D3192), CATALOGO!F:G, 2, FALSE) * C3192)+I3192,IFERROR(IF(COUNTIF('RESTAURANTESDESCUENTOS 2026'!A:A,TRIM(A3192))&gt;0,((VLOOKUP(TRIM(D3192), CATALOGO!A:B, 2, FALSE) * C3192)*(1-VALUE(SUBSTITUTE(VLOOKUP(TRIM(A3192),'RESTAURANTESDESCUENTOS 2026'!A:B,2,FALSE),"%",""))/100)+I3192),(VLOOKUP(TRIM(D3192), CATALOGO!A:B, 2, FALSE) * C3192+I3192)),""))</f>
        <v/>
      </c>
      <c r="K3192" s="196"/>
      <c r="L3192" s="87"/>
      <c r="M3192" s="245"/>
      <c r="N3192" s="168"/>
    </row>
    <row r="3193" ht="22.5" hidden="1" customHeight="1">
      <c r="A3193" s="137"/>
      <c r="B3193" s="90"/>
      <c r="C3193" s="55"/>
      <c r="D3193" s="193"/>
      <c r="E3193" s="201"/>
      <c r="F3193" s="202"/>
      <c r="G3193" s="194"/>
      <c r="H3193" s="198"/>
      <c r="I3193" s="196"/>
      <c r="J3193" s="179" t="str">
        <f>IF(A3193="RAPPI",(VLOOKUP(TRIM(D3193), CATALOGO!F:G, 2, FALSE) * C3193)+I3193,IFERROR(IF(COUNTIF('RESTAURANTESDESCUENTOS 2026'!A:A,TRIM(A3193))&gt;0,((VLOOKUP(TRIM(D3193), CATALOGO!A:B, 2, FALSE) * C3193)*(1-VALUE(SUBSTITUTE(VLOOKUP(TRIM(A3193),'RESTAURANTESDESCUENTOS 2026'!A:B,2,FALSE),"%",""))/100)+I3193),(VLOOKUP(TRIM(D3193), CATALOGO!A:B, 2, FALSE) * C3193+I3193)),""))</f>
        <v/>
      </c>
      <c r="K3193" s="196"/>
      <c r="L3193" s="87"/>
      <c r="M3193" s="245"/>
      <c r="N3193" s="168"/>
    </row>
    <row r="3194" ht="22.5" hidden="1" customHeight="1">
      <c r="A3194" s="137"/>
      <c r="B3194" s="90"/>
      <c r="C3194" s="55"/>
      <c r="D3194" s="193"/>
      <c r="E3194" s="201"/>
      <c r="F3194" s="202"/>
      <c r="G3194" s="194"/>
      <c r="H3194" s="198"/>
      <c r="I3194" s="196"/>
      <c r="J3194" s="179" t="str">
        <f>IF(A3194="RAPPI",(VLOOKUP(TRIM(D3194), CATALOGO!F:G, 2, FALSE) * C3194)+I3194,IFERROR(IF(COUNTIF('RESTAURANTESDESCUENTOS 2026'!A:A,TRIM(A3194))&gt;0,((VLOOKUP(TRIM(D3194), CATALOGO!A:B, 2, FALSE) * C3194)*(1-VALUE(SUBSTITUTE(VLOOKUP(TRIM(A3194),'RESTAURANTESDESCUENTOS 2026'!A:B,2,FALSE),"%",""))/100)+I3194),(VLOOKUP(TRIM(D3194), CATALOGO!A:B, 2, FALSE) * C3194+I3194)),""))</f>
        <v/>
      </c>
      <c r="K3194" s="196"/>
      <c r="L3194" s="87"/>
      <c r="M3194" s="245"/>
      <c r="N3194" s="168"/>
    </row>
    <row r="3195" ht="22.5" hidden="1" customHeight="1">
      <c r="A3195" s="137"/>
      <c r="B3195" s="90"/>
      <c r="C3195" s="55"/>
      <c r="D3195" s="193"/>
      <c r="E3195" s="201"/>
      <c r="F3195" s="202"/>
      <c r="G3195" s="194"/>
      <c r="H3195" s="198"/>
      <c r="I3195" s="196"/>
      <c r="J3195" s="179" t="str">
        <f>IF(A3195="RAPPI",(VLOOKUP(TRIM(D3195), CATALOGO!F:G, 2, FALSE) * C3195)+I3195,IFERROR(IF(COUNTIF('RESTAURANTESDESCUENTOS 2026'!A:A,TRIM(A3195))&gt;0,((VLOOKUP(TRIM(D3195), CATALOGO!A:B, 2, FALSE) * C3195)*(1-VALUE(SUBSTITUTE(VLOOKUP(TRIM(A3195),'RESTAURANTESDESCUENTOS 2026'!A:B,2,FALSE),"%",""))/100)+I3195),(VLOOKUP(TRIM(D3195), CATALOGO!A:B, 2, FALSE) * C3195+I3195)),""))</f>
        <v/>
      </c>
      <c r="K3195" s="196"/>
      <c r="L3195" s="87"/>
      <c r="M3195" s="245"/>
      <c r="N3195" s="168"/>
    </row>
    <row r="3196" ht="22.5" hidden="1" customHeight="1">
      <c r="A3196" s="137"/>
      <c r="B3196" s="90"/>
      <c r="C3196" s="55"/>
      <c r="D3196" s="193"/>
      <c r="E3196" s="201"/>
      <c r="F3196" s="202"/>
      <c r="G3196" s="194"/>
      <c r="H3196" s="198"/>
      <c r="I3196" s="196"/>
      <c r="J3196" s="179" t="str">
        <f>IF(A3196="RAPPI",(VLOOKUP(TRIM(D3196), CATALOGO!F:G, 2, FALSE) * C3196)+I3196,IFERROR(IF(COUNTIF('RESTAURANTESDESCUENTOS 2026'!A:A,TRIM(A3196))&gt;0,((VLOOKUP(TRIM(D3196), CATALOGO!A:B, 2, FALSE) * C3196)*(1-VALUE(SUBSTITUTE(VLOOKUP(TRIM(A3196),'RESTAURANTESDESCUENTOS 2026'!A:B,2,FALSE),"%",""))/100)+I3196),(VLOOKUP(TRIM(D3196), CATALOGO!A:B, 2, FALSE) * C3196+I3196)),""))</f>
        <v/>
      </c>
      <c r="K3196" s="196"/>
      <c r="L3196" s="87"/>
      <c r="M3196" s="245"/>
      <c r="N3196" s="168"/>
    </row>
    <row r="3197" ht="22.5" hidden="1" customHeight="1">
      <c r="A3197" s="137"/>
      <c r="B3197" s="90"/>
      <c r="C3197" s="55"/>
      <c r="D3197" s="193"/>
      <c r="E3197" s="201"/>
      <c r="F3197" s="202"/>
      <c r="G3197" s="194"/>
      <c r="H3197" s="198"/>
      <c r="I3197" s="196"/>
      <c r="J3197" s="179" t="str">
        <f>IF(A3197="RAPPI",(VLOOKUP(TRIM(D3197), CATALOGO!F:G, 2, FALSE) * C3197)+I3197,IFERROR(IF(COUNTIF('RESTAURANTESDESCUENTOS 2026'!A:A,TRIM(A3197))&gt;0,((VLOOKUP(TRIM(D3197), CATALOGO!A:B, 2, FALSE) * C3197)*(1-VALUE(SUBSTITUTE(VLOOKUP(TRIM(A3197),'RESTAURANTESDESCUENTOS 2026'!A:B,2,FALSE),"%",""))/100)+I3197),(VLOOKUP(TRIM(D3197), CATALOGO!A:B, 2, FALSE) * C3197+I3197)),""))</f>
        <v/>
      </c>
      <c r="K3197" s="196"/>
      <c r="L3197" s="87"/>
      <c r="M3197" s="245"/>
      <c r="N3197" s="168"/>
    </row>
    <row r="3198" ht="22.5" hidden="1" customHeight="1">
      <c r="A3198" s="137"/>
      <c r="B3198" s="90"/>
      <c r="C3198" s="55"/>
      <c r="D3198" s="193"/>
      <c r="E3198" s="201"/>
      <c r="F3198" s="202"/>
      <c r="G3198" s="194"/>
      <c r="H3198" s="198"/>
      <c r="I3198" s="196"/>
      <c r="J3198" s="179" t="str">
        <f>IF(A3198="RAPPI",(VLOOKUP(TRIM(D3198), CATALOGO!F:G, 2, FALSE) * C3198)+I3198,IFERROR(IF(COUNTIF('RESTAURANTESDESCUENTOS 2026'!A:A,TRIM(A3198))&gt;0,((VLOOKUP(TRIM(D3198), CATALOGO!A:B, 2, FALSE) * C3198)*(1-VALUE(SUBSTITUTE(VLOOKUP(TRIM(A3198),'RESTAURANTESDESCUENTOS 2026'!A:B,2,FALSE),"%",""))/100)+I3198),(VLOOKUP(TRIM(D3198), CATALOGO!A:B, 2, FALSE) * C3198+I3198)),""))</f>
        <v/>
      </c>
      <c r="K3198" s="196"/>
      <c r="L3198" s="87"/>
      <c r="M3198" s="245"/>
      <c r="N3198" s="168"/>
    </row>
    <row r="3199" ht="22.5" hidden="1" customHeight="1">
      <c r="A3199" s="137"/>
      <c r="B3199" s="90"/>
      <c r="C3199" s="55"/>
      <c r="D3199" s="193"/>
      <c r="E3199" s="201"/>
      <c r="F3199" s="202"/>
      <c r="G3199" s="194"/>
      <c r="H3199" s="198"/>
      <c r="I3199" s="196"/>
      <c r="J3199" s="179" t="str">
        <f>IF(A3199="RAPPI",(VLOOKUP(TRIM(D3199), CATALOGO!F:G, 2, FALSE) * C3199)+I3199,IFERROR(IF(COUNTIF('RESTAURANTESDESCUENTOS 2026'!A:A,TRIM(A3199))&gt;0,((VLOOKUP(TRIM(D3199), CATALOGO!A:B, 2, FALSE) * C3199)*(1-VALUE(SUBSTITUTE(VLOOKUP(TRIM(A3199),'RESTAURANTESDESCUENTOS 2026'!A:B,2,FALSE),"%",""))/100)+I3199),(VLOOKUP(TRIM(D3199), CATALOGO!A:B, 2, FALSE) * C3199+I3199)),""))</f>
        <v/>
      </c>
      <c r="K3199" s="196"/>
      <c r="L3199" s="87"/>
      <c r="M3199" s="245"/>
      <c r="N3199" s="168"/>
    </row>
    <row r="3200" ht="22.5" hidden="1" customHeight="1">
      <c r="A3200" s="137"/>
      <c r="B3200" s="90"/>
      <c r="C3200" s="55"/>
      <c r="D3200" s="193"/>
      <c r="E3200" s="201"/>
      <c r="F3200" s="202"/>
      <c r="G3200" s="194"/>
      <c r="H3200" s="198"/>
      <c r="I3200" s="196"/>
      <c r="J3200" s="179" t="str">
        <f>IF(A3200="RAPPI",(VLOOKUP(TRIM(D3200), CATALOGO!F:G, 2, FALSE) * C3200)+I3200,IFERROR(IF(COUNTIF('RESTAURANTESDESCUENTOS 2026'!A:A,TRIM(A3200))&gt;0,((VLOOKUP(TRIM(D3200), CATALOGO!A:B, 2, FALSE) * C3200)*(1-VALUE(SUBSTITUTE(VLOOKUP(TRIM(A3200),'RESTAURANTESDESCUENTOS 2026'!A:B,2,FALSE),"%",""))/100)+I3200),(VLOOKUP(TRIM(D3200), CATALOGO!A:B, 2, FALSE) * C3200+I3200)),""))</f>
        <v/>
      </c>
      <c r="K3200" s="196"/>
      <c r="L3200" s="87"/>
      <c r="M3200" s="245"/>
      <c r="N3200" s="168"/>
    </row>
    <row r="3201" ht="22.5" hidden="1" customHeight="1">
      <c r="A3201" s="137"/>
      <c r="B3201" s="90"/>
      <c r="C3201" s="55"/>
      <c r="D3201" s="193"/>
      <c r="E3201" s="201"/>
      <c r="F3201" s="202"/>
      <c r="G3201" s="194"/>
      <c r="H3201" s="198"/>
      <c r="I3201" s="196"/>
      <c r="J3201" s="179" t="str">
        <f>IF(A3201="RAPPI",(VLOOKUP(TRIM(D3201), CATALOGO!F:G, 2, FALSE) * C3201)+I3201,IFERROR(IF(COUNTIF('RESTAURANTESDESCUENTOS 2026'!A:A,TRIM(A3201))&gt;0,((VLOOKUP(TRIM(D3201), CATALOGO!A:B, 2, FALSE) * C3201)*(1-VALUE(SUBSTITUTE(VLOOKUP(TRIM(A3201),'RESTAURANTESDESCUENTOS 2026'!A:B,2,FALSE),"%",""))/100)+I3201),(VLOOKUP(TRIM(D3201), CATALOGO!A:B, 2, FALSE) * C3201+I3201)),""))</f>
        <v/>
      </c>
      <c r="K3201" s="196"/>
      <c r="L3201" s="87"/>
      <c r="M3201" s="245"/>
      <c r="N3201" s="168"/>
    </row>
    <row r="3202" ht="22.5" hidden="1" customHeight="1">
      <c r="A3202" s="137"/>
      <c r="B3202" s="90"/>
      <c r="C3202" s="55"/>
      <c r="D3202" s="193"/>
      <c r="E3202" s="201"/>
      <c r="F3202" s="202"/>
      <c r="G3202" s="194"/>
      <c r="H3202" s="198"/>
      <c r="I3202" s="196"/>
      <c r="J3202" s="179" t="str">
        <f>IF(A3202="RAPPI",(VLOOKUP(TRIM(D3202), CATALOGO!F:G, 2, FALSE) * C3202)+I3202,IFERROR(IF(COUNTIF('RESTAURANTESDESCUENTOS 2026'!A:A,TRIM(A3202))&gt;0,((VLOOKUP(TRIM(D3202), CATALOGO!A:B, 2, FALSE) * C3202)*(1-VALUE(SUBSTITUTE(VLOOKUP(TRIM(A3202),'RESTAURANTESDESCUENTOS 2026'!A:B,2,FALSE),"%",""))/100)+I3202),(VLOOKUP(TRIM(D3202), CATALOGO!A:B, 2, FALSE) * C3202+I3202)),""))</f>
        <v/>
      </c>
      <c r="K3202" s="196"/>
      <c r="L3202" s="87"/>
      <c r="M3202" s="245"/>
      <c r="N3202" s="168"/>
    </row>
    <row r="3203" ht="22.5" hidden="1" customHeight="1">
      <c r="A3203" s="137"/>
      <c r="B3203" s="90"/>
      <c r="C3203" s="55"/>
      <c r="D3203" s="193"/>
      <c r="E3203" s="201"/>
      <c r="F3203" s="202"/>
      <c r="G3203" s="194"/>
      <c r="H3203" s="198"/>
      <c r="I3203" s="196"/>
      <c r="J3203" s="179" t="str">
        <f>IF(A3203="RAPPI",(VLOOKUP(TRIM(D3203), CATALOGO!F:G, 2, FALSE) * C3203)+I3203,IFERROR(IF(COUNTIF('RESTAURANTESDESCUENTOS 2026'!A:A,TRIM(A3203))&gt;0,((VLOOKUP(TRIM(D3203), CATALOGO!A:B, 2, FALSE) * C3203)*(1-VALUE(SUBSTITUTE(VLOOKUP(TRIM(A3203),'RESTAURANTESDESCUENTOS 2026'!A:B,2,FALSE),"%",""))/100)+I3203),(VLOOKUP(TRIM(D3203), CATALOGO!A:B, 2, FALSE) * C3203+I3203)),""))</f>
        <v/>
      </c>
      <c r="K3203" s="196"/>
      <c r="L3203" s="87"/>
      <c r="M3203" s="245"/>
      <c r="N3203" s="168"/>
    </row>
    <row r="3204" ht="22.5" hidden="1" customHeight="1">
      <c r="A3204" s="137"/>
      <c r="B3204" s="90"/>
      <c r="C3204" s="55"/>
      <c r="D3204" s="193"/>
      <c r="E3204" s="201"/>
      <c r="F3204" s="202"/>
      <c r="G3204" s="194"/>
      <c r="H3204" s="198"/>
      <c r="I3204" s="196"/>
      <c r="J3204" s="179" t="str">
        <f>IF(A3204="RAPPI",(VLOOKUP(TRIM(D3204), CATALOGO!F:G, 2, FALSE) * C3204)+I3204,IFERROR(IF(COUNTIF('RESTAURANTESDESCUENTOS 2026'!A:A,TRIM(A3204))&gt;0,((VLOOKUP(TRIM(D3204), CATALOGO!A:B, 2, FALSE) * C3204)*(1-VALUE(SUBSTITUTE(VLOOKUP(TRIM(A3204),'RESTAURANTESDESCUENTOS 2026'!A:B,2,FALSE),"%",""))/100)+I3204),(VLOOKUP(TRIM(D3204), CATALOGO!A:B, 2, FALSE) * C3204+I3204)),""))</f>
        <v/>
      </c>
      <c r="K3204" s="196"/>
      <c r="L3204" s="87"/>
      <c r="M3204" s="245"/>
      <c r="N3204" s="168"/>
    </row>
    <row r="3205" ht="22.5" hidden="1" customHeight="1">
      <c r="A3205" s="137"/>
      <c r="B3205" s="90"/>
      <c r="C3205" s="55"/>
      <c r="D3205" s="193"/>
      <c r="E3205" s="201"/>
      <c r="F3205" s="202"/>
      <c r="G3205" s="194"/>
      <c r="H3205" s="198"/>
      <c r="I3205" s="196"/>
      <c r="J3205" s="179" t="str">
        <f>IF(A3205="RAPPI",(VLOOKUP(TRIM(D3205), CATALOGO!F:G, 2, FALSE) * C3205)+I3205,IFERROR(IF(COUNTIF('RESTAURANTESDESCUENTOS 2026'!A:A,TRIM(A3205))&gt;0,((VLOOKUP(TRIM(D3205), CATALOGO!A:B, 2, FALSE) * C3205)*(1-VALUE(SUBSTITUTE(VLOOKUP(TRIM(A3205),'RESTAURANTESDESCUENTOS 2026'!A:B,2,FALSE),"%",""))/100)+I3205),(VLOOKUP(TRIM(D3205), CATALOGO!A:B, 2, FALSE) * C3205+I3205)),""))</f>
        <v/>
      </c>
      <c r="K3205" s="196"/>
      <c r="L3205" s="87"/>
      <c r="M3205" s="245"/>
      <c r="N3205" s="168"/>
    </row>
    <row r="3206" ht="22.5" hidden="1" customHeight="1">
      <c r="A3206" s="137"/>
      <c r="B3206" s="90"/>
      <c r="C3206" s="55"/>
      <c r="D3206" s="193"/>
      <c r="E3206" s="201"/>
      <c r="F3206" s="202"/>
      <c r="G3206" s="194"/>
      <c r="H3206" s="198"/>
      <c r="I3206" s="196"/>
      <c r="J3206" s="179" t="str">
        <f>IF(A3206="RAPPI",(VLOOKUP(TRIM(D3206), CATALOGO!F:G, 2, FALSE) * C3206)+I3206,IFERROR(IF(COUNTIF('RESTAURANTESDESCUENTOS 2026'!A:A,TRIM(A3206))&gt;0,((VLOOKUP(TRIM(D3206), CATALOGO!A:B, 2, FALSE) * C3206)*(1-VALUE(SUBSTITUTE(VLOOKUP(TRIM(A3206),'RESTAURANTESDESCUENTOS 2026'!A:B,2,FALSE),"%",""))/100)+I3206),(VLOOKUP(TRIM(D3206), CATALOGO!A:B, 2, FALSE) * C3206+I3206)),""))</f>
        <v/>
      </c>
      <c r="K3206" s="196"/>
      <c r="L3206" s="87"/>
      <c r="M3206" s="245"/>
      <c r="N3206" s="168"/>
    </row>
    <row r="3207" ht="22.5" hidden="1" customHeight="1">
      <c r="A3207" s="137"/>
      <c r="B3207" s="90"/>
      <c r="C3207" s="55"/>
      <c r="D3207" s="193"/>
      <c r="E3207" s="201"/>
      <c r="F3207" s="202"/>
      <c r="G3207" s="194"/>
      <c r="H3207" s="198"/>
      <c r="I3207" s="196"/>
      <c r="J3207" s="179" t="str">
        <f>IF(A3207="RAPPI",(VLOOKUP(TRIM(D3207), CATALOGO!F:G, 2, FALSE) * C3207)+I3207,IFERROR(IF(COUNTIF('RESTAURANTESDESCUENTOS 2026'!A:A,TRIM(A3207))&gt;0,((VLOOKUP(TRIM(D3207), CATALOGO!A:B, 2, FALSE) * C3207)*(1-VALUE(SUBSTITUTE(VLOOKUP(TRIM(A3207),'RESTAURANTESDESCUENTOS 2026'!A:B,2,FALSE),"%",""))/100)+I3207),(VLOOKUP(TRIM(D3207), CATALOGO!A:B, 2, FALSE) * C3207+I3207)),""))</f>
        <v/>
      </c>
      <c r="K3207" s="196"/>
      <c r="L3207" s="87"/>
      <c r="M3207" s="245"/>
      <c r="N3207" s="168"/>
    </row>
    <row r="3208" ht="22.5" hidden="1" customHeight="1">
      <c r="A3208" s="137"/>
      <c r="B3208" s="90"/>
      <c r="C3208" s="55"/>
      <c r="D3208" s="193"/>
      <c r="E3208" s="201"/>
      <c r="F3208" s="202"/>
      <c r="G3208" s="194"/>
      <c r="H3208" s="198"/>
      <c r="I3208" s="196"/>
      <c r="J3208" s="179" t="str">
        <f>IF(A3208="RAPPI",(VLOOKUP(TRIM(D3208), CATALOGO!F:G, 2, FALSE) * C3208)+I3208,IFERROR(IF(COUNTIF('RESTAURANTESDESCUENTOS 2026'!A:A,TRIM(A3208))&gt;0,((VLOOKUP(TRIM(D3208), CATALOGO!A:B, 2, FALSE) * C3208)*(1-VALUE(SUBSTITUTE(VLOOKUP(TRIM(A3208),'RESTAURANTESDESCUENTOS 2026'!A:B,2,FALSE),"%",""))/100)+I3208),(VLOOKUP(TRIM(D3208), CATALOGO!A:B, 2, FALSE) * C3208+I3208)),""))</f>
        <v/>
      </c>
      <c r="K3208" s="196"/>
      <c r="L3208" s="87"/>
      <c r="M3208" s="245"/>
      <c r="N3208" s="168"/>
    </row>
    <row r="3209" ht="22.5" hidden="1" customHeight="1">
      <c r="A3209" s="137"/>
      <c r="B3209" s="90"/>
      <c r="C3209" s="55"/>
      <c r="D3209" s="193"/>
      <c r="E3209" s="201"/>
      <c r="F3209" s="202"/>
      <c r="G3209" s="194"/>
      <c r="H3209" s="198"/>
      <c r="I3209" s="196"/>
      <c r="J3209" s="179" t="str">
        <f>IF(A3209="RAPPI",(VLOOKUP(TRIM(D3209), CATALOGO!F:G, 2, FALSE) * C3209)+I3209,IFERROR(IF(COUNTIF('RESTAURANTESDESCUENTOS 2026'!A:A,TRIM(A3209))&gt;0,((VLOOKUP(TRIM(D3209), CATALOGO!A:B, 2, FALSE) * C3209)*(1-VALUE(SUBSTITUTE(VLOOKUP(TRIM(A3209),'RESTAURANTESDESCUENTOS 2026'!A:B,2,FALSE),"%",""))/100)+I3209),(VLOOKUP(TRIM(D3209), CATALOGO!A:B, 2, FALSE) * C3209+I3209)),""))</f>
        <v/>
      </c>
      <c r="K3209" s="196"/>
      <c r="L3209" s="87"/>
      <c r="M3209" s="245"/>
      <c r="N3209" s="168"/>
    </row>
    <row r="3210" ht="22.5" hidden="1" customHeight="1">
      <c r="A3210" s="137"/>
      <c r="B3210" s="90"/>
      <c r="C3210" s="55"/>
      <c r="D3210" s="193"/>
      <c r="E3210" s="201"/>
      <c r="F3210" s="202"/>
      <c r="G3210" s="194"/>
      <c r="H3210" s="198"/>
      <c r="I3210" s="196"/>
      <c r="J3210" s="179" t="str">
        <f>IF(A3210="RAPPI",(VLOOKUP(TRIM(D3210), CATALOGO!F:G, 2, FALSE) * C3210)+I3210,IFERROR(IF(COUNTIF('RESTAURANTESDESCUENTOS 2026'!A:A,TRIM(A3210))&gt;0,((VLOOKUP(TRIM(D3210), CATALOGO!A:B, 2, FALSE) * C3210)*(1-VALUE(SUBSTITUTE(VLOOKUP(TRIM(A3210),'RESTAURANTESDESCUENTOS 2026'!A:B,2,FALSE),"%",""))/100)+I3210),(VLOOKUP(TRIM(D3210), CATALOGO!A:B, 2, FALSE) * C3210+I3210)),""))</f>
        <v/>
      </c>
      <c r="K3210" s="196"/>
      <c r="L3210" s="87"/>
      <c r="M3210" s="245"/>
      <c r="N3210" s="168"/>
    </row>
    <row r="3211" ht="22.5" hidden="1" customHeight="1">
      <c r="A3211" s="137"/>
      <c r="B3211" s="90"/>
      <c r="C3211" s="55"/>
      <c r="D3211" s="193"/>
      <c r="E3211" s="201"/>
      <c r="F3211" s="202"/>
      <c r="G3211" s="194"/>
      <c r="H3211" s="198"/>
      <c r="I3211" s="196"/>
      <c r="J3211" s="179" t="str">
        <f>IF(A3211="RAPPI",(VLOOKUP(TRIM(D3211), CATALOGO!F:G, 2, FALSE) * C3211)+I3211,IFERROR(IF(COUNTIF('RESTAURANTESDESCUENTOS 2026'!A:A,TRIM(A3211))&gt;0,((VLOOKUP(TRIM(D3211), CATALOGO!A:B, 2, FALSE) * C3211)*(1-VALUE(SUBSTITUTE(VLOOKUP(TRIM(A3211),'RESTAURANTESDESCUENTOS 2026'!A:B,2,FALSE),"%",""))/100)+I3211),(VLOOKUP(TRIM(D3211), CATALOGO!A:B, 2, FALSE) * C3211+I3211)),""))</f>
        <v/>
      </c>
      <c r="K3211" s="196"/>
      <c r="L3211" s="87"/>
      <c r="M3211" s="245"/>
      <c r="N3211" s="168"/>
    </row>
    <row r="3212" ht="22.5" hidden="1" customHeight="1">
      <c r="A3212" s="137"/>
      <c r="B3212" s="90"/>
      <c r="C3212" s="55"/>
      <c r="D3212" s="193"/>
      <c r="E3212" s="201"/>
      <c r="F3212" s="202"/>
      <c r="G3212" s="194"/>
      <c r="H3212" s="198"/>
      <c r="I3212" s="196"/>
      <c r="J3212" s="179" t="str">
        <f>IF(A3212="RAPPI",(VLOOKUP(TRIM(D3212), CATALOGO!F:G, 2, FALSE) * C3212)+I3212,IFERROR(IF(COUNTIF('RESTAURANTESDESCUENTOS 2026'!A:A,TRIM(A3212))&gt;0,((VLOOKUP(TRIM(D3212), CATALOGO!A:B, 2, FALSE) * C3212)*(1-VALUE(SUBSTITUTE(VLOOKUP(TRIM(A3212),'RESTAURANTESDESCUENTOS 2026'!A:B,2,FALSE),"%",""))/100)+I3212),(VLOOKUP(TRIM(D3212), CATALOGO!A:B, 2, FALSE) * C3212+I3212)),""))</f>
        <v/>
      </c>
      <c r="K3212" s="196"/>
      <c r="L3212" s="87"/>
      <c r="M3212" s="245"/>
      <c r="N3212" s="168"/>
    </row>
    <row r="3213" ht="22.5" hidden="1" customHeight="1">
      <c r="A3213" s="137"/>
      <c r="B3213" s="90"/>
      <c r="C3213" s="55"/>
      <c r="D3213" s="193"/>
      <c r="E3213" s="201"/>
      <c r="F3213" s="202"/>
      <c r="G3213" s="194"/>
      <c r="H3213" s="198"/>
      <c r="I3213" s="196"/>
      <c r="J3213" s="179" t="str">
        <f>IF(A3213="RAPPI",(VLOOKUP(TRIM(D3213), CATALOGO!F:G, 2, FALSE) * C3213)+I3213,IFERROR(IF(COUNTIF('RESTAURANTESDESCUENTOS 2026'!A:A,TRIM(A3213))&gt;0,((VLOOKUP(TRIM(D3213), CATALOGO!A:B, 2, FALSE) * C3213)*(1-VALUE(SUBSTITUTE(VLOOKUP(TRIM(A3213),'RESTAURANTESDESCUENTOS 2026'!A:B,2,FALSE),"%",""))/100)+I3213),(VLOOKUP(TRIM(D3213), CATALOGO!A:B, 2, FALSE) * C3213+I3213)),""))</f>
        <v/>
      </c>
      <c r="K3213" s="196"/>
      <c r="L3213" s="87"/>
      <c r="M3213" s="245"/>
      <c r="N3213" s="168"/>
    </row>
    <row r="3214" ht="22.5" hidden="1" customHeight="1">
      <c r="A3214" s="137"/>
      <c r="B3214" s="90"/>
      <c r="C3214" s="55"/>
      <c r="D3214" s="193"/>
      <c r="E3214" s="201"/>
      <c r="F3214" s="202"/>
      <c r="G3214" s="194"/>
      <c r="H3214" s="198"/>
      <c r="I3214" s="196"/>
      <c r="J3214" s="179" t="str">
        <f>IF(A3214="RAPPI",(VLOOKUP(TRIM(D3214), CATALOGO!F:G, 2, FALSE) * C3214)+I3214,IFERROR(IF(COUNTIF('RESTAURANTESDESCUENTOS 2026'!A:A,TRIM(A3214))&gt;0,((VLOOKUP(TRIM(D3214), CATALOGO!A:B, 2, FALSE) * C3214)*(1-VALUE(SUBSTITUTE(VLOOKUP(TRIM(A3214),'RESTAURANTESDESCUENTOS 2026'!A:B,2,FALSE),"%",""))/100)+I3214),(VLOOKUP(TRIM(D3214), CATALOGO!A:B, 2, FALSE) * C3214+I3214)),""))</f>
        <v/>
      </c>
      <c r="K3214" s="196"/>
      <c r="L3214" s="87"/>
      <c r="M3214" s="245"/>
      <c r="N3214" s="168"/>
    </row>
    <row r="3215" ht="22.5" hidden="1" customHeight="1">
      <c r="A3215" s="137"/>
      <c r="B3215" s="90"/>
      <c r="C3215" s="55"/>
      <c r="D3215" s="193"/>
      <c r="E3215" s="201"/>
      <c r="F3215" s="202"/>
      <c r="G3215" s="194"/>
      <c r="H3215" s="198"/>
      <c r="I3215" s="196"/>
      <c r="J3215" s="179" t="str">
        <f>IF(A3215="RAPPI",(VLOOKUP(TRIM(D3215), CATALOGO!F:G, 2, FALSE) * C3215)+I3215,IFERROR(IF(COUNTIF('RESTAURANTESDESCUENTOS 2026'!A:A,TRIM(A3215))&gt;0,((VLOOKUP(TRIM(D3215), CATALOGO!A:B, 2, FALSE) * C3215)*(1-VALUE(SUBSTITUTE(VLOOKUP(TRIM(A3215),'RESTAURANTESDESCUENTOS 2026'!A:B,2,FALSE),"%",""))/100)+I3215),(VLOOKUP(TRIM(D3215), CATALOGO!A:B, 2, FALSE) * C3215+I3215)),""))</f>
        <v/>
      </c>
      <c r="K3215" s="196"/>
      <c r="L3215" s="87"/>
      <c r="M3215" s="245"/>
      <c r="N3215" s="168"/>
    </row>
    <row r="3216" ht="22.5" hidden="1" customHeight="1">
      <c r="A3216" s="137"/>
      <c r="B3216" s="90"/>
      <c r="C3216" s="55"/>
      <c r="D3216" s="193"/>
      <c r="E3216" s="201"/>
      <c r="F3216" s="202"/>
      <c r="G3216" s="194"/>
      <c r="H3216" s="198"/>
      <c r="I3216" s="196"/>
      <c r="J3216" s="179" t="str">
        <f>IF(A3216="RAPPI",(VLOOKUP(TRIM(D3216), CATALOGO!F:G, 2, FALSE) * C3216)+I3216,IFERROR(IF(COUNTIF('RESTAURANTESDESCUENTOS 2026'!A:A,TRIM(A3216))&gt;0,((VLOOKUP(TRIM(D3216), CATALOGO!A:B, 2, FALSE) * C3216)*(1-VALUE(SUBSTITUTE(VLOOKUP(TRIM(A3216),'RESTAURANTESDESCUENTOS 2026'!A:B,2,FALSE),"%",""))/100)+I3216),(VLOOKUP(TRIM(D3216), CATALOGO!A:B, 2, FALSE) * C3216+I3216)),""))</f>
        <v/>
      </c>
      <c r="K3216" s="196"/>
      <c r="L3216" s="87"/>
      <c r="M3216" s="245"/>
      <c r="N3216" s="168"/>
    </row>
    <row r="3217" ht="22.5" hidden="1" customHeight="1">
      <c r="A3217" s="137"/>
      <c r="B3217" s="90"/>
      <c r="C3217" s="55"/>
      <c r="D3217" s="193"/>
      <c r="E3217" s="201"/>
      <c r="F3217" s="202"/>
      <c r="G3217" s="194"/>
      <c r="H3217" s="198"/>
      <c r="I3217" s="196"/>
      <c r="J3217" s="179" t="str">
        <f>IF(A3217="RAPPI",(VLOOKUP(TRIM(D3217), CATALOGO!F:G, 2, FALSE) * C3217)+I3217,IFERROR(IF(COUNTIF('RESTAURANTESDESCUENTOS 2026'!A:A,TRIM(A3217))&gt;0,((VLOOKUP(TRIM(D3217), CATALOGO!A:B, 2, FALSE) * C3217)*(1-VALUE(SUBSTITUTE(VLOOKUP(TRIM(A3217),'RESTAURANTESDESCUENTOS 2026'!A:B,2,FALSE),"%",""))/100)+I3217),(VLOOKUP(TRIM(D3217), CATALOGO!A:B, 2, FALSE) * C3217+I3217)),""))</f>
        <v/>
      </c>
      <c r="K3217" s="196"/>
      <c r="L3217" s="87"/>
      <c r="M3217" s="245"/>
      <c r="N3217" s="168"/>
    </row>
    <row r="3218" ht="22.5" hidden="1" customHeight="1">
      <c r="A3218" s="137"/>
      <c r="B3218" s="90"/>
      <c r="C3218" s="55"/>
      <c r="D3218" s="193"/>
      <c r="E3218" s="201"/>
      <c r="F3218" s="202"/>
      <c r="G3218" s="194"/>
      <c r="H3218" s="198"/>
      <c r="I3218" s="196"/>
      <c r="J3218" s="179" t="str">
        <f>IF(A3218="RAPPI",(VLOOKUP(TRIM(D3218), CATALOGO!F:G, 2, FALSE) * C3218)+I3218,IFERROR(IF(COUNTIF('RESTAURANTESDESCUENTOS 2026'!A:A,TRIM(A3218))&gt;0,((VLOOKUP(TRIM(D3218), CATALOGO!A:B, 2, FALSE) * C3218)*(1-VALUE(SUBSTITUTE(VLOOKUP(TRIM(A3218),'RESTAURANTESDESCUENTOS 2026'!A:B,2,FALSE),"%",""))/100)+I3218),(VLOOKUP(TRIM(D3218), CATALOGO!A:B, 2, FALSE) * C3218+I3218)),""))</f>
        <v/>
      </c>
      <c r="K3218" s="196"/>
      <c r="L3218" s="87"/>
      <c r="M3218" s="245"/>
      <c r="N3218" s="168"/>
    </row>
    <row r="3219" ht="22.5" hidden="1" customHeight="1">
      <c r="A3219" s="137"/>
      <c r="B3219" s="90"/>
      <c r="C3219" s="55"/>
      <c r="D3219" s="193"/>
      <c r="E3219" s="201"/>
      <c r="F3219" s="202"/>
      <c r="G3219" s="194"/>
      <c r="H3219" s="198"/>
      <c r="I3219" s="196"/>
      <c r="J3219" s="179" t="str">
        <f>IF(A3219="RAPPI",(VLOOKUP(TRIM(D3219), CATALOGO!F:G, 2, FALSE) * C3219)+I3219,IFERROR(IF(COUNTIF('RESTAURANTESDESCUENTOS 2026'!A:A,TRIM(A3219))&gt;0,((VLOOKUP(TRIM(D3219), CATALOGO!A:B, 2, FALSE) * C3219)*(1-VALUE(SUBSTITUTE(VLOOKUP(TRIM(A3219),'RESTAURANTESDESCUENTOS 2026'!A:B,2,FALSE),"%",""))/100)+I3219),(VLOOKUP(TRIM(D3219), CATALOGO!A:B, 2, FALSE) * C3219+I3219)),""))</f>
        <v/>
      </c>
      <c r="K3219" s="196"/>
      <c r="L3219" s="87"/>
      <c r="M3219" s="245"/>
      <c r="N3219" s="168"/>
    </row>
    <row r="3220" ht="22.5" hidden="1" customHeight="1">
      <c r="A3220" s="137"/>
      <c r="B3220" s="90"/>
      <c r="C3220" s="55"/>
      <c r="D3220" s="193"/>
      <c r="E3220" s="201"/>
      <c r="F3220" s="202"/>
      <c r="G3220" s="194"/>
      <c r="H3220" s="198"/>
      <c r="I3220" s="196"/>
      <c r="J3220" s="179" t="str">
        <f>IF(A3220="RAPPI",(VLOOKUP(TRIM(D3220), CATALOGO!F:G, 2, FALSE) * C3220)+I3220,IFERROR(IF(COUNTIF('RESTAURANTESDESCUENTOS 2026'!A:A,TRIM(A3220))&gt;0,((VLOOKUP(TRIM(D3220), CATALOGO!A:B, 2, FALSE) * C3220)*(1-VALUE(SUBSTITUTE(VLOOKUP(TRIM(A3220),'RESTAURANTESDESCUENTOS 2026'!A:B,2,FALSE),"%",""))/100)+I3220),(VLOOKUP(TRIM(D3220), CATALOGO!A:B, 2, FALSE) * C3220+I3220)),""))</f>
        <v/>
      </c>
      <c r="K3220" s="196"/>
      <c r="L3220" s="87"/>
      <c r="M3220" s="245"/>
      <c r="N3220" s="168"/>
    </row>
    <row r="3221" ht="22.5" hidden="1" customHeight="1">
      <c r="A3221" s="137"/>
      <c r="B3221" s="90"/>
      <c r="C3221" s="55"/>
      <c r="D3221" s="193"/>
      <c r="E3221" s="201"/>
      <c r="F3221" s="202"/>
      <c r="G3221" s="194"/>
      <c r="H3221" s="198"/>
      <c r="I3221" s="196"/>
      <c r="J3221" s="179" t="str">
        <f>IF(A3221="RAPPI",(VLOOKUP(TRIM(D3221), CATALOGO!F:G, 2, FALSE) * C3221)+I3221,IFERROR(IF(COUNTIF('RESTAURANTESDESCUENTOS 2026'!A:A,TRIM(A3221))&gt;0,((VLOOKUP(TRIM(D3221), CATALOGO!A:B, 2, FALSE) * C3221)*(1-VALUE(SUBSTITUTE(VLOOKUP(TRIM(A3221),'RESTAURANTESDESCUENTOS 2026'!A:B,2,FALSE),"%",""))/100)+I3221),(VLOOKUP(TRIM(D3221), CATALOGO!A:B, 2, FALSE) * C3221+I3221)),""))</f>
        <v/>
      </c>
      <c r="K3221" s="196"/>
      <c r="L3221" s="87"/>
      <c r="M3221" s="245"/>
      <c r="N3221" s="168"/>
    </row>
    <row r="3222" ht="22.5" hidden="1" customHeight="1">
      <c r="A3222" s="137"/>
      <c r="B3222" s="90"/>
      <c r="C3222" s="55"/>
      <c r="D3222" s="193"/>
      <c r="E3222" s="201"/>
      <c r="F3222" s="202"/>
      <c r="G3222" s="194"/>
      <c r="H3222" s="198"/>
      <c r="I3222" s="196"/>
      <c r="J3222" s="179" t="str">
        <f>IF(A3222="RAPPI",(VLOOKUP(TRIM(D3222), CATALOGO!F:G, 2, FALSE) * C3222)+I3222,IFERROR(IF(COUNTIF('RESTAURANTESDESCUENTOS 2026'!A:A,TRIM(A3222))&gt;0,((VLOOKUP(TRIM(D3222), CATALOGO!A:B, 2, FALSE) * C3222)*(1-VALUE(SUBSTITUTE(VLOOKUP(TRIM(A3222),'RESTAURANTESDESCUENTOS 2026'!A:B,2,FALSE),"%",""))/100)+I3222),(VLOOKUP(TRIM(D3222), CATALOGO!A:B, 2, FALSE) * C3222+I3222)),""))</f>
        <v/>
      </c>
      <c r="K3222" s="196"/>
      <c r="L3222" s="87"/>
      <c r="M3222" s="245"/>
      <c r="N3222" s="168"/>
    </row>
    <row r="3223" ht="22.5" hidden="1" customHeight="1">
      <c r="A3223" s="137"/>
      <c r="B3223" s="90"/>
      <c r="C3223" s="55"/>
      <c r="D3223" s="193"/>
      <c r="E3223" s="201"/>
      <c r="F3223" s="202"/>
      <c r="G3223" s="194"/>
      <c r="H3223" s="198"/>
      <c r="I3223" s="196"/>
      <c r="J3223" s="179" t="str">
        <f>IF(A3223="RAPPI",(VLOOKUP(TRIM(D3223), CATALOGO!F:G, 2, FALSE) * C3223)+I3223,IFERROR(IF(COUNTIF('RESTAURANTESDESCUENTOS 2026'!A:A,TRIM(A3223))&gt;0,((VLOOKUP(TRIM(D3223), CATALOGO!A:B, 2, FALSE) * C3223)*(1-VALUE(SUBSTITUTE(VLOOKUP(TRIM(A3223),'RESTAURANTESDESCUENTOS 2026'!A:B,2,FALSE),"%",""))/100)+I3223),(VLOOKUP(TRIM(D3223), CATALOGO!A:B, 2, FALSE) * C3223+I3223)),""))</f>
        <v/>
      </c>
      <c r="K3223" s="196"/>
      <c r="L3223" s="87"/>
      <c r="M3223" s="245"/>
      <c r="N3223" s="168"/>
    </row>
    <row r="3224" ht="22.5" hidden="1" customHeight="1">
      <c r="A3224" s="137"/>
      <c r="B3224" s="90"/>
      <c r="C3224" s="55"/>
      <c r="D3224" s="193"/>
      <c r="E3224" s="201"/>
      <c r="F3224" s="202"/>
      <c r="G3224" s="194"/>
      <c r="H3224" s="198"/>
      <c r="I3224" s="196"/>
      <c r="J3224" s="179" t="str">
        <f>IF(A3224="RAPPI",(VLOOKUP(TRIM(D3224), CATALOGO!F:G, 2, FALSE) * C3224)+I3224,IFERROR(IF(COUNTIF('RESTAURANTESDESCUENTOS 2026'!A:A,TRIM(A3224))&gt;0,((VLOOKUP(TRIM(D3224), CATALOGO!A:B, 2, FALSE) * C3224)*(1-VALUE(SUBSTITUTE(VLOOKUP(TRIM(A3224),'RESTAURANTESDESCUENTOS 2026'!A:B,2,FALSE),"%",""))/100)+I3224),(VLOOKUP(TRIM(D3224), CATALOGO!A:B, 2, FALSE) * C3224+I3224)),""))</f>
        <v/>
      </c>
      <c r="K3224" s="196"/>
      <c r="L3224" s="87"/>
      <c r="M3224" s="245"/>
      <c r="N3224" s="168"/>
    </row>
    <row r="3225" ht="22.5" hidden="1" customHeight="1">
      <c r="A3225" s="137"/>
      <c r="B3225" s="90"/>
      <c r="C3225" s="55"/>
      <c r="D3225" s="193"/>
      <c r="E3225" s="201"/>
      <c r="F3225" s="202"/>
      <c r="G3225" s="194"/>
      <c r="H3225" s="198"/>
      <c r="I3225" s="196"/>
      <c r="J3225" s="179" t="str">
        <f>IF(A3225="RAPPI",(VLOOKUP(TRIM(D3225), CATALOGO!F:G, 2, FALSE) * C3225)+I3225,IFERROR(IF(COUNTIF('RESTAURANTESDESCUENTOS 2026'!A:A,TRIM(A3225))&gt;0,((VLOOKUP(TRIM(D3225), CATALOGO!A:B, 2, FALSE) * C3225)*(1-VALUE(SUBSTITUTE(VLOOKUP(TRIM(A3225),'RESTAURANTESDESCUENTOS 2026'!A:B,2,FALSE),"%",""))/100)+I3225),(VLOOKUP(TRIM(D3225), CATALOGO!A:B, 2, FALSE) * C3225+I3225)),""))</f>
        <v/>
      </c>
      <c r="K3225" s="196"/>
      <c r="L3225" s="87"/>
      <c r="M3225" s="245"/>
      <c r="N3225" s="168"/>
    </row>
    <row r="3226" ht="22.5" hidden="1" customHeight="1">
      <c r="A3226" s="137"/>
      <c r="B3226" s="90"/>
      <c r="C3226" s="55"/>
      <c r="D3226" s="193"/>
      <c r="E3226" s="201"/>
      <c r="F3226" s="202"/>
      <c r="G3226" s="194"/>
      <c r="H3226" s="198"/>
      <c r="I3226" s="196"/>
      <c r="J3226" s="179" t="str">
        <f>IF(A3226="RAPPI",(VLOOKUP(TRIM(D3226), CATALOGO!F:G, 2, FALSE) * C3226)+I3226,IFERROR(IF(COUNTIF('RESTAURANTESDESCUENTOS 2026'!A:A,TRIM(A3226))&gt;0,((VLOOKUP(TRIM(D3226), CATALOGO!A:B, 2, FALSE) * C3226)*(1-VALUE(SUBSTITUTE(VLOOKUP(TRIM(A3226),'RESTAURANTESDESCUENTOS 2026'!A:B,2,FALSE),"%",""))/100)+I3226),(VLOOKUP(TRIM(D3226), CATALOGO!A:B, 2, FALSE) * C3226+I3226)),""))</f>
        <v/>
      </c>
      <c r="K3226" s="196"/>
      <c r="L3226" s="87"/>
      <c r="M3226" s="245"/>
      <c r="N3226" s="168"/>
    </row>
    <row r="3227" ht="22.5" hidden="1" customHeight="1">
      <c r="A3227" s="137"/>
      <c r="B3227" s="90"/>
      <c r="C3227" s="55"/>
      <c r="D3227" s="193"/>
      <c r="E3227" s="201"/>
      <c r="F3227" s="202"/>
      <c r="G3227" s="194"/>
      <c r="H3227" s="198"/>
      <c r="I3227" s="196"/>
      <c r="J3227" s="179" t="str">
        <f>IF(A3227="RAPPI",(VLOOKUP(TRIM(D3227), CATALOGO!F:G, 2, FALSE) * C3227)+I3227,IFERROR(IF(COUNTIF('RESTAURANTESDESCUENTOS 2026'!A:A,TRIM(A3227))&gt;0,((VLOOKUP(TRIM(D3227), CATALOGO!A:B, 2, FALSE) * C3227)*(1-VALUE(SUBSTITUTE(VLOOKUP(TRIM(A3227),'RESTAURANTESDESCUENTOS 2026'!A:B,2,FALSE),"%",""))/100)+I3227),(VLOOKUP(TRIM(D3227), CATALOGO!A:B, 2, FALSE) * C3227+I3227)),""))</f>
        <v/>
      </c>
      <c r="K3227" s="196"/>
      <c r="L3227" s="87"/>
      <c r="M3227" s="245"/>
      <c r="N3227" s="168"/>
    </row>
    <row r="3228" ht="22.5" hidden="1" customHeight="1">
      <c r="A3228" s="137"/>
      <c r="B3228" s="90"/>
      <c r="C3228" s="55"/>
      <c r="D3228" s="193"/>
      <c r="E3228" s="201"/>
      <c r="F3228" s="202"/>
      <c r="G3228" s="194"/>
      <c r="H3228" s="198"/>
      <c r="I3228" s="196"/>
      <c r="J3228" s="179" t="str">
        <f>IF(A3228="RAPPI",(VLOOKUP(TRIM(D3228), CATALOGO!F:G, 2, FALSE) * C3228)+I3228,IFERROR(IF(COUNTIF('RESTAURANTESDESCUENTOS 2026'!A:A,TRIM(A3228))&gt;0,((VLOOKUP(TRIM(D3228), CATALOGO!A:B, 2, FALSE) * C3228)*(1-VALUE(SUBSTITUTE(VLOOKUP(TRIM(A3228),'RESTAURANTESDESCUENTOS 2026'!A:B,2,FALSE),"%",""))/100)+I3228),(VLOOKUP(TRIM(D3228), CATALOGO!A:B, 2, FALSE) * C3228+I3228)),""))</f>
        <v/>
      </c>
      <c r="K3228" s="196"/>
      <c r="L3228" s="87"/>
      <c r="M3228" s="245"/>
      <c r="N3228" s="168"/>
    </row>
    <row r="3229" ht="22.5" hidden="1" customHeight="1">
      <c r="A3229" s="137"/>
      <c r="B3229" s="90"/>
      <c r="C3229" s="55"/>
      <c r="D3229" s="193"/>
      <c r="E3229" s="201"/>
      <c r="F3229" s="202"/>
      <c r="G3229" s="194"/>
      <c r="H3229" s="198"/>
      <c r="I3229" s="196"/>
      <c r="J3229" s="179" t="str">
        <f>IF(A3229="RAPPI",(VLOOKUP(TRIM(D3229), CATALOGO!F:G, 2, FALSE) * C3229)+I3229,IFERROR(IF(COUNTIF('RESTAURANTESDESCUENTOS 2026'!A:A,TRIM(A3229))&gt;0,((VLOOKUP(TRIM(D3229), CATALOGO!A:B, 2, FALSE) * C3229)*(1-VALUE(SUBSTITUTE(VLOOKUP(TRIM(A3229),'RESTAURANTESDESCUENTOS 2026'!A:B,2,FALSE),"%",""))/100)+I3229),(VLOOKUP(TRIM(D3229), CATALOGO!A:B, 2, FALSE) * C3229+I3229)),""))</f>
        <v/>
      </c>
      <c r="K3229" s="196"/>
      <c r="L3229" s="87"/>
      <c r="M3229" s="245"/>
      <c r="N3229" s="168"/>
    </row>
    <row r="3230" ht="22.5" hidden="1" customHeight="1">
      <c r="A3230" s="137"/>
      <c r="B3230" s="90"/>
      <c r="C3230" s="55"/>
      <c r="D3230" s="193"/>
      <c r="E3230" s="201"/>
      <c r="F3230" s="202"/>
      <c r="G3230" s="194"/>
      <c r="H3230" s="198"/>
      <c r="I3230" s="196"/>
      <c r="J3230" s="179" t="str">
        <f>IF(A3230="RAPPI",(VLOOKUP(TRIM(D3230), CATALOGO!F:G, 2, FALSE) * C3230)+I3230,IFERROR(IF(COUNTIF('RESTAURANTESDESCUENTOS 2026'!A:A,TRIM(A3230))&gt;0,((VLOOKUP(TRIM(D3230), CATALOGO!A:B, 2, FALSE) * C3230)*(1-VALUE(SUBSTITUTE(VLOOKUP(TRIM(A3230),'RESTAURANTESDESCUENTOS 2026'!A:B,2,FALSE),"%",""))/100)+I3230),(VLOOKUP(TRIM(D3230), CATALOGO!A:B, 2, FALSE) * C3230+I3230)),""))</f>
        <v/>
      </c>
      <c r="K3230" s="196"/>
      <c r="L3230" s="87"/>
      <c r="M3230" s="245"/>
      <c r="N3230" s="168"/>
    </row>
    <row r="3231" ht="22.5" hidden="1" customHeight="1">
      <c r="A3231" s="137"/>
      <c r="B3231" s="90"/>
      <c r="C3231" s="55"/>
      <c r="D3231" s="193"/>
      <c r="E3231" s="201"/>
      <c r="F3231" s="202"/>
      <c r="G3231" s="194"/>
      <c r="H3231" s="198"/>
      <c r="I3231" s="196"/>
      <c r="J3231" s="179" t="str">
        <f>IF(A3231="RAPPI",(VLOOKUP(TRIM(D3231), CATALOGO!F:G, 2, FALSE) * C3231)+I3231,IFERROR(IF(COUNTIF('RESTAURANTESDESCUENTOS 2026'!A:A,TRIM(A3231))&gt;0,((VLOOKUP(TRIM(D3231), CATALOGO!A:B, 2, FALSE) * C3231)*(1-VALUE(SUBSTITUTE(VLOOKUP(TRIM(A3231),'RESTAURANTESDESCUENTOS 2026'!A:B,2,FALSE),"%",""))/100)+I3231),(VLOOKUP(TRIM(D3231), CATALOGO!A:B, 2, FALSE) * C3231+I3231)),""))</f>
        <v/>
      </c>
      <c r="K3231" s="196"/>
      <c r="L3231" s="87"/>
      <c r="M3231" s="245"/>
      <c r="N3231" s="168"/>
    </row>
    <row r="3232" ht="22.5" hidden="1" customHeight="1">
      <c r="A3232" s="137"/>
      <c r="B3232" s="90"/>
      <c r="C3232" s="55"/>
      <c r="D3232" s="193"/>
      <c r="E3232" s="201"/>
      <c r="F3232" s="202"/>
      <c r="G3232" s="194"/>
      <c r="H3232" s="198"/>
      <c r="I3232" s="196"/>
      <c r="J3232" s="179" t="str">
        <f>IF(A3232="RAPPI",(VLOOKUP(TRIM(D3232), CATALOGO!F:G, 2, FALSE) * C3232)+I3232,IFERROR(IF(COUNTIF('RESTAURANTESDESCUENTOS 2026'!A:A,TRIM(A3232))&gt;0,((VLOOKUP(TRIM(D3232), CATALOGO!A:B, 2, FALSE) * C3232)*(1-VALUE(SUBSTITUTE(VLOOKUP(TRIM(A3232),'RESTAURANTESDESCUENTOS 2026'!A:B,2,FALSE),"%",""))/100)+I3232),(VLOOKUP(TRIM(D3232), CATALOGO!A:B, 2, FALSE) * C3232+I3232)),""))</f>
        <v/>
      </c>
      <c r="K3232" s="196"/>
      <c r="L3232" s="87"/>
      <c r="M3232" s="245"/>
      <c r="N3232" s="168"/>
    </row>
    <row r="3233" ht="22.5" hidden="1" customHeight="1">
      <c r="A3233" s="137"/>
      <c r="B3233" s="90"/>
      <c r="C3233" s="55"/>
      <c r="D3233" s="193"/>
      <c r="E3233" s="201"/>
      <c r="F3233" s="202"/>
      <c r="G3233" s="194"/>
      <c r="H3233" s="198"/>
      <c r="I3233" s="196"/>
      <c r="J3233" s="179" t="str">
        <f>IF(A3233="RAPPI",(VLOOKUP(TRIM(D3233), CATALOGO!F:G, 2, FALSE) * C3233)+I3233,IFERROR(IF(COUNTIF('RESTAURANTESDESCUENTOS 2026'!A:A,TRIM(A3233))&gt;0,((VLOOKUP(TRIM(D3233), CATALOGO!A:B, 2, FALSE) * C3233)*(1-VALUE(SUBSTITUTE(VLOOKUP(TRIM(A3233),'RESTAURANTESDESCUENTOS 2026'!A:B,2,FALSE),"%",""))/100)+I3233),(VLOOKUP(TRIM(D3233), CATALOGO!A:B, 2, FALSE) * C3233+I3233)),""))</f>
        <v/>
      </c>
      <c r="K3233" s="196"/>
      <c r="L3233" s="87"/>
      <c r="M3233" s="245"/>
      <c r="N3233" s="168"/>
    </row>
    <row r="3234" ht="22.5" hidden="1" customHeight="1">
      <c r="A3234" s="137"/>
      <c r="B3234" s="90"/>
      <c r="C3234" s="55"/>
      <c r="D3234" s="193"/>
      <c r="E3234" s="201"/>
      <c r="F3234" s="202"/>
      <c r="G3234" s="194"/>
      <c r="H3234" s="198"/>
      <c r="I3234" s="196"/>
      <c r="J3234" s="179" t="str">
        <f>IF(A3234="RAPPI",(VLOOKUP(TRIM(D3234), CATALOGO!F:G, 2, FALSE) * C3234)+I3234,IFERROR(IF(COUNTIF('RESTAURANTESDESCUENTOS 2026'!A:A,TRIM(A3234))&gt;0,((VLOOKUP(TRIM(D3234), CATALOGO!A:B, 2, FALSE) * C3234)*(1-VALUE(SUBSTITUTE(VLOOKUP(TRIM(A3234),'RESTAURANTESDESCUENTOS 2026'!A:B,2,FALSE),"%",""))/100)+I3234),(VLOOKUP(TRIM(D3234), CATALOGO!A:B, 2, FALSE) * C3234+I3234)),""))</f>
        <v/>
      </c>
      <c r="K3234" s="196"/>
      <c r="L3234" s="87"/>
      <c r="M3234" s="245"/>
      <c r="N3234" s="168"/>
    </row>
    <row r="3235" ht="22.5" hidden="1" customHeight="1">
      <c r="A3235" s="137"/>
      <c r="B3235" s="90"/>
      <c r="C3235" s="55"/>
      <c r="D3235" s="193"/>
      <c r="E3235" s="201"/>
      <c r="F3235" s="202"/>
      <c r="G3235" s="194"/>
      <c r="H3235" s="198"/>
      <c r="I3235" s="196"/>
      <c r="J3235" s="179" t="str">
        <f>IF(A3235="RAPPI",(VLOOKUP(TRIM(D3235), CATALOGO!F:G, 2, FALSE) * C3235)+I3235,IFERROR(IF(COUNTIF('RESTAURANTESDESCUENTOS 2026'!A:A,TRIM(A3235))&gt;0,((VLOOKUP(TRIM(D3235), CATALOGO!A:B, 2, FALSE) * C3235)*(1-VALUE(SUBSTITUTE(VLOOKUP(TRIM(A3235),'RESTAURANTESDESCUENTOS 2026'!A:B,2,FALSE),"%",""))/100)+I3235),(VLOOKUP(TRIM(D3235), CATALOGO!A:B, 2, FALSE) * C3235+I3235)),""))</f>
        <v/>
      </c>
      <c r="K3235" s="196"/>
      <c r="L3235" s="87"/>
      <c r="M3235" s="245"/>
      <c r="N3235" s="168"/>
    </row>
    <row r="3236" ht="22.5" hidden="1" customHeight="1">
      <c r="A3236" s="137"/>
      <c r="B3236" s="90"/>
      <c r="C3236" s="55"/>
      <c r="D3236" s="193"/>
      <c r="E3236" s="201"/>
      <c r="F3236" s="202"/>
      <c r="G3236" s="194"/>
      <c r="H3236" s="198"/>
      <c r="I3236" s="196"/>
      <c r="J3236" s="179" t="str">
        <f>IF(A3236="RAPPI",(VLOOKUP(TRIM(D3236), CATALOGO!F:G, 2, FALSE) * C3236)+I3236,IFERROR(IF(COUNTIF('RESTAURANTESDESCUENTOS 2026'!A:A,TRIM(A3236))&gt;0,((VLOOKUP(TRIM(D3236), CATALOGO!A:B, 2, FALSE) * C3236)*(1-VALUE(SUBSTITUTE(VLOOKUP(TRIM(A3236),'RESTAURANTESDESCUENTOS 2026'!A:B,2,FALSE),"%",""))/100)+I3236),(VLOOKUP(TRIM(D3236), CATALOGO!A:B, 2, FALSE) * C3236+I3236)),""))</f>
        <v/>
      </c>
      <c r="K3236" s="196"/>
      <c r="L3236" s="87"/>
      <c r="M3236" s="245"/>
      <c r="N3236" s="168"/>
    </row>
    <row r="3237" ht="22.5" hidden="1" customHeight="1">
      <c r="A3237" s="137"/>
      <c r="B3237" s="90"/>
      <c r="C3237" s="55"/>
      <c r="D3237" s="193"/>
      <c r="E3237" s="201"/>
      <c r="F3237" s="202"/>
      <c r="G3237" s="194"/>
      <c r="H3237" s="198"/>
      <c r="I3237" s="196"/>
      <c r="J3237" s="179" t="str">
        <f>IF(A3237="RAPPI",(VLOOKUP(TRIM(D3237), CATALOGO!F:G, 2, FALSE) * C3237)+I3237,IFERROR(IF(COUNTIF('RESTAURANTESDESCUENTOS 2026'!A:A,TRIM(A3237))&gt;0,((VLOOKUP(TRIM(D3237), CATALOGO!A:B, 2, FALSE) * C3237)*(1-VALUE(SUBSTITUTE(VLOOKUP(TRIM(A3237),'RESTAURANTESDESCUENTOS 2026'!A:B,2,FALSE),"%",""))/100)+I3237),(VLOOKUP(TRIM(D3237), CATALOGO!A:B, 2, FALSE) * C3237+I3237)),""))</f>
        <v/>
      </c>
      <c r="K3237" s="196"/>
      <c r="L3237" s="87"/>
      <c r="M3237" s="245"/>
      <c r="N3237" s="168"/>
    </row>
    <row r="3238" ht="22.5" hidden="1" customHeight="1">
      <c r="A3238" s="137"/>
      <c r="B3238" s="90"/>
      <c r="C3238" s="55"/>
      <c r="D3238" s="193"/>
      <c r="E3238" s="201"/>
      <c r="F3238" s="202"/>
      <c r="G3238" s="194"/>
      <c r="H3238" s="198"/>
      <c r="I3238" s="196"/>
      <c r="J3238" s="179" t="str">
        <f>IF(A3238="RAPPI",(VLOOKUP(TRIM(D3238), CATALOGO!F:G, 2, FALSE) * C3238)+I3238,IFERROR(IF(COUNTIF('RESTAURANTESDESCUENTOS 2026'!A:A,TRIM(A3238))&gt;0,((VLOOKUP(TRIM(D3238), CATALOGO!A:B, 2, FALSE) * C3238)*(1-VALUE(SUBSTITUTE(VLOOKUP(TRIM(A3238),'RESTAURANTESDESCUENTOS 2026'!A:B,2,FALSE),"%",""))/100)+I3238),(VLOOKUP(TRIM(D3238), CATALOGO!A:B, 2, FALSE) * C3238+I3238)),""))</f>
        <v/>
      </c>
      <c r="K3238" s="196"/>
      <c r="L3238" s="87"/>
      <c r="M3238" s="245"/>
      <c r="N3238" s="168"/>
    </row>
    <row r="3239" ht="22.5" hidden="1" customHeight="1">
      <c r="A3239" s="137"/>
      <c r="B3239" s="90"/>
      <c r="C3239" s="55"/>
      <c r="D3239" s="193"/>
      <c r="E3239" s="201"/>
      <c r="F3239" s="202"/>
      <c r="G3239" s="194"/>
      <c r="H3239" s="198"/>
      <c r="I3239" s="196"/>
      <c r="J3239" s="179" t="str">
        <f>IF(A3239="RAPPI",(VLOOKUP(TRIM(D3239), CATALOGO!F:G, 2, FALSE) * C3239)+I3239,IFERROR(IF(COUNTIF('RESTAURANTESDESCUENTOS 2026'!A:A,TRIM(A3239))&gt;0,((VLOOKUP(TRIM(D3239), CATALOGO!A:B, 2, FALSE) * C3239)*(1-VALUE(SUBSTITUTE(VLOOKUP(TRIM(A3239),'RESTAURANTESDESCUENTOS 2026'!A:B,2,FALSE),"%",""))/100)+I3239),(VLOOKUP(TRIM(D3239), CATALOGO!A:B, 2, FALSE) * C3239+I3239)),""))</f>
        <v/>
      </c>
      <c r="K3239" s="196"/>
      <c r="L3239" s="87"/>
      <c r="M3239" s="245"/>
      <c r="N3239" s="168"/>
    </row>
    <row r="3240" ht="22.5" hidden="1" customHeight="1">
      <c r="A3240" s="137"/>
      <c r="B3240" s="90"/>
      <c r="C3240" s="55"/>
      <c r="D3240" s="193"/>
      <c r="E3240" s="201"/>
      <c r="F3240" s="202"/>
      <c r="G3240" s="194"/>
      <c r="H3240" s="198"/>
      <c r="I3240" s="196"/>
      <c r="J3240" s="179" t="str">
        <f>IF(A3240="RAPPI",(VLOOKUP(TRIM(D3240), CATALOGO!F:G, 2, FALSE) * C3240)+I3240,IFERROR(IF(COUNTIF('RESTAURANTESDESCUENTOS 2026'!A:A,TRIM(A3240))&gt;0,((VLOOKUP(TRIM(D3240), CATALOGO!A:B, 2, FALSE) * C3240)*(1-VALUE(SUBSTITUTE(VLOOKUP(TRIM(A3240),'RESTAURANTESDESCUENTOS 2026'!A:B,2,FALSE),"%",""))/100)+I3240),(VLOOKUP(TRIM(D3240), CATALOGO!A:B, 2, FALSE) * C3240+I3240)),""))</f>
        <v/>
      </c>
      <c r="K3240" s="196"/>
      <c r="L3240" s="87"/>
      <c r="M3240" s="245"/>
      <c r="N3240" s="168"/>
    </row>
    <row r="3241" ht="22.5" hidden="1" customHeight="1">
      <c r="A3241" s="137"/>
      <c r="B3241" s="90"/>
      <c r="C3241" s="55"/>
      <c r="D3241" s="193"/>
      <c r="E3241" s="201"/>
      <c r="F3241" s="202"/>
      <c r="G3241" s="194"/>
      <c r="H3241" s="198"/>
      <c r="I3241" s="196"/>
      <c r="J3241" s="179" t="str">
        <f>IF(A3241="RAPPI",(VLOOKUP(TRIM(D3241), CATALOGO!F:G, 2, FALSE) * C3241)+I3241,IFERROR(IF(COUNTIF('RESTAURANTESDESCUENTOS 2026'!A:A,TRIM(A3241))&gt;0,((VLOOKUP(TRIM(D3241), CATALOGO!A:B, 2, FALSE) * C3241)*(1-VALUE(SUBSTITUTE(VLOOKUP(TRIM(A3241),'RESTAURANTESDESCUENTOS 2026'!A:B,2,FALSE),"%",""))/100)+I3241),(VLOOKUP(TRIM(D3241), CATALOGO!A:B, 2, FALSE) * C3241+I3241)),""))</f>
        <v/>
      </c>
      <c r="K3241" s="196"/>
      <c r="L3241" s="87"/>
      <c r="M3241" s="245"/>
      <c r="N3241" s="168"/>
    </row>
    <row r="3242" ht="22.5" hidden="1" customHeight="1">
      <c r="A3242" s="137"/>
      <c r="B3242" s="90"/>
      <c r="C3242" s="55"/>
      <c r="D3242" s="193"/>
      <c r="E3242" s="201"/>
      <c r="F3242" s="202"/>
      <c r="G3242" s="194"/>
      <c r="H3242" s="198"/>
      <c r="I3242" s="196"/>
      <c r="J3242" s="179" t="str">
        <f>IF(A3242="RAPPI",(VLOOKUP(TRIM(D3242), CATALOGO!F:G, 2, FALSE) * C3242)+I3242,IFERROR(IF(COUNTIF('RESTAURANTESDESCUENTOS 2026'!A:A,TRIM(A3242))&gt;0,((VLOOKUP(TRIM(D3242), CATALOGO!A:B, 2, FALSE) * C3242)*(1-VALUE(SUBSTITUTE(VLOOKUP(TRIM(A3242),'RESTAURANTESDESCUENTOS 2026'!A:B,2,FALSE),"%",""))/100)+I3242),(VLOOKUP(TRIM(D3242), CATALOGO!A:B, 2, FALSE) * C3242+I3242)),""))</f>
        <v/>
      </c>
      <c r="K3242" s="196"/>
      <c r="L3242" s="87"/>
      <c r="M3242" s="245"/>
      <c r="N3242" s="168"/>
    </row>
    <row r="3243" ht="22.5" hidden="1" customHeight="1">
      <c r="A3243" s="137"/>
      <c r="B3243" s="90"/>
      <c r="C3243" s="55"/>
      <c r="D3243" s="193"/>
      <c r="E3243" s="201"/>
      <c r="F3243" s="202"/>
      <c r="G3243" s="194"/>
      <c r="H3243" s="198"/>
      <c r="I3243" s="196"/>
      <c r="J3243" s="179" t="str">
        <f>IF(A3243="RAPPI",(VLOOKUP(TRIM(D3243), CATALOGO!F:G, 2, FALSE) * C3243)+I3243,IFERROR(IF(COUNTIF('RESTAURANTESDESCUENTOS 2026'!A:A,TRIM(A3243))&gt;0,((VLOOKUP(TRIM(D3243), CATALOGO!A:B, 2, FALSE) * C3243)*(1-VALUE(SUBSTITUTE(VLOOKUP(TRIM(A3243),'RESTAURANTESDESCUENTOS 2026'!A:B,2,FALSE),"%",""))/100)+I3243),(VLOOKUP(TRIM(D3243), CATALOGO!A:B, 2, FALSE) * C3243+I3243)),""))</f>
        <v/>
      </c>
      <c r="K3243" s="196"/>
      <c r="L3243" s="87"/>
      <c r="M3243" s="245"/>
      <c r="N3243" s="168"/>
    </row>
    <row r="3244" ht="22.5" hidden="1" customHeight="1">
      <c r="A3244" s="137"/>
      <c r="B3244" s="90"/>
      <c r="C3244" s="55"/>
      <c r="D3244" s="193"/>
      <c r="E3244" s="201"/>
      <c r="F3244" s="202"/>
      <c r="G3244" s="194"/>
      <c r="H3244" s="198"/>
      <c r="I3244" s="196"/>
      <c r="J3244" s="179" t="str">
        <f>IF(A3244="RAPPI",(VLOOKUP(TRIM(D3244), CATALOGO!F:G, 2, FALSE) * C3244)+I3244,IFERROR(IF(COUNTIF('RESTAURANTESDESCUENTOS 2026'!A:A,TRIM(A3244))&gt;0,((VLOOKUP(TRIM(D3244), CATALOGO!A:B, 2, FALSE) * C3244)*(1-VALUE(SUBSTITUTE(VLOOKUP(TRIM(A3244),'RESTAURANTESDESCUENTOS 2026'!A:B,2,FALSE),"%",""))/100)+I3244),(VLOOKUP(TRIM(D3244), CATALOGO!A:B, 2, FALSE) * C3244+I3244)),""))</f>
        <v/>
      </c>
      <c r="K3244" s="196"/>
      <c r="L3244" s="87"/>
      <c r="M3244" s="245"/>
      <c r="N3244" s="168"/>
    </row>
    <row r="3245" ht="22.5" hidden="1" customHeight="1">
      <c r="A3245" s="137"/>
      <c r="B3245" s="90"/>
      <c r="C3245" s="55"/>
      <c r="D3245" s="193"/>
      <c r="E3245" s="201"/>
      <c r="F3245" s="202"/>
      <c r="G3245" s="194"/>
      <c r="H3245" s="198"/>
      <c r="I3245" s="196"/>
      <c r="J3245" s="179" t="str">
        <f>IF(A3245="RAPPI",(VLOOKUP(TRIM(D3245), CATALOGO!F:G, 2, FALSE) * C3245)+I3245,IFERROR(IF(COUNTIF('RESTAURANTESDESCUENTOS 2026'!A:A,TRIM(A3245))&gt;0,((VLOOKUP(TRIM(D3245), CATALOGO!A:B, 2, FALSE) * C3245)*(1-VALUE(SUBSTITUTE(VLOOKUP(TRIM(A3245),'RESTAURANTESDESCUENTOS 2026'!A:B,2,FALSE),"%",""))/100)+I3245),(VLOOKUP(TRIM(D3245), CATALOGO!A:B, 2, FALSE) * C3245+I3245)),""))</f>
        <v/>
      </c>
      <c r="K3245" s="196"/>
      <c r="L3245" s="87"/>
      <c r="M3245" s="245"/>
      <c r="N3245" s="168"/>
    </row>
    <row r="3246" ht="22.5" hidden="1" customHeight="1">
      <c r="A3246" s="137"/>
      <c r="B3246" s="90"/>
      <c r="C3246" s="55"/>
      <c r="D3246" s="193"/>
      <c r="E3246" s="201"/>
      <c r="F3246" s="202"/>
      <c r="G3246" s="194"/>
      <c r="H3246" s="198"/>
      <c r="I3246" s="196"/>
      <c r="J3246" s="179" t="str">
        <f>IF(A3246="RAPPI",(VLOOKUP(TRIM(D3246), CATALOGO!F:G, 2, FALSE) * C3246)+I3246,IFERROR(IF(COUNTIF('RESTAURANTESDESCUENTOS 2026'!A:A,TRIM(A3246))&gt;0,((VLOOKUP(TRIM(D3246), CATALOGO!A:B, 2, FALSE) * C3246)*(1-VALUE(SUBSTITUTE(VLOOKUP(TRIM(A3246),'RESTAURANTESDESCUENTOS 2026'!A:B,2,FALSE),"%",""))/100)+I3246),(VLOOKUP(TRIM(D3246), CATALOGO!A:B, 2, FALSE) * C3246+I3246)),""))</f>
        <v/>
      </c>
      <c r="K3246" s="196"/>
      <c r="L3246" s="87"/>
      <c r="M3246" s="245"/>
      <c r="N3246" s="168"/>
    </row>
    <row r="3247" ht="22.5" hidden="1" customHeight="1">
      <c r="A3247" s="137"/>
      <c r="B3247" s="90"/>
      <c r="C3247" s="55"/>
      <c r="D3247" s="193"/>
      <c r="E3247" s="201"/>
      <c r="F3247" s="202"/>
      <c r="G3247" s="194"/>
      <c r="H3247" s="198"/>
      <c r="I3247" s="196"/>
      <c r="J3247" s="179" t="str">
        <f>IF(A3247="RAPPI",(VLOOKUP(TRIM(D3247), CATALOGO!F:G, 2, FALSE) * C3247)+I3247,IFERROR(IF(COUNTIF('RESTAURANTESDESCUENTOS 2026'!A:A,TRIM(A3247))&gt;0,((VLOOKUP(TRIM(D3247), CATALOGO!A:B, 2, FALSE) * C3247)*(1-VALUE(SUBSTITUTE(VLOOKUP(TRIM(A3247),'RESTAURANTESDESCUENTOS 2026'!A:B,2,FALSE),"%",""))/100)+I3247),(VLOOKUP(TRIM(D3247), CATALOGO!A:B, 2, FALSE) * C3247+I3247)),""))</f>
        <v/>
      </c>
      <c r="K3247" s="196"/>
      <c r="L3247" s="87"/>
      <c r="M3247" s="245"/>
      <c r="N3247" s="168"/>
    </row>
    <row r="3248" ht="22.5" hidden="1" customHeight="1">
      <c r="A3248" s="137"/>
      <c r="B3248" s="90"/>
      <c r="C3248" s="55"/>
      <c r="D3248" s="193"/>
      <c r="E3248" s="201"/>
      <c r="F3248" s="202"/>
      <c r="G3248" s="194"/>
      <c r="H3248" s="198"/>
      <c r="I3248" s="196"/>
      <c r="J3248" s="179" t="str">
        <f>IF(A3248="RAPPI",(VLOOKUP(TRIM(D3248), CATALOGO!F:G, 2, FALSE) * C3248)+I3248,IFERROR(IF(COUNTIF('RESTAURANTESDESCUENTOS 2026'!A:A,TRIM(A3248))&gt;0,((VLOOKUP(TRIM(D3248), CATALOGO!A:B, 2, FALSE) * C3248)*(1-VALUE(SUBSTITUTE(VLOOKUP(TRIM(A3248),'RESTAURANTESDESCUENTOS 2026'!A:B,2,FALSE),"%",""))/100)+I3248),(VLOOKUP(TRIM(D3248), CATALOGO!A:B, 2, FALSE) * C3248+I3248)),""))</f>
        <v/>
      </c>
      <c r="K3248" s="196"/>
      <c r="L3248" s="87"/>
      <c r="M3248" s="245"/>
      <c r="N3248" s="168"/>
    </row>
    <row r="3249" ht="22.5" hidden="1" customHeight="1">
      <c r="A3249" s="137"/>
      <c r="B3249" s="90"/>
      <c r="C3249" s="55"/>
      <c r="D3249" s="193"/>
      <c r="E3249" s="201"/>
      <c r="F3249" s="202"/>
      <c r="G3249" s="194"/>
      <c r="H3249" s="198"/>
      <c r="I3249" s="196"/>
      <c r="J3249" s="179" t="str">
        <f>IF(A3249="RAPPI",(VLOOKUP(TRIM(D3249), CATALOGO!F:G, 2, FALSE) * C3249)+I3249,IFERROR(IF(COUNTIF('RESTAURANTESDESCUENTOS 2026'!A:A,TRIM(A3249))&gt;0,((VLOOKUP(TRIM(D3249), CATALOGO!A:B, 2, FALSE) * C3249)*(1-VALUE(SUBSTITUTE(VLOOKUP(TRIM(A3249),'RESTAURANTESDESCUENTOS 2026'!A:B,2,FALSE),"%",""))/100)+I3249),(VLOOKUP(TRIM(D3249), CATALOGO!A:B, 2, FALSE) * C3249+I3249)),""))</f>
        <v/>
      </c>
      <c r="K3249" s="196"/>
      <c r="L3249" s="87"/>
      <c r="M3249" s="245"/>
      <c r="N3249" s="168"/>
    </row>
    <row r="3250" ht="22.5" hidden="1" customHeight="1">
      <c r="A3250" s="137"/>
      <c r="B3250" s="90"/>
      <c r="C3250" s="55"/>
      <c r="D3250" s="193"/>
      <c r="E3250" s="201"/>
      <c r="F3250" s="202"/>
      <c r="G3250" s="194"/>
      <c r="H3250" s="198"/>
      <c r="I3250" s="196"/>
      <c r="J3250" s="179" t="str">
        <f>IF(A3250="RAPPI",(VLOOKUP(TRIM(D3250), CATALOGO!F:G, 2, FALSE) * C3250)+I3250,IFERROR(IF(COUNTIF('RESTAURANTESDESCUENTOS 2026'!A:A,TRIM(A3250))&gt;0,((VLOOKUP(TRIM(D3250), CATALOGO!A:B, 2, FALSE) * C3250)*(1-VALUE(SUBSTITUTE(VLOOKUP(TRIM(A3250),'RESTAURANTESDESCUENTOS 2026'!A:B,2,FALSE),"%",""))/100)+I3250),(VLOOKUP(TRIM(D3250), CATALOGO!A:B, 2, FALSE) * C3250+I3250)),""))</f>
        <v/>
      </c>
      <c r="K3250" s="196"/>
      <c r="L3250" s="87"/>
      <c r="M3250" s="245"/>
      <c r="N3250" s="168"/>
    </row>
    <row r="3251" ht="22.5" hidden="1" customHeight="1">
      <c r="A3251" s="137"/>
      <c r="B3251" s="90"/>
      <c r="C3251" s="55"/>
      <c r="D3251" s="193"/>
      <c r="E3251" s="201"/>
      <c r="F3251" s="202"/>
      <c r="G3251" s="194"/>
      <c r="H3251" s="198"/>
      <c r="I3251" s="196"/>
      <c r="J3251" s="179" t="str">
        <f>IF(A3251="RAPPI",(VLOOKUP(TRIM(D3251), CATALOGO!F:G, 2, FALSE) * C3251)+I3251,IFERROR(IF(COUNTIF('RESTAURANTESDESCUENTOS 2026'!A:A,TRIM(A3251))&gt;0,((VLOOKUP(TRIM(D3251), CATALOGO!A:B, 2, FALSE) * C3251)*(1-VALUE(SUBSTITUTE(VLOOKUP(TRIM(A3251),'RESTAURANTESDESCUENTOS 2026'!A:B,2,FALSE),"%",""))/100)+I3251),(VLOOKUP(TRIM(D3251), CATALOGO!A:B, 2, FALSE) * C3251+I3251)),""))</f>
        <v/>
      </c>
      <c r="K3251" s="196"/>
      <c r="L3251" s="87"/>
      <c r="M3251" s="245"/>
      <c r="N3251" s="168"/>
    </row>
    <row r="3252" ht="22.5" hidden="1" customHeight="1">
      <c r="A3252" s="137"/>
      <c r="B3252" s="90"/>
      <c r="C3252" s="55"/>
      <c r="D3252" s="193"/>
      <c r="E3252" s="201"/>
      <c r="F3252" s="202"/>
      <c r="G3252" s="194"/>
      <c r="H3252" s="198"/>
      <c r="I3252" s="196"/>
      <c r="J3252" s="179" t="str">
        <f>IF(A3252="RAPPI",(VLOOKUP(TRIM(D3252), CATALOGO!F:G, 2, FALSE) * C3252)+I3252,IFERROR(IF(COUNTIF('RESTAURANTESDESCUENTOS 2026'!A:A,TRIM(A3252))&gt;0,((VLOOKUP(TRIM(D3252), CATALOGO!A:B, 2, FALSE) * C3252)*(1-VALUE(SUBSTITUTE(VLOOKUP(TRIM(A3252),'RESTAURANTESDESCUENTOS 2026'!A:B,2,FALSE),"%",""))/100)+I3252),(VLOOKUP(TRIM(D3252), CATALOGO!A:B, 2, FALSE) * C3252+I3252)),""))</f>
        <v/>
      </c>
      <c r="K3252" s="196"/>
      <c r="L3252" s="87"/>
      <c r="M3252" s="245"/>
      <c r="N3252" s="168"/>
    </row>
    <row r="3253" ht="22.5" hidden="1" customHeight="1">
      <c r="A3253" s="137"/>
      <c r="B3253" s="90"/>
      <c r="C3253" s="55"/>
      <c r="D3253" s="193"/>
      <c r="E3253" s="201"/>
      <c r="F3253" s="202"/>
      <c r="G3253" s="194"/>
      <c r="H3253" s="198"/>
      <c r="I3253" s="196"/>
      <c r="J3253" s="179" t="str">
        <f>IF(A3253="RAPPI",(VLOOKUP(TRIM(D3253), CATALOGO!F:G, 2, FALSE) * C3253)+I3253,IFERROR(IF(COUNTIF('RESTAURANTESDESCUENTOS 2026'!A:A,TRIM(A3253))&gt;0,((VLOOKUP(TRIM(D3253), CATALOGO!A:B, 2, FALSE) * C3253)*(1-VALUE(SUBSTITUTE(VLOOKUP(TRIM(A3253),'RESTAURANTESDESCUENTOS 2026'!A:B,2,FALSE),"%",""))/100)+I3253),(VLOOKUP(TRIM(D3253), CATALOGO!A:B, 2, FALSE) * C3253+I3253)),""))</f>
        <v/>
      </c>
      <c r="K3253" s="196"/>
      <c r="L3253" s="87"/>
      <c r="M3253" s="245"/>
      <c r="N3253" s="168"/>
    </row>
    <row r="3254" ht="22.5" hidden="1" customHeight="1">
      <c r="A3254" s="137"/>
      <c r="B3254" s="90"/>
      <c r="C3254" s="55"/>
      <c r="D3254" s="193"/>
      <c r="E3254" s="201"/>
      <c r="F3254" s="202"/>
      <c r="G3254" s="194"/>
      <c r="H3254" s="198"/>
      <c r="I3254" s="196"/>
      <c r="J3254" s="179" t="str">
        <f>IF(A3254="RAPPI",(VLOOKUP(TRIM(D3254), CATALOGO!F:G, 2, FALSE) * C3254)+I3254,IFERROR(IF(COUNTIF('RESTAURANTESDESCUENTOS 2026'!A:A,TRIM(A3254))&gt;0,((VLOOKUP(TRIM(D3254), CATALOGO!A:B, 2, FALSE) * C3254)*(1-VALUE(SUBSTITUTE(VLOOKUP(TRIM(A3254),'RESTAURANTESDESCUENTOS 2026'!A:B,2,FALSE),"%",""))/100)+I3254),(VLOOKUP(TRIM(D3254), CATALOGO!A:B, 2, FALSE) * C3254+I3254)),""))</f>
        <v/>
      </c>
      <c r="K3254" s="196"/>
      <c r="L3254" s="87"/>
      <c r="M3254" s="245"/>
      <c r="N3254" s="168"/>
    </row>
    <row r="3255" ht="22.5" hidden="1" customHeight="1">
      <c r="A3255" s="137"/>
      <c r="B3255" s="90"/>
      <c r="C3255" s="55"/>
      <c r="D3255" s="193"/>
      <c r="E3255" s="201"/>
      <c r="F3255" s="202"/>
      <c r="G3255" s="194"/>
      <c r="H3255" s="198"/>
      <c r="I3255" s="196"/>
      <c r="J3255" s="179" t="str">
        <f>IF(A3255="RAPPI",(VLOOKUP(TRIM(D3255), CATALOGO!F:G, 2, FALSE) * C3255)+I3255,IFERROR(IF(COUNTIF('RESTAURANTESDESCUENTOS 2026'!A:A,TRIM(A3255))&gt;0,((VLOOKUP(TRIM(D3255), CATALOGO!A:B, 2, FALSE) * C3255)*(1-VALUE(SUBSTITUTE(VLOOKUP(TRIM(A3255),'RESTAURANTESDESCUENTOS 2026'!A:B,2,FALSE),"%",""))/100)+I3255),(VLOOKUP(TRIM(D3255), CATALOGO!A:B, 2, FALSE) * C3255+I3255)),""))</f>
        <v/>
      </c>
      <c r="K3255" s="196"/>
      <c r="L3255" s="87"/>
      <c r="M3255" s="245"/>
      <c r="N3255" s="168"/>
    </row>
    <row r="3256" ht="22.5" hidden="1" customHeight="1">
      <c r="A3256" s="137"/>
      <c r="B3256" s="90"/>
      <c r="C3256" s="55"/>
      <c r="D3256" s="193"/>
      <c r="E3256" s="201"/>
      <c r="F3256" s="202"/>
      <c r="G3256" s="194"/>
      <c r="H3256" s="198"/>
      <c r="I3256" s="196"/>
      <c r="J3256" s="179" t="str">
        <f>IF(A3256="RAPPI",(VLOOKUP(TRIM(D3256), CATALOGO!F:G, 2, FALSE) * C3256)+I3256,IFERROR(IF(COUNTIF('RESTAURANTESDESCUENTOS 2026'!A:A,TRIM(A3256))&gt;0,((VLOOKUP(TRIM(D3256), CATALOGO!A:B, 2, FALSE) * C3256)*(1-VALUE(SUBSTITUTE(VLOOKUP(TRIM(A3256),'RESTAURANTESDESCUENTOS 2026'!A:B,2,FALSE),"%",""))/100)+I3256),(VLOOKUP(TRIM(D3256), CATALOGO!A:B, 2, FALSE) * C3256+I3256)),""))</f>
        <v/>
      </c>
      <c r="K3256" s="196"/>
      <c r="L3256" s="87"/>
      <c r="M3256" s="245"/>
      <c r="N3256" s="168"/>
    </row>
    <row r="3257" ht="22.5" hidden="1" customHeight="1">
      <c r="A3257" s="137"/>
      <c r="B3257" s="90"/>
      <c r="C3257" s="55"/>
      <c r="D3257" s="193"/>
      <c r="E3257" s="201"/>
      <c r="F3257" s="202"/>
      <c r="G3257" s="194"/>
      <c r="H3257" s="198"/>
      <c r="I3257" s="196"/>
      <c r="J3257" s="179" t="str">
        <f>IF(A3257="RAPPI",(VLOOKUP(TRIM(D3257), CATALOGO!F:G, 2, FALSE) * C3257)+I3257,IFERROR(IF(COUNTIF('RESTAURANTESDESCUENTOS 2026'!A:A,TRIM(A3257))&gt;0,((VLOOKUP(TRIM(D3257), CATALOGO!A:B, 2, FALSE) * C3257)*(1-VALUE(SUBSTITUTE(VLOOKUP(TRIM(A3257),'RESTAURANTESDESCUENTOS 2026'!A:B,2,FALSE),"%",""))/100)+I3257),(VLOOKUP(TRIM(D3257), CATALOGO!A:B, 2, FALSE) * C3257+I3257)),""))</f>
        <v/>
      </c>
      <c r="K3257" s="196"/>
      <c r="L3257" s="87"/>
      <c r="M3257" s="245"/>
      <c r="N3257" s="168"/>
    </row>
    <row r="3258" ht="22.5" hidden="1" customHeight="1">
      <c r="A3258" s="137"/>
      <c r="B3258" s="90"/>
      <c r="C3258" s="55"/>
      <c r="D3258" s="193"/>
      <c r="E3258" s="201"/>
      <c r="F3258" s="202"/>
      <c r="G3258" s="194"/>
      <c r="H3258" s="198"/>
      <c r="I3258" s="196"/>
      <c r="J3258" s="179" t="str">
        <f>IF(A3258="RAPPI",(VLOOKUP(TRIM(D3258), CATALOGO!F:G, 2, FALSE) * C3258)+I3258,IFERROR(IF(COUNTIF('RESTAURANTESDESCUENTOS 2026'!A:A,TRIM(A3258))&gt;0,((VLOOKUP(TRIM(D3258), CATALOGO!A:B, 2, FALSE) * C3258)*(1-VALUE(SUBSTITUTE(VLOOKUP(TRIM(A3258),'RESTAURANTESDESCUENTOS 2026'!A:B,2,FALSE),"%",""))/100)+I3258),(VLOOKUP(TRIM(D3258), CATALOGO!A:B, 2, FALSE) * C3258+I3258)),""))</f>
        <v/>
      </c>
      <c r="K3258" s="196"/>
      <c r="L3258" s="87"/>
      <c r="M3258" s="245"/>
      <c r="N3258" s="168"/>
    </row>
    <row r="3259" ht="22.5" hidden="1" customHeight="1">
      <c r="A3259" s="137"/>
      <c r="B3259" s="90"/>
      <c r="C3259" s="55"/>
      <c r="D3259" s="193"/>
      <c r="E3259" s="201"/>
      <c r="F3259" s="202"/>
      <c r="G3259" s="194"/>
      <c r="H3259" s="198"/>
      <c r="I3259" s="196"/>
      <c r="J3259" s="179" t="str">
        <f>IF(A3259="RAPPI",(VLOOKUP(TRIM(D3259), CATALOGO!F:G, 2, FALSE) * C3259)+I3259,IFERROR(IF(COUNTIF('RESTAURANTESDESCUENTOS 2026'!A:A,TRIM(A3259))&gt;0,((VLOOKUP(TRIM(D3259), CATALOGO!A:B, 2, FALSE) * C3259)*(1-VALUE(SUBSTITUTE(VLOOKUP(TRIM(A3259),'RESTAURANTESDESCUENTOS 2026'!A:B,2,FALSE),"%",""))/100)+I3259),(VLOOKUP(TRIM(D3259), CATALOGO!A:B, 2, FALSE) * C3259+I3259)),""))</f>
        <v/>
      </c>
      <c r="K3259" s="196"/>
      <c r="L3259" s="87"/>
      <c r="M3259" s="245"/>
      <c r="N3259" s="168"/>
    </row>
    <row r="3260" ht="22.5" hidden="1" customHeight="1">
      <c r="A3260" s="137"/>
      <c r="B3260" s="90"/>
      <c r="C3260" s="55"/>
      <c r="D3260" s="193"/>
      <c r="E3260" s="201"/>
      <c r="F3260" s="202"/>
      <c r="G3260" s="194"/>
      <c r="H3260" s="198"/>
      <c r="I3260" s="196"/>
      <c r="J3260" s="179" t="str">
        <f>IF(A3260="RAPPI",(VLOOKUP(TRIM(D3260), CATALOGO!F:G, 2, FALSE) * C3260)+I3260,IFERROR(IF(COUNTIF('RESTAURANTESDESCUENTOS 2026'!A:A,TRIM(A3260))&gt;0,((VLOOKUP(TRIM(D3260), CATALOGO!A:B, 2, FALSE) * C3260)*(1-VALUE(SUBSTITUTE(VLOOKUP(TRIM(A3260),'RESTAURANTESDESCUENTOS 2026'!A:B,2,FALSE),"%",""))/100)+I3260),(VLOOKUP(TRIM(D3260), CATALOGO!A:B, 2, FALSE) * C3260+I3260)),""))</f>
        <v/>
      </c>
      <c r="K3260" s="196"/>
      <c r="L3260" s="87"/>
      <c r="M3260" s="245"/>
      <c r="N3260" s="168"/>
    </row>
    <row r="3261" ht="22.5" hidden="1" customHeight="1">
      <c r="A3261" s="137"/>
      <c r="B3261" s="90"/>
      <c r="C3261" s="55"/>
      <c r="D3261" s="193"/>
      <c r="E3261" s="201"/>
      <c r="F3261" s="202"/>
      <c r="G3261" s="194"/>
      <c r="H3261" s="198"/>
      <c r="I3261" s="196"/>
      <c r="J3261" s="179" t="str">
        <f>IF(A3261="RAPPI",(VLOOKUP(TRIM(D3261), CATALOGO!F:G, 2, FALSE) * C3261)+I3261,IFERROR(IF(COUNTIF('RESTAURANTESDESCUENTOS 2026'!A:A,TRIM(A3261))&gt;0,((VLOOKUP(TRIM(D3261), CATALOGO!A:B, 2, FALSE) * C3261)*(1-VALUE(SUBSTITUTE(VLOOKUP(TRIM(A3261),'RESTAURANTESDESCUENTOS 2026'!A:B,2,FALSE),"%",""))/100)+I3261),(VLOOKUP(TRIM(D3261), CATALOGO!A:B, 2, FALSE) * C3261+I3261)),""))</f>
        <v/>
      </c>
      <c r="K3261" s="196"/>
      <c r="L3261" s="87"/>
      <c r="M3261" s="245"/>
      <c r="N3261" s="168"/>
    </row>
    <row r="3262" ht="22.5" hidden="1" customHeight="1">
      <c r="A3262" s="137"/>
      <c r="B3262" s="90"/>
      <c r="C3262" s="55"/>
      <c r="D3262" s="193"/>
      <c r="E3262" s="201"/>
      <c r="F3262" s="202"/>
      <c r="G3262" s="194"/>
      <c r="H3262" s="198"/>
      <c r="I3262" s="196"/>
      <c r="J3262" s="179" t="str">
        <f>IF(A3262="RAPPI",(VLOOKUP(TRIM(D3262), CATALOGO!F:G, 2, FALSE) * C3262)+I3262,IFERROR(IF(COUNTIF('RESTAURANTESDESCUENTOS 2026'!A:A,TRIM(A3262))&gt;0,((VLOOKUP(TRIM(D3262), CATALOGO!A:B, 2, FALSE) * C3262)*(1-VALUE(SUBSTITUTE(VLOOKUP(TRIM(A3262),'RESTAURANTESDESCUENTOS 2026'!A:B,2,FALSE),"%",""))/100)+I3262),(VLOOKUP(TRIM(D3262), CATALOGO!A:B, 2, FALSE) * C3262+I3262)),""))</f>
        <v/>
      </c>
      <c r="K3262" s="196"/>
      <c r="L3262" s="87"/>
      <c r="M3262" s="245"/>
      <c r="N3262" s="168"/>
    </row>
    <row r="3263" ht="22.5" hidden="1" customHeight="1">
      <c r="A3263" s="137"/>
      <c r="B3263" s="90"/>
      <c r="C3263" s="55"/>
      <c r="D3263" s="193"/>
      <c r="E3263" s="201"/>
      <c r="F3263" s="202"/>
      <c r="G3263" s="194"/>
      <c r="H3263" s="198"/>
      <c r="I3263" s="196"/>
      <c r="J3263" s="179" t="str">
        <f>IF(A3263="RAPPI",(VLOOKUP(TRIM(D3263), CATALOGO!F:G, 2, FALSE) * C3263)+I3263,IFERROR(IF(COUNTIF('RESTAURANTESDESCUENTOS 2026'!A:A,TRIM(A3263))&gt;0,((VLOOKUP(TRIM(D3263), CATALOGO!A:B, 2, FALSE) * C3263)*(1-VALUE(SUBSTITUTE(VLOOKUP(TRIM(A3263),'RESTAURANTESDESCUENTOS 2026'!A:B,2,FALSE),"%",""))/100)+I3263),(VLOOKUP(TRIM(D3263), CATALOGO!A:B, 2, FALSE) * C3263+I3263)),""))</f>
        <v/>
      </c>
      <c r="K3263" s="196"/>
      <c r="L3263" s="87"/>
      <c r="M3263" s="245"/>
      <c r="N3263" s="168"/>
    </row>
    <row r="3264" ht="22.5" hidden="1" customHeight="1">
      <c r="A3264" s="137"/>
      <c r="B3264" s="90"/>
      <c r="C3264" s="55"/>
      <c r="D3264" s="193"/>
      <c r="E3264" s="201"/>
      <c r="F3264" s="202"/>
      <c r="G3264" s="194"/>
      <c r="H3264" s="198"/>
      <c r="I3264" s="196"/>
      <c r="J3264" s="179" t="str">
        <f>IF(A3264="RAPPI",(VLOOKUP(TRIM(D3264), CATALOGO!F:G, 2, FALSE) * C3264)+I3264,IFERROR(IF(COUNTIF('RESTAURANTESDESCUENTOS 2026'!A:A,TRIM(A3264))&gt;0,((VLOOKUP(TRIM(D3264), CATALOGO!A:B, 2, FALSE) * C3264)*(1-VALUE(SUBSTITUTE(VLOOKUP(TRIM(A3264),'RESTAURANTESDESCUENTOS 2026'!A:B,2,FALSE),"%",""))/100)+I3264),(VLOOKUP(TRIM(D3264), CATALOGO!A:B, 2, FALSE) * C3264+I3264)),""))</f>
        <v/>
      </c>
      <c r="K3264" s="196"/>
      <c r="L3264" s="87"/>
      <c r="M3264" s="245"/>
      <c r="N3264" s="168"/>
    </row>
    <row r="3265" ht="22.5" hidden="1" customHeight="1">
      <c r="A3265" s="137"/>
      <c r="B3265" s="90"/>
      <c r="C3265" s="55"/>
      <c r="D3265" s="193"/>
      <c r="E3265" s="201"/>
      <c r="F3265" s="202"/>
      <c r="G3265" s="194"/>
      <c r="H3265" s="198"/>
      <c r="I3265" s="196"/>
      <c r="J3265" s="179" t="str">
        <f>IF(A3265="RAPPI",(VLOOKUP(TRIM(D3265), CATALOGO!F:G, 2, FALSE) * C3265)+I3265,IFERROR(IF(COUNTIF('RESTAURANTESDESCUENTOS 2026'!A:A,TRIM(A3265))&gt;0,((VLOOKUP(TRIM(D3265), CATALOGO!A:B, 2, FALSE) * C3265)*(1-VALUE(SUBSTITUTE(VLOOKUP(TRIM(A3265),'RESTAURANTESDESCUENTOS 2026'!A:B,2,FALSE),"%",""))/100)+I3265),(VLOOKUP(TRIM(D3265), CATALOGO!A:B, 2, FALSE) * C3265+I3265)),""))</f>
        <v/>
      </c>
      <c r="K3265" s="196"/>
      <c r="L3265" s="87"/>
      <c r="M3265" s="245"/>
      <c r="N3265" s="168"/>
    </row>
    <row r="3266" ht="22.5" hidden="1" customHeight="1">
      <c r="A3266" s="137"/>
      <c r="B3266" s="90"/>
      <c r="C3266" s="55"/>
      <c r="D3266" s="193"/>
      <c r="E3266" s="201"/>
      <c r="F3266" s="202"/>
      <c r="G3266" s="194"/>
      <c r="H3266" s="198"/>
      <c r="I3266" s="196"/>
      <c r="J3266" s="179" t="str">
        <f>IF(A3266="RAPPI",(VLOOKUP(TRIM(D3266), CATALOGO!F:G, 2, FALSE) * C3266)+I3266,IFERROR(IF(COUNTIF('RESTAURANTESDESCUENTOS 2026'!A:A,TRIM(A3266))&gt;0,((VLOOKUP(TRIM(D3266), CATALOGO!A:B, 2, FALSE) * C3266)*(1-VALUE(SUBSTITUTE(VLOOKUP(TRIM(A3266),'RESTAURANTESDESCUENTOS 2026'!A:B,2,FALSE),"%",""))/100)+I3266),(VLOOKUP(TRIM(D3266), CATALOGO!A:B, 2, FALSE) * C3266+I3266)),""))</f>
        <v/>
      </c>
      <c r="K3266" s="196"/>
      <c r="L3266" s="87"/>
      <c r="M3266" s="245"/>
      <c r="N3266" s="168"/>
    </row>
    <row r="3267" ht="22.5" hidden="1" customHeight="1">
      <c r="A3267" s="137"/>
      <c r="B3267" s="90"/>
      <c r="C3267" s="55"/>
      <c r="D3267" s="193"/>
      <c r="E3267" s="201"/>
      <c r="F3267" s="202"/>
      <c r="G3267" s="194"/>
      <c r="H3267" s="198"/>
      <c r="I3267" s="196"/>
      <c r="J3267" s="179" t="str">
        <f>IF(A3267="RAPPI",(VLOOKUP(TRIM(D3267), CATALOGO!F:G, 2, FALSE) * C3267)+I3267,IFERROR(IF(COUNTIF('RESTAURANTESDESCUENTOS 2026'!A:A,TRIM(A3267))&gt;0,((VLOOKUP(TRIM(D3267), CATALOGO!A:B, 2, FALSE) * C3267)*(1-VALUE(SUBSTITUTE(VLOOKUP(TRIM(A3267),'RESTAURANTESDESCUENTOS 2026'!A:B,2,FALSE),"%",""))/100)+I3267),(VLOOKUP(TRIM(D3267), CATALOGO!A:B, 2, FALSE) * C3267+I3267)),""))</f>
        <v/>
      </c>
      <c r="K3267" s="196"/>
      <c r="L3267" s="87"/>
      <c r="M3267" s="245"/>
      <c r="N3267" s="168"/>
    </row>
    <row r="3268" ht="22.5" hidden="1" customHeight="1">
      <c r="A3268" s="137"/>
      <c r="B3268" s="90"/>
      <c r="C3268" s="55"/>
      <c r="D3268" s="193"/>
      <c r="E3268" s="201"/>
      <c r="F3268" s="202"/>
      <c r="G3268" s="194"/>
      <c r="H3268" s="198"/>
      <c r="I3268" s="196"/>
      <c r="J3268" s="179" t="str">
        <f>IF(A3268="RAPPI",(VLOOKUP(TRIM(D3268), CATALOGO!F:G, 2, FALSE) * C3268)+I3268,IFERROR(IF(COUNTIF('RESTAURANTESDESCUENTOS 2026'!A:A,TRIM(A3268))&gt;0,((VLOOKUP(TRIM(D3268), CATALOGO!A:B, 2, FALSE) * C3268)*(1-VALUE(SUBSTITUTE(VLOOKUP(TRIM(A3268),'RESTAURANTESDESCUENTOS 2026'!A:B,2,FALSE),"%",""))/100)+I3268),(VLOOKUP(TRIM(D3268), CATALOGO!A:B, 2, FALSE) * C3268+I3268)),""))</f>
        <v/>
      </c>
      <c r="K3268" s="196"/>
      <c r="L3268" s="87"/>
      <c r="M3268" s="245"/>
      <c r="N3268" s="168"/>
    </row>
    <row r="3269" ht="22.5" hidden="1" customHeight="1">
      <c r="A3269" s="137"/>
      <c r="B3269" s="90"/>
      <c r="C3269" s="55"/>
      <c r="D3269" s="193"/>
      <c r="E3269" s="201"/>
      <c r="F3269" s="202"/>
      <c r="G3269" s="194"/>
      <c r="H3269" s="198"/>
      <c r="I3269" s="196"/>
      <c r="J3269" s="179" t="str">
        <f>IF(A3269="RAPPI",(VLOOKUP(TRIM(D3269), CATALOGO!F:G, 2, FALSE) * C3269)+I3269,IFERROR(IF(COUNTIF('RESTAURANTESDESCUENTOS 2026'!A:A,TRIM(A3269))&gt;0,((VLOOKUP(TRIM(D3269), CATALOGO!A:B, 2, FALSE) * C3269)*(1-VALUE(SUBSTITUTE(VLOOKUP(TRIM(A3269),'RESTAURANTESDESCUENTOS 2026'!A:B,2,FALSE),"%",""))/100)+I3269),(VLOOKUP(TRIM(D3269), CATALOGO!A:B, 2, FALSE) * C3269+I3269)),""))</f>
        <v/>
      </c>
      <c r="K3269" s="196"/>
      <c r="L3269" s="87"/>
      <c r="M3269" s="245"/>
      <c r="N3269" s="168"/>
    </row>
    <row r="3270" ht="22.5" hidden="1" customHeight="1">
      <c r="A3270" s="137"/>
      <c r="B3270" s="90"/>
      <c r="C3270" s="55"/>
      <c r="D3270" s="193"/>
      <c r="E3270" s="201"/>
      <c r="F3270" s="202"/>
      <c r="G3270" s="194"/>
      <c r="H3270" s="198"/>
      <c r="I3270" s="196"/>
      <c r="J3270" s="179" t="str">
        <f>IF(A3270="RAPPI",(VLOOKUP(TRIM(D3270), CATALOGO!F:G, 2, FALSE) * C3270)+I3270,IFERROR(IF(COUNTIF('RESTAURANTESDESCUENTOS 2026'!A:A,TRIM(A3270))&gt;0,((VLOOKUP(TRIM(D3270), CATALOGO!A:B, 2, FALSE) * C3270)*(1-VALUE(SUBSTITUTE(VLOOKUP(TRIM(A3270),'RESTAURANTESDESCUENTOS 2026'!A:B,2,FALSE),"%",""))/100)+I3270),(VLOOKUP(TRIM(D3270), CATALOGO!A:B, 2, FALSE) * C3270+I3270)),""))</f>
        <v/>
      </c>
      <c r="K3270" s="196"/>
      <c r="L3270" s="87"/>
      <c r="M3270" s="245"/>
      <c r="N3270" s="168"/>
    </row>
    <row r="3271" ht="22.5" hidden="1" customHeight="1">
      <c r="A3271" s="137"/>
      <c r="B3271" s="90"/>
      <c r="C3271" s="55"/>
      <c r="D3271" s="193"/>
      <c r="E3271" s="201"/>
      <c r="F3271" s="202"/>
      <c r="G3271" s="194"/>
      <c r="H3271" s="198"/>
      <c r="I3271" s="196"/>
      <c r="J3271" s="179" t="str">
        <f>IF(A3271="RAPPI",(VLOOKUP(TRIM(D3271), CATALOGO!F:G, 2, FALSE) * C3271)+I3271,IFERROR(IF(COUNTIF('RESTAURANTESDESCUENTOS 2026'!A:A,TRIM(A3271))&gt;0,((VLOOKUP(TRIM(D3271), CATALOGO!A:B, 2, FALSE) * C3271)*(1-VALUE(SUBSTITUTE(VLOOKUP(TRIM(A3271),'RESTAURANTESDESCUENTOS 2026'!A:B,2,FALSE),"%",""))/100)+I3271),(VLOOKUP(TRIM(D3271), CATALOGO!A:B, 2, FALSE) * C3271+I3271)),""))</f>
        <v/>
      </c>
      <c r="K3271" s="196"/>
      <c r="L3271" s="87"/>
      <c r="M3271" s="245"/>
      <c r="N3271" s="168"/>
    </row>
    <row r="3272" ht="22.5" hidden="1" customHeight="1">
      <c r="A3272" s="137"/>
      <c r="B3272" s="90"/>
      <c r="C3272" s="55"/>
      <c r="D3272" s="193"/>
      <c r="E3272" s="201"/>
      <c r="F3272" s="202"/>
      <c r="G3272" s="194"/>
      <c r="H3272" s="198"/>
      <c r="I3272" s="196"/>
      <c r="J3272" s="179" t="str">
        <f>IF(A3272="RAPPI",(VLOOKUP(TRIM(D3272), CATALOGO!F:G, 2, FALSE) * C3272)+I3272,IFERROR(IF(COUNTIF('RESTAURANTESDESCUENTOS 2026'!A:A,TRIM(A3272))&gt;0,((VLOOKUP(TRIM(D3272), CATALOGO!A:B, 2, FALSE) * C3272)*(1-VALUE(SUBSTITUTE(VLOOKUP(TRIM(A3272),'RESTAURANTESDESCUENTOS 2026'!A:B,2,FALSE),"%",""))/100)+I3272),(VLOOKUP(TRIM(D3272), CATALOGO!A:B, 2, FALSE) * C3272+I3272)),""))</f>
        <v/>
      </c>
      <c r="K3272" s="196"/>
      <c r="L3272" s="87"/>
      <c r="M3272" s="245"/>
      <c r="N3272" s="168"/>
    </row>
    <row r="3273" ht="22.5" hidden="1" customHeight="1">
      <c r="A3273" s="137"/>
      <c r="B3273" s="90"/>
      <c r="C3273" s="55"/>
      <c r="D3273" s="193"/>
      <c r="E3273" s="201"/>
      <c r="F3273" s="202"/>
      <c r="G3273" s="194"/>
      <c r="H3273" s="198"/>
      <c r="I3273" s="196"/>
      <c r="J3273" s="179" t="str">
        <f>IF(A3273="RAPPI",(VLOOKUP(TRIM(D3273), CATALOGO!F:G, 2, FALSE) * C3273)+I3273,IFERROR(IF(COUNTIF('RESTAURANTESDESCUENTOS 2026'!A:A,TRIM(A3273))&gt;0,((VLOOKUP(TRIM(D3273), CATALOGO!A:B, 2, FALSE) * C3273)*(1-VALUE(SUBSTITUTE(VLOOKUP(TRIM(A3273),'RESTAURANTESDESCUENTOS 2026'!A:B,2,FALSE),"%",""))/100)+I3273),(VLOOKUP(TRIM(D3273), CATALOGO!A:B, 2, FALSE) * C3273+I3273)),""))</f>
        <v/>
      </c>
      <c r="K3273" s="196"/>
      <c r="L3273" s="87"/>
      <c r="M3273" s="245"/>
      <c r="N3273" s="168"/>
    </row>
    <row r="3274" ht="22.5" hidden="1" customHeight="1">
      <c r="A3274" s="137"/>
      <c r="B3274" s="90"/>
      <c r="C3274" s="55"/>
      <c r="D3274" s="193"/>
      <c r="E3274" s="201"/>
      <c r="F3274" s="202"/>
      <c r="G3274" s="194"/>
      <c r="H3274" s="198"/>
      <c r="I3274" s="196"/>
      <c r="J3274" s="179" t="str">
        <f>IF(A3274="RAPPI",(VLOOKUP(TRIM(D3274), CATALOGO!F:G, 2, FALSE) * C3274)+I3274,IFERROR(IF(COUNTIF('RESTAURANTESDESCUENTOS 2026'!A:A,TRIM(A3274))&gt;0,((VLOOKUP(TRIM(D3274), CATALOGO!A:B, 2, FALSE) * C3274)*(1-VALUE(SUBSTITUTE(VLOOKUP(TRIM(A3274),'RESTAURANTESDESCUENTOS 2026'!A:B,2,FALSE),"%",""))/100)+I3274),(VLOOKUP(TRIM(D3274), CATALOGO!A:B, 2, FALSE) * C3274+I3274)),""))</f>
        <v/>
      </c>
      <c r="K3274" s="196"/>
      <c r="L3274" s="87"/>
      <c r="M3274" s="245"/>
      <c r="N3274" s="168"/>
    </row>
    <row r="3275" ht="22.5" hidden="1" customHeight="1">
      <c r="A3275" s="137"/>
      <c r="B3275" s="90"/>
      <c r="C3275" s="55"/>
      <c r="D3275" s="193"/>
      <c r="E3275" s="201"/>
      <c r="F3275" s="202"/>
      <c r="G3275" s="194"/>
      <c r="H3275" s="198"/>
      <c r="I3275" s="196"/>
      <c r="J3275" s="179" t="str">
        <f>IF(A3275="RAPPI",(VLOOKUP(TRIM(D3275), CATALOGO!F:G, 2, FALSE) * C3275)+I3275,IFERROR(IF(COUNTIF('RESTAURANTESDESCUENTOS 2026'!A:A,TRIM(A3275))&gt;0,((VLOOKUP(TRIM(D3275), CATALOGO!A:B, 2, FALSE) * C3275)*(1-VALUE(SUBSTITUTE(VLOOKUP(TRIM(A3275),'RESTAURANTESDESCUENTOS 2026'!A:B,2,FALSE),"%",""))/100)+I3275),(VLOOKUP(TRIM(D3275), CATALOGO!A:B, 2, FALSE) * C3275+I3275)),""))</f>
        <v/>
      </c>
      <c r="K3275" s="196"/>
      <c r="L3275" s="87"/>
      <c r="M3275" s="245"/>
      <c r="N3275" s="168"/>
    </row>
    <row r="3276" ht="22.5" hidden="1" customHeight="1">
      <c r="A3276" s="137"/>
      <c r="B3276" s="90"/>
      <c r="C3276" s="55"/>
      <c r="D3276" s="193"/>
      <c r="E3276" s="201"/>
      <c r="F3276" s="202"/>
      <c r="G3276" s="194"/>
      <c r="H3276" s="198"/>
      <c r="I3276" s="196"/>
      <c r="J3276" s="179" t="str">
        <f>IF(A3276="RAPPI",(VLOOKUP(TRIM(D3276), CATALOGO!F:G, 2, FALSE) * C3276)+I3276,IFERROR(IF(COUNTIF('RESTAURANTESDESCUENTOS 2026'!A:A,TRIM(A3276))&gt;0,((VLOOKUP(TRIM(D3276), CATALOGO!A:B, 2, FALSE) * C3276)*(1-VALUE(SUBSTITUTE(VLOOKUP(TRIM(A3276),'RESTAURANTESDESCUENTOS 2026'!A:B,2,FALSE),"%",""))/100)+I3276),(VLOOKUP(TRIM(D3276), CATALOGO!A:B, 2, FALSE) * C3276+I3276)),""))</f>
        <v/>
      </c>
      <c r="K3276" s="196"/>
      <c r="L3276" s="87"/>
      <c r="M3276" s="245"/>
      <c r="N3276" s="168"/>
    </row>
    <row r="3277" ht="22.5" hidden="1" customHeight="1">
      <c r="A3277" s="137"/>
      <c r="B3277" s="90"/>
      <c r="C3277" s="55"/>
      <c r="D3277" s="193"/>
      <c r="E3277" s="201"/>
      <c r="F3277" s="202"/>
      <c r="G3277" s="194"/>
      <c r="H3277" s="198"/>
      <c r="I3277" s="196"/>
      <c r="J3277" s="179" t="str">
        <f>IF(A3277="RAPPI",(VLOOKUP(TRIM(D3277), CATALOGO!F:G, 2, FALSE) * C3277)+I3277,IFERROR(IF(COUNTIF('RESTAURANTESDESCUENTOS 2026'!A:A,TRIM(A3277))&gt;0,((VLOOKUP(TRIM(D3277), CATALOGO!A:B, 2, FALSE) * C3277)*(1-VALUE(SUBSTITUTE(VLOOKUP(TRIM(A3277),'RESTAURANTESDESCUENTOS 2026'!A:B,2,FALSE),"%",""))/100)+I3277),(VLOOKUP(TRIM(D3277), CATALOGO!A:B, 2, FALSE) * C3277+I3277)),""))</f>
        <v/>
      </c>
      <c r="K3277" s="196"/>
      <c r="L3277" s="87"/>
      <c r="M3277" s="245"/>
      <c r="N3277" s="168"/>
    </row>
    <row r="3278" ht="22.5" hidden="1" customHeight="1">
      <c r="A3278" s="137"/>
      <c r="B3278" s="90"/>
      <c r="C3278" s="55"/>
      <c r="D3278" s="193"/>
      <c r="E3278" s="201"/>
      <c r="F3278" s="202"/>
      <c r="G3278" s="194"/>
      <c r="H3278" s="198"/>
      <c r="I3278" s="196"/>
      <c r="J3278" s="179" t="str">
        <f>IF(A3278="RAPPI",(VLOOKUP(TRIM(D3278), CATALOGO!F:G, 2, FALSE) * C3278)+I3278,IFERROR(IF(COUNTIF('RESTAURANTESDESCUENTOS 2026'!A:A,TRIM(A3278))&gt;0,((VLOOKUP(TRIM(D3278), CATALOGO!A:B, 2, FALSE) * C3278)*(1-VALUE(SUBSTITUTE(VLOOKUP(TRIM(A3278),'RESTAURANTESDESCUENTOS 2026'!A:B,2,FALSE),"%",""))/100)+I3278),(VLOOKUP(TRIM(D3278), CATALOGO!A:B, 2, FALSE) * C3278+I3278)),""))</f>
        <v/>
      </c>
      <c r="K3278" s="196"/>
      <c r="L3278" s="87"/>
      <c r="M3278" s="245"/>
      <c r="N3278" s="168"/>
    </row>
    <row r="3279" ht="22.5" hidden="1" customHeight="1">
      <c r="A3279" s="137"/>
      <c r="B3279" s="90"/>
      <c r="C3279" s="55"/>
      <c r="D3279" s="193"/>
      <c r="E3279" s="201"/>
      <c r="F3279" s="202"/>
      <c r="G3279" s="194"/>
      <c r="H3279" s="198"/>
      <c r="I3279" s="196"/>
      <c r="J3279" s="179" t="str">
        <f>IF(A3279="RAPPI",(VLOOKUP(TRIM(D3279), CATALOGO!F:G, 2, FALSE) * C3279)+I3279,IFERROR(IF(COUNTIF('RESTAURANTESDESCUENTOS 2026'!A:A,TRIM(A3279))&gt;0,((VLOOKUP(TRIM(D3279), CATALOGO!A:B, 2, FALSE) * C3279)*(1-VALUE(SUBSTITUTE(VLOOKUP(TRIM(A3279),'RESTAURANTESDESCUENTOS 2026'!A:B,2,FALSE),"%",""))/100)+I3279),(VLOOKUP(TRIM(D3279), CATALOGO!A:B, 2, FALSE) * C3279+I3279)),""))</f>
        <v/>
      </c>
      <c r="K3279" s="196"/>
      <c r="L3279" s="87"/>
      <c r="M3279" s="245"/>
      <c r="N3279" s="168"/>
    </row>
    <row r="3280" ht="22.5" hidden="1" customHeight="1">
      <c r="A3280" s="137"/>
      <c r="B3280" s="90"/>
      <c r="C3280" s="55"/>
      <c r="D3280" s="193"/>
      <c r="E3280" s="201"/>
      <c r="F3280" s="202"/>
      <c r="G3280" s="194"/>
      <c r="H3280" s="198"/>
      <c r="I3280" s="196"/>
      <c r="J3280" s="179" t="str">
        <f>IF(A3280="RAPPI",(VLOOKUP(TRIM(D3280), CATALOGO!F:G, 2, FALSE) * C3280)+I3280,IFERROR(IF(COUNTIF('RESTAURANTESDESCUENTOS 2026'!A:A,TRIM(A3280))&gt;0,((VLOOKUP(TRIM(D3280), CATALOGO!A:B, 2, FALSE) * C3280)*(1-VALUE(SUBSTITUTE(VLOOKUP(TRIM(A3280),'RESTAURANTESDESCUENTOS 2026'!A:B,2,FALSE),"%",""))/100)+I3280),(VLOOKUP(TRIM(D3280), CATALOGO!A:B, 2, FALSE) * C3280+I3280)),""))</f>
        <v/>
      </c>
      <c r="K3280" s="196"/>
      <c r="L3280" s="87"/>
      <c r="M3280" s="245"/>
      <c r="N3280" s="168"/>
    </row>
    <row r="3281" ht="22.5" hidden="1" customHeight="1">
      <c r="A3281" s="137"/>
      <c r="B3281" s="90"/>
      <c r="C3281" s="55"/>
      <c r="D3281" s="193"/>
      <c r="E3281" s="201"/>
      <c r="F3281" s="202"/>
      <c r="G3281" s="194"/>
      <c r="H3281" s="198"/>
      <c r="I3281" s="196"/>
      <c r="J3281" s="179" t="str">
        <f>IF(A3281="RAPPI",(VLOOKUP(TRIM(D3281), CATALOGO!F:G, 2, FALSE) * C3281)+I3281,IFERROR(IF(COUNTIF('RESTAURANTESDESCUENTOS 2026'!A:A,TRIM(A3281))&gt;0,((VLOOKUP(TRIM(D3281), CATALOGO!A:B, 2, FALSE) * C3281)*(1-VALUE(SUBSTITUTE(VLOOKUP(TRIM(A3281),'RESTAURANTESDESCUENTOS 2026'!A:B,2,FALSE),"%",""))/100)+I3281),(VLOOKUP(TRIM(D3281), CATALOGO!A:B, 2, FALSE) * C3281+I3281)),""))</f>
        <v/>
      </c>
      <c r="K3281" s="196"/>
      <c r="L3281" s="87"/>
      <c r="M3281" s="245"/>
      <c r="N3281" s="168"/>
    </row>
    <row r="3282" ht="22.5" hidden="1" customHeight="1">
      <c r="A3282" s="137"/>
      <c r="B3282" s="90"/>
      <c r="C3282" s="55"/>
      <c r="D3282" s="193"/>
      <c r="E3282" s="201"/>
      <c r="F3282" s="202"/>
      <c r="G3282" s="194"/>
      <c r="H3282" s="198"/>
      <c r="I3282" s="196"/>
      <c r="J3282" s="179" t="str">
        <f>IF(A3282="RAPPI",(VLOOKUP(TRIM(D3282), CATALOGO!F:G, 2, FALSE) * C3282)+I3282,IFERROR(IF(COUNTIF('RESTAURANTESDESCUENTOS 2026'!A:A,TRIM(A3282))&gt;0,((VLOOKUP(TRIM(D3282), CATALOGO!A:B, 2, FALSE) * C3282)*(1-VALUE(SUBSTITUTE(VLOOKUP(TRIM(A3282),'RESTAURANTESDESCUENTOS 2026'!A:B,2,FALSE),"%",""))/100)+I3282),(VLOOKUP(TRIM(D3282), CATALOGO!A:B, 2, FALSE) * C3282+I3282)),""))</f>
        <v/>
      </c>
      <c r="K3282" s="196"/>
      <c r="L3282" s="87"/>
      <c r="M3282" s="245"/>
      <c r="N3282" s="168"/>
    </row>
    <row r="3283" ht="22.5" hidden="1" customHeight="1">
      <c r="A3283" s="137"/>
      <c r="B3283" s="90"/>
      <c r="C3283" s="55"/>
      <c r="D3283" s="193"/>
      <c r="E3283" s="201"/>
      <c r="F3283" s="202"/>
      <c r="G3283" s="194"/>
      <c r="H3283" s="198"/>
      <c r="I3283" s="196"/>
      <c r="J3283" s="179" t="str">
        <f>IF(A3283="RAPPI",(VLOOKUP(TRIM(D3283), CATALOGO!F:G, 2, FALSE) * C3283)+I3283,IFERROR(IF(COUNTIF('RESTAURANTESDESCUENTOS 2026'!A:A,TRIM(A3283))&gt;0,((VLOOKUP(TRIM(D3283), CATALOGO!A:B, 2, FALSE) * C3283)*(1-VALUE(SUBSTITUTE(VLOOKUP(TRIM(A3283),'RESTAURANTESDESCUENTOS 2026'!A:B,2,FALSE),"%",""))/100)+I3283),(VLOOKUP(TRIM(D3283), CATALOGO!A:B, 2, FALSE) * C3283+I3283)),""))</f>
        <v/>
      </c>
      <c r="K3283" s="196"/>
      <c r="L3283" s="87"/>
      <c r="M3283" s="245"/>
      <c r="N3283" s="168"/>
    </row>
    <row r="3284" ht="22.5" hidden="1" customHeight="1">
      <c r="A3284" s="137"/>
      <c r="B3284" s="90"/>
      <c r="C3284" s="55"/>
      <c r="D3284" s="193"/>
      <c r="E3284" s="201"/>
      <c r="F3284" s="202"/>
      <c r="G3284" s="194"/>
      <c r="H3284" s="198"/>
      <c r="I3284" s="196"/>
      <c r="J3284" s="179" t="str">
        <f>IF(A3284="RAPPI",(VLOOKUP(TRIM(D3284), CATALOGO!F:G, 2, FALSE) * C3284)+I3284,IFERROR(IF(COUNTIF('RESTAURANTESDESCUENTOS 2026'!A:A,TRIM(A3284))&gt;0,((VLOOKUP(TRIM(D3284), CATALOGO!A:B, 2, FALSE) * C3284)*(1-VALUE(SUBSTITUTE(VLOOKUP(TRIM(A3284),'RESTAURANTESDESCUENTOS 2026'!A:B,2,FALSE),"%",""))/100)+I3284),(VLOOKUP(TRIM(D3284), CATALOGO!A:B, 2, FALSE) * C3284+I3284)),""))</f>
        <v/>
      </c>
      <c r="K3284" s="196"/>
      <c r="L3284" s="87"/>
      <c r="M3284" s="245"/>
      <c r="N3284" s="168"/>
    </row>
    <row r="3285" ht="22.5" hidden="1" customHeight="1">
      <c r="A3285" s="137"/>
      <c r="B3285" s="90"/>
      <c r="C3285" s="55"/>
      <c r="D3285" s="193"/>
      <c r="E3285" s="201"/>
      <c r="F3285" s="202"/>
      <c r="G3285" s="194"/>
      <c r="H3285" s="198"/>
      <c r="I3285" s="196"/>
      <c r="J3285" s="179" t="str">
        <f>IF(A3285="RAPPI",(VLOOKUP(TRIM(D3285), CATALOGO!F:G, 2, FALSE) * C3285)+I3285,IFERROR(IF(COUNTIF('RESTAURANTESDESCUENTOS 2026'!A:A,TRIM(A3285))&gt;0,((VLOOKUP(TRIM(D3285), CATALOGO!A:B, 2, FALSE) * C3285)*(1-VALUE(SUBSTITUTE(VLOOKUP(TRIM(A3285),'RESTAURANTESDESCUENTOS 2026'!A:B,2,FALSE),"%",""))/100)+I3285),(VLOOKUP(TRIM(D3285), CATALOGO!A:B, 2, FALSE) * C3285+I3285)),""))</f>
        <v/>
      </c>
      <c r="K3285" s="196"/>
      <c r="L3285" s="87"/>
      <c r="M3285" s="245"/>
      <c r="N3285" s="168"/>
    </row>
    <row r="3286" ht="22.5" hidden="1" customHeight="1">
      <c r="A3286" s="137"/>
      <c r="B3286" s="90"/>
      <c r="C3286" s="55"/>
      <c r="D3286" s="193"/>
      <c r="E3286" s="201"/>
      <c r="F3286" s="202"/>
      <c r="G3286" s="194"/>
      <c r="H3286" s="198"/>
      <c r="I3286" s="196"/>
      <c r="J3286" s="179" t="str">
        <f>IF(A3286="RAPPI",(VLOOKUP(TRIM(D3286), CATALOGO!F:G, 2, FALSE) * C3286)+I3286,IFERROR(IF(COUNTIF('RESTAURANTESDESCUENTOS 2026'!A:A,TRIM(A3286))&gt;0,((VLOOKUP(TRIM(D3286), CATALOGO!A:B, 2, FALSE) * C3286)*(1-VALUE(SUBSTITUTE(VLOOKUP(TRIM(A3286),'RESTAURANTESDESCUENTOS 2026'!A:B,2,FALSE),"%",""))/100)+I3286),(VLOOKUP(TRIM(D3286), CATALOGO!A:B, 2, FALSE) * C3286+I3286)),""))</f>
        <v/>
      </c>
      <c r="K3286" s="196"/>
      <c r="L3286" s="87"/>
      <c r="M3286" s="245"/>
      <c r="N3286" s="168"/>
    </row>
    <row r="3287" ht="22.5" hidden="1" customHeight="1">
      <c r="A3287" s="137"/>
      <c r="B3287" s="90"/>
      <c r="C3287" s="55"/>
      <c r="D3287" s="193"/>
      <c r="E3287" s="201"/>
      <c r="F3287" s="202"/>
      <c r="G3287" s="194"/>
      <c r="H3287" s="198"/>
      <c r="I3287" s="196"/>
      <c r="J3287" s="179" t="str">
        <f>IF(A3287="RAPPI",(VLOOKUP(TRIM(D3287), CATALOGO!F:G, 2, FALSE) * C3287)+I3287,IFERROR(IF(COUNTIF('RESTAURANTESDESCUENTOS 2026'!A:A,TRIM(A3287))&gt;0,((VLOOKUP(TRIM(D3287), CATALOGO!A:B, 2, FALSE) * C3287)*(1-VALUE(SUBSTITUTE(VLOOKUP(TRIM(A3287),'RESTAURANTESDESCUENTOS 2026'!A:B,2,FALSE),"%",""))/100)+I3287),(VLOOKUP(TRIM(D3287), CATALOGO!A:B, 2, FALSE) * C3287+I3287)),""))</f>
        <v/>
      </c>
      <c r="K3287" s="196"/>
      <c r="L3287" s="87"/>
      <c r="M3287" s="245"/>
      <c r="N3287" s="168"/>
    </row>
    <row r="3288" ht="22.5" hidden="1" customHeight="1">
      <c r="A3288" s="137"/>
      <c r="B3288" s="90"/>
      <c r="C3288" s="55"/>
      <c r="D3288" s="193"/>
      <c r="E3288" s="201"/>
      <c r="F3288" s="202"/>
      <c r="G3288" s="194"/>
      <c r="H3288" s="198"/>
      <c r="I3288" s="196"/>
      <c r="J3288" s="179" t="str">
        <f>IF(A3288="RAPPI",(VLOOKUP(TRIM(D3288), CATALOGO!F:G, 2, FALSE) * C3288)+I3288,IFERROR(IF(COUNTIF('RESTAURANTESDESCUENTOS 2026'!A:A,TRIM(A3288))&gt;0,((VLOOKUP(TRIM(D3288), CATALOGO!A:B, 2, FALSE) * C3288)*(1-VALUE(SUBSTITUTE(VLOOKUP(TRIM(A3288),'RESTAURANTESDESCUENTOS 2026'!A:B,2,FALSE),"%",""))/100)+I3288),(VLOOKUP(TRIM(D3288), CATALOGO!A:B, 2, FALSE) * C3288+I3288)),""))</f>
        <v/>
      </c>
      <c r="K3288" s="196"/>
      <c r="L3288" s="87"/>
      <c r="M3288" s="245"/>
      <c r="N3288" s="168"/>
    </row>
    <row r="3289" ht="22.5" hidden="1" customHeight="1">
      <c r="A3289" s="137"/>
      <c r="B3289" s="90"/>
      <c r="C3289" s="55"/>
      <c r="D3289" s="193"/>
      <c r="E3289" s="201"/>
      <c r="F3289" s="202"/>
      <c r="G3289" s="194"/>
      <c r="H3289" s="198"/>
      <c r="I3289" s="196"/>
      <c r="J3289" s="179" t="str">
        <f>IF(A3289="RAPPI",(VLOOKUP(TRIM(D3289), CATALOGO!F:G, 2, FALSE) * C3289)+I3289,IFERROR(IF(COUNTIF('RESTAURANTESDESCUENTOS 2026'!A:A,TRIM(A3289))&gt;0,((VLOOKUP(TRIM(D3289), CATALOGO!A:B, 2, FALSE) * C3289)*(1-VALUE(SUBSTITUTE(VLOOKUP(TRIM(A3289),'RESTAURANTESDESCUENTOS 2026'!A:B,2,FALSE),"%",""))/100)+I3289),(VLOOKUP(TRIM(D3289), CATALOGO!A:B, 2, FALSE) * C3289+I3289)),""))</f>
        <v/>
      </c>
      <c r="K3289" s="196"/>
      <c r="L3289" s="87"/>
      <c r="M3289" s="245"/>
      <c r="N3289" s="168"/>
    </row>
    <row r="3290" ht="22.5" hidden="1" customHeight="1">
      <c r="A3290" s="137"/>
      <c r="B3290" s="90"/>
      <c r="C3290" s="55"/>
      <c r="D3290" s="193"/>
      <c r="E3290" s="201"/>
      <c r="F3290" s="202"/>
      <c r="G3290" s="194"/>
      <c r="H3290" s="198"/>
      <c r="I3290" s="196"/>
      <c r="J3290" s="179" t="str">
        <f>IF(A3290="RAPPI",(VLOOKUP(TRIM(D3290), CATALOGO!F:G, 2, FALSE) * C3290)+I3290,IFERROR(IF(COUNTIF('RESTAURANTESDESCUENTOS 2026'!A:A,TRIM(A3290))&gt;0,((VLOOKUP(TRIM(D3290), CATALOGO!A:B, 2, FALSE) * C3290)*(1-VALUE(SUBSTITUTE(VLOOKUP(TRIM(A3290),'RESTAURANTESDESCUENTOS 2026'!A:B,2,FALSE),"%",""))/100)+I3290),(VLOOKUP(TRIM(D3290), CATALOGO!A:B, 2, FALSE) * C3290+I3290)),""))</f>
        <v/>
      </c>
      <c r="K3290" s="196"/>
      <c r="L3290" s="87"/>
      <c r="M3290" s="245"/>
      <c r="N3290" s="168"/>
    </row>
    <row r="3291" ht="22.5" hidden="1" customHeight="1">
      <c r="A3291" s="137"/>
      <c r="B3291" s="90"/>
      <c r="C3291" s="55"/>
      <c r="D3291" s="193"/>
      <c r="E3291" s="201"/>
      <c r="F3291" s="202"/>
      <c r="G3291" s="194"/>
      <c r="H3291" s="198"/>
      <c r="I3291" s="196"/>
      <c r="J3291" s="179" t="str">
        <f>IF(A3291="RAPPI",(VLOOKUP(TRIM(D3291), CATALOGO!F:G, 2, FALSE) * C3291)+I3291,IFERROR(IF(COUNTIF('RESTAURANTESDESCUENTOS 2026'!A:A,TRIM(A3291))&gt;0,((VLOOKUP(TRIM(D3291), CATALOGO!A:B, 2, FALSE) * C3291)*(1-VALUE(SUBSTITUTE(VLOOKUP(TRIM(A3291),'RESTAURANTESDESCUENTOS 2026'!A:B,2,FALSE),"%",""))/100)+I3291),(VLOOKUP(TRIM(D3291), CATALOGO!A:B, 2, FALSE) * C3291+I3291)),""))</f>
        <v/>
      </c>
      <c r="K3291" s="196"/>
      <c r="L3291" s="87"/>
      <c r="M3291" s="245"/>
      <c r="N3291" s="168"/>
    </row>
    <row r="3292" ht="22.5" hidden="1" customHeight="1">
      <c r="A3292" s="137"/>
      <c r="B3292" s="90"/>
      <c r="C3292" s="55"/>
      <c r="D3292" s="193"/>
      <c r="E3292" s="201"/>
      <c r="F3292" s="202"/>
      <c r="G3292" s="194"/>
      <c r="H3292" s="198"/>
      <c r="I3292" s="196"/>
      <c r="J3292" s="179" t="str">
        <f>IF(A3292="RAPPI",(VLOOKUP(TRIM(D3292), CATALOGO!F:G, 2, FALSE) * C3292)+I3292,IFERROR(IF(COUNTIF('RESTAURANTESDESCUENTOS 2026'!A:A,TRIM(A3292))&gt;0,((VLOOKUP(TRIM(D3292), CATALOGO!A:B, 2, FALSE) * C3292)*(1-VALUE(SUBSTITUTE(VLOOKUP(TRIM(A3292),'RESTAURANTESDESCUENTOS 2026'!A:B,2,FALSE),"%",""))/100)+I3292),(VLOOKUP(TRIM(D3292), CATALOGO!A:B, 2, FALSE) * C3292+I3292)),""))</f>
        <v/>
      </c>
      <c r="K3292" s="196"/>
      <c r="L3292" s="87"/>
      <c r="M3292" s="245"/>
      <c r="N3292" s="168"/>
    </row>
    <row r="3293" ht="22.5" hidden="1" customHeight="1">
      <c r="A3293" s="137"/>
      <c r="B3293" s="90"/>
      <c r="C3293" s="55"/>
      <c r="D3293" s="193"/>
      <c r="E3293" s="201"/>
      <c r="F3293" s="202"/>
      <c r="G3293" s="194"/>
      <c r="H3293" s="198"/>
      <c r="I3293" s="196"/>
      <c r="J3293" s="179" t="str">
        <f>IF(A3293="RAPPI",(VLOOKUP(TRIM(D3293), CATALOGO!F:G, 2, FALSE) * C3293)+I3293,IFERROR(IF(COUNTIF('RESTAURANTESDESCUENTOS 2026'!A:A,TRIM(A3293))&gt;0,((VLOOKUP(TRIM(D3293), CATALOGO!A:B, 2, FALSE) * C3293)*(1-VALUE(SUBSTITUTE(VLOOKUP(TRIM(A3293),'RESTAURANTESDESCUENTOS 2026'!A:B,2,FALSE),"%",""))/100)+I3293),(VLOOKUP(TRIM(D3293), CATALOGO!A:B, 2, FALSE) * C3293+I3293)),""))</f>
        <v/>
      </c>
      <c r="K3293" s="196"/>
      <c r="L3293" s="87"/>
      <c r="M3293" s="245"/>
      <c r="N3293" s="168"/>
    </row>
    <row r="3294" ht="22.5" hidden="1" customHeight="1">
      <c r="A3294" s="137"/>
      <c r="B3294" s="90"/>
      <c r="C3294" s="55"/>
      <c r="D3294" s="193"/>
      <c r="E3294" s="201"/>
      <c r="F3294" s="202"/>
      <c r="G3294" s="194"/>
      <c r="H3294" s="198"/>
      <c r="I3294" s="196"/>
      <c r="J3294" s="179" t="str">
        <f>IF(A3294="RAPPI",(VLOOKUP(TRIM(D3294), CATALOGO!F:G, 2, FALSE) * C3294)+I3294,IFERROR(IF(COUNTIF('RESTAURANTESDESCUENTOS 2026'!A:A,TRIM(A3294))&gt;0,((VLOOKUP(TRIM(D3294), CATALOGO!A:B, 2, FALSE) * C3294)*(1-VALUE(SUBSTITUTE(VLOOKUP(TRIM(A3294),'RESTAURANTESDESCUENTOS 2026'!A:B,2,FALSE),"%",""))/100)+I3294),(VLOOKUP(TRIM(D3294), CATALOGO!A:B, 2, FALSE) * C3294+I3294)),""))</f>
        <v/>
      </c>
      <c r="K3294" s="196"/>
      <c r="L3294" s="87"/>
      <c r="M3294" s="245"/>
      <c r="N3294" s="168"/>
    </row>
    <row r="3295" ht="22.5" hidden="1" customHeight="1">
      <c r="A3295" s="137"/>
      <c r="B3295" s="90"/>
      <c r="C3295" s="55"/>
      <c r="D3295" s="193"/>
      <c r="E3295" s="201"/>
      <c r="F3295" s="202"/>
      <c r="G3295" s="194"/>
      <c r="H3295" s="198"/>
      <c r="I3295" s="196"/>
      <c r="J3295" s="179" t="str">
        <f>IF(A3295="RAPPI",(VLOOKUP(TRIM(D3295), CATALOGO!F:G, 2, FALSE) * C3295)+I3295,IFERROR(IF(COUNTIF('RESTAURANTESDESCUENTOS 2026'!A:A,TRIM(A3295))&gt;0,((VLOOKUP(TRIM(D3295), CATALOGO!A:B, 2, FALSE) * C3295)*(1-VALUE(SUBSTITUTE(VLOOKUP(TRIM(A3295),'RESTAURANTESDESCUENTOS 2026'!A:B,2,FALSE),"%",""))/100)+I3295),(VLOOKUP(TRIM(D3295), CATALOGO!A:B, 2, FALSE) * C3295+I3295)),""))</f>
        <v/>
      </c>
      <c r="K3295" s="196"/>
      <c r="L3295" s="87"/>
      <c r="M3295" s="245"/>
      <c r="N3295" s="168"/>
    </row>
    <row r="3296" ht="22.5" hidden="1" customHeight="1">
      <c r="A3296" s="137"/>
      <c r="B3296" s="90"/>
      <c r="C3296" s="55"/>
      <c r="D3296" s="193"/>
      <c r="E3296" s="201"/>
      <c r="F3296" s="202"/>
      <c r="G3296" s="194"/>
      <c r="H3296" s="198"/>
      <c r="I3296" s="196"/>
      <c r="J3296" s="179" t="str">
        <f>IF(A3296="RAPPI",(VLOOKUP(TRIM(D3296), CATALOGO!F:G, 2, FALSE) * C3296)+I3296,IFERROR(IF(COUNTIF('RESTAURANTESDESCUENTOS 2026'!A:A,TRIM(A3296))&gt;0,((VLOOKUP(TRIM(D3296), CATALOGO!A:B, 2, FALSE) * C3296)*(1-VALUE(SUBSTITUTE(VLOOKUP(TRIM(A3296),'RESTAURANTESDESCUENTOS 2026'!A:B,2,FALSE),"%",""))/100)+I3296),(VLOOKUP(TRIM(D3296), CATALOGO!A:B, 2, FALSE) * C3296+I3296)),""))</f>
        <v/>
      </c>
      <c r="K3296" s="196"/>
      <c r="L3296" s="87"/>
      <c r="M3296" s="245"/>
      <c r="N3296" s="168"/>
    </row>
    <row r="3297" ht="22.5" hidden="1" customHeight="1">
      <c r="A3297" s="137"/>
      <c r="B3297" s="90"/>
      <c r="C3297" s="55"/>
      <c r="D3297" s="193"/>
      <c r="E3297" s="201"/>
      <c r="F3297" s="202"/>
      <c r="G3297" s="194"/>
      <c r="H3297" s="198"/>
      <c r="I3297" s="196"/>
      <c r="J3297" s="179" t="str">
        <f>IF(A3297="RAPPI",(VLOOKUP(TRIM(D3297), CATALOGO!F:G, 2, FALSE) * C3297)+I3297,IFERROR(IF(COUNTIF('RESTAURANTESDESCUENTOS 2026'!A:A,TRIM(A3297))&gt;0,((VLOOKUP(TRIM(D3297), CATALOGO!A:B, 2, FALSE) * C3297)*(1-VALUE(SUBSTITUTE(VLOOKUP(TRIM(A3297),'RESTAURANTESDESCUENTOS 2026'!A:B,2,FALSE),"%",""))/100)+I3297),(VLOOKUP(TRIM(D3297), CATALOGO!A:B, 2, FALSE) * C3297+I3297)),""))</f>
        <v/>
      </c>
      <c r="K3297" s="196"/>
      <c r="L3297" s="87"/>
      <c r="M3297" s="245"/>
      <c r="N3297" s="168"/>
    </row>
    <row r="3298" ht="22.5" hidden="1" customHeight="1">
      <c r="A3298" s="137"/>
      <c r="B3298" s="90"/>
      <c r="C3298" s="55"/>
      <c r="D3298" s="193"/>
      <c r="E3298" s="201"/>
      <c r="F3298" s="202"/>
      <c r="G3298" s="194"/>
      <c r="H3298" s="198"/>
      <c r="I3298" s="196"/>
      <c r="J3298" s="179" t="str">
        <f>IF(A3298="RAPPI",(VLOOKUP(TRIM(D3298), CATALOGO!F:G, 2, FALSE) * C3298)+I3298,IFERROR(IF(COUNTIF('RESTAURANTESDESCUENTOS 2026'!A:A,TRIM(A3298))&gt;0,((VLOOKUP(TRIM(D3298), CATALOGO!A:B, 2, FALSE) * C3298)*(1-VALUE(SUBSTITUTE(VLOOKUP(TRIM(A3298),'RESTAURANTESDESCUENTOS 2026'!A:B,2,FALSE),"%",""))/100)+I3298),(VLOOKUP(TRIM(D3298), CATALOGO!A:B, 2, FALSE) * C3298+I3298)),""))</f>
        <v/>
      </c>
      <c r="K3298" s="196"/>
      <c r="L3298" s="87"/>
      <c r="M3298" s="245"/>
      <c r="N3298" s="168"/>
    </row>
    <row r="3299" ht="22.5" hidden="1" customHeight="1">
      <c r="A3299" s="137"/>
      <c r="B3299" s="90"/>
      <c r="C3299" s="55"/>
      <c r="D3299" s="193"/>
      <c r="E3299" s="201"/>
      <c r="F3299" s="202"/>
      <c r="G3299" s="194"/>
      <c r="H3299" s="198"/>
      <c r="I3299" s="196"/>
      <c r="J3299" s="179" t="str">
        <f>IF(A3299="RAPPI",(VLOOKUP(TRIM(D3299), CATALOGO!F:G, 2, FALSE) * C3299)+I3299,IFERROR(IF(COUNTIF('RESTAURANTESDESCUENTOS 2026'!A:A,TRIM(A3299))&gt;0,((VLOOKUP(TRIM(D3299), CATALOGO!A:B, 2, FALSE) * C3299)*(1-VALUE(SUBSTITUTE(VLOOKUP(TRIM(A3299),'RESTAURANTESDESCUENTOS 2026'!A:B,2,FALSE),"%",""))/100)+I3299),(VLOOKUP(TRIM(D3299), CATALOGO!A:B, 2, FALSE) * C3299+I3299)),""))</f>
        <v/>
      </c>
      <c r="K3299" s="196"/>
      <c r="L3299" s="87"/>
      <c r="M3299" s="245"/>
      <c r="N3299" s="168"/>
    </row>
    <row r="3300" ht="22.5" hidden="1" customHeight="1">
      <c r="A3300" s="137"/>
      <c r="B3300" s="90"/>
      <c r="C3300" s="55"/>
      <c r="D3300" s="193"/>
      <c r="E3300" s="201"/>
      <c r="F3300" s="202"/>
      <c r="G3300" s="194"/>
      <c r="H3300" s="198"/>
      <c r="I3300" s="196"/>
      <c r="J3300" s="179" t="str">
        <f>IF(A3300="RAPPI",(VLOOKUP(TRIM(D3300), CATALOGO!F:G, 2, FALSE) * C3300)+I3300,IFERROR(IF(COUNTIF('RESTAURANTESDESCUENTOS 2026'!A:A,TRIM(A3300))&gt;0,((VLOOKUP(TRIM(D3300), CATALOGO!A:B, 2, FALSE) * C3300)*(1-VALUE(SUBSTITUTE(VLOOKUP(TRIM(A3300),'RESTAURANTESDESCUENTOS 2026'!A:B,2,FALSE),"%",""))/100)+I3300),(VLOOKUP(TRIM(D3300), CATALOGO!A:B, 2, FALSE) * C3300+I3300)),""))</f>
        <v/>
      </c>
      <c r="K3300" s="196"/>
      <c r="L3300" s="87"/>
      <c r="M3300" s="245"/>
      <c r="N3300" s="168"/>
    </row>
    <row r="3301" ht="22.5" hidden="1" customHeight="1">
      <c r="A3301" s="137"/>
      <c r="B3301" s="90"/>
      <c r="C3301" s="55"/>
      <c r="D3301" s="193"/>
      <c r="E3301" s="201"/>
      <c r="F3301" s="202"/>
      <c r="G3301" s="194"/>
      <c r="H3301" s="198"/>
      <c r="I3301" s="196"/>
      <c r="J3301" s="179" t="str">
        <f>IF(A3301="RAPPI",(VLOOKUP(TRIM(D3301), CATALOGO!F:G, 2, FALSE) * C3301)+I3301,IFERROR(IF(COUNTIF('RESTAURANTESDESCUENTOS 2026'!A:A,TRIM(A3301))&gt;0,((VLOOKUP(TRIM(D3301), CATALOGO!A:B, 2, FALSE) * C3301)*(1-VALUE(SUBSTITUTE(VLOOKUP(TRIM(A3301),'RESTAURANTESDESCUENTOS 2026'!A:B,2,FALSE),"%",""))/100)+I3301),(VLOOKUP(TRIM(D3301), CATALOGO!A:B, 2, FALSE) * C3301+I3301)),""))</f>
        <v/>
      </c>
      <c r="K3301" s="196"/>
      <c r="L3301" s="87"/>
      <c r="M3301" s="245"/>
      <c r="N3301" s="168"/>
    </row>
    <row r="3302" ht="22.5" hidden="1" customHeight="1">
      <c r="A3302" s="137"/>
      <c r="B3302" s="90"/>
      <c r="C3302" s="55"/>
      <c r="D3302" s="193"/>
      <c r="E3302" s="201"/>
      <c r="F3302" s="202"/>
      <c r="G3302" s="194"/>
      <c r="H3302" s="198"/>
      <c r="I3302" s="196"/>
      <c r="J3302" s="179" t="str">
        <f>IF(A3302="RAPPI",(VLOOKUP(TRIM(D3302), CATALOGO!F:G, 2, FALSE) * C3302)+I3302,IFERROR(IF(COUNTIF('RESTAURANTESDESCUENTOS 2026'!A:A,TRIM(A3302))&gt;0,((VLOOKUP(TRIM(D3302), CATALOGO!A:B, 2, FALSE) * C3302)*(1-VALUE(SUBSTITUTE(VLOOKUP(TRIM(A3302),'RESTAURANTESDESCUENTOS 2026'!A:B,2,FALSE),"%",""))/100)+I3302),(VLOOKUP(TRIM(D3302), CATALOGO!A:B, 2, FALSE) * C3302+I3302)),""))</f>
        <v/>
      </c>
      <c r="K3302" s="196"/>
      <c r="L3302" s="87"/>
      <c r="M3302" s="245"/>
      <c r="N3302" s="168"/>
    </row>
    <row r="3303" ht="22.5" hidden="1" customHeight="1">
      <c r="A3303" s="137"/>
      <c r="B3303" s="90"/>
      <c r="C3303" s="55"/>
      <c r="D3303" s="193"/>
      <c r="E3303" s="201"/>
      <c r="F3303" s="202"/>
      <c r="G3303" s="194"/>
      <c r="H3303" s="198"/>
      <c r="I3303" s="196"/>
      <c r="J3303" s="179" t="str">
        <f>IF(A3303="RAPPI",(VLOOKUP(TRIM(D3303), CATALOGO!F:G, 2, FALSE) * C3303)+I3303,IFERROR(IF(COUNTIF('RESTAURANTESDESCUENTOS 2026'!A:A,TRIM(A3303))&gt;0,((VLOOKUP(TRIM(D3303), CATALOGO!A:B, 2, FALSE) * C3303)*(1-VALUE(SUBSTITUTE(VLOOKUP(TRIM(A3303),'RESTAURANTESDESCUENTOS 2026'!A:B,2,FALSE),"%",""))/100)+I3303),(VLOOKUP(TRIM(D3303), CATALOGO!A:B, 2, FALSE) * C3303+I3303)),""))</f>
        <v/>
      </c>
      <c r="K3303" s="196"/>
      <c r="L3303" s="87"/>
      <c r="M3303" s="245"/>
      <c r="N3303" s="168"/>
    </row>
    <row r="3304" ht="22.5" hidden="1" customHeight="1">
      <c r="A3304" s="137"/>
      <c r="B3304" s="90"/>
      <c r="C3304" s="55"/>
      <c r="D3304" s="193"/>
      <c r="E3304" s="201"/>
      <c r="F3304" s="202"/>
      <c r="G3304" s="194"/>
      <c r="H3304" s="198"/>
      <c r="I3304" s="196"/>
      <c r="J3304" s="179" t="str">
        <f>IF(A3304="RAPPI",(VLOOKUP(TRIM(D3304), CATALOGO!F:G, 2, FALSE) * C3304)+I3304,IFERROR(IF(COUNTIF('RESTAURANTESDESCUENTOS 2026'!A:A,TRIM(A3304))&gt;0,((VLOOKUP(TRIM(D3304), CATALOGO!A:B, 2, FALSE) * C3304)*(1-VALUE(SUBSTITUTE(VLOOKUP(TRIM(A3304),'RESTAURANTESDESCUENTOS 2026'!A:B,2,FALSE),"%",""))/100)+I3304),(VLOOKUP(TRIM(D3304), CATALOGO!A:B, 2, FALSE) * C3304+I3304)),""))</f>
        <v/>
      </c>
      <c r="K3304" s="196"/>
      <c r="L3304" s="87"/>
      <c r="M3304" s="245"/>
      <c r="N3304" s="168"/>
    </row>
    <row r="3305" ht="22.5" hidden="1" customHeight="1">
      <c r="A3305" s="137"/>
      <c r="B3305" s="90"/>
      <c r="C3305" s="55"/>
      <c r="D3305" s="193"/>
      <c r="E3305" s="201"/>
      <c r="F3305" s="202"/>
      <c r="G3305" s="194"/>
      <c r="H3305" s="198"/>
      <c r="I3305" s="196"/>
      <c r="J3305" s="179" t="str">
        <f>IF(A3305="RAPPI",(VLOOKUP(TRIM(D3305), CATALOGO!F:G, 2, FALSE) * C3305)+I3305,IFERROR(IF(COUNTIF('RESTAURANTESDESCUENTOS 2026'!A:A,TRIM(A3305))&gt;0,((VLOOKUP(TRIM(D3305), CATALOGO!A:B, 2, FALSE) * C3305)*(1-VALUE(SUBSTITUTE(VLOOKUP(TRIM(A3305),'RESTAURANTESDESCUENTOS 2026'!A:B,2,FALSE),"%",""))/100)+I3305),(VLOOKUP(TRIM(D3305), CATALOGO!A:B, 2, FALSE) * C3305+I3305)),""))</f>
        <v/>
      </c>
      <c r="K3305" s="196"/>
      <c r="L3305" s="87"/>
      <c r="M3305" s="245"/>
      <c r="N3305" s="168"/>
    </row>
    <row r="3306" ht="22.5" hidden="1" customHeight="1">
      <c r="A3306" s="137"/>
      <c r="B3306" s="90"/>
      <c r="C3306" s="55"/>
      <c r="D3306" s="193"/>
      <c r="E3306" s="201"/>
      <c r="F3306" s="202"/>
      <c r="G3306" s="194"/>
      <c r="H3306" s="198"/>
      <c r="I3306" s="196"/>
      <c r="J3306" s="179" t="str">
        <f>IF(A3306="RAPPI",(VLOOKUP(TRIM(D3306), CATALOGO!F:G, 2, FALSE) * C3306)+I3306,IFERROR(IF(COUNTIF('RESTAURANTESDESCUENTOS 2026'!A:A,TRIM(A3306))&gt;0,((VLOOKUP(TRIM(D3306), CATALOGO!A:B, 2, FALSE) * C3306)*(1-VALUE(SUBSTITUTE(VLOOKUP(TRIM(A3306),'RESTAURANTESDESCUENTOS 2026'!A:B,2,FALSE),"%",""))/100)+I3306),(VLOOKUP(TRIM(D3306), CATALOGO!A:B, 2, FALSE) * C3306+I3306)),""))</f>
        <v/>
      </c>
      <c r="K3306" s="196"/>
      <c r="L3306" s="87"/>
      <c r="M3306" s="245"/>
      <c r="N3306" s="168"/>
    </row>
    <row r="3307" ht="22.5" hidden="1" customHeight="1">
      <c r="A3307" s="137"/>
      <c r="B3307" s="90"/>
      <c r="C3307" s="55"/>
      <c r="D3307" s="193"/>
      <c r="E3307" s="201"/>
      <c r="F3307" s="202"/>
      <c r="G3307" s="194"/>
      <c r="H3307" s="198"/>
      <c r="I3307" s="196"/>
      <c r="J3307" s="179" t="str">
        <f>IF(A3307="RAPPI",(VLOOKUP(TRIM(D3307), CATALOGO!F:G, 2, FALSE) * C3307)+I3307,IFERROR(IF(COUNTIF('RESTAURANTESDESCUENTOS 2026'!A:A,TRIM(A3307))&gt;0,((VLOOKUP(TRIM(D3307), CATALOGO!A:B, 2, FALSE) * C3307)*(1-VALUE(SUBSTITUTE(VLOOKUP(TRIM(A3307),'RESTAURANTESDESCUENTOS 2026'!A:B,2,FALSE),"%",""))/100)+I3307),(VLOOKUP(TRIM(D3307), CATALOGO!A:B, 2, FALSE) * C3307+I3307)),""))</f>
        <v/>
      </c>
      <c r="K3307" s="196"/>
      <c r="L3307" s="87"/>
      <c r="M3307" s="245"/>
      <c r="N3307" s="168"/>
    </row>
    <row r="3308" ht="22.5" hidden="1" customHeight="1">
      <c r="A3308" s="137"/>
      <c r="B3308" s="90"/>
      <c r="C3308" s="55"/>
      <c r="D3308" s="193"/>
      <c r="E3308" s="201"/>
      <c r="F3308" s="202"/>
      <c r="G3308" s="194"/>
      <c r="H3308" s="198"/>
      <c r="I3308" s="196"/>
      <c r="J3308" s="179" t="str">
        <f>IF(A3308="RAPPI",(VLOOKUP(TRIM(D3308), CATALOGO!F:G, 2, FALSE) * C3308)+I3308,IFERROR(IF(COUNTIF('RESTAURANTESDESCUENTOS 2026'!A:A,TRIM(A3308))&gt;0,((VLOOKUP(TRIM(D3308), CATALOGO!A:B, 2, FALSE) * C3308)*(1-VALUE(SUBSTITUTE(VLOOKUP(TRIM(A3308),'RESTAURANTESDESCUENTOS 2026'!A:B,2,FALSE),"%",""))/100)+I3308),(VLOOKUP(TRIM(D3308), CATALOGO!A:B, 2, FALSE) * C3308+I3308)),""))</f>
        <v/>
      </c>
      <c r="K3308" s="196"/>
      <c r="L3308" s="87"/>
      <c r="M3308" s="245"/>
      <c r="N3308" s="168"/>
    </row>
    <row r="3309" ht="22.5" hidden="1" customHeight="1">
      <c r="A3309" s="137"/>
      <c r="B3309" s="90"/>
      <c r="C3309" s="55"/>
      <c r="D3309" s="193"/>
      <c r="E3309" s="201"/>
      <c r="F3309" s="202"/>
      <c r="G3309" s="194"/>
      <c r="H3309" s="198"/>
      <c r="I3309" s="196"/>
      <c r="J3309" s="179" t="str">
        <f>IF(A3309="RAPPI",(VLOOKUP(TRIM(D3309), CATALOGO!F:G, 2, FALSE) * C3309)+I3309,IFERROR(IF(COUNTIF('RESTAURANTESDESCUENTOS 2026'!A:A,TRIM(A3309))&gt;0,((VLOOKUP(TRIM(D3309), CATALOGO!A:B, 2, FALSE) * C3309)*(1-VALUE(SUBSTITUTE(VLOOKUP(TRIM(A3309),'RESTAURANTESDESCUENTOS 2026'!A:B,2,FALSE),"%",""))/100)+I3309),(VLOOKUP(TRIM(D3309), CATALOGO!A:B, 2, FALSE) * C3309+I3309)),""))</f>
        <v/>
      </c>
      <c r="K3309" s="196"/>
      <c r="L3309" s="87"/>
      <c r="M3309" s="245"/>
      <c r="N3309" s="168"/>
    </row>
    <row r="3310" ht="22.5" hidden="1" customHeight="1">
      <c r="A3310" s="137"/>
      <c r="B3310" s="90"/>
      <c r="C3310" s="55"/>
      <c r="D3310" s="193"/>
      <c r="E3310" s="201"/>
      <c r="F3310" s="202"/>
      <c r="G3310" s="194"/>
      <c r="H3310" s="198"/>
      <c r="I3310" s="196"/>
      <c r="J3310" s="179" t="str">
        <f>IF(A3310="RAPPI",(VLOOKUP(TRIM(D3310), CATALOGO!F:G, 2, FALSE) * C3310)+I3310,IFERROR(IF(COUNTIF('RESTAURANTESDESCUENTOS 2026'!A:A,TRIM(A3310))&gt;0,((VLOOKUP(TRIM(D3310), CATALOGO!A:B, 2, FALSE) * C3310)*(1-VALUE(SUBSTITUTE(VLOOKUP(TRIM(A3310),'RESTAURANTESDESCUENTOS 2026'!A:B,2,FALSE),"%",""))/100)+I3310),(VLOOKUP(TRIM(D3310), CATALOGO!A:B, 2, FALSE) * C3310+I3310)),""))</f>
        <v/>
      </c>
      <c r="K3310" s="196"/>
      <c r="L3310" s="87"/>
      <c r="M3310" s="245"/>
      <c r="N3310" s="168"/>
    </row>
    <row r="3311" ht="22.5" hidden="1" customHeight="1">
      <c r="A3311" s="137"/>
      <c r="B3311" s="90"/>
      <c r="C3311" s="55"/>
      <c r="D3311" s="193"/>
      <c r="E3311" s="201"/>
      <c r="F3311" s="202"/>
      <c r="G3311" s="194"/>
      <c r="H3311" s="198"/>
      <c r="I3311" s="196"/>
      <c r="J3311" s="179" t="str">
        <f>IF(A3311="RAPPI",(VLOOKUP(TRIM(D3311), CATALOGO!F:G, 2, FALSE) * C3311)+I3311,IFERROR(IF(COUNTIF('RESTAURANTESDESCUENTOS 2026'!A:A,TRIM(A3311))&gt;0,((VLOOKUP(TRIM(D3311), CATALOGO!A:B, 2, FALSE) * C3311)*(1-VALUE(SUBSTITUTE(VLOOKUP(TRIM(A3311),'RESTAURANTESDESCUENTOS 2026'!A:B,2,FALSE),"%",""))/100)+I3311),(VLOOKUP(TRIM(D3311), CATALOGO!A:B, 2, FALSE) * C3311+I3311)),""))</f>
        <v/>
      </c>
      <c r="K3311" s="196"/>
      <c r="L3311" s="87"/>
      <c r="M3311" s="245"/>
      <c r="N3311" s="168"/>
    </row>
    <row r="3312" ht="22.5" hidden="1" customHeight="1">
      <c r="A3312" s="137"/>
      <c r="B3312" s="90"/>
      <c r="C3312" s="55"/>
      <c r="D3312" s="193"/>
      <c r="E3312" s="201"/>
      <c r="F3312" s="202"/>
      <c r="G3312" s="194"/>
      <c r="H3312" s="198"/>
      <c r="I3312" s="196"/>
      <c r="J3312" s="179" t="str">
        <f>IF(A3312="RAPPI",(VLOOKUP(TRIM(D3312), CATALOGO!F:G, 2, FALSE) * C3312)+I3312,IFERROR(IF(COUNTIF('RESTAURANTESDESCUENTOS 2026'!A:A,TRIM(A3312))&gt;0,((VLOOKUP(TRIM(D3312), CATALOGO!A:B, 2, FALSE) * C3312)*(1-VALUE(SUBSTITUTE(VLOOKUP(TRIM(A3312),'RESTAURANTESDESCUENTOS 2026'!A:B,2,FALSE),"%",""))/100)+I3312),(VLOOKUP(TRIM(D3312), CATALOGO!A:B, 2, FALSE) * C3312+I3312)),""))</f>
        <v/>
      </c>
      <c r="K3312" s="196"/>
      <c r="L3312" s="87"/>
      <c r="M3312" s="245"/>
      <c r="N3312" s="168"/>
    </row>
    <row r="3313" ht="22.5" hidden="1" customHeight="1">
      <c r="A3313" s="137"/>
      <c r="B3313" s="90"/>
      <c r="C3313" s="55"/>
      <c r="D3313" s="193"/>
      <c r="E3313" s="201"/>
      <c r="F3313" s="202"/>
      <c r="G3313" s="194"/>
      <c r="H3313" s="198"/>
      <c r="I3313" s="196"/>
      <c r="J3313" s="179" t="str">
        <f>IF(A3313="RAPPI",(VLOOKUP(TRIM(D3313), CATALOGO!F:G, 2, FALSE) * C3313)+I3313,IFERROR(IF(COUNTIF('RESTAURANTESDESCUENTOS 2026'!A:A,TRIM(A3313))&gt;0,((VLOOKUP(TRIM(D3313), CATALOGO!A:B, 2, FALSE) * C3313)*(1-VALUE(SUBSTITUTE(VLOOKUP(TRIM(A3313),'RESTAURANTESDESCUENTOS 2026'!A:B,2,FALSE),"%",""))/100)+I3313),(VLOOKUP(TRIM(D3313), CATALOGO!A:B, 2, FALSE) * C3313+I3313)),""))</f>
        <v/>
      </c>
      <c r="K3313" s="196"/>
      <c r="L3313" s="87"/>
      <c r="M3313" s="245"/>
      <c r="N3313" s="168"/>
    </row>
    <row r="3314" ht="22.5" hidden="1" customHeight="1">
      <c r="A3314" s="137"/>
      <c r="B3314" s="90"/>
      <c r="C3314" s="55"/>
      <c r="D3314" s="193"/>
      <c r="E3314" s="201"/>
      <c r="F3314" s="202"/>
      <c r="G3314" s="194"/>
      <c r="H3314" s="198"/>
      <c r="I3314" s="196"/>
      <c r="J3314" s="179" t="str">
        <f>IF(A3314="RAPPI",(VLOOKUP(TRIM(D3314), CATALOGO!F:G, 2, FALSE) * C3314)+I3314,IFERROR(IF(COUNTIF('RESTAURANTESDESCUENTOS 2026'!A:A,TRIM(A3314))&gt;0,((VLOOKUP(TRIM(D3314), CATALOGO!A:B, 2, FALSE) * C3314)*(1-VALUE(SUBSTITUTE(VLOOKUP(TRIM(A3314),'RESTAURANTESDESCUENTOS 2026'!A:B,2,FALSE),"%",""))/100)+I3314),(VLOOKUP(TRIM(D3314), CATALOGO!A:B, 2, FALSE) * C3314+I3314)),""))</f>
        <v/>
      </c>
      <c r="K3314" s="196"/>
      <c r="L3314" s="87"/>
      <c r="M3314" s="245"/>
      <c r="N3314" s="168"/>
    </row>
    <row r="3315" ht="22.5" hidden="1" customHeight="1">
      <c r="A3315" s="137"/>
      <c r="B3315" s="90"/>
      <c r="C3315" s="55"/>
      <c r="D3315" s="193"/>
      <c r="E3315" s="201"/>
      <c r="F3315" s="202"/>
      <c r="G3315" s="194"/>
      <c r="H3315" s="198"/>
      <c r="I3315" s="196"/>
      <c r="J3315" s="179" t="str">
        <f>IF(A3315="RAPPI",(VLOOKUP(TRIM(D3315), CATALOGO!F:G, 2, FALSE) * C3315)+I3315,IFERROR(IF(COUNTIF('RESTAURANTESDESCUENTOS 2026'!A:A,TRIM(A3315))&gt;0,((VLOOKUP(TRIM(D3315), CATALOGO!A:B, 2, FALSE) * C3315)*(1-VALUE(SUBSTITUTE(VLOOKUP(TRIM(A3315),'RESTAURANTESDESCUENTOS 2026'!A:B,2,FALSE),"%",""))/100)+I3315),(VLOOKUP(TRIM(D3315), CATALOGO!A:B, 2, FALSE) * C3315+I3315)),""))</f>
        <v/>
      </c>
      <c r="K3315" s="196"/>
      <c r="L3315" s="87"/>
      <c r="M3315" s="245"/>
      <c r="N3315" s="168"/>
    </row>
    <row r="3316" ht="22.5" hidden="1" customHeight="1">
      <c r="A3316" s="137"/>
      <c r="B3316" s="90"/>
      <c r="C3316" s="55"/>
      <c r="D3316" s="193"/>
      <c r="E3316" s="201"/>
      <c r="F3316" s="202"/>
      <c r="G3316" s="194"/>
      <c r="H3316" s="198"/>
      <c r="I3316" s="196"/>
      <c r="J3316" s="179" t="str">
        <f>IF(A3316="RAPPI",(VLOOKUP(TRIM(D3316), CATALOGO!F:G, 2, FALSE) * C3316)+I3316,IFERROR(IF(COUNTIF('RESTAURANTESDESCUENTOS 2026'!A:A,TRIM(A3316))&gt;0,((VLOOKUP(TRIM(D3316), CATALOGO!A:B, 2, FALSE) * C3316)*(1-VALUE(SUBSTITUTE(VLOOKUP(TRIM(A3316),'RESTAURANTESDESCUENTOS 2026'!A:B,2,FALSE),"%",""))/100)+I3316),(VLOOKUP(TRIM(D3316), CATALOGO!A:B, 2, FALSE) * C3316+I3316)),""))</f>
        <v/>
      </c>
      <c r="K3316" s="196"/>
      <c r="L3316" s="87"/>
      <c r="M3316" s="245"/>
      <c r="N3316" s="168"/>
    </row>
    <row r="3317" ht="22.5" hidden="1" customHeight="1">
      <c r="A3317" s="137"/>
      <c r="B3317" s="90"/>
      <c r="C3317" s="55"/>
      <c r="D3317" s="193"/>
      <c r="E3317" s="201"/>
      <c r="F3317" s="202"/>
      <c r="G3317" s="194"/>
      <c r="H3317" s="198"/>
      <c r="I3317" s="196"/>
      <c r="J3317" s="179" t="str">
        <f>IF(A3317="RAPPI",(VLOOKUP(TRIM(D3317), CATALOGO!F:G, 2, FALSE) * C3317)+I3317,IFERROR(IF(COUNTIF('RESTAURANTESDESCUENTOS 2026'!A:A,TRIM(A3317))&gt;0,((VLOOKUP(TRIM(D3317), CATALOGO!A:B, 2, FALSE) * C3317)*(1-VALUE(SUBSTITUTE(VLOOKUP(TRIM(A3317),'RESTAURANTESDESCUENTOS 2026'!A:B,2,FALSE),"%",""))/100)+I3317),(VLOOKUP(TRIM(D3317), CATALOGO!A:B, 2, FALSE) * C3317+I3317)),""))</f>
        <v/>
      </c>
      <c r="K3317" s="196"/>
      <c r="L3317" s="87"/>
      <c r="M3317" s="245"/>
      <c r="N3317" s="168"/>
    </row>
    <row r="3318" ht="22.5" hidden="1" customHeight="1">
      <c r="A3318" s="137"/>
      <c r="B3318" s="90"/>
      <c r="C3318" s="55"/>
      <c r="D3318" s="193"/>
      <c r="E3318" s="201"/>
      <c r="F3318" s="202"/>
      <c r="G3318" s="194"/>
      <c r="H3318" s="198"/>
      <c r="I3318" s="196"/>
      <c r="J3318" s="179" t="str">
        <f>IF(A3318="RAPPI",(VLOOKUP(TRIM(D3318), CATALOGO!F:G, 2, FALSE) * C3318)+I3318,IFERROR(IF(COUNTIF('RESTAURANTESDESCUENTOS 2026'!A:A,TRIM(A3318))&gt;0,((VLOOKUP(TRIM(D3318), CATALOGO!A:B, 2, FALSE) * C3318)*(1-VALUE(SUBSTITUTE(VLOOKUP(TRIM(A3318),'RESTAURANTESDESCUENTOS 2026'!A:B,2,FALSE),"%",""))/100)+I3318),(VLOOKUP(TRIM(D3318), CATALOGO!A:B, 2, FALSE) * C3318+I3318)),""))</f>
        <v/>
      </c>
      <c r="K3318" s="196"/>
      <c r="L3318" s="87"/>
      <c r="M3318" s="245"/>
      <c r="N3318" s="168"/>
    </row>
    <row r="3319" ht="22.5" hidden="1" customHeight="1">
      <c r="A3319" s="137"/>
      <c r="B3319" s="90"/>
      <c r="C3319" s="55"/>
      <c r="D3319" s="193"/>
      <c r="E3319" s="201"/>
      <c r="F3319" s="202"/>
      <c r="G3319" s="194"/>
      <c r="H3319" s="198"/>
      <c r="I3319" s="196"/>
      <c r="J3319" s="179" t="str">
        <f>IF(A3319="RAPPI",(VLOOKUP(TRIM(D3319), CATALOGO!F:G, 2, FALSE) * C3319)+I3319,IFERROR(IF(COUNTIF('RESTAURANTESDESCUENTOS 2026'!A:A,TRIM(A3319))&gt;0,((VLOOKUP(TRIM(D3319), CATALOGO!A:B, 2, FALSE) * C3319)*(1-VALUE(SUBSTITUTE(VLOOKUP(TRIM(A3319),'RESTAURANTESDESCUENTOS 2026'!A:B,2,FALSE),"%",""))/100)+I3319),(VLOOKUP(TRIM(D3319), CATALOGO!A:B, 2, FALSE) * C3319+I3319)),""))</f>
        <v/>
      </c>
      <c r="K3319" s="196"/>
      <c r="L3319" s="87"/>
      <c r="M3319" s="245"/>
      <c r="N3319" s="168"/>
    </row>
    <row r="3320" ht="22.5" hidden="1" customHeight="1">
      <c r="A3320" s="137"/>
      <c r="B3320" s="90"/>
      <c r="C3320" s="55"/>
      <c r="D3320" s="193"/>
      <c r="E3320" s="201"/>
      <c r="F3320" s="202"/>
      <c r="G3320" s="194"/>
      <c r="H3320" s="198"/>
      <c r="I3320" s="196"/>
      <c r="J3320" s="179" t="str">
        <f>IF(A3320="RAPPI",(VLOOKUP(TRIM(D3320), CATALOGO!F:G, 2, FALSE) * C3320)+I3320,IFERROR(IF(COUNTIF('RESTAURANTESDESCUENTOS 2026'!A:A,TRIM(A3320))&gt;0,((VLOOKUP(TRIM(D3320), CATALOGO!A:B, 2, FALSE) * C3320)*(1-VALUE(SUBSTITUTE(VLOOKUP(TRIM(A3320),'RESTAURANTESDESCUENTOS 2026'!A:B,2,FALSE),"%",""))/100)+I3320),(VLOOKUP(TRIM(D3320), CATALOGO!A:B, 2, FALSE) * C3320+I3320)),""))</f>
        <v/>
      </c>
      <c r="K3320" s="196"/>
      <c r="L3320" s="87"/>
      <c r="M3320" s="245"/>
      <c r="N3320" s="168"/>
    </row>
    <row r="3321" ht="22.5" hidden="1" customHeight="1">
      <c r="A3321" s="137"/>
      <c r="B3321" s="90"/>
      <c r="C3321" s="55"/>
      <c r="D3321" s="193"/>
      <c r="E3321" s="201"/>
      <c r="F3321" s="202"/>
      <c r="G3321" s="194"/>
      <c r="H3321" s="198"/>
      <c r="I3321" s="196"/>
      <c r="J3321" s="179" t="str">
        <f>IF(A3321="RAPPI",(VLOOKUP(TRIM(D3321), CATALOGO!F:G, 2, FALSE) * C3321)+I3321,IFERROR(IF(COUNTIF('RESTAURANTESDESCUENTOS 2026'!A:A,TRIM(A3321))&gt;0,((VLOOKUP(TRIM(D3321), CATALOGO!A:B, 2, FALSE) * C3321)*(1-VALUE(SUBSTITUTE(VLOOKUP(TRIM(A3321),'RESTAURANTESDESCUENTOS 2026'!A:B,2,FALSE),"%",""))/100)+I3321),(VLOOKUP(TRIM(D3321), CATALOGO!A:B, 2, FALSE) * C3321+I3321)),""))</f>
        <v/>
      </c>
      <c r="K3321" s="196"/>
      <c r="L3321" s="87"/>
      <c r="M3321" s="245"/>
      <c r="N3321" s="168"/>
    </row>
    <row r="3322" ht="22.5" hidden="1" customHeight="1">
      <c r="A3322" s="137"/>
      <c r="B3322" s="90"/>
      <c r="C3322" s="55"/>
      <c r="D3322" s="193"/>
      <c r="E3322" s="201"/>
      <c r="F3322" s="202"/>
      <c r="G3322" s="194"/>
      <c r="H3322" s="198"/>
      <c r="I3322" s="196"/>
      <c r="J3322" s="179" t="str">
        <f>IF(A3322="RAPPI",(VLOOKUP(TRIM(D3322), CATALOGO!F:G, 2, FALSE) * C3322)+I3322,IFERROR(IF(COUNTIF('RESTAURANTESDESCUENTOS 2026'!A:A,TRIM(A3322))&gt;0,((VLOOKUP(TRIM(D3322), CATALOGO!A:B, 2, FALSE) * C3322)*(1-VALUE(SUBSTITUTE(VLOOKUP(TRIM(A3322),'RESTAURANTESDESCUENTOS 2026'!A:B,2,FALSE),"%",""))/100)+I3322),(VLOOKUP(TRIM(D3322), CATALOGO!A:B, 2, FALSE) * C3322+I3322)),""))</f>
        <v/>
      </c>
      <c r="K3322" s="196"/>
      <c r="L3322" s="87"/>
      <c r="M3322" s="245"/>
      <c r="N3322" s="168"/>
    </row>
    <row r="3323" ht="22.5" hidden="1" customHeight="1">
      <c r="A3323" s="137"/>
      <c r="B3323" s="90"/>
      <c r="C3323" s="55"/>
      <c r="D3323" s="193"/>
      <c r="E3323" s="201"/>
      <c r="F3323" s="202"/>
      <c r="G3323" s="194"/>
      <c r="H3323" s="198"/>
      <c r="I3323" s="196"/>
      <c r="J3323" s="179" t="str">
        <f>IF(A3323="RAPPI",(VLOOKUP(TRIM(D3323), CATALOGO!F:G, 2, FALSE) * C3323)+I3323,IFERROR(IF(COUNTIF('RESTAURANTESDESCUENTOS 2026'!A:A,TRIM(A3323))&gt;0,((VLOOKUP(TRIM(D3323), CATALOGO!A:B, 2, FALSE) * C3323)*(1-VALUE(SUBSTITUTE(VLOOKUP(TRIM(A3323),'RESTAURANTESDESCUENTOS 2026'!A:B,2,FALSE),"%",""))/100)+I3323),(VLOOKUP(TRIM(D3323), CATALOGO!A:B, 2, FALSE) * C3323+I3323)),""))</f>
        <v/>
      </c>
      <c r="K3323" s="196"/>
      <c r="L3323" s="87"/>
      <c r="M3323" s="245"/>
      <c r="N3323" s="168"/>
    </row>
    <row r="3324" ht="22.5" hidden="1" customHeight="1">
      <c r="A3324" s="137"/>
      <c r="B3324" s="90"/>
      <c r="C3324" s="55"/>
      <c r="D3324" s="193"/>
      <c r="E3324" s="201"/>
      <c r="F3324" s="202"/>
      <c r="G3324" s="194"/>
      <c r="H3324" s="198"/>
      <c r="I3324" s="196"/>
      <c r="J3324" s="179" t="str">
        <f>IF(A3324="RAPPI",(VLOOKUP(TRIM(D3324), CATALOGO!F:G, 2, FALSE) * C3324)+I3324,IFERROR(IF(COUNTIF('RESTAURANTESDESCUENTOS 2026'!A:A,TRIM(A3324))&gt;0,((VLOOKUP(TRIM(D3324), CATALOGO!A:B, 2, FALSE) * C3324)*(1-VALUE(SUBSTITUTE(VLOOKUP(TRIM(A3324),'RESTAURANTESDESCUENTOS 2026'!A:B,2,FALSE),"%",""))/100)+I3324),(VLOOKUP(TRIM(D3324), CATALOGO!A:B, 2, FALSE) * C3324+I3324)),""))</f>
        <v/>
      </c>
      <c r="K3324" s="196"/>
      <c r="L3324" s="87"/>
      <c r="M3324" s="245"/>
      <c r="N3324" s="168"/>
    </row>
    <row r="3325" ht="22.5" hidden="1" customHeight="1">
      <c r="A3325" s="137"/>
      <c r="B3325" s="90"/>
      <c r="C3325" s="55"/>
      <c r="D3325" s="193"/>
      <c r="E3325" s="201"/>
      <c r="F3325" s="202"/>
      <c r="G3325" s="194"/>
      <c r="H3325" s="198"/>
      <c r="I3325" s="196"/>
      <c r="J3325" s="179" t="str">
        <f>IF(A3325="RAPPI",(VLOOKUP(TRIM(D3325), CATALOGO!F:G, 2, FALSE) * C3325)+I3325,IFERROR(IF(COUNTIF('RESTAURANTESDESCUENTOS 2026'!A:A,TRIM(A3325))&gt;0,((VLOOKUP(TRIM(D3325), CATALOGO!A:B, 2, FALSE) * C3325)*(1-VALUE(SUBSTITUTE(VLOOKUP(TRIM(A3325),'RESTAURANTESDESCUENTOS 2026'!A:B,2,FALSE),"%",""))/100)+I3325),(VLOOKUP(TRIM(D3325), CATALOGO!A:B, 2, FALSE) * C3325+I3325)),""))</f>
        <v/>
      </c>
      <c r="K3325" s="196"/>
      <c r="L3325" s="87"/>
      <c r="M3325" s="245"/>
      <c r="N3325" s="168"/>
    </row>
    <row r="3326" ht="22.5" hidden="1" customHeight="1">
      <c r="A3326" s="137"/>
      <c r="B3326" s="90"/>
      <c r="C3326" s="55"/>
      <c r="D3326" s="193"/>
      <c r="E3326" s="201"/>
      <c r="F3326" s="202"/>
      <c r="G3326" s="194"/>
      <c r="H3326" s="198"/>
      <c r="I3326" s="196"/>
      <c r="J3326" s="179" t="str">
        <f>IF(A3326="RAPPI",(VLOOKUP(TRIM(D3326), CATALOGO!F:G, 2, FALSE) * C3326)+I3326,IFERROR(IF(COUNTIF('RESTAURANTESDESCUENTOS 2026'!A:A,TRIM(A3326))&gt;0,((VLOOKUP(TRIM(D3326), CATALOGO!A:B, 2, FALSE) * C3326)*(1-VALUE(SUBSTITUTE(VLOOKUP(TRIM(A3326),'RESTAURANTESDESCUENTOS 2026'!A:B,2,FALSE),"%",""))/100)+I3326),(VLOOKUP(TRIM(D3326), CATALOGO!A:B, 2, FALSE) * C3326+I3326)),""))</f>
        <v/>
      </c>
      <c r="K3326" s="196"/>
      <c r="L3326" s="87"/>
      <c r="M3326" s="245"/>
      <c r="N3326" s="168"/>
    </row>
    <row r="3327" ht="22.5" hidden="1" customHeight="1">
      <c r="A3327" s="137"/>
      <c r="B3327" s="90"/>
      <c r="C3327" s="55"/>
      <c r="D3327" s="193"/>
      <c r="E3327" s="201"/>
      <c r="F3327" s="202"/>
      <c r="G3327" s="194"/>
      <c r="H3327" s="198"/>
      <c r="I3327" s="196"/>
      <c r="J3327" s="179" t="str">
        <f>IF(A3327="RAPPI",(VLOOKUP(TRIM(D3327), CATALOGO!F:G, 2, FALSE) * C3327)+I3327,IFERROR(IF(COUNTIF('RESTAURANTESDESCUENTOS 2026'!A:A,TRIM(A3327))&gt;0,((VLOOKUP(TRIM(D3327), CATALOGO!A:B, 2, FALSE) * C3327)*(1-VALUE(SUBSTITUTE(VLOOKUP(TRIM(A3327),'RESTAURANTESDESCUENTOS 2026'!A:B,2,FALSE),"%",""))/100)+I3327),(VLOOKUP(TRIM(D3327), CATALOGO!A:B, 2, FALSE) * C3327+I3327)),""))</f>
        <v/>
      </c>
      <c r="K3327" s="196"/>
      <c r="L3327" s="87"/>
      <c r="M3327" s="245"/>
      <c r="N3327" s="168"/>
    </row>
    <row r="3328" ht="22.5" hidden="1" customHeight="1">
      <c r="A3328" s="137"/>
      <c r="B3328" s="90"/>
      <c r="C3328" s="55"/>
      <c r="D3328" s="193"/>
      <c r="E3328" s="201"/>
      <c r="F3328" s="202"/>
      <c r="G3328" s="194"/>
      <c r="H3328" s="198"/>
      <c r="I3328" s="196"/>
      <c r="J3328" s="179" t="str">
        <f>IF(A3328="RAPPI",(VLOOKUP(TRIM(D3328), CATALOGO!F:G, 2, FALSE) * C3328)+I3328,IFERROR(IF(COUNTIF('RESTAURANTESDESCUENTOS 2026'!A:A,TRIM(A3328))&gt;0,((VLOOKUP(TRIM(D3328), CATALOGO!A:B, 2, FALSE) * C3328)*(1-VALUE(SUBSTITUTE(VLOOKUP(TRIM(A3328),'RESTAURANTESDESCUENTOS 2026'!A:B,2,FALSE),"%",""))/100)+I3328),(VLOOKUP(TRIM(D3328), CATALOGO!A:B, 2, FALSE) * C3328+I3328)),""))</f>
        <v/>
      </c>
      <c r="K3328" s="196"/>
      <c r="L3328" s="87"/>
      <c r="M3328" s="245"/>
      <c r="N3328" s="168"/>
    </row>
    <row r="3329" ht="22.5" hidden="1" customHeight="1">
      <c r="A3329" s="137"/>
      <c r="B3329" s="90"/>
      <c r="C3329" s="55"/>
      <c r="D3329" s="193"/>
      <c r="E3329" s="201"/>
      <c r="F3329" s="202"/>
      <c r="G3329" s="194"/>
      <c r="H3329" s="198"/>
      <c r="I3329" s="196"/>
      <c r="J3329" s="179" t="str">
        <f>IF(A3329="RAPPI",(VLOOKUP(TRIM(D3329), CATALOGO!F:G, 2, FALSE) * C3329)+I3329,IFERROR(IF(COUNTIF('RESTAURANTESDESCUENTOS 2026'!A:A,TRIM(A3329))&gt;0,((VLOOKUP(TRIM(D3329), CATALOGO!A:B, 2, FALSE) * C3329)*(1-VALUE(SUBSTITUTE(VLOOKUP(TRIM(A3329),'RESTAURANTESDESCUENTOS 2026'!A:B,2,FALSE),"%",""))/100)+I3329),(VLOOKUP(TRIM(D3329), CATALOGO!A:B, 2, FALSE) * C3329+I3329)),""))</f>
        <v/>
      </c>
      <c r="K3329" s="196"/>
      <c r="L3329" s="87"/>
      <c r="M3329" s="245"/>
      <c r="N3329" s="168"/>
    </row>
    <row r="3330" ht="22.5" hidden="1" customHeight="1">
      <c r="A3330" s="137"/>
      <c r="B3330" s="90"/>
      <c r="C3330" s="55"/>
      <c r="D3330" s="193"/>
      <c r="E3330" s="201"/>
      <c r="F3330" s="202"/>
      <c r="G3330" s="194"/>
      <c r="H3330" s="198"/>
      <c r="I3330" s="196"/>
      <c r="J3330" s="179" t="str">
        <f>IF(A3330="RAPPI",(VLOOKUP(TRIM(D3330), CATALOGO!F:G, 2, FALSE) * C3330)+I3330,IFERROR(IF(COUNTIF('RESTAURANTESDESCUENTOS 2026'!A:A,TRIM(A3330))&gt;0,((VLOOKUP(TRIM(D3330), CATALOGO!A:B, 2, FALSE) * C3330)*(1-VALUE(SUBSTITUTE(VLOOKUP(TRIM(A3330),'RESTAURANTESDESCUENTOS 2026'!A:B,2,FALSE),"%",""))/100)+I3330),(VLOOKUP(TRIM(D3330), CATALOGO!A:B, 2, FALSE) * C3330+I3330)),""))</f>
        <v/>
      </c>
      <c r="K3330" s="196"/>
      <c r="L3330" s="87"/>
      <c r="M3330" s="245"/>
      <c r="N3330" s="168"/>
    </row>
    <row r="3331" ht="22.5" hidden="1" customHeight="1">
      <c r="A3331" s="137"/>
      <c r="B3331" s="90"/>
      <c r="C3331" s="55"/>
      <c r="D3331" s="193"/>
      <c r="E3331" s="201"/>
      <c r="F3331" s="202"/>
      <c r="G3331" s="194"/>
      <c r="H3331" s="198"/>
      <c r="I3331" s="196"/>
      <c r="J3331" s="179" t="str">
        <f>IF(A3331="RAPPI",(VLOOKUP(TRIM(D3331), CATALOGO!F:G, 2, FALSE) * C3331)+I3331,IFERROR(IF(COUNTIF('RESTAURANTESDESCUENTOS 2026'!A:A,TRIM(A3331))&gt;0,((VLOOKUP(TRIM(D3331), CATALOGO!A:B, 2, FALSE) * C3331)*(1-VALUE(SUBSTITUTE(VLOOKUP(TRIM(A3331),'RESTAURANTESDESCUENTOS 2026'!A:B,2,FALSE),"%",""))/100)+I3331),(VLOOKUP(TRIM(D3331), CATALOGO!A:B, 2, FALSE) * C3331+I3331)),""))</f>
        <v/>
      </c>
      <c r="K3331" s="196"/>
      <c r="L3331" s="87"/>
      <c r="M3331" s="245"/>
      <c r="N3331" s="168"/>
    </row>
    <row r="3332" ht="22.5" hidden="1" customHeight="1">
      <c r="A3332" s="137"/>
      <c r="B3332" s="90"/>
      <c r="C3332" s="55"/>
      <c r="D3332" s="193"/>
      <c r="E3332" s="201"/>
      <c r="F3332" s="202"/>
      <c r="G3332" s="194"/>
      <c r="H3332" s="198"/>
      <c r="I3332" s="196"/>
      <c r="J3332" s="179" t="str">
        <f>IF(A3332="RAPPI",(VLOOKUP(TRIM(D3332), CATALOGO!F:G, 2, FALSE) * C3332)+I3332,IFERROR(IF(COUNTIF('RESTAURANTESDESCUENTOS 2026'!A:A,TRIM(A3332))&gt;0,((VLOOKUP(TRIM(D3332), CATALOGO!A:B, 2, FALSE) * C3332)*(1-VALUE(SUBSTITUTE(VLOOKUP(TRIM(A3332),'RESTAURANTESDESCUENTOS 2026'!A:B,2,FALSE),"%",""))/100)+I3332),(VLOOKUP(TRIM(D3332), CATALOGO!A:B, 2, FALSE) * C3332+I3332)),""))</f>
        <v/>
      </c>
      <c r="K3332" s="196"/>
      <c r="L3332" s="87"/>
      <c r="M3332" s="245"/>
      <c r="N3332" s="168"/>
    </row>
    <row r="3333" ht="22.5" hidden="1" customHeight="1">
      <c r="A3333" s="137"/>
      <c r="B3333" s="90"/>
      <c r="C3333" s="55"/>
      <c r="D3333" s="193"/>
      <c r="E3333" s="201"/>
      <c r="F3333" s="202"/>
      <c r="G3333" s="194"/>
      <c r="H3333" s="198"/>
      <c r="I3333" s="196"/>
      <c r="J3333" s="179" t="str">
        <f>IF(A3333="RAPPI",(VLOOKUP(TRIM(D3333), CATALOGO!F:G, 2, FALSE) * C3333)+I3333,IFERROR(IF(COUNTIF('RESTAURANTESDESCUENTOS 2026'!A:A,TRIM(A3333))&gt;0,((VLOOKUP(TRIM(D3333), CATALOGO!A:B, 2, FALSE) * C3333)*(1-VALUE(SUBSTITUTE(VLOOKUP(TRIM(A3333),'RESTAURANTESDESCUENTOS 2026'!A:B,2,FALSE),"%",""))/100)+I3333),(VLOOKUP(TRIM(D3333), CATALOGO!A:B, 2, FALSE) * C3333+I3333)),""))</f>
        <v/>
      </c>
      <c r="K3333" s="196"/>
      <c r="L3333" s="87"/>
      <c r="M3333" s="245"/>
      <c r="N3333" s="168"/>
    </row>
    <row r="3334" ht="22.5" hidden="1" customHeight="1">
      <c r="A3334" s="137"/>
      <c r="B3334" s="90"/>
      <c r="C3334" s="55"/>
      <c r="D3334" s="193"/>
      <c r="E3334" s="201"/>
      <c r="F3334" s="202"/>
      <c r="G3334" s="194"/>
      <c r="H3334" s="198"/>
      <c r="I3334" s="196"/>
      <c r="J3334" s="179" t="str">
        <f>IF(A3334="RAPPI",(VLOOKUP(TRIM(D3334), CATALOGO!F:G, 2, FALSE) * C3334)+I3334,IFERROR(IF(COUNTIF('RESTAURANTESDESCUENTOS 2026'!A:A,TRIM(A3334))&gt;0,((VLOOKUP(TRIM(D3334), CATALOGO!A:B, 2, FALSE) * C3334)*(1-VALUE(SUBSTITUTE(VLOOKUP(TRIM(A3334),'RESTAURANTESDESCUENTOS 2026'!A:B,2,FALSE),"%",""))/100)+I3334),(VLOOKUP(TRIM(D3334), CATALOGO!A:B, 2, FALSE) * C3334+I3334)),""))</f>
        <v/>
      </c>
      <c r="K3334" s="196"/>
      <c r="L3334" s="87"/>
      <c r="M3334" s="245"/>
      <c r="N3334" s="168"/>
    </row>
    <row r="3335" ht="22.5" hidden="1" customHeight="1">
      <c r="A3335" s="137"/>
      <c r="B3335" s="90"/>
      <c r="C3335" s="55"/>
      <c r="D3335" s="193"/>
      <c r="E3335" s="201"/>
      <c r="F3335" s="202"/>
      <c r="G3335" s="194"/>
      <c r="H3335" s="198"/>
      <c r="I3335" s="196"/>
      <c r="J3335" s="179" t="str">
        <f>IF(A3335="RAPPI",(VLOOKUP(TRIM(D3335), CATALOGO!F:G, 2, FALSE) * C3335)+I3335,IFERROR(IF(COUNTIF('RESTAURANTESDESCUENTOS 2026'!A:A,TRIM(A3335))&gt;0,((VLOOKUP(TRIM(D3335), CATALOGO!A:B, 2, FALSE) * C3335)*(1-VALUE(SUBSTITUTE(VLOOKUP(TRIM(A3335),'RESTAURANTESDESCUENTOS 2026'!A:B,2,FALSE),"%",""))/100)+I3335),(VLOOKUP(TRIM(D3335), CATALOGO!A:B, 2, FALSE) * C3335+I3335)),""))</f>
        <v/>
      </c>
      <c r="K3335" s="196"/>
      <c r="L3335" s="87"/>
      <c r="M3335" s="245"/>
      <c r="N3335" s="168"/>
    </row>
    <row r="3336" ht="22.5" hidden="1" customHeight="1">
      <c r="A3336" s="137"/>
      <c r="B3336" s="90"/>
      <c r="C3336" s="55"/>
      <c r="D3336" s="193"/>
      <c r="E3336" s="201"/>
      <c r="F3336" s="202"/>
      <c r="G3336" s="194"/>
      <c r="H3336" s="198"/>
      <c r="I3336" s="196"/>
      <c r="J3336" s="179" t="str">
        <f>IF(A3336="RAPPI",(VLOOKUP(TRIM(D3336), CATALOGO!F:G, 2, FALSE) * C3336)+I3336,IFERROR(IF(COUNTIF('RESTAURANTESDESCUENTOS 2026'!A:A,TRIM(A3336))&gt;0,((VLOOKUP(TRIM(D3336), CATALOGO!A:B, 2, FALSE) * C3336)*(1-VALUE(SUBSTITUTE(VLOOKUP(TRIM(A3336),'RESTAURANTESDESCUENTOS 2026'!A:B,2,FALSE),"%",""))/100)+I3336),(VLOOKUP(TRIM(D3336), CATALOGO!A:B, 2, FALSE) * C3336+I3336)),""))</f>
        <v/>
      </c>
      <c r="K3336" s="196"/>
      <c r="L3336" s="87"/>
      <c r="M3336" s="245"/>
      <c r="N3336" s="168"/>
    </row>
    <row r="3337" ht="22.5" hidden="1" customHeight="1">
      <c r="A3337" s="137"/>
      <c r="B3337" s="90"/>
      <c r="C3337" s="55"/>
      <c r="D3337" s="193"/>
      <c r="E3337" s="201"/>
      <c r="F3337" s="202"/>
      <c r="G3337" s="194"/>
      <c r="H3337" s="198"/>
      <c r="I3337" s="196"/>
      <c r="J3337" s="179" t="str">
        <f>IF(A3337="RAPPI",(VLOOKUP(TRIM(D3337), CATALOGO!F:G, 2, FALSE) * C3337)+I3337,IFERROR(IF(COUNTIF('RESTAURANTESDESCUENTOS 2026'!A:A,TRIM(A3337))&gt;0,((VLOOKUP(TRIM(D3337), CATALOGO!A:B, 2, FALSE) * C3337)*(1-VALUE(SUBSTITUTE(VLOOKUP(TRIM(A3337),'RESTAURANTESDESCUENTOS 2026'!A:B,2,FALSE),"%",""))/100)+I3337),(VLOOKUP(TRIM(D3337), CATALOGO!A:B, 2, FALSE) * C3337+I3337)),""))</f>
        <v/>
      </c>
      <c r="K3337" s="196"/>
      <c r="L3337" s="87"/>
      <c r="M3337" s="245"/>
      <c r="N3337" s="168"/>
    </row>
    <row r="3338" ht="22.5" hidden="1" customHeight="1">
      <c r="A3338" s="137"/>
      <c r="B3338" s="90"/>
      <c r="C3338" s="55"/>
      <c r="D3338" s="193"/>
      <c r="E3338" s="201"/>
      <c r="F3338" s="202"/>
      <c r="G3338" s="194"/>
      <c r="H3338" s="198"/>
      <c r="I3338" s="196"/>
      <c r="J3338" s="179" t="str">
        <f>IF(A3338="RAPPI",(VLOOKUP(TRIM(D3338), CATALOGO!F:G, 2, FALSE) * C3338)+I3338,IFERROR(IF(COUNTIF('RESTAURANTESDESCUENTOS 2026'!A:A,TRIM(A3338))&gt;0,((VLOOKUP(TRIM(D3338), CATALOGO!A:B, 2, FALSE) * C3338)*(1-VALUE(SUBSTITUTE(VLOOKUP(TRIM(A3338),'RESTAURANTESDESCUENTOS 2026'!A:B,2,FALSE),"%",""))/100)+I3338),(VLOOKUP(TRIM(D3338), CATALOGO!A:B, 2, FALSE) * C3338+I3338)),""))</f>
        <v/>
      </c>
      <c r="K3338" s="196"/>
      <c r="L3338" s="87"/>
      <c r="M3338" s="245"/>
      <c r="N3338" s="168"/>
    </row>
    <row r="3339" ht="22.5" hidden="1" customHeight="1">
      <c r="A3339" s="137"/>
      <c r="B3339" s="90"/>
      <c r="C3339" s="55"/>
      <c r="D3339" s="193"/>
      <c r="E3339" s="201"/>
      <c r="F3339" s="202"/>
      <c r="G3339" s="194"/>
      <c r="H3339" s="198"/>
      <c r="I3339" s="196"/>
      <c r="J3339" s="179" t="str">
        <f>IF(A3339="RAPPI",(VLOOKUP(TRIM(D3339), CATALOGO!F:G, 2, FALSE) * C3339)+I3339,IFERROR(IF(COUNTIF('RESTAURANTESDESCUENTOS 2026'!A:A,TRIM(A3339))&gt;0,((VLOOKUP(TRIM(D3339), CATALOGO!A:B, 2, FALSE) * C3339)*(1-VALUE(SUBSTITUTE(VLOOKUP(TRIM(A3339),'RESTAURANTESDESCUENTOS 2026'!A:B,2,FALSE),"%",""))/100)+I3339),(VLOOKUP(TRIM(D3339), CATALOGO!A:B, 2, FALSE) * C3339+I3339)),""))</f>
        <v/>
      </c>
      <c r="K3339" s="196"/>
      <c r="L3339" s="87"/>
      <c r="M3339" s="245"/>
      <c r="N3339" s="168"/>
    </row>
    <row r="3340" ht="22.5" hidden="1" customHeight="1">
      <c r="A3340" s="137"/>
      <c r="B3340" s="90"/>
      <c r="C3340" s="55"/>
      <c r="D3340" s="193"/>
      <c r="E3340" s="201"/>
      <c r="F3340" s="202"/>
      <c r="G3340" s="194"/>
      <c r="H3340" s="198"/>
      <c r="I3340" s="196"/>
      <c r="J3340" s="179" t="str">
        <f>IF(A3340="RAPPI",(VLOOKUP(TRIM(D3340), CATALOGO!F:G, 2, FALSE) * C3340)+I3340,IFERROR(IF(COUNTIF('RESTAURANTESDESCUENTOS 2026'!A:A,TRIM(A3340))&gt;0,((VLOOKUP(TRIM(D3340), CATALOGO!A:B, 2, FALSE) * C3340)*(1-VALUE(SUBSTITUTE(VLOOKUP(TRIM(A3340),'RESTAURANTESDESCUENTOS 2026'!A:B,2,FALSE),"%",""))/100)+I3340),(VLOOKUP(TRIM(D3340), CATALOGO!A:B, 2, FALSE) * C3340+I3340)),""))</f>
        <v/>
      </c>
      <c r="K3340" s="196"/>
      <c r="L3340" s="87"/>
      <c r="M3340" s="245"/>
      <c r="N3340" s="168"/>
    </row>
    <row r="3341" ht="22.5" hidden="1" customHeight="1">
      <c r="A3341" s="137"/>
      <c r="B3341" s="90"/>
      <c r="C3341" s="55"/>
      <c r="D3341" s="193"/>
      <c r="E3341" s="201"/>
      <c r="F3341" s="202"/>
      <c r="G3341" s="194"/>
      <c r="H3341" s="198"/>
      <c r="I3341" s="196"/>
      <c r="J3341" s="179" t="str">
        <f>IF(A3341="RAPPI",(VLOOKUP(TRIM(D3341), CATALOGO!F:G, 2, FALSE) * C3341)+I3341,IFERROR(IF(COUNTIF('RESTAURANTESDESCUENTOS 2026'!A:A,TRIM(A3341))&gt;0,((VLOOKUP(TRIM(D3341), CATALOGO!A:B, 2, FALSE) * C3341)*(1-VALUE(SUBSTITUTE(VLOOKUP(TRIM(A3341),'RESTAURANTESDESCUENTOS 2026'!A:B,2,FALSE),"%",""))/100)+I3341),(VLOOKUP(TRIM(D3341), CATALOGO!A:B, 2, FALSE) * C3341+I3341)),""))</f>
        <v/>
      </c>
      <c r="K3341" s="196"/>
      <c r="L3341" s="87"/>
      <c r="M3341" s="245"/>
      <c r="N3341" s="168"/>
    </row>
    <row r="3342" ht="22.5" hidden="1" customHeight="1">
      <c r="A3342" s="137"/>
      <c r="B3342" s="90"/>
      <c r="C3342" s="55"/>
      <c r="D3342" s="193"/>
      <c r="E3342" s="201"/>
      <c r="F3342" s="202"/>
      <c r="G3342" s="194"/>
      <c r="H3342" s="198"/>
      <c r="I3342" s="196"/>
      <c r="J3342" s="179" t="str">
        <f>IF(A3342="RAPPI",(VLOOKUP(TRIM(D3342), CATALOGO!F:G, 2, FALSE) * C3342)+I3342,IFERROR(IF(COUNTIF('RESTAURANTESDESCUENTOS 2026'!A:A,TRIM(A3342))&gt;0,((VLOOKUP(TRIM(D3342), CATALOGO!A:B, 2, FALSE) * C3342)*(1-VALUE(SUBSTITUTE(VLOOKUP(TRIM(A3342),'RESTAURANTESDESCUENTOS 2026'!A:B,2,FALSE),"%",""))/100)+I3342),(VLOOKUP(TRIM(D3342), CATALOGO!A:B, 2, FALSE) * C3342+I3342)),""))</f>
        <v/>
      </c>
      <c r="K3342" s="196"/>
      <c r="L3342" s="87"/>
      <c r="M3342" s="245"/>
      <c r="N3342" s="168"/>
    </row>
    <row r="3343" ht="22.5" hidden="1" customHeight="1">
      <c r="A3343" s="137"/>
      <c r="B3343" s="90"/>
      <c r="C3343" s="55"/>
      <c r="D3343" s="193"/>
      <c r="E3343" s="201"/>
      <c r="F3343" s="202"/>
      <c r="G3343" s="194"/>
      <c r="H3343" s="198"/>
      <c r="I3343" s="196"/>
      <c r="J3343" s="179" t="str">
        <f>IF(A3343="RAPPI",(VLOOKUP(TRIM(D3343), CATALOGO!F:G, 2, FALSE) * C3343)+I3343,IFERROR(IF(COUNTIF('RESTAURANTESDESCUENTOS 2026'!A:A,TRIM(A3343))&gt;0,((VLOOKUP(TRIM(D3343), CATALOGO!A:B, 2, FALSE) * C3343)*(1-VALUE(SUBSTITUTE(VLOOKUP(TRIM(A3343),'RESTAURANTESDESCUENTOS 2026'!A:B,2,FALSE),"%",""))/100)+I3343),(VLOOKUP(TRIM(D3343), CATALOGO!A:B, 2, FALSE) * C3343+I3343)),""))</f>
        <v/>
      </c>
      <c r="K3343" s="196"/>
      <c r="L3343" s="87"/>
      <c r="M3343" s="245"/>
      <c r="N3343" s="168"/>
    </row>
    <row r="3344" ht="22.5" hidden="1" customHeight="1">
      <c r="A3344" s="137"/>
      <c r="B3344" s="90"/>
      <c r="C3344" s="55"/>
      <c r="D3344" s="193"/>
      <c r="E3344" s="201"/>
      <c r="F3344" s="202"/>
      <c r="G3344" s="194"/>
      <c r="H3344" s="198"/>
      <c r="I3344" s="196"/>
      <c r="J3344" s="179" t="str">
        <f>IF(A3344="RAPPI",(VLOOKUP(TRIM(D3344), CATALOGO!F:G, 2, FALSE) * C3344)+I3344,IFERROR(IF(COUNTIF('RESTAURANTESDESCUENTOS 2026'!A:A,TRIM(A3344))&gt;0,((VLOOKUP(TRIM(D3344), CATALOGO!A:B, 2, FALSE) * C3344)*(1-VALUE(SUBSTITUTE(VLOOKUP(TRIM(A3344),'RESTAURANTESDESCUENTOS 2026'!A:B,2,FALSE),"%",""))/100)+I3344),(VLOOKUP(TRIM(D3344), CATALOGO!A:B, 2, FALSE) * C3344+I3344)),""))</f>
        <v/>
      </c>
      <c r="K3344" s="196"/>
      <c r="L3344" s="87"/>
      <c r="M3344" s="245"/>
      <c r="N3344" s="168"/>
    </row>
    <row r="3345" ht="22.5" hidden="1" customHeight="1">
      <c r="A3345" s="137"/>
      <c r="B3345" s="90"/>
      <c r="C3345" s="55"/>
      <c r="D3345" s="193"/>
      <c r="E3345" s="201"/>
      <c r="F3345" s="202"/>
      <c r="G3345" s="194"/>
      <c r="H3345" s="198"/>
      <c r="I3345" s="196"/>
      <c r="J3345" s="179" t="str">
        <f>IF(A3345="RAPPI",(VLOOKUP(TRIM(D3345), CATALOGO!F:G, 2, FALSE) * C3345)+I3345,IFERROR(IF(COUNTIF('RESTAURANTESDESCUENTOS 2026'!A:A,TRIM(A3345))&gt;0,((VLOOKUP(TRIM(D3345), CATALOGO!A:B, 2, FALSE) * C3345)*(1-VALUE(SUBSTITUTE(VLOOKUP(TRIM(A3345),'RESTAURANTESDESCUENTOS 2026'!A:B,2,FALSE),"%",""))/100)+I3345),(VLOOKUP(TRIM(D3345), CATALOGO!A:B, 2, FALSE) * C3345+I3345)),""))</f>
        <v/>
      </c>
      <c r="K3345" s="196"/>
      <c r="L3345" s="87"/>
      <c r="M3345" s="245"/>
      <c r="N3345" s="168"/>
    </row>
    <row r="3346" ht="22.5" hidden="1" customHeight="1">
      <c r="A3346" s="137"/>
      <c r="B3346" s="90"/>
      <c r="C3346" s="55"/>
      <c r="D3346" s="193"/>
      <c r="E3346" s="201"/>
      <c r="F3346" s="202"/>
      <c r="G3346" s="194"/>
      <c r="H3346" s="198"/>
      <c r="I3346" s="196"/>
      <c r="J3346" s="179" t="str">
        <f>IF(A3346="RAPPI",(VLOOKUP(TRIM(D3346), CATALOGO!F:G, 2, FALSE) * C3346)+I3346,IFERROR(IF(COUNTIF('RESTAURANTESDESCUENTOS 2026'!A:A,TRIM(A3346))&gt;0,((VLOOKUP(TRIM(D3346), CATALOGO!A:B, 2, FALSE) * C3346)*(1-VALUE(SUBSTITUTE(VLOOKUP(TRIM(A3346),'RESTAURANTESDESCUENTOS 2026'!A:B,2,FALSE),"%",""))/100)+I3346),(VLOOKUP(TRIM(D3346), CATALOGO!A:B, 2, FALSE) * C3346+I3346)),""))</f>
        <v/>
      </c>
      <c r="K3346" s="196"/>
      <c r="L3346" s="87"/>
      <c r="M3346" s="245"/>
      <c r="N3346" s="168"/>
    </row>
    <row r="3347" ht="22.5" hidden="1" customHeight="1">
      <c r="A3347" s="137"/>
      <c r="B3347" s="90"/>
      <c r="C3347" s="55"/>
      <c r="D3347" s="193"/>
      <c r="E3347" s="201"/>
      <c r="F3347" s="202"/>
      <c r="G3347" s="194"/>
      <c r="H3347" s="198"/>
      <c r="I3347" s="196"/>
      <c r="J3347" s="179" t="str">
        <f>IF(A3347="RAPPI",(VLOOKUP(TRIM(D3347), CATALOGO!F:G, 2, FALSE) * C3347)+I3347,IFERROR(IF(COUNTIF('RESTAURANTESDESCUENTOS 2026'!A:A,TRIM(A3347))&gt;0,((VLOOKUP(TRIM(D3347), CATALOGO!A:B, 2, FALSE) * C3347)*(1-VALUE(SUBSTITUTE(VLOOKUP(TRIM(A3347),'RESTAURANTESDESCUENTOS 2026'!A:B,2,FALSE),"%",""))/100)+I3347),(VLOOKUP(TRIM(D3347), CATALOGO!A:B, 2, FALSE) * C3347+I3347)),""))</f>
        <v/>
      </c>
      <c r="K3347" s="196"/>
      <c r="L3347" s="87"/>
      <c r="M3347" s="245"/>
      <c r="N3347" s="168"/>
    </row>
    <row r="3348" ht="22.5" hidden="1" customHeight="1">
      <c r="A3348" s="137"/>
      <c r="B3348" s="90"/>
      <c r="C3348" s="55"/>
      <c r="D3348" s="193"/>
      <c r="E3348" s="201"/>
      <c r="F3348" s="202"/>
      <c r="G3348" s="194"/>
      <c r="H3348" s="198"/>
      <c r="I3348" s="196"/>
      <c r="J3348" s="179" t="str">
        <f>IF(A3348="RAPPI",(VLOOKUP(TRIM(D3348), CATALOGO!F:G, 2, FALSE) * C3348)+I3348,IFERROR(IF(COUNTIF('RESTAURANTESDESCUENTOS 2026'!A:A,TRIM(A3348))&gt;0,((VLOOKUP(TRIM(D3348), CATALOGO!A:B, 2, FALSE) * C3348)*(1-VALUE(SUBSTITUTE(VLOOKUP(TRIM(A3348),'RESTAURANTESDESCUENTOS 2026'!A:B,2,FALSE),"%",""))/100)+I3348),(VLOOKUP(TRIM(D3348), CATALOGO!A:B, 2, FALSE) * C3348+I3348)),""))</f>
        <v/>
      </c>
      <c r="K3348" s="196"/>
      <c r="L3348" s="87"/>
      <c r="M3348" s="245"/>
      <c r="N3348" s="168"/>
    </row>
    <row r="3349" ht="22.5" hidden="1" customHeight="1">
      <c r="A3349" s="137"/>
      <c r="B3349" s="90"/>
      <c r="C3349" s="55"/>
      <c r="D3349" s="193"/>
      <c r="E3349" s="201"/>
      <c r="F3349" s="202"/>
      <c r="G3349" s="194"/>
      <c r="H3349" s="198"/>
      <c r="I3349" s="196"/>
      <c r="J3349" s="179" t="str">
        <f>IF(A3349="RAPPI",(VLOOKUP(TRIM(D3349), CATALOGO!F:G, 2, FALSE) * C3349)+I3349,IFERROR(IF(COUNTIF('RESTAURANTESDESCUENTOS 2026'!A:A,TRIM(A3349))&gt;0,((VLOOKUP(TRIM(D3349), CATALOGO!A:B, 2, FALSE) * C3349)*(1-VALUE(SUBSTITUTE(VLOOKUP(TRIM(A3349),'RESTAURANTESDESCUENTOS 2026'!A:B,2,FALSE),"%",""))/100)+I3349),(VLOOKUP(TRIM(D3349), CATALOGO!A:B, 2, FALSE) * C3349+I3349)),""))</f>
        <v/>
      </c>
      <c r="K3349" s="196"/>
      <c r="L3349" s="87"/>
      <c r="M3349" s="245"/>
      <c r="N3349" s="168"/>
    </row>
    <row r="3350" ht="22.5" hidden="1" customHeight="1">
      <c r="A3350" s="137"/>
      <c r="B3350" s="90"/>
      <c r="C3350" s="55"/>
      <c r="D3350" s="193"/>
      <c r="E3350" s="201"/>
      <c r="F3350" s="202"/>
      <c r="G3350" s="194"/>
      <c r="H3350" s="198"/>
      <c r="I3350" s="196"/>
      <c r="J3350" s="179" t="str">
        <f>IF(A3350="RAPPI",(VLOOKUP(TRIM(D3350), CATALOGO!F:G, 2, FALSE) * C3350)+I3350,IFERROR(IF(COUNTIF('RESTAURANTESDESCUENTOS 2026'!A:A,TRIM(A3350))&gt;0,((VLOOKUP(TRIM(D3350), CATALOGO!A:B, 2, FALSE) * C3350)*(1-VALUE(SUBSTITUTE(VLOOKUP(TRIM(A3350),'RESTAURANTESDESCUENTOS 2026'!A:B,2,FALSE),"%",""))/100)+I3350),(VLOOKUP(TRIM(D3350), CATALOGO!A:B, 2, FALSE) * C3350+I3350)),""))</f>
        <v/>
      </c>
      <c r="K3350" s="196"/>
      <c r="L3350" s="87"/>
      <c r="M3350" s="245"/>
      <c r="N3350" s="168"/>
    </row>
    <row r="3351" ht="22.5" hidden="1" customHeight="1">
      <c r="A3351" s="137"/>
      <c r="B3351" s="90"/>
      <c r="C3351" s="55"/>
      <c r="D3351" s="193"/>
      <c r="E3351" s="201"/>
      <c r="F3351" s="202"/>
      <c r="G3351" s="194"/>
      <c r="H3351" s="198"/>
      <c r="I3351" s="196"/>
      <c r="J3351" s="179" t="str">
        <f>IF(A3351="RAPPI",(VLOOKUP(TRIM(D3351), CATALOGO!F:G, 2, FALSE) * C3351)+I3351,IFERROR(IF(COUNTIF('RESTAURANTESDESCUENTOS 2026'!A:A,TRIM(A3351))&gt;0,((VLOOKUP(TRIM(D3351), CATALOGO!A:B, 2, FALSE) * C3351)*(1-VALUE(SUBSTITUTE(VLOOKUP(TRIM(A3351),'RESTAURANTESDESCUENTOS 2026'!A:B,2,FALSE),"%",""))/100)+I3351),(VLOOKUP(TRIM(D3351), CATALOGO!A:B, 2, FALSE) * C3351+I3351)),""))</f>
        <v/>
      </c>
      <c r="K3351" s="196"/>
      <c r="L3351" s="87"/>
      <c r="M3351" s="245"/>
      <c r="N3351" s="168"/>
    </row>
    <row r="3352" ht="22.5" hidden="1" customHeight="1">
      <c r="A3352" s="137"/>
      <c r="B3352" s="90"/>
      <c r="C3352" s="55"/>
      <c r="D3352" s="193"/>
      <c r="E3352" s="201"/>
      <c r="F3352" s="202"/>
      <c r="G3352" s="194"/>
      <c r="H3352" s="198"/>
      <c r="I3352" s="196"/>
      <c r="J3352" s="179" t="str">
        <f>IF(A3352="RAPPI",(VLOOKUP(TRIM(D3352), CATALOGO!F:G, 2, FALSE) * C3352)+I3352,IFERROR(IF(COUNTIF('RESTAURANTESDESCUENTOS 2026'!A:A,TRIM(A3352))&gt;0,((VLOOKUP(TRIM(D3352), CATALOGO!A:B, 2, FALSE) * C3352)*(1-VALUE(SUBSTITUTE(VLOOKUP(TRIM(A3352),'RESTAURANTESDESCUENTOS 2026'!A:B,2,FALSE),"%",""))/100)+I3352),(VLOOKUP(TRIM(D3352), CATALOGO!A:B, 2, FALSE) * C3352+I3352)),""))</f>
        <v/>
      </c>
      <c r="K3352" s="196"/>
      <c r="L3352" s="87"/>
      <c r="M3352" s="245"/>
      <c r="N3352" s="168"/>
    </row>
    <row r="3353" ht="22.5" hidden="1" customHeight="1">
      <c r="A3353" s="137"/>
      <c r="B3353" s="90"/>
      <c r="C3353" s="55"/>
      <c r="D3353" s="193"/>
      <c r="E3353" s="201"/>
      <c r="F3353" s="202"/>
      <c r="G3353" s="194"/>
      <c r="H3353" s="198"/>
      <c r="I3353" s="196"/>
      <c r="J3353" s="179" t="str">
        <f>IF(A3353="RAPPI",(VLOOKUP(TRIM(D3353), CATALOGO!F:G, 2, FALSE) * C3353)+I3353,IFERROR(IF(COUNTIF('RESTAURANTESDESCUENTOS 2026'!A:A,TRIM(A3353))&gt;0,((VLOOKUP(TRIM(D3353), CATALOGO!A:B, 2, FALSE) * C3353)*(1-VALUE(SUBSTITUTE(VLOOKUP(TRIM(A3353),'RESTAURANTESDESCUENTOS 2026'!A:B,2,FALSE),"%",""))/100)+I3353),(VLOOKUP(TRIM(D3353), CATALOGO!A:B, 2, FALSE) * C3353+I3353)),""))</f>
        <v/>
      </c>
      <c r="K3353" s="196"/>
      <c r="L3353" s="87"/>
      <c r="M3353" s="245"/>
      <c r="N3353" s="168"/>
    </row>
    <row r="3354" ht="22.5" hidden="1" customHeight="1">
      <c r="A3354" s="137"/>
      <c r="B3354" s="90"/>
      <c r="C3354" s="55"/>
      <c r="D3354" s="193"/>
      <c r="E3354" s="201"/>
      <c r="F3354" s="202"/>
      <c r="G3354" s="194"/>
      <c r="H3354" s="198"/>
      <c r="I3354" s="196"/>
      <c r="J3354" s="179" t="str">
        <f>IF(A3354="RAPPI",(VLOOKUP(TRIM(D3354), CATALOGO!F:G, 2, FALSE) * C3354)+I3354,IFERROR(IF(COUNTIF('RESTAURANTESDESCUENTOS 2026'!A:A,TRIM(A3354))&gt;0,((VLOOKUP(TRIM(D3354), CATALOGO!A:B, 2, FALSE) * C3354)*(1-VALUE(SUBSTITUTE(VLOOKUP(TRIM(A3354),'RESTAURANTESDESCUENTOS 2026'!A:B,2,FALSE),"%",""))/100)+I3354),(VLOOKUP(TRIM(D3354), CATALOGO!A:B, 2, FALSE) * C3354+I3354)),""))</f>
        <v/>
      </c>
      <c r="K3354" s="196"/>
      <c r="L3354" s="87"/>
      <c r="M3354" s="245"/>
      <c r="N3354" s="168"/>
    </row>
    <row r="3355" ht="22.5" hidden="1" customHeight="1">
      <c r="A3355" s="137"/>
      <c r="B3355" s="90"/>
      <c r="C3355" s="55"/>
      <c r="D3355" s="193"/>
      <c r="E3355" s="201"/>
      <c r="F3355" s="202"/>
      <c r="G3355" s="194"/>
      <c r="H3355" s="198"/>
      <c r="I3355" s="196"/>
      <c r="J3355" s="179" t="str">
        <f>IF(A3355="RAPPI",(VLOOKUP(TRIM(D3355), CATALOGO!F:G, 2, FALSE) * C3355)+I3355,IFERROR(IF(COUNTIF('RESTAURANTESDESCUENTOS 2026'!A:A,TRIM(A3355))&gt;0,((VLOOKUP(TRIM(D3355), CATALOGO!A:B, 2, FALSE) * C3355)*(1-VALUE(SUBSTITUTE(VLOOKUP(TRIM(A3355),'RESTAURANTESDESCUENTOS 2026'!A:B,2,FALSE),"%",""))/100)+I3355),(VLOOKUP(TRIM(D3355), CATALOGO!A:B, 2, FALSE) * C3355+I3355)),""))</f>
        <v/>
      </c>
      <c r="K3355" s="196"/>
      <c r="L3355" s="87"/>
      <c r="M3355" s="245"/>
      <c r="N3355" s="168"/>
    </row>
    <row r="3356" ht="22.5" hidden="1" customHeight="1">
      <c r="A3356" s="137"/>
      <c r="B3356" s="90"/>
      <c r="C3356" s="55"/>
      <c r="D3356" s="193"/>
      <c r="E3356" s="201"/>
      <c r="F3356" s="202"/>
      <c r="G3356" s="194"/>
      <c r="H3356" s="198"/>
      <c r="I3356" s="196"/>
      <c r="J3356" s="179" t="str">
        <f>IF(A3356="RAPPI",(VLOOKUP(TRIM(D3356), CATALOGO!F:G, 2, FALSE) * C3356)+I3356,IFERROR(IF(COUNTIF('RESTAURANTESDESCUENTOS 2026'!A:A,TRIM(A3356))&gt;0,((VLOOKUP(TRIM(D3356), CATALOGO!A:B, 2, FALSE) * C3356)*(1-VALUE(SUBSTITUTE(VLOOKUP(TRIM(A3356),'RESTAURANTESDESCUENTOS 2026'!A:B,2,FALSE),"%",""))/100)+I3356),(VLOOKUP(TRIM(D3356), CATALOGO!A:B, 2, FALSE) * C3356+I3356)),""))</f>
        <v/>
      </c>
      <c r="K3356" s="196"/>
      <c r="L3356" s="87"/>
      <c r="M3356" s="245"/>
      <c r="N3356" s="168"/>
    </row>
    <row r="3357" ht="22.5" hidden="1" customHeight="1">
      <c r="A3357" s="137"/>
      <c r="B3357" s="90"/>
      <c r="C3357" s="55"/>
      <c r="D3357" s="193"/>
      <c r="E3357" s="201"/>
      <c r="F3357" s="202"/>
      <c r="G3357" s="194"/>
      <c r="H3357" s="198"/>
      <c r="I3357" s="196"/>
      <c r="J3357" s="179" t="str">
        <f>IF(A3357="RAPPI",(VLOOKUP(TRIM(D3357), CATALOGO!F:G, 2, FALSE) * C3357)+I3357,IFERROR(IF(COUNTIF('RESTAURANTESDESCUENTOS 2026'!A:A,TRIM(A3357))&gt;0,((VLOOKUP(TRIM(D3357), CATALOGO!A:B, 2, FALSE) * C3357)*(1-VALUE(SUBSTITUTE(VLOOKUP(TRIM(A3357),'RESTAURANTESDESCUENTOS 2026'!A:B,2,FALSE),"%",""))/100)+I3357),(VLOOKUP(TRIM(D3357), CATALOGO!A:B, 2, FALSE) * C3357+I3357)),""))</f>
        <v/>
      </c>
      <c r="K3357" s="196"/>
      <c r="L3357" s="87"/>
      <c r="M3357" s="245"/>
      <c r="N3357" s="168"/>
    </row>
    <row r="3358" ht="22.5" hidden="1" customHeight="1">
      <c r="A3358" s="137"/>
      <c r="B3358" s="90"/>
      <c r="C3358" s="55"/>
      <c r="D3358" s="193"/>
      <c r="E3358" s="201"/>
      <c r="F3358" s="202"/>
      <c r="G3358" s="194"/>
      <c r="H3358" s="198"/>
      <c r="I3358" s="196"/>
      <c r="J3358" s="179" t="str">
        <f>IF(A3358="RAPPI",(VLOOKUP(TRIM(D3358), CATALOGO!F:G, 2, FALSE) * C3358)+I3358,IFERROR(IF(COUNTIF('RESTAURANTESDESCUENTOS 2026'!A:A,TRIM(A3358))&gt;0,((VLOOKUP(TRIM(D3358), CATALOGO!A:B, 2, FALSE) * C3358)*(1-VALUE(SUBSTITUTE(VLOOKUP(TRIM(A3358),'RESTAURANTESDESCUENTOS 2026'!A:B,2,FALSE),"%",""))/100)+I3358),(VLOOKUP(TRIM(D3358), CATALOGO!A:B, 2, FALSE) * C3358+I3358)),""))</f>
        <v/>
      </c>
      <c r="K3358" s="196"/>
      <c r="L3358" s="87"/>
      <c r="M3358" s="245"/>
      <c r="N3358" s="168"/>
    </row>
    <row r="3359" ht="22.5" hidden="1" customHeight="1">
      <c r="A3359" s="137"/>
      <c r="B3359" s="90"/>
      <c r="C3359" s="55"/>
      <c r="D3359" s="193"/>
      <c r="E3359" s="201"/>
      <c r="F3359" s="202"/>
      <c r="G3359" s="194"/>
      <c r="H3359" s="198"/>
      <c r="I3359" s="196"/>
      <c r="J3359" s="179" t="str">
        <f>IF(A3359="RAPPI",(VLOOKUP(TRIM(D3359), CATALOGO!F:G, 2, FALSE) * C3359)+I3359,IFERROR(IF(COUNTIF('RESTAURANTESDESCUENTOS 2026'!A:A,TRIM(A3359))&gt;0,((VLOOKUP(TRIM(D3359), CATALOGO!A:B, 2, FALSE) * C3359)*(1-VALUE(SUBSTITUTE(VLOOKUP(TRIM(A3359),'RESTAURANTESDESCUENTOS 2026'!A:B,2,FALSE),"%",""))/100)+I3359),(VLOOKUP(TRIM(D3359), CATALOGO!A:B, 2, FALSE) * C3359+I3359)),""))</f>
        <v/>
      </c>
      <c r="K3359" s="196"/>
      <c r="L3359" s="87"/>
      <c r="M3359" s="245"/>
      <c r="N3359" s="168"/>
    </row>
    <row r="3360" ht="22.5" hidden="1" customHeight="1">
      <c r="A3360" s="137"/>
      <c r="B3360" s="90"/>
      <c r="C3360" s="55"/>
      <c r="D3360" s="193"/>
      <c r="E3360" s="201"/>
      <c r="F3360" s="202"/>
      <c r="G3360" s="194"/>
      <c r="H3360" s="198"/>
      <c r="I3360" s="196"/>
      <c r="J3360" s="179" t="str">
        <f>IF(A3360="RAPPI",(VLOOKUP(TRIM(D3360), CATALOGO!F:G, 2, FALSE) * C3360)+I3360,IFERROR(IF(COUNTIF('RESTAURANTESDESCUENTOS 2026'!A:A,TRIM(A3360))&gt;0,((VLOOKUP(TRIM(D3360), CATALOGO!A:B, 2, FALSE) * C3360)*(1-VALUE(SUBSTITUTE(VLOOKUP(TRIM(A3360),'RESTAURANTESDESCUENTOS 2026'!A:B,2,FALSE),"%",""))/100)+I3360),(VLOOKUP(TRIM(D3360), CATALOGO!A:B, 2, FALSE) * C3360+I3360)),""))</f>
        <v/>
      </c>
      <c r="K3360" s="196"/>
      <c r="L3360" s="87"/>
      <c r="M3360" s="245"/>
      <c r="N3360" s="168"/>
    </row>
    <row r="3361" ht="22.5" hidden="1" customHeight="1">
      <c r="A3361" s="137"/>
      <c r="B3361" s="90"/>
      <c r="C3361" s="55"/>
      <c r="D3361" s="193"/>
      <c r="E3361" s="201"/>
      <c r="F3361" s="202"/>
      <c r="G3361" s="194"/>
      <c r="H3361" s="198"/>
      <c r="I3361" s="196"/>
      <c r="J3361" s="179" t="str">
        <f>IF(A3361="RAPPI",(VLOOKUP(TRIM(D3361), CATALOGO!F:G, 2, FALSE) * C3361)+I3361,IFERROR(IF(COUNTIF('RESTAURANTESDESCUENTOS 2026'!A:A,TRIM(A3361))&gt;0,((VLOOKUP(TRIM(D3361), CATALOGO!A:B, 2, FALSE) * C3361)*(1-VALUE(SUBSTITUTE(VLOOKUP(TRIM(A3361),'RESTAURANTESDESCUENTOS 2026'!A:B,2,FALSE),"%",""))/100)+I3361),(VLOOKUP(TRIM(D3361), CATALOGO!A:B, 2, FALSE) * C3361+I3361)),""))</f>
        <v/>
      </c>
      <c r="K3361" s="196"/>
      <c r="L3361" s="87"/>
      <c r="M3361" s="245"/>
      <c r="N3361" s="168"/>
    </row>
    <row r="3362" ht="22.5" hidden="1" customHeight="1">
      <c r="A3362" s="137"/>
      <c r="B3362" s="90"/>
      <c r="C3362" s="55"/>
      <c r="D3362" s="193"/>
      <c r="E3362" s="201"/>
      <c r="F3362" s="202"/>
      <c r="G3362" s="194"/>
      <c r="H3362" s="198"/>
      <c r="I3362" s="196"/>
      <c r="J3362" s="179" t="str">
        <f>IF(A3362="RAPPI",(VLOOKUP(TRIM(D3362), CATALOGO!F:G, 2, FALSE) * C3362)+I3362,IFERROR(IF(COUNTIF('RESTAURANTESDESCUENTOS 2026'!A:A,TRIM(A3362))&gt;0,((VLOOKUP(TRIM(D3362), CATALOGO!A:B, 2, FALSE) * C3362)*(1-VALUE(SUBSTITUTE(VLOOKUP(TRIM(A3362),'RESTAURANTESDESCUENTOS 2026'!A:B,2,FALSE),"%",""))/100)+I3362),(VLOOKUP(TRIM(D3362), CATALOGO!A:B, 2, FALSE) * C3362+I3362)),""))</f>
        <v/>
      </c>
      <c r="K3362" s="196"/>
      <c r="L3362" s="87"/>
      <c r="M3362" s="245"/>
      <c r="N3362" s="168"/>
    </row>
    <row r="3363" ht="22.5" hidden="1" customHeight="1">
      <c r="A3363" s="137"/>
      <c r="B3363" s="90"/>
      <c r="C3363" s="55"/>
      <c r="D3363" s="193"/>
      <c r="E3363" s="201"/>
      <c r="F3363" s="202"/>
      <c r="G3363" s="194"/>
      <c r="H3363" s="198"/>
      <c r="I3363" s="196"/>
      <c r="J3363" s="179" t="str">
        <f>IF(A3363="RAPPI",(VLOOKUP(TRIM(D3363), CATALOGO!F:G, 2, FALSE) * C3363)+I3363,IFERROR(IF(COUNTIF('RESTAURANTESDESCUENTOS 2026'!A:A,TRIM(A3363))&gt;0,((VLOOKUP(TRIM(D3363), CATALOGO!A:B, 2, FALSE) * C3363)*(1-VALUE(SUBSTITUTE(VLOOKUP(TRIM(A3363),'RESTAURANTESDESCUENTOS 2026'!A:B,2,FALSE),"%",""))/100)+I3363),(VLOOKUP(TRIM(D3363), CATALOGO!A:B, 2, FALSE) * C3363+I3363)),""))</f>
        <v/>
      </c>
      <c r="K3363" s="196"/>
      <c r="L3363" s="87"/>
      <c r="M3363" s="245"/>
      <c r="N3363" s="168"/>
    </row>
    <row r="3364" ht="22.5" hidden="1" customHeight="1">
      <c r="A3364" s="137"/>
      <c r="B3364" s="90"/>
      <c r="C3364" s="55"/>
      <c r="D3364" s="193"/>
      <c r="E3364" s="201"/>
      <c r="F3364" s="202"/>
      <c r="G3364" s="194"/>
      <c r="H3364" s="198"/>
      <c r="I3364" s="196"/>
      <c r="J3364" s="179" t="str">
        <f>IF(A3364="RAPPI",(VLOOKUP(TRIM(D3364), CATALOGO!F:G, 2, FALSE) * C3364)+I3364,IFERROR(IF(COUNTIF('RESTAURANTESDESCUENTOS 2026'!A:A,TRIM(A3364))&gt;0,((VLOOKUP(TRIM(D3364), CATALOGO!A:B, 2, FALSE) * C3364)*(1-VALUE(SUBSTITUTE(VLOOKUP(TRIM(A3364),'RESTAURANTESDESCUENTOS 2026'!A:B,2,FALSE),"%",""))/100)+I3364),(VLOOKUP(TRIM(D3364), CATALOGO!A:B, 2, FALSE) * C3364+I3364)),""))</f>
        <v/>
      </c>
      <c r="K3364" s="196"/>
      <c r="L3364" s="87"/>
      <c r="M3364" s="245"/>
      <c r="N3364" s="168"/>
    </row>
    <row r="3365" ht="22.5" hidden="1" customHeight="1">
      <c r="A3365" s="137"/>
      <c r="B3365" s="90"/>
      <c r="C3365" s="55"/>
      <c r="D3365" s="193"/>
      <c r="E3365" s="201"/>
      <c r="F3365" s="202"/>
      <c r="G3365" s="194"/>
      <c r="H3365" s="198"/>
      <c r="I3365" s="196"/>
      <c r="J3365" s="179" t="str">
        <f>IF(A3365="RAPPI",(VLOOKUP(TRIM(D3365), CATALOGO!F:G, 2, FALSE) * C3365)+I3365,IFERROR(IF(COUNTIF('RESTAURANTESDESCUENTOS 2026'!A:A,TRIM(A3365))&gt;0,((VLOOKUP(TRIM(D3365), CATALOGO!A:B, 2, FALSE) * C3365)*(1-VALUE(SUBSTITUTE(VLOOKUP(TRIM(A3365),'RESTAURANTESDESCUENTOS 2026'!A:B,2,FALSE),"%",""))/100)+I3365),(VLOOKUP(TRIM(D3365), CATALOGO!A:B, 2, FALSE) * C3365+I3365)),""))</f>
        <v/>
      </c>
      <c r="K3365" s="196"/>
      <c r="L3365" s="87"/>
      <c r="M3365" s="245"/>
      <c r="N3365" s="168"/>
    </row>
    <row r="3366" ht="22.5" hidden="1" customHeight="1">
      <c r="A3366" s="137"/>
      <c r="B3366" s="90"/>
      <c r="C3366" s="55"/>
      <c r="D3366" s="193"/>
      <c r="E3366" s="201"/>
      <c r="F3366" s="202"/>
      <c r="G3366" s="194"/>
      <c r="H3366" s="198"/>
      <c r="I3366" s="196"/>
      <c r="J3366" s="179" t="str">
        <f>IF(A3366="RAPPI",(VLOOKUP(TRIM(D3366), CATALOGO!F:G, 2, FALSE) * C3366)+I3366,IFERROR(IF(COUNTIF('RESTAURANTESDESCUENTOS 2026'!A:A,TRIM(A3366))&gt;0,((VLOOKUP(TRIM(D3366), CATALOGO!A:B, 2, FALSE) * C3366)*(1-VALUE(SUBSTITUTE(VLOOKUP(TRIM(A3366),'RESTAURANTESDESCUENTOS 2026'!A:B,2,FALSE),"%",""))/100)+I3366),(VLOOKUP(TRIM(D3366), CATALOGO!A:B, 2, FALSE) * C3366+I3366)),""))</f>
        <v/>
      </c>
      <c r="K3366" s="196"/>
      <c r="L3366" s="87"/>
      <c r="M3366" s="245"/>
      <c r="N3366" s="168"/>
    </row>
    <row r="3367" ht="22.5" hidden="1" customHeight="1">
      <c r="A3367" s="137"/>
      <c r="B3367" s="90"/>
      <c r="C3367" s="55"/>
      <c r="D3367" s="193"/>
      <c r="E3367" s="201"/>
      <c r="F3367" s="202"/>
      <c r="G3367" s="194"/>
      <c r="H3367" s="198"/>
      <c r="I3367" s="196"/>
      <c r="J3367" s="179" t="str">
        <f>IF(A3367="RAPPI",(VLOOKUP(TRIM(D3367), CATALOGO!F:G, 2, FALSE) * C3367)+I3367,IFERROR(IF(COUNTIF('RESTAURANTESDESCUENTOS 2026'!A:A,TRIM(A3367))&gt;0,((VLOOKUP(TRIM(D3367), CATALOGO!A:B, 2, FALSE) * C3367)*(1-VALUE(SUBSTITUTE(VLOOKUP(TRIM(A3367),'RESTAURANTESDESCUENTOS 2026'!A:B,2,FALSE),"%",""))/100)+I3367),(VLOOKUP(TRIM(D3367), CATALOGO!A:B, 2, FALSE) * C3367+I3367)),""))</f>
        <v/>
      </c>
      <c r="K3367" s="196"/>
      <c r="L3367" s="87"/>
      <c r="M3367" s="245"/>
      <c r="N3367" s="168"/>
    </row>
    <row r="3368" ht="22.5" hidden="1" customHeight="1">
      <c r="A3368" s="137"/>
      <c r="B3368" s="90"/>
      <c r="C3368" s="55"/>
      <c r="D3368" s="193"/>
      <c r="E3368" s="201"/>
      <c r="F3368" s="202"/>
      <c r="G3368" s="194"/>
      <c r="H3368" s="198"/>
      <c r="I3368" s="196"/>
      <c r="J3368" s="179" t="str">
        <f>IF(A3368="RAPPI",(VLOOKUP(TRIM(D3368), CATALOGO!F:G, 2, FALSE) * C3368)+I3368,IFERROR(IF(COUNTIF('RESTAURANTESDESCUENTOS 2026'!A:A,TRIM(A3368))&gt;0,((VLOOKUP(TRIM(D3368), CATALOGO!A:B, 2, FALSE) * C3368)*(1-VALUE(SUBSTITUTE(VLOOKUP(TRIM(A3368),'RESTAURANTESDESCUENTOS 2026'!A:B,2,FALSE),"%",""))/100)+I3368),(VLOOKUP(TRIM(D3368), CATALOGO!A:B, 2, FALSE) * C3368+I3368)),""))</f>
        <v/>
      </c>
      <c r="K3368" s="196"/>
      <c r="L3368" s="87"/>
      <c r="M3368" s="245"/>
      <c r="N3368" s="168"/>
    </row>
    <row r="3369" ht="22.5" hidden="1" customHeight="1">
      <c r="A3369" s="137"/>
      <c r="B3369" s="90"/>
      <c r="C3369" s="55"/>
      <c r="D3369" s="193"/>
      <c r="E3369" s="201"/>
      <c r="F3369" s="202"/>
      <c r="G3369" s="194"/>
      <c r="H3369" s="198"/>
      <c r="I3369" s="196"/>
      <c r="J3369" s="179" t="str">
        <f>IF(A3369="RAPPI",(VLOOKUP(TRIM(D3369), CATALOGO!F:G, 2, FALSE) * C3369)+I3369,IFERROR(IF(COUNTIF('RESTAURANTESDESCUENTOS 2026'!A:A,TRIM(A3369))&gt;0,((VLOOKUP(TRIM(D3369), CATALOGO!A:B, 2, FALSE) * C3369)*(1-VALUE(SUBSTITUTE(VLOOKUP(TRIM(A3369),'RESTAURANTESDESCUENTOS 2026'!A:B,2,FALSE),"%",""))/100)+I3369),(VLOOKUP(TRIM(D3369), CATALOGO!A:B, 2, FALSE) * C3369+I3369)),""))</f>
        <v/>
      </c>
      <c r="K3369" s="196"/>
      <c r="L3369" s="87"/>
      <c r="M3369" s="245"/>
      <c r="N3369" s="168"/>
    </row>
    <row r="3370" ht="22.5" hidden="1" customHeight="1">
      <c r="A3370" s="137"/>
      <c r="B3370" s="90"/>
      <c r="C3370" s="55"/>
      <c r="D3370" s="193"/>
      <c r="E3370" s="201"/>
      <c r="F3370" s="202"/>
      <c r="G3370" s="194"/>
      <c r="H3370" s="198"/>
      <c r="I3370" s="196"/>
      <c r="J3370" s="179" t="str">
        <f>IF(A3370="RAPPI",(VLOOKUP(TRIM(D3370), CATALOGO!F:G, 2, FALSE) * C3370)+I3370,IFERROR(IF(COUNTIF('RESTAURANTESDESCUENTOS 2026'!A:A,TRIM(A3370))&gt;0,((VLOOKUP(TRIM(D3370), CATALOGO!A:B, 2, FALSE) * C3370)*(1-VALUE(SUBSTITUTE(VLOOKUP(TRIM(A3370),'RESTAURANTESDESCUENTOS 2026'!A:B,2,FALSE),"%",""))/100)+I3370),(VLOOKUP(TRIM(D3370), CATALOGO!A:B, 2, FALSE) * C3370+I3370)),""))</f>
        <v/>
      </c>
      <c r="K3370" s="196"/>
      <c r="L3370" s="87"/>
      <c r="M3370" s="245"/>
      <c r="N3370" s="168"/>
    </row>
    <row r="3371" ht="22.5" hidden="1" customHeight="1">
      <c r="A3371" s="137"/>
      <c r="B3371" s="90"/>
      <c r="C3371" s="55"/>
      <c r="D3371" s="193"/>
      <c r="E3371" s="201"/>
      <c r="F3371" s="202"/>
      <c r="G3371" s="194"/>
      <c r="H3371" s="198"/>
      <c r="I3371" s="196"/>
      <c r="J3371" s="179" t="str">
        <f>IF(A3371="RAPPI",(VLOOKUP(TRIM(D3371), CATALOGO!F:G, 2, FALSE) * C3371)+I3371,IFERROR(IF(COUNTIF('RESTAURANTESDESCUENTOS 2026'!A:A,TRIM(A3371))&gt;0,((VLOOKUP(TRIM(D3371), CATALOGO!A:B, 2, FALSE) * C3371)*(1-VALUE(SUBSTITUTE(VLOOKUP(TRIM(A3371),'RESTAURANTESDESCUENTOS 2026'!A:B,2,FALSE),"%",""))/100)+I3371),(VLOOKUP(TRIM(D3371), CATALOGO!A:B, 2, FALSE) * C3371+I3371)),""))</f>
        <v/>
      </c>
      <c r="K3371" s="196"/>
      <c r="L3371" s="87"/>
      <c r="M3371" s="245"/>
      <c r="N3371" s="168"/>
    </row>
    <row r="3372" ht="22.5" hidden="1" customHeight="1">
      <c r="A3372" s="137"/>
      <c r="B3372" s="90"/>
      <c r="C3372" s="55"/>
      <c r="D3372" s="193"/>
      <c r="E3372" s="201"/>
      <c r="F3372" s="202"/>
      <c r="G3372" s="194"/>
      <c r="H3372" s="198"/>
      <c r="I3372" s="196"/>
      <c r="J3372" s="179" t="str">
        <f>IF(A3372="RAPPI",(VLOOKUP(TRIM(D3372), CATALOGO!F:G, 2, FALSE) * C3372)+I3372,IFERROR(IF(COUNTIF('RESTAURANTESDESCUENTOS 2026'!A:A,TRIM(A3372))&gt;0,((VLOOKUP(TRIM(D3372), CATALOGO!A:B, 2, FALSE) * C3372)*(1-VALUE(SUBSTITUTE(VLOOKUP(TRIM(A3372),'RESTAURANTESDESCUENTOS 2026'!A:B,2,FALSE),"%",""))/100)+I3372),(VLOOKUP(TRIM(D3372), CATALOGO!A:B, 2, FALSE) * C3372+I3372)),""))</f>
        <v/>
      </c>
      <c r="K3372" s="196"/>
      <c r="L3372" s="87"/>
      <c r="M3372" s="245"/>
      <c r="N3372" s="168"/>
    </row>
    <row r="3373" ht="22.5" hidden="1" customHeight="1">
      <c r="A3373" s="137"/>
      <c r="B3373" s="90"/>
      <c r="C3373" s="55"/>
      <c r="D3373" s="193"/>
      <c r="E3373" s="201"/>
      <c r="F3373" s="202"/>
      <c r="G3373" s="194"/>
      <c r="H3373" s="198"/>
      <c r="I3373" s="196"/>
      <c r="J3373" s="179" t="str">
        <f>IF(A3373="RAPPI",(VLOOKUP(TRIM(D3373), CATALOGO!F:G, 2, FALSE) * C3373)+I3373,IFERROR(IF(COUNTIF('RESTAURANTESDESCUENTOS 2026'!A:A,TRIM(A3373))&gt;0,((VLOOKUP(TRIM(D3373), CATALOGO!A:B, 2, FALSE) * C3373)*(1-VALUE(SUBSTITUTE(VLOOKUP(TRIM(A3373),'RESTAURANTESDESCUENTOS 2026'!A:B,2,FALSE),"%",""))/100)+I3373),(VLOOKUP(TRIM(D3373), CATALOGO!A:B, 2, FALSE) * C3373+I3373)),""))</f>
        <v/>
      </c>
      <c r="K3373" s="196"/>
      <c r="L3373" s="87"/>
      <c r="M3373" s="245"/>
      <c r="N3373" s="168"/>
    </row>
    <row r="3374" ht="22.5" hidden="1" customHeight="1">
      <c r="A3374" s="137"/>
      <c r="B3374" s="90"/>
      <c r="C3374" s="55"/>
      <c r="D3374" s="193"/>
      <c r="E3374" s="201"/>
      <c r="F3374" s="202"/>
      <c r="G3374" s="194"/>
      <c r="H3374" s="198"/>
      <c r="I3374" s="196"/>
      <c r="J3374" s="179" t="str">
        <f>IF(A3374="RAPPI",(VLOOKUP(TRIM(D3374), CATALOGO!F:G, 2, FALSE) * C3374)+I3374,IFERROR(IF(COUNTIF('RESTAURANTESDESCUENTOS 2026'!A:A,TRIM(A3374))&gt;0,((VLOOKUP(TRIM(D3374), CATALOGO!A:B, 2, FALSE) * C3374)*(1-VALUE(SUBSTITUTE(VLOOKUP(TRIM(A3374),'RESTAURANTESDESCUENTOS 2026'!A:B,2,FALSE),"%",""))/100)+I3374),(VLOOKUP(TRIM(D3374), CATALOGO!A:B, 2, FALSE) * C3374+I3374)),""))</f>
        <v/>
      </c>
      <c r="K3374" s="196"/>
      <c r="L3374" s="87"/>
      <c r="M3374" s="245"/>
      <c r="N3374" s="168"/>
    </row>
    <row r="3375" ht="22.5" hidden="1" customHeight="1">
      <c r="A3375" s="137"/>
      <c r="B3375" s="90"/>
      <c r="C3375" s="55"/>
      <c r="D3375" s="193"/>
      <c r="E3375" s="201"/>
      <c r="F3375" s="202"/>
      <c r="G3375" s="194"/>
      <c r="H3375" s="198"/>
      <c r="I3375" s="196"/>
      <c r="J3375" s="179" t="str">
        <f>IF(A3375="RAPPI",(VLOOKUP(TRIM(D3375), CATALOGO!F:G, 2, FALSE) * C3375)+I3375,IFERROR(IF(COUNTIF('RESTAURANTESDESCUENTOS 2026'!A:A,TRIM(A3375))&gt;0,((VLOOKUP(TRIM(D3375), CATALOGO!A:B, 2, FALSE) * C3375)*(1-VALUE(SUBSTITUTE(VLOOKUP(TRIM(A3375),'RESTAURANTESDESCUENTOS 2026'!A:B,2,FALSE),"%",""))/100)+I3375),(VLOOKUP(TRIM(D3375), CATALOGO!A:B, 2, FALSE) * C3375+I3375)),""))</f>
        <v/>
      </c>
      <c r="K3375" s="196"/>
      <c r="L3375" s="87"/>
      <c r="M3375" s="245"/>
      <c r="N3375" s="168"/>
    </row>
    <row r="3376" ht="22.5" hidden="1" customHeight="1">
      <c r="A3376" s="137"/>
      <c r="B3376" s="90"/>
      <c r="C3376" s="55"/>
      <c r="D3376" s="193"/>
      <c r="E3376" s="201"/>
      <c r="F3376" s="202"/>
      <c r="G3376" s="194"/>
      <c r="H3376" s="198"/>
      <c r="I3376" s="196"/>
      <c r="J3376" s="179" t="str">
        <f>IF(A3376="RAPPI",(VLOOKUP(TRIM(D3376), CATALOGO!F:G, 2, FALSE) * C3376)+I3376,IFERROR(IF(COUNTIF('RESTAURANTESDESCUENTOS 2026'!A:A,TRIM(A3376))&gt;0,((VLOOKUP(TRIM(D3376), CATALOGO!A:B, 2, FALSE) * C3376)*(1-VALUE(SUBSTITUTE(VLOOKUP(TRIM(A3376),'RESTAURANTESDESCUENTOS 2026'!A:B,2,FALSE),"%",""))/100)+I3376),(VLOOKUP(TRIM(D3376), CATALOGO!A:B, 2, FALSE) * C3376+I3376)),""))</f>
        <v/>
      </c>
      <c r="K3376" s="196"/>
      <c r="L3376" s="87"/>
      <c r="M3376" s="245"/>
      <c r="N3376" s="168"/>
    </row>
    <row r="3377" ht="22.5" hidden="1" customHeight="1">
      <c r="A3377" s="137"/>
      <c r="B3377" s="90"/>
      <c r="C3377" s="55"/>
      <c r="D3377" s="193"/>
      <c r="E3377" s="201"/>
      <c r="F3377" s="202"/>
      <c r="G3377" s="194"/>
      <c r="H3377" s="198"/>
      <c r="I3377" s="196"/>
      <c r="J3377" s="179" t="str">
        <f>IF(A3377="RAPPI",(VLOOKUP(TRIM(D3377), CATALOGO!F:G, 2, FALSE) * C3377)+I3377,IFERROR(IF(COUNTIF('RESTAURANTESDESCUENTOS 2026'!A:A,TRIM(A3377))&gt;0,((VLOOKUP(TRIM(D3377), CATALOGO!A:B, 2, FALSE) * C3377)*(1-VALUE(SUBSTITUTE(VLOOKUP(TRIM(A3377),'RESTAURANTESDESCUENTOS 2026'!A:B,2,FALSE),"%",""))/100)+I3377),(VLOOKUP(TRIM(D3377), CATALOGO!A:B, 2, FALSE) * C3377+I3377)),""))</f>
        <v/>
      </c>
      <c r="K3377" s="196"/>
      <c r="L3377" s="87"/>
      <c r="M3377" s="245"/>
      <c r="N3377" s="168"/>
    </row>
    <row r="3378" ht="22.5" hidden="1" customHeight="1">
      <c r="A3378" s="137"/>
      <c r="B3378" s="90"/>
      <c r="C3378" s="55"/>
      <c r="D3378" s="193"/>
      <c r="E3378" s="201"/>
      <c r="F3378" s="202"/>
      <c r="G3378" s="194"/>
      <c r="H3378" s="198"/>
      <c r="I3378" s="196"/>
      <c r="J3378" s="179" t="str">
        <f>IF(A3378="RAPPI",(VLOOKUP(TRIM(D3378), CATALOGO!F:G, 2, FALSE) * C3378)+I3378,IFERROR(IF(COUNTIF('RESTAURANTESDESCUENTOS 2026'!A:A,TRIM(A3378))&gt;0,((VLOOKUP(TRIM(D3378), CATALOGO!A:B, 2, FALSE) * C3378)*(1-VALUE(SUBSTITUTE(VLOOKUP(TRIM(A3378),'RESTAURANTESDESCUENTOS 2026'!A:B,2,FALSE),"%",""))/100)+I3378),(VLOOKUP(TRIM(D3378), CATALOGO!A:B, 2, FALSE) * C3378+I3378)),""))</f>
        <v/>
      </c>
      <c r="K3378" s="196"/>
      <c r="L3378" s="87"/>
      <c r="M3378" s="245"/>
      <c r="N3378" s="168"/>
    </row>
    <row r="3379" ht="22.5" hidden="1" customHeight="1">
      <c r="A3379" s="137"/>
      <c r="B3379" s="90"/>
      <c r="C3379" s="55"/>
      <c r="D3379" s="193"/>
      <c r="E3379" s="201"/>
      <c r="F3379" s="202"/>
      <c r="G3379" s="194"/>
      <c r="H3379" s="198"/>
      <c r="I3379" s="196"/>
      <c r="J3379" s="179" t="str">
        <f>IF(A3379="RAPPI",(VLOOKUP(TRIM(D3379), CATALOGO!F:G, 2, FALSE) * C3379)+I3379,IFERROR(IF(COUNTIF('RESTAURANTESDESCUENTOS 2026'!A:A,TRIM(A3379))&gt;0,((VLOOKUP(TRIM(D3379), CATALOGO!A:B, 2, FALSE) * C3379)*(1-VALUE(SUBSTITUTE(VLOOKUP(TRIM(A3379),'RESTAURANTESDESCUENTOS 2026'!A:B,2,FALSE),"%",""))/100)+I3379),(VLOOKUP(TRIM(D3379), CATALOGO!A:B, 2, FALSE) * C3379+I3379)),""))</f>
        <v/>
      </c>
      <c r="K3379" s="196"/>
      <c r="L3379" s="87"/>
      <c r="M3379" s="245"/>
      <c r="N3379" s="168"/>
    </row>
    <row r="3380" ht="22.5" hidden="1" customHeight="1">
      <c r="A3380" s="137"/>
      <c r="B3380" s="90"/>
      <c r="C3380" s="55"/>
      <c r="D3380" s="193"/>
      <c r="E3380" s="201"/>
      <c r="F3380" s="202"/>
      <c r="G3380" s="194"/>
      <c r="H3380" s="198"/>
      <c r="I3380" s="196"/>
      <c r="J3380" s="179" t="str">
        <f>IF(A3380="RAPPI",(VLOOKUP(TRIM(D3380), CATALOGO!F:G, 2, FALSE) * C3380)+I3380,IFERROR(IF(COUNTIF('RESTAURANTESDESCUENTOS 2026'!A:A,TRIM(A3380))&gt;0,((VLOOKUP(TRIM(D3380), CATALOGO!A:B, 2, FALSE) * C3380)*(1-VALUE(SUBSTITUTE(VLOOKUP(TRIM(A3380),'RESTAURANTESDESCUENTOS 2026'!A:B,2,FALSE),"%",""))/100)+I3380),(VLOOKUP(TRIM(D3380), CATALOGO!A:B, 2, FALSE) * C3380+I3380)),""))</f>
        <v/>
      </c>
      <c r="K3380" s="196"/>
      <c r="L3380" s="87"/>
      <c r="M3380" s="245"/>
      <c r="N3380" s="168"/>
    </row>
    <row r="3381" ht="22.5" hidden="1" customHeight="1">
      <c r="A3381" s="137"/>
      <c r="B3381" s="90"/>
      <c r="C3381" s="55"/>
      <c r="D3381" s="193"/>
      <c r="E3381" s="201"/>
      <c r="F3381" s="202"/>
      <c r="G3381" s="194"/>
      <c r="H3381" s="198"/>
      <c r="I3381" s="196"/>
      <c r="J3381" s="179" t="str">
        <f>IF(A3381="RAPPI",(VLOOKUP(TRIM(D3381), CATALOGO!F:G, 2, FALSE) * C3381)+I3381,IFERROR(IF(COUNTIF('RESTAURANTESDESCUENTOS 2026'!A:A,TRIM(A3381))&gt;0,((VLOOKUP(TRIM(D3381), CATALOGO!A:B, 2, FALSE) * C3381)*(1-VALUE(SUBSTITUTE(VLOOKUP(TRIM(A3381),'RESTAURANTESDESCUENTOS 2026'!A:B,2,FALSE),"%",""))/100)+I3381),(VLOOKUP(TRIM(D3381), CATALOGO!A:B, 2, FALSE) * C3381+I3381)),""))</f>
        <v/>
      </c>
      <c r="K3381" s="196"/>
      <c r="L3381" s="87"/>
      <c r="M3381" s="245"/>
      <c r="N3381" s="168"/>
    </row>
    <row r="3382" ht="22.5" hidden="1" customHeight="1">
      <c r="A3382" s="137"/>
      <c r="B3382" s="90"/>
      <c r="C3382" s="55"/>
      <c r="D3382" s="193"/>
      <c r="E3382" s="201"/>
      <c r="F3382" s="202"/>
      <c r="G3382" s="194"/>
      <c r="H3382" s="198"/>
      <c r="I3382" s="196"/>
      <c r="J3382" s="179" t="str">
        <f>IF(A3382="RAPPI",(VLOOKUP(TRIM(D3382), CATALOGO!F:G, 2, FALSE) * C3382)+I3382,IFERROR(IF(COUNTIF('RESTAURANTESDESCUENTOS 2026'!A:A,TRIM(A3382))&gt;0,((VLOOKUP(TRIM(D3382), CATALOGO!A:B, 2, FALSE) * C3382)*(1-VALUE(SUBSTITUTE(VLOOKUP(TRIM(A3382),'RESTAURANTESDESCUENTOS 2026'!A:B,2,FALSE),"%",""))/100)+I3382),(VLOOKUP(TRIM(D3382), CATALOGO!A:B, 2, FALSE) * C3382+I3382)),""))</f>
        <v/>
      </c>
      <c r="K3382" s="196"/>
      <c r="L3382" s="87"/>
      <c r="M3382" s="245"/>
      <c r="N3382" s="168"/>
    </row>
    <row r="3383" ht="22.5" hidden="1" customHeight="1">
      <c r="A3383" s="137"/>
      <c r="B3383" s="90"/>
      <c r="C3383" s="55"/>
      <c r="D3383" s="193"/>
      <c r="E3383" s="201"/>
      <c r="F3383" s="202"/>
      <c r="G3383" s="194"/>
      <c r="H3383" s="198"/>
      <c r="I3383" s="196"/>
      <c r="J3383" s="179" t="str">
        <f>IF(A3383="RAPPI",(VLOOKUP(TRIM(D3383), CATALOGO!F:G, 2, FALSE) * C3383)+I3383,IFERROR(IF(COUNTIF('RESTAURANTESDESCUENTOS 2026'!A:A,TRIM(A3383))&gt;0,((VLOOKUP(TRIM(D3383), CATALOGO!A:B, 2, FALSE) * C3383)*(1-VALUE(SUBSTITUTE(VLOOKUP(TRIM(A3383),'RESTAURANTESDESCUENTOS 2026'!A:B,2,FALSE),"%",""))/100)+I3383),(VLOOKUP(TRIM(D3383), CATALOGO!A:B, 2, FALSE) * C3383+I3383)),""))</f>
        <v/>
      </c>
      <c r="K3383" s="196"/>
      <c r="L3383" s="87"/>
      <c r="M3383" s="245"/>
      <c r="N3383" s="168"/>
    </row>
    <row r="3384" ht="22.5" hidden="1" customHeight="1">
      <c r="A3384" s="137"/>
      <c r="B3384" s="90"/>
      <c r="C3384" s="55"/>
      <c r="D3384" s="193"/>
      <c r="E3384" s="201"/>
      <c r="F3384" s="202"/>
      <c r="G3384" s="194"/>
      <c r="H3384" s="198"/>
      <c r="I3384" s="196"/>
      <c r="J3384" s="179" t="str">
        <f>IF(A3384="RAPPI",(VLOOKUP(TRIM(D3384), CATALOGO!F:G, 2, FALSE) * C3384)+I3384,IFERROR(IF(COUNTIF('RESTAURANTESDESCUENTOS 2026'!A:A,TRIM(A3384))&gt;0,((VLOOKUP(TRIM(D3384), CATALOGO!A:B, 2, FALSE) * C3384)*(1-VALUE(SUBSTITUTE(VLOOKUP(TRIM(A3384),'RESTAURANTESDESCUENTOS 2026'!A:B,2,FALSE),"%",""))/100)+I3384),(VLOOKUP(TRIM(D3384), CATALOGO!A:B, 2, FALSE) * C3384+I3384)),""))</f>
        <v/>
      </c>
      <c r="K3384" s="196"/>
      <c r="L3384" s="87"/>
      <c r="M3384" s="245"/>
      <c r="N3384" s="168"/>
    </row>
    <row r="3385" ht="22.5" hidden="1" customHeight="1">
      <c r="A3385" s="137"/>
      <c r="B3385" s="90"/>
      <c r="C3385" s="55"/>
      <c r="D3385" s="193"/>
      <c r="E3385" s="201"/>
      <c r="F3385" s="202"/>
      <c r="G3385" s="194"/>
      <c r="H3385" s="198"/>
      <c r="I3385" s="196"/>
      <c r="J3385" s="179" t="str">
        <f>IF(A3385="RAPPI",(VLOOKUP(TRIM(D3385), CATALOGO!F:G, 2, FALSE) * C3385)+I3385,IFERROR(IF(COUNTIF('RESTAURANTESDESCUENTOS 2026'!A:A,TRIM(A3385))&gt;0,((VLOOKUP(TRIM(D3385), CATALOGO!A:B, 2, FALSE) * C3385)*(1-VALUE(SUBSTITUTE(VLOOKUP(TRIM(A3385),'RESTAURANTESDESCUENTOS 2026'!A:B,2,FALSE),"%",""))/100)+I3385),(VLOOKUP(TRIM(D3385), CATALOGO!A:B, 2, FALSE) * C3385+I3385)),""))</f>
        <v/>
      </c>
      <c r="K3385" s="196"/>
      <c r="L3385" s="87"/>
      <c r="M3385" s="245"/>
      <c r="N3385" s="168"/>
    </row>
    <row r="3386" ht="22.5" hidden="1" customHeight="1">
      <c r="A3386" s="137"/>
      <c r="B3386" s="90"/>
      <c r="C3386" s="55"/>
      <c r="D3386" s="193"/>
      <c r="E3386" s="201"/>
      <c r="F3386" s="202"/>
      <c r="G3386" s="194"/>
      <c r="H3386" s="198"/>
      <c r="I3386" s="196"/>
      <c r="J3386" s="179" t="str">
        <f>IF(A3386="RAPPI",(VLOOKUP(TRIM(D3386), CATALOGO!F:G, 2, FALSE) * C3386)+I3386,IFERROR(IF(COUNTIF('RESTAURANTESDESCUENTOS 2026'!A:A,TRIM(A3386))&gt;0,((VLOOKUP(TRIM(D3386), CATALOGO!A:B, 2, FALSE) * C3386)*(1-VALUE(SUBSTITUTE(VLOOKUP(TRIM(A3386),'RESTAURANTESDESCUENTOS 2026'!A:B,2,FALSE),"%",""))/100)+I3386),(VLOOKUP(TRIM(D3386), CATALOGO!A:B, 2, FALSE) * C3386+I3386)),""))</f>
        <v/>
      </c>
      <c r="K3386" s="196"/>
      <c r="L3386" s="87"/>
      <c r="M3386" s="245"/>
      <c r="N3386" s="168"/>
    </row>
    <row r="3387" ht="22.5" hidden="1" customHeight="1">
      <c r="A3387" s="137"/>
      <c r="B3387" s="90"/>
      <c r="C3387" s="55"/>
      <c r="D3387" s="193"/>
      <c r="E3387" s="201"/>
      <c r="F3387" s="202"/>
      <c r="G3387" s="194"/>
      <c r="H3387" s="198"/>
      <c r="I3387" s="196"/>
      <c r="J3387" s="179" t="str">
        <f>IF(A3387="RAPPI",(VLOOKUP(TRIM(D3387), CATALOGO!F:G, 2, FALSE) * C3387)+I3387,IFERROR(IF(COUNTIF('RESTAURANTESDESCUENTOS 2026'!A:A,TRIM(A3387))&gt;0,((VLOOKUP(TRIM(D3387), CATALOGO!A:B, 2, FALSE) * C3387)*(1-VALUE(SUBSTITUTE(VLOOKUP(TRIM(A3387),'RESTAURANTESDESCUENTOS 2026'!A:B,2,FALSE),"%",""))/100)+I3387),(VLOOKUP(TRIM(D3387), CATALOGO!A:B, 2, FALSE) * C3387+I3387)),""))</f>
        <v/>
      </c>
      <c r="K3387" s="196"/>
      <c r="L3387" s="87"/>
      <c r="M3387" s="245"/>
      <c r="N3387" s="168"/>
    </row>
    <row r="3388" ht="22.5" hidden="1" customHeight="1">
      <c r="A3388" s="137"/>
      <c r="B3388" s="90"/>
      <c r="C3388" s="55"/>
      <c r="D3388" s="193"/>
      <c r="E3388" s="201"/>
      <c r="F3388" s="202"/>
      <c r="G3388" s="194"/>
      <c r="H3388" s="198"/>
      <c r="I3388" s="196"/>
      <c r="J3388" s="179" t="str">
        <f>IF(A3388="RAPPI",(VLOOKUP(TRIM(D3388), CATALOGO!F:G, 2, FALSE) * C3388)+I3388,IFERROR(IF(COUNTIF('RESTAURANTESDESCUENTOS 2026'!A:A,TRIM(A3388))&gt;0,((VLOOKUP(TRIM(D3388), CATALOGO!A:B, 2, FALSE) * C3388)*(1-VALUE(SUBSTITUTE(VLOOKUP(TRIM(A3388),'RESTAURANTESDESCUENTOS 2026'!A:B,2,FALSE),"%",""))/100)+I3388),(VLOOKUP(TRIM(D3388), CATALOGO!A:B, 2, FALSE) * C3388+I3388)),""))</f>
        <v/>
      </c>
      <c r="K3388" s="196"/>
      <c r="L3388" s="87"/>
      <c r="M3388" s="245"/>
      <c r="N3388" s="168"/>
    </row>
    <row r="3389" ht="22.5" hidden="1" customHeight="1">
      <c r="A3389" s="137"/>
      <c r="B3389" s="90"/>
      <c r="C3389" s="55"/>
      <c r="D3389" s="193"/>
      <c r="E3389" s="201"/>
      <c r="F3389" s="202"/>
      <c r="G3389" s="194"/>
      <c r="H3389" s="198"/>
      <c r="I3389" s="196"/>
      <c r="J3389" s="179" t="str">
        <f>IF(A3389="RAPPI",(VLOOKUP(TRIM(D3389), CATALOGO!F:G, 2, FALSE) * C3389)+I3389,IFERROR(IF(COUNTIF('RESTAURANTESDESCUENTOS 2026'!A:A,TRIM(A3389))&gt;0,((VLOOKUP(TRIM(D3389), CATALOGO!A:B, 2, FALSE) * C3389)*(1-VALUE(SUBSTITUTE(VLOOKUP(TRIM(A3389),'RESTAURANTESDESCUENTOS 2026'!A:B,2,FALSE),"%",""))/100)+I3389),(VLOOKUP(TRIM(D3389), CATALOGO!A:B, 2, FALSE) * C3389+I3389)),""))</f>
        <v/>
      </c>
      <c r="K3389" s="196"/>
      <c r="L3389" s="87"/>
      <c r="M3389" s="245"/>
      <c r="N3389" s="168"/>
    </row>
    <row r="3390" ht="22.5" hidden="1" customHeight="1">
      <c r="A3390" s="137"/>
      <c r="B3390" s="90"/>
      <c r="C3390" s="55"/>
      <c r="D3390" s="193"/>
      <c r="E3390" s="201"/>
      <c r="F3390" s="202"/>
      <c r="G3390" s="194"/>
      <c r="H3390" s="198"/>
      <c r="I3390" s="196"/>
      <c r="J3390" s="179" t="str">
        <f>IF(A3390="RAPPI",(VLOOKUP(TRIM(D3390), CATALOGO!F:G, 2, FALSE) * C3390)+I3390,IFERROR(IF(COUNTIF('RESTAURANTESDESCUENTOS 2026'!A:A,TRIM(A3390))&gt;0,((VLOOKUP(TRIM(D3390), CATALOGO!A:B, 2, FALSE) * C3390)*(1-VALUE(SUBSTITUTE(VLOOKUP(TRIM(A3390),'RESTAURANTESDESCUENTOS 2026'!A:B,2,FALSE),"%",""))/100)+I3390),(VLOOKUP(TRIM(D3390), CATALOGO!A:B, 2, FALSE) * C3390+I3390)),""))</f>
        <v/>
      </c>
      <c r="K3390" s="196"/>
      <c r="L3390" s="87"/>
      <c r="M3390" s="245"/>
      <c r="N3390" s="168"/>
    </row>
    <row r="3391" ht="22.5" hidden="1" customHeight="1">
      <c r="A3391" s="137"/>
      <c r="B3391" s="90"/>
      <c r="C3391" s="55"/>
      <c r="D3391" s="193"/>
      <c r="E3391" s="201"/>
      <c r="F3391" s="202"/>
      <c r="G3391" s="194"/>
      <c r="H3391" s="198"/>
      <c r="I3391" s="196"/>
      <c r="J3391" s="179" t="str">
        <f>IF(A3391="RAPPI",(VLOOKUP(TRIM(D3391), CATALOGO!F:G, 2, FALSE) * C3391)+I3391,IFERROR(IF(COUNTIF('RESTAURANTESDESCUENTOS 2026'!A:A,TRIM(A3391))&gt;0,((VLOOKUP(TRIM(D3391), CATALOGO!A:B, 2, FALSE) * C3391)*(1-VALUE(SUBSTITUTE(VLOOKUP(TRIM(A3391),'RESTAURANTESDESCUENTOS 2026'!A:B,2,FALSE),"%",""))/100)+I3391),(VLOOKUP(TRIM(D3391), CATALOGO!A:B, 2, FALSE) * C3391+I3391)),""))</f>
        <v/>
      </c>
      <c r="K3391" s="196"/>
      <c r="L3391" s="87"/>
      <c r="M3391" s="245"/>
      <c r="N3391" s="168"/>
    </row>
    <row r="3392" ht="22.5" hidden="1" customHeight="1">
      <c r="A3392" s="137"/>
      <c r="B3392" s="90"/>
      <c r="C3392" s="55"/>
      <c r="D3392" s="193"/>
      <c r="E3392" s="201"/>
      <c r="F3392" s="202"/>
      <c r="G3392" s="194"/>
      <c r="H3392" s="198"/>
      <c r="I3392" s="196"/>
      <c r="J3392" s="179" t="str">
        <f>IF(A3392="RAPPI",(VLOOKUP(TRIM(D3392), CATALOGO!F:G, 2, FALSE) * C3392)+I3392,IFERROR(IF(COUNTIF('RESTAURANTESDESCUENTOS 2026'!A:A,TRIM(A3392))&gt;0,((VLOOKUP(TRIM(D3392), CATALOGO!A:B, 2, FALSE) * C3392)*(1-VALUE(SUBSTITUTE(VLOOKUP(TRIM(A3392),'RESTAURANTESDESCUENTOS 2026'!A:B,2,FALSE),"%",""))/100)+I3392),(VLOOKUP(TRIM(D3392), CATALOGO!A:B, 2, FALSE) * C3392+I3392)),""))</f>
        <v/>
      </c>
      <c r="K3392" s="196"/>
      <c r="L3392" s="87"/>
      <c r="M3392" s="245"/>
      <c r="N3392" s="168"/>
    </row>
    <row r="3393" ht="22.5" hidden="1" customHeight="1">
      <c r="A3393" s="137"/>
      <c r="B3393" s="90"/>
      <c r="C3393" s="55"/>
      <c r="D3393" s="193"/>
      <c r="E3393" s="201"/>
      <c r="F3393" s="202"/>
      <c r="G3393" s="194"/>
      <c r="H3393" s="198"/>
      <c r="I3393" s="196"/>
      <c r="J3393" s="179" t="str">
        <f>IF(A3393="RAPPI",(VLOOKUP(TRIM(D3393), CATALOGO!F:G, 2, FALSE) * C3393)+I3393,IFERROR(IF(COUNTIF('RESTAURANTESDESCUENTOS 2026'!A:A,TRIM(A3393))&gt;0,((VLOOKUP(TRIM(D3393), CATALOGO!A:B, 2, FALSE) * C3393)*(1-VALUE(SUBSTITUTE(VLOOKUP(TRIM(A3393),'RESTAURANTESDESCUENTOS 2026'!A:B,2,FALSE),"%",""))/100)+I3393),(VLOOKUP(TRIM(D3393), CATALOGO!A:B, 2, FALSE) * C3393+I3393)),""))</f>
        <v/>
      </c>
      <c r="K3393" s="196"/>
      <c r="L3393" s="87"/>
      <c r="M3393" s="245"/>
      <c r="N3393" s="168"/>
    </row>
    <row r="3394" ht="22.5" hidden="1" customHeight="1">
      <c r="A3394" s="137"/>
      <c r="B3394" s="90"/>
      <c r="C3394" s="55"/>
      <c r="D3394" s="193"/>
      <c r="E3394" s="201"/>
      <c r="F3394" s="202"/>
      <c r="G3394" s="194"/>
      <c r="H3394" s="198"/>
      <c r="I3394" s="196"/>
      <c r="J3394" s="179" t="str">
        <f>IF(A3394="RAPPI",(VLOOKUP(TRIM(D3394), CATALOGO!F:G, 2, FALSE) * C3394)+I3394,IFERROR(IF(COUNTIF('RESTAURANTESDESCUENTOS 2026'!A:A,TRIM(A3394))&gt;0,((VLOOKUP(TRIM(D3394), CATALOGO!A:B, 2, FALSE) * C3394)*(1-VALUE(SUBSTITUTE(VLOOKUP(TRIM(A3394),'RESTAURANTESDESCUENTOS 2026'!A:B,2,FALSE),"%",""))/100)+I3394),(VLOOKUP(TRIM(D3394), CATALOGO!A:B, 2, FALSE) * C3394+I3394)),""))</f>
        <v/>
      </c>
      <c r="K3394" s="196"/>
      <c r="L3394" s="87"/>
      <c r="M3394" s="245"/>
      <c r="N3394" s="168"/>
    </row>
    <row r="3395" ht="22.5" hidden="1" customHeight="1">
      <c r="A3395" s="137"/>
      <c r="B3395" s="90"/>
      <c r="C3395" s="55"/>
      <c r="D3395" s="193"/>
      <c r="E3395" s="201"/>
      <c r="F3395" s="202"/>
      <c r="G3395" s="194"/>
      <c r="H3395" s="198"/>
      <c r="I3395" s="196"/>
      <c r="J3395" s="179" t="str">
        <f>IF(A3395="RAPPI",(VLOOKUP(TRIM(D3395), CATALOGO!F:G, 2, FALSE) * C3395)+I3395,IFERROR(IF(COUNTIF('RESTAURANTESDESCUENTOS 2026'!A:A,TRIM(A3395))&gt;0,((VLOOKUP(TRIM(D3395), CATALOGO!A:B, 2, FALSE) * C3395)*(1-VALUE(SUBSTITUTE(VLOOKUP(TRIM(A3395),'RESTAURANTESDESCUENTOS 2026'!A:B,2,FALSE),"%",""))/100)+I3395),(VLOOKUP(TRIM(D3395), CATALOGO!A:B, 2, FALSE) * C3395+I3395)),""))</f>
        <v/>
      </c>
      <c r="K3395" s="196"/>
      <c r="L3395" s="87"/>
      <c r="M3395" s="245"/>
      <c r="N3395" s="168"/>
    </row>
    <row r="3396" ht="22.5" hidden="1" customHeight="1">
      <c r="A3396" s="137"/>
      <c r="B3396" s="90"/>
      <c r="C3396" s="55"/>
      <c r="D3396" s="193"/>
      <c r="E3396" s="201"/>
      <c r="F3396" s="202"/>
      <c r="G3396" s="194"/>
      <c r="H3396" s="198"/>
      <c r="I3396" s="196"/>
      <c r="J3396" s="179" t="str">
        <f>IF(A3396="RAPPI",(VLOOKUP(TRIM(D3396), CATALOGO!F:G, 2, FALSE) * C3396)+I3396,IFERROR(IF(COUNTIF('RESTAURANTESDESCUENTOS 2026'!A:A,TRIM(A3396))&gt;0,((VLOOKUP(TRIM(D3396), CATALOGO!A:B, 2, FALSE) * C3396)*(1-VALUE(SUBSTITUTE(VLOOKUP(TRIM(A3396),'RESTAURANTESDESCUENTOS 2026'!A:B,2,FALSE),"%",""))/100)+I3396),(VLOOKUP(TRIM(D3396), CATALOGO!A:B, 2, FALSE) * C3396+I3396)),""))</f>
        <v/>
      </c>
      <c r="K3396" s="196"/>
      <c r="L3396" s="87"/>
      <c r="M3396" s="245"/>
      <c r="N3396" s="168"/>
    </row>
    <row r="3397" ht="22.5" hidden="1" customHeight="1">
      <c r="A3397" s="137"/>
      <c r="B3397" s="90"/>
      <c r="C3397" s="55"/>
      <c r="D3397" s="193"/>
      <c r="E3397" s="201"/>
      <c r="F3397" s="202"/>
      <c r="G3397" s="194"/>
      <c r="H3397" s="198"/>
      <c r="I3397" s="196"/>
      <c r="J3397" s="179" t="str">
        <f>IF(A3397="RAPPI",(VLOOKUP(TRIM(D3397), CATALOGO!F:G, 2, FALSE) * C3397)+I3397,IFERROR(IF(COUNTIF('RESTAURANTESDESCUENTOS 2026'!A:A,TRIM(A3397))&gt;0,((VLOOKUP(TRIM(D3397), CATALOGO!A:B, 2, FALSE) * C3397)*(1-VALUE(SUBSTITUTE(VLOOKUP(TRIM(A3397),'RESTAURANTESDESCUENTOS 2026'!A:B,2,FALSE),"%",""))/100)+I3397),(VLOOKUP(TRIM(D3397), CATALOGO!A:B, 2, FALSE) * C3397+I3397)),""))</f>
        <v/>
      </c>
      <c r="K3397" s="196"/>
      <c r="L3397" s="87"/>
      <c r="M3397" s="245"/>
      <c r="N3397" s="168"/>
    </row>
    <row r="3398" ht="22.5" hidden="1" customHeight="1">
      <c r="A3398" s="137"/>
      <c r="B3398" s="90"/>
      <c r="C3398" s="55"/>
      <c r="D3398" s="193"/>
      <c r="E3398" s="201"/>
      <c r="F3398" s="202"/>
      <c r="G3398" s="194"/>
      <c r="H3398" s="198"/>
      <c r="I3398" s="196"/>
      <c r="J3398" s="179" t="str">
        <f>IF(A3398="RAPPI",(VLOOKUP(TRIM(D3398), CATALOGO!F:G, 2, FALSE) * C3398)+I3398,IFERROR(IF(COUNTIF('RESTAURANTESDESCUENTOS 2026'!A:A,TRIM(A3398))&gt;0,((VLOOKUP(TRIM(D3398), CATALOGO!A:B, 2, FALSE) * C3398)*(1-VALUE(SUBSTITUTE(VLOOKUP(TRIM(A3398),'RESTAURANTESDESCUENTOS 2026'!A:B,2,FALSE),"%",""))/100)+I3398),(VLOOKUP(TRIM(D3398), CATALOGO!A:B, 2, FALSE) * C3398+I3398)),""))</f>
        <v/>
      </c>
      <c r="K3398" s="196"/>
      <c r="L3398" s="87"/>
      <c r="M3398" s="245"/>
      <c r="N3398" s="168"/>
    </row>
    <row r="3399" ht="22.5" hidden="1" customHeight="1">
      <c r="A3399" s="137"/>
      <c r="B3399" s="90"/>
      <c r="C3399" s="55"/>
      <c r="D3399" s="193"/>
      <c r="E3399" s="201"/>
      <c r="F3399" s="202"/>
      <c r="G3399" s="194"/>
      <c r="H3399" s="198"/>
      <c r="I3399" s="196"/>
      <c r="J3399" s="179" t="str">
        <f>IF(A3399="RAPPI",(VLOOKUP(TRIM(D3399), CATALOGO!F:G, 2, FALSE) * C3399)+I3399,IFERROR(IF(COUNTIF('RESTAURANTESDESCUENTOS 2026'!A:A,TRIM(A3399))&gt;0,((VLOOKUP(TRIM(D3399), CATALOGO!A:B, 2, FALSE) * C3399)*(1-VALUE(SUBSTITUTE(VLOOKUP(TRIM(A3399),'RESTAURANTESDESCUENTOS 2026'!A:B,2,FALSE),"%",""))/100)+I3399),(VLOOKUP(TRIM(D3399), CATALOGO!A:B, 2, FALSE) * C3399+I3399)),""))</f>
        <v/>
      </c>
      <c r="K3399" s="196"/>
      <c r="L3399" s="87"/>
      <c r="M3399" s="245"/>
      <c r="N3399" s="168"/>
    </row>
    <row r="3400" ht="22.5" hidden="1" customHeight="1">
      <c r="A3400" s="137"/>
      <c r="B3400" s="90"/>
      <c r="C3400" s="55"/>
      <c r="D3400" s="193"/>
      <c r="E3400" s="201"/>
      <c r="F3400" s="202"/>
      <c r="G3400" s="194"/>
      <c r="H3400" s="198"/>
      <c r="I3400" s="196"/>
      <c r="J3400" s="179" t="str">
        <f>IF(A3400="RAPPI",(VLOOKUP(TRIM(D3400), CATALOGO!F:G, 2, FALSE) * C3400)+I3400,IFERROR(IF(COUNTIF('RESTAURANTESDESCUENTOS 2026'!A:A,TRIM(A3400))&gt;0,((VLOOKUP(TRIM(D3400), CATALOGO!A:B, 2, FALSE) * C3400)*(1-VALUE(SUBSTITUTE(VLOOKUP(TRIM(A3400),'RESTAURANTESDESCUENTOS 2026'!A:B,2,FALSE),"%",""))/100)+I3400),(VLOOKUP(TRIM(D3400), CATALOGO!A:B, 2, FALSE) * C3400+I3400)),""))</f>
        <v/>
      </c>
      <c r="K3400" s="196"/>
      <c r="L3400" s="87"/>
      <c r="M3400" s="245"/>
      <c r="N3400" s="168"/>
    </row>
    <row r="3401" ht="22.5" hidden="1" customHeight="1">
      <c r="A3401" s="137"/>
      <c r="B3401" s="90"/>
      <c r="C3401" s="55"/>
      <c r="D3401" s="193"/>
      <c r="E3401" s="201"/>
      <c r="F3401" s="202"/>
      <c r="G3401" s="194"/>
      <c r="H3401" s="198"/>
      <c r="I3401" s="196"/>
      <c r="J3401" s="179" t="str">
        <f>IF(A3401="RAPPI",(VLOOKUP(TRIM(D3401), CATALOGO!F:G, 2, FALSE) * C3401)+I3401,IFERROR(IF(COUNTIF('RESTAURANTESDESCUENTOS 2026'!A:A,TRIM(A3401))&gt;0,((VLOOKUP(TRIM(D3401), CATALOGO!A:B, 2, FALSE) * C3401)*(1-VALUE(SUBSTITUTE(VLOOKUP(TRIM(A3401),'RESTAURANTESDESCUENTOS 2026'!A:B,2,FALSE),"%",""))/100)+I3401),(VLOOKUP(TRIM(D3401), CATALOGO!A:B, 2, FALSE) * C3401+I3401)),""))</f>
        <v/>
      </c>
      <c r="K3401" s="196"/>
      <c r="L3401" s="87"/>
      <c r="M3401" s="245"/>
      <c r="N3401" s="168"/>
    </row>
    <row r="3402" ht="22.5" hidden="1" customHeight="1">
      <c r="A3402" s="137"/>
      <c r="B3402" s="90"/>
      <c r="C3402" s="55"/>
      <c r="D3402" s="193"/>
      <c r="E3402" s="201"/>
      <c r="F3402" s="202"/>
      <c r="G3402" s="194"/>
      <c r="H3402" s="198"/>
      <c r="I3402" s="196"/>
      <c r="J3402" s="179" t="str">
        <f>IF(A3402="RAPPI",(VLOOKUP(TRIM(D3402), CATALOGO!F:G, 2, FALSE) * C3402)+I3402,IFERROR(IF(COUNTIF('RESTAURANTESDESCUENTOS 2026'!A:A,TRIM(A3402))&gt;0,((VLOOKUP(TRIM(D3402), CATALOGO!A:B, 2, FALSE) * C3402)*(1-VALUE(SUBSTITUTE(VLOOKUP(TRIM(A3402),'RESTAURANTESDESCUENTOS 2026'!A:B,2,FALSE),"%",""))/100)+I3402),(VLOOKUP(TRIM(D3402), CATALOGO!A:B, 2, FALSE) * C3402+I3402)),""))</f>
        <v/>
      </c>
      <c r="K3402" s="196"/>
      <c r="L3402" s="87"/>
      <c r="M3402" s="245"/>
      <c r="N3402" s="168"/>
    </row>
    <row r="3403" ht="22.5" hidden="1" customHeight="1">
      <c r="A3403" s="137"/>
      <c r="B3403" s="90"/>
      <c r="C3403" s="55"/>
      <c r="D3403" s="193"/>
      <c r="E3403" s="201"/>
      <c r="F3403" s="202"/>
      <c r="G3403" s="194"/>
      <c r="H3403" s="198"/>
      <c r="I3403" s="196"/>
      <c r="J3403" s="179" t="str">
        <f>IF(A3403="RAPPI",(VLOOKUP(TRIM(D3403), CATALOGO!F:G, 2, FALSE) * C3403)+I3403,IFERROR(IF(COUNTIF('RESTAURANTESDESCUENTOS 2026'!A:A,TRIM(A3403))&gt;0,((VLOOKUP(TRIM(D3403), CATALOGO!A:B, 2, FALSE) * C3403)*(1-VALUE(SUBSTITUTE(VLOOKUP(TRIM(A3403),'RESTAURANTESDESCUENTOS 2026'!A:B,2,FALSE),"%",""))/100)+I3403),(VLOOKUP(TRIM(D3403), CATALOGO!A:B, 2, FALSE) * C3403+I3403)),""))</f>
        <v/>
      </c>
      <c r="K3403" s="196"/>
      <c r="L3403" s="87"/>
      <c r="M3403" s="245"/>
      <c r="N3403" s="168"/>
    </row>
    <row r="3404" ht="22.5" hidden="1" customHeight="1">
      <c r="A3404" s="137"/>
      <c r="B3404" s="90"/>
      <c r="C3404" s="55"/>
      <c r="D3404" s="193"/>
      <c r="E3404" s="201"/>
      <c r="F3404" s="202"/>
      <c r="G3404" s="194"/>
      <c r="H3404" s="198"/>
      <c r="I3404" s="196"/>
      <c r="J3404" s="179" t="str">
        <f>IF(A3404="RAPPI",(VLOOKUP(TRIM(D3404), CATALOGO!F:G, 2, FALSE) * C3404)+I3404,IFERROR(IF(COUNTIF('RESTAURANTESDESCUENTOS 2026'!A:A,TRIM(A3404))&gt;0,((VLOOKUP(TRIM(D3404), CATALOGO!A:B, 2, FALSE) * C3404)*(1-VALUE(SUBSTITUTE(VLOOKUP(TRIM(A3404),'RESTAURANTESDESCUENTOS 2026'!A:B,2,FALSE),"%",""))/100)+I3404),(VLOOKUP(TRIM(D3404), CATALOGO!A:B, 2, FALSE) * C3404+I3404)),""))</f>
        <v/>
      </c>
      <c r="K3404" s="196"/>
      <c r="L3404" s="87"/>
      <c r="M3404" s="245"/>
      <c r="N3404" s="168"/>
    </row>
    <row r="3405" ht="22.5" hidden="1" customHeight="1">
      <c r="A3405" s="137"/>
      <c r="B3405" s="90"/>
      <c r="C3405" s="55"/>
      <c r="D3405" s="193"/>
      <c r="E3405" s="201"/>
      <c r="F3405" s="202"/>
      <c r="G3405" s="194"/>
      <c r="H3405" s="198"/>
      <c r="I3405" s="196"/>
      <c r="J3405" s="179" t="str">
        <f>IF(A3405="RAPPI",(VLOOKUP(TRIM(D3405), CATALOGO!F:G, 2, FALSE) * C3405)+I3405,IFERROR(IF(COUNTIF('RESTAURANTESDESCUENTOS 2026'!A:A,TRIM(A3405))&gt;0,((VLOOKUP(TRIM(D3405), CATALOGO!A:B, 2, FALSE) * C3405)*(1-VALUE(SUBSTITUTE(VLOOKUP(TRIM(A3405),'RESTAURANTESDESCUENTOS 2026'!A:B,2,FALSE),"%",""))/100)+I3405),(VLOOKUP(TRIM(D3405), CATALOGO!A:B, 2, FALSE) * C3405+I3405)),""))</f>
        <v/>
      </c>
      <c r="K3405" s="196"/>
      <c r="L3405" s="87"/>
      <c r="M3405" s="245"/>
      <c r="N3405" s="168"/>
    </row>
    <row r="3406" ht="22.5" hidden="1" customHeight="1">
      <c r="A3406" s="137"/>
      <c r="B3406" s="90"/>
      <c r="C3406" s="55"/>
      <c r="D3406" s="193"/>
      <c r="E3406" s="201"/>
      <c r="F3406" s="202"/>
      <c r="G3406" s="194"/>
      <c r="H3406" s="198"/>
      <c r="I3406" s="196"/>
      <c r="J3406" s="179" t="str">
        <f>IF(A3406="RAPPI",(VLOOKUP(TRIM(D3406), CATALOGO!F:G, 2, FALSE) * C3406)+I3406,IFERROR(IF(COUNTIF('RESTAURANTESDESCUENTOS 2026'!A:A,TRIM(A3406))&gt;0,((VLOOKUP(TRIM(D3406), CATALOGO!A:B, 2, FALSE) * C3406)*(1-VALUE(SUBSTITUTE(VLOOKUP(TRIM(A3406),'RESTAURANTESDESCUENTOS 2026'!A:B,2,FALSE),"%",""))/100)+I3406),(VLOOKUP(TRIM(D3406), CATALOGO!A:B, 2, FALSE) * C3406+I3406)),""))</f>
        <v/>
      </c>
      <c r="K3406" s="196"/>
      <c r="L3406" s="87"/>
      <c r="M3406" s="245"/>
      <c r="N3406" s="168"/>
    </row>
    <row r="3407" ht="22.5" hidden="1" customHeight="1">
      <c r="A3407" s="137"/>
      <c r="B3407" s="90"/>
      <c r="C3407" s="55"/>
      <c r="D3407" s="193"/>
      <c r="E3407" s="201"/>
      <c r="F3407" s="202"/>
      <c r="G3407" s="194"/>
      <c r="H3407" s="198"/>
      <c r="I3407" s="196"/>
      <c r="J3407" s="179" t="str">
        <f>IF(A3407="RAPPI",(VLOOKUP(TRIM(D3407), CATALOGO!F:G, 2, FALSE) * C3407)+I3407,IFERROR(IF(COUNTIF('RESTAURANTESDESCUENTOS 2026'!A:A,TRIM(A3407))&gt;0,((VLOOKUP(TRIM(D3407), CATALOGO!A:B, 2, FALSE) * C3407)*(1-VALUE(SUBSTITUTE(VLOOKUP(TRIM(A3407),'RESTAURANTESDESCUENTOS 2026'!A:B,2,FALSE),"%",""))/100)+I3407),(VLOOKUP(TRIM(D3407), CATALOGO!A:B, 2, FALSE) * C3407+I3407)),""))</f>
        <v/>
      </c>
      <c r="K3407" s="196"/>
      <c r="L3407" s="87"/>
      <c r="M3407" s="245"/>
      <c r="N3407" s="168"/>
    </row>
    <row r="3408" ht="22.5" hidden="1" customHeight="1">
      <c r="A3408" s="137"/>
      <c r="B3408" s="90"/>
      <c r="C3408" s="55"/>
      <c r="D3408" s="193"/>
      <c r="E3408" s="201"/>
      <c r="F3408" s="202"/>
      <c r="G3408" s="194"/>
      <c r="H3408" s="198"/>
      <c r="I3408" s="196"/>
      <c r="J3408" s="179" t="str">
        <f>IF(A3408="RAPPI",(VLOOKUP(TRIM(D3408), CATALOGO!F:G, 2, FALSE) * C3408)+I3408,IFERROR(IF(COUNTIF('RESTAURANTESDESCUENTOS 2026'!A:A,TRIM(A3408))&gt;0,((VLOOKUP(TRIM(D3408), CATALOGO!A:B, 2, FALSE) * C3408)*(1-VALUE(SUBSTITUTE(VLOOKUP(TRIM(A3408),'RESTAURANTESDESCUENTOS 2026'!A:B,2,FALSE),"%",""))/100)+I3408),(VLOOKUP(TRIM(D3408), CATALOGO!A:B, 2, FALSE) * C3408+I3408)),""))</f>
        <v/>
      </c>
      <c r="K3408" s="196"/>
      <c r="L3408" s="87"/>
      <c r="M3408" s="245"/>
      <c r="N3408" s="168"/>
    </row>
    <row r="3409" ht="22.5" hidden="1" customHeight="1">
      <c r="A3409" s="137"/>
      <c r="B3409" s="90"/>
      <c r="C3409" s="55"/>
      <c r="D3409" s="193"/>
      <c r="E3409" s="201"/>
      <c r="F3409" s="202"/>
      <c r="G3409" s="194"/>
      <c r="H3409" s="198"/>
      <c r="I3409" s="196"/>
      <c r="J3409" s="179" t="str">
        <f>IF(A3409="RAPPI",(VLOOKUP(TRIM(D3409), CATALOGO!F:G, 2, FALSE) * C3409)+I3409,IFERROR(IF(COUNTIF('RESTAURANTESDESCUENTOS 2026'!A:A,TRIM(A3409))&gt;0,((VLOOKUP(TRIM(D3409), CATALOGO!A:B, 2, FALSE) * C3409)*(1-VALUE(SUBSTITUTE(VLOOKUP(TRIM(A3409),'RESTAURANTESDESCUENTOS 2026'!A:B,2,FALSE),"%",""))/100)+I3409),(VLOOKUP(TRIM(D3409), CATALOGO!A:B, 2, FALSE) * C3409+I3409)),""))</f>
        <v/>
      </c>
      <c r="K3409" s="196"/>
      <c r="L3409" s="87"/>
      <c r="M3409" s="245"/>
      <c r="N3409" s="168"/>
    </row>
    <row r="3410" ht="22.5" hidden="1" customHeight="1">
      <c r="A3410" s="137"/>
      <c r="B3410" s="90"/>
      <c r="C3410" s="55"/>
      <c r="D3410" s="193"/>
      <c r="E3410" s="201"/>
      <c r="F3410" s="202"/>
      <c r="G3410" s="194"/>
      <c r="H3410" s="198"/>
      <c r="I3410" s="196"/>
      <c r="J3410" s="179" t="str">
        <f>IF(A3410="RAPPI",(VLOOKUP(TRIM(D3410), CATALOGO!F:G, 2, FALSE) * C3410)+I3410,IFERROR(IF(COUNTIF('RESTAURANTESDESCUENTOS 2026'!A:A,TRIM(A3410))&gt;0,((VLOOKUP(TRIM(D3410), CATALOGO!A:B, 2, FALSE) * C3410)*(1-VALUE(SUBSTITUTE(VLOOKUP(TRIM(A3410),'RESTAURANTESDESCUENTOS 2026'!A:B,2,FALSE),"%",""))/100)+I3410),(VLOOKUP(TRIM(D3410), CATALOGO!A:B, 2, FALSE) * C3410+I3410)),""))</f>
        <v/>
      </c>
      <c r="K3410" s="196"/>
      <c r="L3410" s="87"/>
      <c r="M3410" s="245"/>
      <c r="N3410" s="168"/>
    </row>
    <row r="3411" ht="22.5" hidden="1" customHeight="1">
      <c r="A3411" s="137"/>
      <c r="B3411" s="90"/>
      <c r="C3411" s="55"/>
      <c r="D3411" s="193"/>
      <c r="E3411" s="201"/>
      <c r="F3411" s="202"/>
      <c r="G3411" s="194"/>
      <c r="H3411" s="198"/>
      <c r="I3411" s="196"/>
      <c r="J3411" s="179" t="str">
        <f>IF(A3411="RAPPI",(VLOOKUP(TRIM(D3411), CATALOGO!F:G, 2, FALSE) * C3411)+I3411,IFERROR(IF(COUNTIF('RESTAURANTESDESCUENTOS 2026'!A:A,TRIM(A3411))&gt;0,((VLOOKUP(TRIM(D3411), CATALOGO!A:B, 2, FALSE) * C3411)*(1-VALUE(SUBSTITUTE(VLOOKUP(TRIM(A3411),'RESTAURANTESDESCUENTOS 2026'!A:B,2,FALSE),"%",""))/100)+I3411),(VLOOKUP(TRIM(D3411), CATALOGO!A:B, 2, FALSE) * C3411+I3411)),""))</f>
        <v/>
      </c>
      <c r="K3411" s="196"/>
      <c r="L3411" s="87"/>
      <c r="M3411" s="245"/>
      <c r="N3411" s="168"/>
    </row>
    <row r="3412" ht="22.5" hidden="1" customHeight="1">
      <c r="A3412" s="137"/>
      <c r="B3412" s="90"/>
      <c r="C3412" s="55"/>
      <c r="D3412" s="193"/>
      <c r="E3412" s="201"/>
      <c r="F3412" s="202"/>
      <c r="G3412" s="194"/>
      <c r="H3412" s="198"/>
      <c r="I3412" s="196"/>
      <c r="J3412" s="179" t="str">
        <f>IF(A3412="RAPPI",(VLOOKUP(TRIM(D3412), CATALOGO!F:G, 2, FALSE) * C3412)+I3412,IFERROR(IF(COUNTIF('RESTAURANTESDESCUENTOS 2026'!A:A,TRIM(A3412))&gt;0,((VLOOKUP(TRIM(D3412), CATALOGO!A:B, 2, FALSE) * C3412)*(1-VALUE(SUBSTITUTE(VLOOKUP(TRIM(A3412),'RESTAURANTESDESCUENTOS 2026'!A:B,2,FALSE),"%",""))/100)+I3412),(VLOOKUP(TRIM(D3412), CATALOGO!A:B, 2, FALSE) * C3412+I3412)),""))</f>
        <v/>
      </c>
      <c r="K3412" s="196"/>
      <c r="L3412" s="87"/>
      <c r="M3412" s="245"/>
      <c r="N3412" s="168"/>
    </row>
    <row r="3413" ht="22.5" hidden="1" customHeight="1">
      <c r="A3413" s="137"/>
      <c r="B3413" s="90"/>
      <c r="C3413" s="55"/>
      <c r="D3413" s="193"/>
      <c r="E3413" s="201"/>
      <c r="F3413" s="202"/>
      <c r="G3413" s="194"/>
      <c r="H3413" s="198"/>
      <c r="I3413" s="196"/>
      <c r="J3413" s="179" t="str">
        <f>IF(A3413="RAPPI",(VLOOKUP(TRIM(D3413), CATALOGO!F:G, 2, FALSE) * C3413)+I3413,IFERROR(IF(COUNTIF('RESTAURANTESDESCUENTOS 2026'!A:A,TRIM(A3413))&gt;0,((VLOOKUP(TRIM(D3413), CATALOGO!A:B, 2, FALSE) * C3413)*(1-VALUE(SUBSTITUTE(VLOOKUP(TRIM(A3413),'RESTAURANTESDESCUENTOS 2026'!A:B,2,FALSE),"%",""))/100)+I3413),(VLOOKUP(TRIM(D3413), CATALOGO!A:B, 2, FALSE) * C3413+I3413)),""))</f>
        <v/>
      </c>
      <c r="K3413" s="196"/>
      <c r="L3413" s="87"/>
      <c r="M3413" s="245"/>
      <c r="N3413" s="168"/>
    </row>
    <row r="3414" ht="22.5" hidden="1" customHeight="1">
      <c r="A3414" s="137"/>
      <c r="B3414" s="90"/>
      <c r="C3414" s="55"/>
      <c r="D3414" s="193"/>
      <c r="E3414" s="201"/>
      <c r="F3414" s="202"/>
      <c r="G3414" s="194"/>
      <c r="H3414" s="198"/>
      <c r="I3414" s="196"/>
      <c r="J3414" s="179" t="str">
        <f>IF(A3414="RAPPI",(VLOOKUP(TRIM(D3414), CATALOGO!F:G, 2, FALSE) * C3414)+I3414,IFERROR(IF(COUNTIF('RESTAURANTESDESCUENTOS 2026'!A:A,TRIM(A3414))&gt;0,((VLOOKUP(TRIM(D3414), CATALOGO!A:B, 2, FALSE) * C3414)*(1-VALUE(SUBSTITUTE(VLOOKUP(TRIM(A3414),'RESTAURANTESDESCUENTOS 2026'!A:B,2,FALSE),"%",""))/100)+I3414),(VLOOKUP(TRIM(D3414), CATALOGO!A:B, 2, FALSE) * C3414+I3414)),""))</f>
        <v/>
      </c>
      <c r="K3414" s="196"/>
      <c r="L3414" s="87"/>
      <c r="M3414" s="245"/>
      <c r="N3414" s="168"/>
    </row>
    <row r="3415" ht="22.5" hidden="1" customHeight="1">
      <c r="A3415" s="137"/>
      <c r="B3415" s="90"/>
      <c r="C3415" s="55"/>
      <c r="D3415" s="193"/>
      <c r="E3415" s="201"/>
      <c r="F3415" s="202"/>
      <c r="G3415" s="194"/>
      <c r="H3415" s="198"/>
      <c r="I3415" s="196"/>
      <c r="J3415" s="179" t="str">
        <f>IF(A3415="RAPPI",(VLOOKUP(TRIM(D3415), CATALOGO!F:G, 2, FALSE) * C3415)+I3415,IFERROR(IF(COUNTIF('RESTAURANTESDESCUENTOS 2026'!A:A,TRIM(A3415))&gt;0,((VLOOKUP(TRIM(D3415), CATALOGO!A:B, 2, FALSE) * C3415)*(1-VALUE(SUBSTITUTE(VLOOKUP(TRIM(A3415),'RESTAURANTESDESCUENTOS 2026'!A:B,2,FALSE),"%",""))/100)+I3415),(VLOOKUP(TRIM(D3415), CATALOGO!A:B, 2, FALSE) * C3415+I3415)),""))</f>
        <v/>
      </c>
      <c r="K3415" s="196"/>
      <c r="L3415" s="87"/>
      <c r="M3415" s="245"/>
      <c r="N3415" s="168"/>
    </row>
    <row r="3416" ht="22.5" hidden="1" customHeight="1">
      <c r="A3416" s="137"/>
      <c r="B3416" s="90"/>
      <c r="C3416" s="55"/>
      <c r="D3416" s="193"/>
      <c r="E3416" s="201"/>
      <c r="F3416" s="202"/>
      <c r="G3416" s="194"/>
      <c r="H3416" s="198"/>
      <c r="I3416" s="196"/>
      <c r="J3416" s="179" t="str">
        <f>IF(A3416="RAPPI",(VLOOKUP(TRIM(D3416), CATALOGO!F:G, 2, FALSE) * C3416)+I3416,IFERROR(IF(COUNTIF('RESTAURANTESDESCUENTOS 2026'!A:A,TRIM(A3416))&gt;0,((VLOOKUP(TRIM(D3416), CATALOGO!A:B, 2, FALSE) * C3416)*(1-VALUE(SUBSTITUTE(VLOOKUP(TRIM(A3416),'RESTAURANTESDESCUENTOS 2026'!A:B,2,FALSE),"%",""))/100)+I3416),(VLOOKUP(TRIM(D3416), CATALOGO!A:B, 2, FALSE) * C3416+I3416)),""))</f>
        <v/>
      </c>
      <c r="K3416" s="196"/>
      <c r="L3416" s="87"/>
      <c r="M3416" s="245"/>
      <c r="N3416" s="168"/>
    </row>
    <row r="3417" ht="22.5" hidden="1" customHeight="1">
      <c r="A3417" s="137"/>
      <c r="B3417" s="90"/>
      <c r="C3417" s="55"/>
      <c r="D3417" s="193"/>
      <c r="E3417" s="201"/>
      <c r="F3417" s="202"/>
      <c r="G3417" s="194"/>
      <c r="H3417" s="198"/>
      <c r="I3417" s="196"/>
      <c r="J3417" s="179" t="str">
        <f>IF(A3417="RAPPI",(VLOOKUP(TRIM(D3417), CATALOGO!F:G, 2, FALSE) * C3417)+I3417,IFERROR(IF(COUNTIF('RESTAURANTESDESCUENTOS 2026'!A:A,TRIM(A3417))&gt;0,((VLOOKUP(TRIM(D3417), CATALOGO!A:B, 2, FALSE) * C3417)*(1-VALUE(SUBSTITUTE(VLOOKUP(TRIM(A3417),'RESTAURANTESDESCUENTOS 2026'!A:B,2,FALSE),"%",""))/100)+I3417),(VLOOKUP(TRIM(D3417), CATALOGO!A:B, 2, FALSE) * C3417+I3417)),""))</f>
        <v/>
      </c>
      <c r="K3417" s="196"/>
      <c r="L3417" s="87"/>
      <c r="M3417" s="245"/>
      <c r="N3417" s="168"/>
    </row>
    <row r="3418" ht="22.5" hidden="1" customHeight="1">
      <c r="A3418" s="137"/>
      <c r="B3418" s="90"/>
      <c r="C3418" s="55"/>
      <c r="D3418" s="193"/>
      <c r="E3418" s="201"/>
      <c r="F3418" s="202"/>
      <c r="G3418" s="194"/>
      <c r="H3418" s="198"/>
      <c r="I3418" s="196"/>
      <c r="J3418" s="179" t="str">
        <f>IF(A3418="RAPPI",(VLOOKUP(TRIM(D3418), CATALOGO!F:G, 2, FALSE) * C3418)+I3418,IFERROR(IF(COUNTIF('RESTAURANTESDESCUENTOS 2026'!A:A,TRIM(A3418))&gt;0,((VLOOKUP(TRIM(D3418), CATALOGO!A:B, 2, FALSE) * C3418)*(1-VALUE(SUBSTITUTE(VLOOKUP(TRIM(A3418),'RESTAURANTESDESCUENTOS 2026'!A:B,2,FALSE),"%",""))/100)+I3418),(VLOOKUP(TRIM(D3418), CATALOGO!A:B, 2, FALSE) * C3418+I3418)),""))</f>
        <v/>
      </c>
      <c r="K3418" s="196"/>
      <c r="L3418" s="87"/>
      <c r="M3418" s="245"/>
      <c r="N3418" s="168"/>
    </row>
    <row r="3419" ht="22.5" hidden="1" customHeight="1">
      <c r="A3419" s="137"/>
      <c r="B3419" s="90"/>
      <c r="C3419" s="55"/>
      <c r="D3419" s="193"/>
      <c r="E3419" s="201"/>
      <c r="F3419" s="202"/>
      <c r="G3419" s="194"/>
      <c r="H3419" s="198"/>
      <c r="I3419" s="196"/>
      <c r="J3419" s="179" t="str">
        <f>IF(A3419="RAPPI",(VLOOKUP(TRIM(D3419), CATALOGO!F:G, 2, FALSE) * C3419)+I3419,IFERROR(IF(COUNTIF('RESTAURANTESDESCUENTOS 2026'!A:A,TRIM(A3419))&gt;0,((VLOOKUP(TRIM(D3419), CATALOGO!A:B, 2, FALSE) * C3419)*(1-VALUE(SUBSTITUTE(VLOOKUP(TRIM(A3419),'RESTAURANTESDESCUENTOS 2026'!A:B,2,FALSE),"%",""))/100)+I3419),(VLOOKUP(TRIM(D3419), CATALOGO!A:B, 2, FALSE) * C3419+I3419)),""))</f>
        <v/>
      </c>
      <c r="K3419" s="196"/>
      <c r="L3419" s="87"/>
      <c r="M3419" s="245"/>
      <c r="N3419" s="168"/>
    </row>
    <row r="3420" ht="22.5" hidden="1" customHeight="1">
      <c r="A3420" s="137"/>
      <c r="B3420" s="90"/>
      <c r="C3420" s="55"/>
      <c r="D3420" s="193"/>
      <c r="E3420" s="201"/>
      <c r="F3420" s="202"/>
      <c r="G3420" s="194"/>
      <c r="H3420" s="198"/>
      <c r="I3420" s="196"/>
      <c r="J3420" s="179" t="str">
        <f>IF(A3420="RAPPI",(VLOOKUP(TRIM(D3420), CATALOGO!F:G, 2, FALSE) * C3420)+I3420,IFERROR(IF(COUNTIF('RESTAURANTESDESCUENTOS 2026'!A:A,TRIM(A3420))&gt;0,((VLOOKUP(TRIM(D3420), CATALOGO!A:B, 2, FALSE) * C3420)*(1-VALUE(SUBSTITUTE(VLOOKUP(TRIM(A3420),'RESTAURANTESDESCUENTOS 2026'!A:B,2,FALSE),"%",""))/100)+I3420),(VLOOKUP(TRIM(D3420), CATALOGO!A:B, 2, FALSE) * C3420+I3420)),""))</f>
        <v/>
      </c>
      <c r="K3420" s="196"/>
      <c r="L3420" s="87"/>
      <c r="M3420" s="245"/>
      <c r="N3420" s="168"/>
    </row>
    <row r="3421" ht="22.5" hidden="1" customHeight="1">
      <c r="A3421" s="137"/>
      <c r="B3421" s="90"/>
      <c r="C3421" s="55"/>
      <c r="D3421" s="193"/>
      <c r="E3421" s="201"/>
      <c r="F3421" s="202"/>
      <c r="G3421" s="194"/>
      <c r="H3421" s="198"/>
      <c r="I3421" s="196"/>
      <c r="J3421" s="179" t="str">
        <f>IF(A3421="RAPPI",(VLOOKUP(TRIM(D3421), CATALOGO!F:G, 2, FALSE) * C3421)+I3421,IFERROR(IF(COUNTIF('RESTAURANTESDESCUENTOS 2026'!A:A,TRIM(A3421))&gt;0,((VLOOKUP(TRIM(D3421), CATALOGO!A:B, 2, FALSE) * C3421)*(1-VALUE(SUBSTITUTE(VLOOKUP(TRIM(A3421),'RESTAURANTESDESCUENTOS 2026'!A:B,2,FALSE),"%",""))/100)+I3421),(VLOOKUP(TRIM(D3421), CATALOGO!A:B, 2, FALSE) * C3421+I3421)),""))</f>
        <v/>
      </c>
      <c r="K3421" s="196"/>
      <c r="L3421" s="87"/>
      <c r="M3421" s="245"/>
      <c r="N3421" s="168"/>
    </row>
    <row r="3422" ht="22.5" hidden="1" customHeight="1">
      <c r="A3422" s="137"/>
      <c r="B3422" s="90"/>
      <c r="C3422" s="55"/>
      <c r="D3422" s="193"/>
      <c r="E3422" s="201"/>
      <c r="F3422" s="202"/>
      <c r="G3422" s="194"/>
      <c r="H3422" s="198"/>
      <c r="I3422" s="196"/>
      <c r="J3422" s="179" t="str">
        <f>IF(A3422="RAPPI",(VLOOKUP(TRIM(D3422), CATALOGO!F:G, 2, FALSE) * C3422)+I3422,IFERROR(IF(COUNTIF('RESTAURANTESDESCUENTOS 2026'!A:A,TRIM(A3422))&gt;0,((VLOOKUP(TRIM(D3422), CATALOGO!A:B, 2, FALSE) * C3422)*(1-VALUE(SUBSTITUTE(VLOOKUP(TRIM(A3422),'RESTAURANTESDESCUENTOS 2026'!A:B,2,FALSE),"%",""))/100)+I3422),(VLOOKUP(TRIM(D3422), CATALOGO!A:B, 2, FALSE) * C3422+I3422)),""))</f>
        <v/>
      </c>
      <c r="K3422" s="196"/>
      <c r="L3422" s="87"/>
      <c r="M3422" s="245"/>
      <c r="N3422" s="168"/>
    </row>
    <row r="3423" ht="22.5" hidden="1" customHeight="1">
      <c r="A3423" s="137"/>
      <c r="B3423" s="90"/>
      <c r="C3423" s="55"/>
      <c r="D3423" s="193"/>
      <c r="E3423" s="201"/>
      <c r="F3423" s="202"/>
      <c r="G3423" s="194"/>
      <c r="H3423" s="198"/>
      <c r="I3423" s="196"/>
      <c r="J3423" s="179" t="str">
        <f>IF(A3423="RAPPI",(VLOOKUP(TRIM(D3423), CATALOGO!F:G, 2, FALSE) * C3423)+I3423,IFERROR(IF(COUNTIF('RESTAURANTESDESCUENTOS 2026'!A:A,TRIM(A3423))&gt;0,((VLOOKUP(TRIM(D3423), CATALOGO!A:B, 2, FALSE) * C3423)*(1-VALUE(SUBSTITUTE(VLOOKUP(TRIM(A3423),'RESTAURANTESDESCUENTOS 2026'!A:B,2,FALSE),"%",""))/100)+I3423),(VLOOKUP(TRIM(D3423), CATALOGO!A:B, 2, FALSE) * C3423+I3423)),""))</f>
        <v/>
      </c>
      <c r="K3423" s="196"/>
      <c r="L3423" s="87"/>
      <c r="M3423" s="245"/>
      <c r="N3423" s="168"/>
    </row>
    <row r="3424" ht="22.5" hidden="1" customHeight="1">
      <c r="A3424" s="137"/>
      <c r="B3424" s="90"/>
      <c r="C3424" s="55"/>
      <c r="D3424" s="193"/>
      <c r="E3424" s="201"/>
      <c r="F3424" s="202"/>
      <c r="G3424" s="194"/>
      <c r="H3424" s="198"/>
      <c r="I3424" s="196"/>
      <c r="J3424" s="179" t="str">
        <f>IF(A3424="RAPPI",(VLOOKUP(TRIM(D3424), CATALOGO!F:G, 2, FALSE) * C3424)+I3424,IFERROR(IF(COUNTIF('RESTAURANTESDESCUENTOS 2026'!A:A,TRIM(A3424))&gt;0,((VLOOKUP(TRIM(D3424), CATALOGO!A:B, 2, FALSE) * C3424)*(1-VALUE(SUBSTITUTE(VLOOKUP(TRIM(A3424),'RESTAURANTESDESCUENTOS 2026'!A:B,2,FALSE),"%",""))/100)+I3424),(VLOOKUP(TRIM(D3424), CATALOGO!A:B, 2, FALSE) * C3424+I3424)),""))</f>
        <v/>
      </c>
      <c r="K3424" s="196"/>
      <c r="L3424" s="87"/>
      <c r="M3424" s="245"/>
      <c r="N3424" s="168"/>
    </row>
    <row r="3425" ht="22.5" hidden="1" customHeight="1">
      <c r="A3425" s="137"/>
      <c r="B3425" s="90"/>
      <c r="C3425" s="55"/>
      <c r="D3425" s="193"/>
      <c r="E3425" s="201"/>
      <c r="F3425" s="202"/>
      <c r="G3425" s="194"/>
      <c r="H3425" s="198"/>
      <c r="I3425" s="196"/>
      <c r="J3425" s="179" t="str">
        <f>IF(A3425="RAPPI",(VLOOKUP(TRIM(D3425), CATALOGO!F:G, 2, FALSE) * C3425)+I3425,IFERROR(IF(COUNTIF('RESTAURANTESDESCUENTOS 2026'!A:A,TRIM(A3425))&gt;0,((VLOOKUP(TRIM(D3425), CATALOGO!A:B, 2, FALSE) * C3425)*(1-VALUE(SUBSTITUTE(VLOOKUP(TRIM(A3425),'RESTAURANTESDESCUENTOS 2026'!A:B,2,FALSE),"%",""))/100)+I3425),(VLOOKUP(TRIM(D3425), CATALOGO!A:B, 2, FALSE) * C3425+I3425)),""))</f>
        <v/>
      </c>
      <c r="K3425" s="196"/>
      <c r="L3425" s="87"/>
      <c r="M3425" s="245"/>
      <c r="N3425" s="168"/>
    </row>
    <row r="3426" ht="22.5" hidden="1" customHeight="1">
      <c r="A3426" s="137"/>
      <c r="B3426" s="90"/>
      <c r="C3426" s="55"/>
      <c r="D3426" s="193"/>
      <c r="E3426" s="201"/>
      <c r="F3426" s="202"/>
      <c r="G3426" s="194"/>
      <c r="H3426" s="198"/>
      <c r="I3426" s="196"/>
      <c r="J3426" s="179" t="str">
        <f>IF(A3426="RAPPI",(VLOOKUP(TRIM(D3426), CATALOGO!F:G, 2, FALSE) * C3426)+I3426,IFERROR(IF(COUNTIF('RESTAURANTESDESCUENTOS 2026'!A:A,TRIM(A3426))&gt;0,((VLOOKUP(TRIM(D3426), CATALOGO!A:B, 2, FALSE) * C3426)*(1-VALUE(SUBSTITUTE(VLOOKUP(TRIM(A3426),'RESTAURANTESDESCUENTOS 2026'!A:B,2,FALSE),"%",""))/100)+I3426),(VLOOKUP(TRIM(D3426), CATALOGO!A:B, 2, FALSE) * C3426+I3426)),""))</f>
        <v/>
      </c>
      <c r="K3426" s="196"/>
      <c r="L3426" s="87"/>
      <c r="M3426" s="245"/>
      <c r="N3426" s="168"/>
    </row>
    <row r="3427" ht="22.5" hidden="1" customHeight="1">
      <c r="A3427" s="137"/>
      <c r="B3427" s="90"/>
      <c r="C3427" s="55"/>
      <c r="D3427" s="193"/>
      <c r="E3427" s="201"/>
      <c r="F3427" s="202"/>
      <c r="G3427" s="194"/>
      <c r="H3427" s="198"/>
      <c r="I3427" s="196"/>
      <c r="J3427" s="179" t="str">
        <f>IF(A3427="RAPPI",(VLOOKUP(TRIM(D3427), CATALOGO!F:G, 2, FALSE) * C3427)+I3427,IFERROR(IF(COUNTIF('RESTAURANTESDESCUENTOS 2026'!A:A,TRIM(A3427))&gt;0,((VLOOKUP(TRIM(D3427), CATALOGO!A:B, 2, FALSE) * C3427)*(1-VALUE(SUBSTITUTE(VLOOKUP(TRIM(A3427),'RESTAURANTESDESCUENTOS 2026'!A:B,2,FALSE),"%",""))/100)+I3427),(VLOOKUP(TRIM(D3427), CATALOGO!A:B, 2, FALSE) * C3427+I3427)),""))</f>
        <v/>
      </c>
      <c r="K3427" s="196"/>
      <c r="L3427" s="87"/>
      <c r="M3427" s="245"/>
      <c r="N3427" s="168"/>
    </row>
    <row r="3428" ht="22.5" hidden="1" customHeight="1">
      <c r="A3428" s="137"/>
      <c r="B3428" s="90"/>
      <c r="C3428" s="55"/>
      <c r="D3428" s="193"/>
      <c r="E3428" s="201"/>
      <c r="F3428" s="202"/>
      <c r="G3428" s="194"/>
      <c r="H3428" s="198"/>
      <c r="I3428" s="196"/>
      <c r="J3428" s="179" t="str">
        <f>IF(A3428="RAPPI",(VLOOKUP(TRIM(D3428), CATALOGO!F:G, 2, FALSE) * C3428)+I3428,IFERROR(IF(COUNTIF('RESTAURANTESDESCUENTOS 2026'!A:A,TRIM(A3428))&gt;0,((VLOOKUP(TRIM(D3428), CATALOGO!A:B, 2, FALSE) * C3428)*(1-VALUE(SUBSTITUTE(VLOOKUP(TRIM(A3428),'RESTAURANTESDESCUENTOS 2026'!A:B,2,FALSE),"%",""))/100)+I3428),(VLOOKUP(TRIM(D3428), CATALOGO!A:B, 2, FALSE) * C3428+I3428)),""))</f>
        <v/>
      </c>
      <c r="K3428" s="196"/>
      <c r="L3428" s="87"/>
      <c r="M3428" s="245"/>
      <c r="N3428" s="168"/>
    </row>
    <row r="3429" ht="22.5" hidden="1" customHeight="1">
      <c r="A3429" s="137"/>
      <c r="B3429" s="90"/>
      <c r="C3429" s="55"/>
      <c r="D3429" s="193"/>
      <c r="E3429" s="201"/>
      <c r="F3429" s="202"/>
      <c r="G3429" s="194"/>
      <c r="H3429" s="198"/>
      <c r="I3429" s="196"/>
      <c r="J3429" s="179" t="str">
        <f>IF(A3429="RAPPI",(VLOOKUP(TRIM(D3429), CATALOGO!F:G, 2, FALSE) * C3429)+I3429,IFERROR(IF(COUNTIF('RESTAURANTESDESCUENTOS 2026'!A:A,TRIM(A3429))&gt;0,((VLOOKUP(TRIM(D3429), CATALOGO!A:B, 2, FALSE) * C3429)*(1-VALUE(SUBSTITUTE(VLOOKUP(TRIM(A3429),'RESTAURANTESDESCUENTOS 2026'!A:B,2,FALSE),"%",""))/100)+I3429),(VLOOKUP(TRIM(D3429), CATALOGO!A:B, 2, FALSE) * C3429+I3429)),""))</f>
        <v/>
      </c>
      <c r="K3429" s="196"/>
      <c r="L3429" s="87"/>
      <c r="M3429" s="245"/>
      <c r="N3429" s="168"/>
    </row>
    <row r="3430" ht="22.5" hidden="1" customHeight="1">
      <c r="A3430" s="137"/>
      <c r="B3430" s="90"/>
      <c r="C3430" s="55"/>
      <c r="D3430" s="193"/>
      <c r="E3430" s="201"/>
      <c r="F3430" s="202"/>
      <c r="G3430" s="194"/>
      <c r="H3430" s="198"/>
      <c r="I3430" s="196"/>
      <c r="J3430" s="179" t="str">
        <f>IF(A3430="RAPPI",(VLOOKUP(TRIM(D3430), CATALOGO!F:G, 2, FALSE) * C3430)+I3430,IFERROR(IF(COUNTIF('RESTAURANTESDESCUENTOS 2026'!A:A,TRIM(A3430))&gt;0,((VLOOKUP(TRIM(D3430), CATALOGO!A:B, 2, FALSE) * C3430)*(1-VALUE(SUBSTITUTE(VLOOKUP(TRIM(A3430),'RESTAURANTESDESCUENTOS 2026'!A:B,2,FALSE),"%",""))/100)+I3430),(VLOOKUP(TRIM(D3430), CATALOGO!A:B, 2, FALSE) * C3430+I3430)),""))</f>
        <v/>
      </c>
      <c r="K3430" s="196"/>
      <c r="L3430" s="87"/>
      <c r="M3430" s="245"/>
      <c r="N3430" s="168"/>
    </row>
    <row r="3431" ht="22.5" hidden="1" customHeight="1">
      <c r="A3431" s="137"/>
      <c r="B3431" s="90"/>
      <c r="C3431" s="55"/>
      <c r="D3431" s="193"/>
      <c r="E3431" s="201"/>
      <c r="F3431" s="202"/>
      <c r="G3431" s="194"/>
      <c r="H3431" s="198"/>
      <c r="I3431" s="196"/>
      <c r="J3431" s="179" t="str">
        <f>IF(A3431="RAPPI",(VLOOKUP(TRIM(D3431), CATALOGO!F:G, 2, FALSE) * C3431)+I3431,IFERROR(IF(COUNTIF('RESTAURANTESDESCUENTOS 2026'!A:A,TRIM(A3431))&gt;0,((VLOOKUP(TRIM(D3431), CATALOGO!A:B, 2, FALSE) * C3431)*(1-VALUE(SUBSTITUTE(VLOOKUP(TRIM(A3431),'RESTAURANTESDESCUENTOS 2026'!A:B,2,FALSE),"%",""))/100)+I3431),(VLOOKUP(TRIM(D3431), CATALOGO!A:B, 2, FALSE) * C3431+I3431)),""))</f>
        <v/>
      </c>
      <c r="K3431" s="196"/>
      <c r="L3431" s="87"/>
      <c r="M3431" s="245"/>
      <c r="N3431" s="168"/>
    </row>
    <row r="3432" ht="22.5" hidden="1" customHeight="1">
      <c r="A3432" s="137"/>
      <c r="B3432" s="90"/>
      <c r="C3432" s="55"/>
      <c r="D3432" s="193"/>
      <c r="E3432" s="201"/>
      <c r="F3432" s="202"/>
      <c r="G3432" s="194"/>
      <c r="H3432" s="198"/>
      <c r="I3432" s="196"/>
      <c r="J3432" s="179" t="str">
        <f>IF(A3432="RAPPI",(VLOOKUP(TRIM(D3432), CATALOGO!F:G, 2, FALSE) * C3432)+I3432,IFERROR(IF(COUNTIF('RESTAURANTESDESCUENTOS 2026'!A:A,TRIM(A3432))&gt;0,((VLOOKUP(TRIM(D3432), CATALOGO!A:B, 2, FALSE) * C3432)*(1-VALUE(SUBSTITUTE(VLOOKUP(TRIM(A3432),'RESTAURANTESDESCUENTOS 2026'!A:B,2,FALSE),"%",""))/100)+I3432),(VLOOKUP(TRIM(D3432), CATALOGO!A:B, 2, FALSE) * C3432+I3432)),""))</f>
        <v/>
      </c>
      <c r="K3432" s="196"/>
      <c r="L3432" s="87"/>
      <c r="M3432" s="245"/>
      <c r="N3432" s="168"/>
    </row>
    <row r="3433" ht="22.5" hidden="1" customHeight="1">
      <c r="A3433" s="137"/>
      <c r="B3433" s="90"/>
      <c r="C3433" s="55"/>
      <c r="D3433" s="193"/>
      <c r="E3433" s="201"/>
      <c r="F3433" s="202"/>
      <c r="G3433" s="194"/>
      <c r="H3433" s="198"/>
      <c r="I3433" s="196"/>
      <c r="J3433" s="179" t="str">
        <f>IF(A3433="RAPPI",(VLOOKUP(TRIM(D3433), CATALOGO!F:G, 2, FALSE) * C3433)+I3433,IFERROR(IF(COUNTIF('RESTAURANTESDESCUENTOS 2026'!A:A,TRIM(A3433))&gt;0,((VLOOKUP(TRIM(D3433), CATALOGO!A:B, 2, FALSE) * C3433)*(1-VALUE(SUBSTITUTE(VLOOKUP(TRIM(A3433),'RESTAURANTESDESCUENTOS 2026'!A:B,2,FALSE),"%",""))/100)+I3433),(VLOOKUP(TRIM(D3433), CATALOGO!A:B, 2, FALSE) * C3433+I3433)),""))</f>
        <v/>
      </c>
      <c r="K3433" s="196"/>
      <c r="L3433" s="87"/>
      <c r="M3433" s="245"/>
      <c r="N3433" s="168"/>
    </row>
    <row r="3434" ht="22.5" hidden="1" customHeight="1">
      <c r="A3434" s="137"/>
      <c r="B3434" s="90"/>
      <c r="C3434" s="55"/>
      <c r="D3434" s="193"/>
      <c r="E3434" s="201"/>
      <c r="F3434" s="202"/>
      <c r="G3434" s="194"/>
      <c r="H3434" s="198"/>
      <c r="I3434" s="196"/>
      <c r="J3434" s="179" t="str">
        <f>IF(A3434="RAPPI",(VLOOKUP(TRIM(D3434), CATALOGO!F:G, 2, FALSE) * C3434)+I3434,IFERROR(IF(COUNTIF('RESTAURANTESDESCUENTOS 2026'!A:A,TRIM(A3434))&gt;0,((VLOOKUP(TRIM(D3434), CATALOGO!A:B, 2, FALSE) * C3434)*(1-VALUE(SUBSTITUTE(VLOOKUP(TRIM(A3434),'RESTAURANTESDESCUENTOS 2026'!A:B,2,FALSE),"%",""))/100)+I3434),(VLOOKUP(TRIM(D3434), CATALOGO!A:B, 2, FALSE) * C3434+I3434)),""))</f>
        <v/>
      </c>
      <c r="K3434" s="196"/>
      <c r="L3434" s="87"/>
      <c r="M3434" s="245"/>
      <c r="N3434" s="168"/>
    </row>
    <row r="3435" ht="22.5" hidden="1" customHeight="1">
      <c r="A3435" s="137"/>
      <c r="B3435" s="90"/>
      <c r="C3435" s="55"/>
      <c r="D3435" s="193"/>
      <c r="E3435" s="201"/>
      <c r="F3435" s="202"/>
      <c r="G3435" s="194"/>
      <c r="H3435" s="198"/>
      <c r="I3435" s="196"/>
      <c r="J3435" s="179" t="str">
        <f>IF(A3435="RAPPI",(VLOOKUP(TRIM(D3435), CATALOGO!F:G, 2, FALSE) * C3435)+I3435,IFERROR(IF(COUNTIF('RESTAURANTESDESCUENTOS 2026'!A:A,TRIM(A3435))&gt;0,((VLOOKUP(TRIM(D3435), CATALOGO!A:B, 2, FALSE) * C3435)*(1-VALUE(SUBSTITUTE(VLOOKUP(TRIM(A3435),'RESTAURANTESDESCUENTOS 2026'!A:B,2,FALSE),"%",""))/100)+I3435),(VLOOKUP(TRIM(D3435), CATALOGO!A:B, 2, FALSE) * C3435+I3435)),""))</f>
        <v/>
      </c>
      <c r="K3435" s="196"/>
      <c r="L3435" s="87"/>
      <c r="M3435" s="245"/>
      <c r="N3435" s="168"/>
    </row>
    <row r="3436" ht="22.5" hidden="1" customHeight="1">
      <c r="A3436" s="137"/>
      <c r="B3436" s="90"/>
      <c r="C3436" s="55"/>
      <c r="D3436" s="193"/>
      <c r="E3436" s="201"/>
      <c r="F3436" s="202"/>
      <c r="G3436" s="194"/>
      <c r="H3436" s="198"/>
      <c r="I3436" s="196"/>
      <c r="J3436" s="179" t="str">
        <f>IF(A3436="RAPPI",(VLOOKUP(TRIM(D3436), CATALOGO!F:G, 2, FALSE) * C3436)+I3436,IFERROR(IF(COUNTIF('RESTAURANTESDESCUENTOS 2026'!A:A,TRIM(A3436))&gt;0,((VLOOKUP(TRIM(D3436), CATALOGO!A:B, 2, FALSE) * C3436)*(1-VALUE(SUBSTITUTE(VLOOKUP(TRIM(A3436),'RESTAURANTESDESCUENTOS 2026'!A:B,2,FALSE),"%",""))/100)+I3436),(VLOOKUP(TRIM(D3436), CATALOGO!A:B, 2, FALSE) * C3436+I3436)),""))</f>
        <v/>
      </c>
      <c r="K3436" s="196"/>
      <c r="L3436" s="87"/>
      <c r="M3436" s="245"/>
      <c r="N3436" s="168"/>
    </row>
    <row r="3437" ht="22.5" hidden="1" customHeight="1">
      <c r="A3437" s="137"/>
      <c r="B3437" s="90"/>
      <c r="C3437" s="55"/>
      <c r="D3437" s="193"/>
      <c r="E3437" s="201"/>
      <c r="F3437" s="202"/>
      <c r="G3437" s="194"/>
      <c r="H3437" s="198"/>
      <c r="I3437" s="196"/>
      <c r="J3437" s="179" t="str">
        <f>IF(A3437="RAPPI",(VLOOKUP(TRIM(D3437), CATALOGO!F:G, 2, FALSE) * C3437)+I3437,IFERROR(IF(COUNTIF('RESTAURANTESDESCUENTOS 2026'!A:A,TRIM(A3437))&gt;0,((VLOOKUP(TRIM(D3437), CATALOGO!A:B, 2, FALSE) * C3437)*(1-VALUE(SUBSTITUTE(VLOOKUP(TRIM(A3437),'RESTAURANTESDESCUENTOS 2026'!A:B,2,FALSE),"%",""))/100)+I3437),(VLOOKUP(TRIM(D3437), CATALOGO!A:B, 2, FALSE) * C3437+I3437)),""))</f>
        <v/>
      </c>
      <c r="K3437" s="196"/>
      <c r="L3437" s="87"/>
      <c r="M3437" s="245"/>
      <c r="N3437" s="168"/>
    </row>
    <row r="3438" ht="22.5" hidden="1" customHeight="1">
      <c r="A3438" s="137"/>
      <c r="B3438" s="90"/>
      <c r="C3438" s="55"/>
      <c r="D3438" s="193"/>
      <c r="E3438" s="201"/>
      <c r="F3438" s="202"/>
      <c r="G3438" s="194"/>
      <c r="H3438" s="198"/>
      <c r="I3438" s="196"/>
      <c r="J3438" s="179" t="str">
        <f>IF(A3438="RAPPI",(VLOOKUP(TRIM(D3438), CATALOGO!F:G, 2, FALSE) * C3438)+I3438,IFERROR(IF(COUNTIF('RESTAURANTESDESCUENTOS 2026'!A:A,TRIM(A3438))&gt;0,((VLOOKUP(TRIM(D3438), CATALOGO!A:B, 2, FALSE) * C3438)*(1-VALUE(SUBSTITUTE(VLOOKUP(TRIM(A3438),'RESTAURANTESDESCUENTOS 2026'!A:B,2,FALSE),"%",""))/100)+I3438),(VLOOKUP(TRIM(D3438), CATALOGO!A:B, 2, FALSE) * C3438+I3438)),""))</f>
        <v/>
      </c>
      <c r="K3438" s="196"/>
      <c r="L3438" s="87"/>
      <c r="M3438" s="245"/>
      <c r="N3438" s="168"/>
    </row>
    <row r="3439" ht="22.5" hidden="1" customHeight="1">
      <c r="A3439" s="137"/>
      <c r="B3439" s="90"/>
      <c r="C3439" s="55"/>
      <c r="D3439" s="193"/>
      <c r="E3439" s="201"/>
      <c r="F3439" s="202"/>
      <c r="G3439" s="194"/>
      <c r="H3439" s="198"/>
      <c r="I3439" s="196"/>
      <c r="J3439" s="179" t="str">
        <f>IF(A3439="RAPPI",(VLOOKUP(TRIM(D3439), CATALOGO!F:G, 2, FALSE) * C3439)+I3439,IFERROR(IF(COUNTIF('RESTAURANTESDESCUENTOS 2026'!A:A,TRIM(A3439))&gt;0,((VLOOKUP(TRIM(D3439), CATALOGO!A:B, 2, FALSE) * C3439)*(1-VALUE(SUBSTITUTE(VLOOKUP(TRIM(A3439),'RESTAURANTESDESCUENTOS 2026'!A:B,2,FALSE),"%",""))/100)+I3439),(VLOOKUP(TRIM(D3439), CATALOGO!A:B, 2, FALSE) * C3439+I3439)),""))</f>
        <v/>
      </c>
      <c r="K3439" s="196"/>
      <c r="L3439" s="87"/>
      <c r="M3439" s="245"/>
      <c r="N3439" s="168"/>
    </row>
    <row r="3440" ht="22.5" hidden="1" customHeight="1">
      <c r="A3440" s="137"/>
      <c r="B3440" s="90"/>
      <c r="C3440" s="55"/>
      <c r="D3440" s="193"/>
      <c r="E3440" s="201"/>
      <c r="F3440" s="202"/>
      <c r="G3440" s="194"/>
      <c r="H3440" s="198"/>
      <c r="I3440" s="196"/>
      <c r="J3440" s="179" t="str">
        <f>IF(A3440="RAPPI",(VLOOKUP(TRIM(D3440), CATALOGO!F:G, 2, FALSE) * C3440)+I3440,IFERROR(IF(COUNTIF('RESTAURANTESDESCUENTOS 2026'!A:A,TRIM(A3440))&gt;0,((VLOOKUP(TRIM(D3440), CATALOGO!A:B, 2, FALSE) * C3440)*(1-VALUE(SUBSTITUTE(VLOOKUP(TRIM(A3440),'RESTAURANTESDESCUENTOS 2026'!A:B,2,FALSE),"%",""))/100)+I3440),(VLOOKUP(TRIM(D3440), CATALOGO!A:B, 2, FALSE) * C3440+I3440)),""))</f>
        <v/>
      </c>
      <c r="K3440" s="196"/>
      <c r="L3440" s="87"/>
      <c r="M3440" s="245"/>
      <c r="N3440" s="168"/>
    </row>
    <row r="3441" ht="22.5" hidden="1" customHeight="1">
      <c r="A3441" s="137"/>
      <c r="B3441" s="90"/>
      <c r="C3441" s="55"/>
      <c r="D3441" s="193"/>
      <c r="E3441" s="201"/>
      <c r="F3441" s="202"/>
      <c r="G3441" s="194"/>
      <c r="H3441" s="198"/>
      <c r="I3441" s="196"/>
      <c r="J3441" s="179" t="str">
        <f>IF(A3441="RAPPI",(VLOOKUP(TRIM(D3441), CATALOGO!F:G, 2, FALSE) * C3441)+I3441,IFERROR(IF(COUNTIF('RESTAURANTESDESCUENTOS 2026'!A:A,TRIM(A3441))&gt;0,((VLOOKUP(TRIM(D3441), CATALOGO!A:B, 2, FALSE) * C3441)*(1-VALUE(SUBSTITUTE(VLOOKUP(TRIM(A3441),'RESTAURANTESDESCUENTOS 2026'!A:B,2,FALSE),"%",""))/100)+I3441),(VLOOKUP(TRIM(D3441), CATALOGO!A:B, 2, FALSE) * C3441+I3441)),""))</f>
        <v/>
      </c>
      <c r="K3441" s="196"/>
      <c r="L3441" s="87"/>
      <c r="M3441" s="245"/>
      <c r="N3441" s="168"/>
    </row>
    <row r="3442" ht="22.5" hidden="1" customHeight="1">
      <c r="A3442" s="137"/>
      <c r="B3442" s="90"/>
      <c r="C3442" s="55"/>
      <c r="D3442" s="193"/>
      <c r="E3442" s="201"/>
      <c r="F3442" s="202"/>
      <c r="G3442" s="194"/>
      <c r="H3442" s="198"/>
      <c r="I3442" s="196"/>
      <c r="J3442" s="179" t="str">
        <f>IF(A3442="RAPPI",(VLOOKUP(TRIM(D3442), CATALOGO!F:G, 2, FALSE) * C3442)+I3442,IFERROR(IF(COUNTIF('RESTAURANTESDESCUENTOS 2026'!A:A,TRIM(A3442))&gt;0,((VLOOKUP(TRIM(D3442), CATALOGO!A:B, 2, FALSE) * C3442)*(1-VALUE(SUBSTITUTE(VLOOKUP(TRIM(A3442),'RESTAURANTESDESCUENTOS 2026'!A:B,2,FALSE),"%",""))/100)+I3442),(VLOOKUP(TRIM(D3442), CATALOGO!A:B, 2, FALSE) * C3442+I3442)),""))</f>
        <v/>
      </c>
      <c r="K3442" s="196"/>
      <c r="L3442" s="87"/>
      <c r="M3442" s="245"/>
      <c r="N3442" s="168"/>
    </row>
    <row r="3443" ht="22.5" hidden="1" customHeight="1">
      <c r="A3443" s="137"/>
      <c r="B3443" s="90"/>
      <c r="C3443" s="55"/>
      <c r="D3443" s="193"/>
      <c r="E3443" s="201"/>
      <c r="F3443" s="202"/>
      <c r="G3443" s="194"/>
      <c r="H3443" s="198"/>
      <c r="I3443" s="196"/>
      <c r="J3443" s="179" t="str">
        <f>IF(A3443="RAPPI",(VLOOKUP(TRIM(D3443), CATALOGO!F:G, 2, FALSE) * C3443)+I3443,IFERROR(IF(COUNTIF('RESTAURANTESDESCUENTOS 2026'!A:A,TRIM(A3443))&gt;0,((VLOOKUP(TRIM(D3443), CATALOGO!A:B, 2, FALSE) * C3443)*(1-VALUE(SUBSTITUTE(VLOOKUP(TRIM(A3443),'RESTAURANTESDESCUENTOS 2026'!A:B,2,FALSE),"%",""))/100)+I3443),(VLOOKUP(TRIM(D3443), CATALOGO!A:B, 2, FALSE) * C3443+I3443)),""))</f>
        <v/>
      </c>
      <c r="K3443" s="196"/>
      <c r="L3443" s="87"/>
      <c r="M3443" s="245"/>
      <c r="N3443" s="168"/>
    </row>
    <row r="3444" ht="22.5" hidden="1" customHeight="1">
      <c r="A3444" s="137"/>
      <c r="B3444" s="90"/>
      <c r="C3444" s="55"/>
      <c r="D3444" s="193"/>
      <c r="E3444" s="201"/>
      <c r="F3444" s="202"/>
      <c r="G3444" s="194"/>
      <c r="H3444" s="198"/>
      <c r="I3444" s="196"/>
      <c r="J3444" s="179" t="str">
        <f>IF(A3444="RAPPI",(VLOOKUP(TRIM(D3444), CATALOGO!F:G, 2, FALSE) * C3444)+I3444,IFERROR(IF(COUNTIF('RESTAURANTESDESCUENTOS 2026'!A:A,TRIM(A3444))&gt;0,((VLOOKUP(TRIM(D3444), CATALOGO!A:B, 2, FALSE) * C3444)*(1-VALUE(SUBSTITUTE(VLOOKUP(TRIM(A3444),'RESTAURANTESDESCUENTOS 2026'!A:B,2,FALSE),"%",""))/100)+I3444),(VLOOKUP(TRIM(D3444), CATALOGO!A:B, 2, FALSE) * C3444+I3444)),""))</f>
        <v/>
      </c>
      <c r="K3444" s="196"/>
      <c r="L3444" s="87"/>
      <c r="M3444" s="245"/>
      <c r="N3444" s="168"/>
    </row>
    <row r="3445" ht="22.5" hidden="1" customHeight="1">
      <c r="A3445" s="137"/>
      <c r="B3445" s="90"/>
      <c r="C3445" s="55"/>
      <c r="D3445" s="193"/>
      <c r="E3445" s="201"/>
      <c r="F3445" s="202"/>
      <c r="G3445" s="194"/>
      <c r="H3445" s="198"/>
      <c r="I3445" s="196"/>
      <c r="J3445" s="179" t="str">
        <f>IF(A3445="RAPPI",(VLOOKUP(TRIM(D3445), CATALOGO!F:G, 2, FALSE) * C3445)+I3445,IFERROR(IF(COUNTIF('RESTAURANTESDESCUENTOS 2026'!A:A,TRIM(A3445))&gt;0,((VLOOKUP(TRIM(D3445), CATALOGO!A:B, 2, FALSE) * C3445)*(1-VALUE(SUBSTITUTE(VLOOKUP(TRIM(A3445),'RESTAURANTESDESCUENTOS 2026'!A:B,2,FALSE),"%",""))/100)+I3445),(VLOOKUP(TRIM(D3445), CATALOGO!A:B, 2, FALSE) * C3445+I3445)),""))</f>
        <v/>
      </c>
      <c r="K3445" s="196"/>
      <c r="L3445" s="87"/>
      <c r="M3445" s="245"/>
      <c r="N3445" s="168"/>
    </row>
    <row r="3446" ht="22.5" hidden="1" customHeight="1">
      <c r="A3446" s="137"/>
      <c r="B3446" s="90"/>
      <c r="C3446" s="55"/>
      <c r="D3446" s="193"/>
      <c r="E3446" s="201"/>
      <c r="F3446" s="202"/>
      <c r="G3446" s="194"/>
      <c r="H3446" s="198"/>
      <c r="I3446" s="196"/>
      <c r="J3446" s="179" t="str">
        <f>IF(A3446="RAPPI",(VLOOKUP(TRIM(D3446), CATALOGO!F:G, 2, FALSE) * C3446)+I3446,IFERROR(IF(COUNTIF('RESTAURANTESDESCUENTOS 2026'!A:A,TRIM(A3446))&gt;0,((VLOOKUP(TRIM(D3446), CATALOGO!A:B, 2, FALSE) * C3446)*(1-VALUE(SUBSTITUTE(VLOOKUP(TRIM(A3446),'RESTAURANTESDESCUENTOS 2026'!A:B,2,FALSE),"%",""))/100)+I3446),(VLOOKUP(TRIM(D3446), CATALOGO!A:B, 2, FALSE) * C3446+I3446)),""))</f>
        <v/>
      </c>
      <c r="K3446" s="196"/>
      <c r="L3446" s="87"/>
      <c r="M3446" s="245"/>
      <c r="N3446" s="168"/>
    </row>
    <row r="3447" ht="22.5" hidden="1" customHeight="1">
      <c r="A3447" s="137"/>
      <c r="B3447" s="90"/>
      <c r="C3447" s="55"/>
      <c r="D3447" s="193"/>
      <c r="E3447" s="201"/>
      <c r="F3447" s="202"/>
      <c r="G3447" s="194"/>
      <c r="H3447" s="198"/>
      <c r="I3447" s="196"/>
      <c r="J3447" s="179" t="str">
        <f>IF(A3447="RAPPI",(VLOOKUP(TRIM(D3447), CATALOGO!F:G, 2, FALSE) * C3447)+I3447,IFERROR(IF(COUNTIF('RESTAURANTESDESCUENTOS 2026'!A:A,TRIM(A3447))&gt;0,((VLOOKUP(TRIM(D3447), CATALOGO!A:B, 2, FALSE) * C3447)*(1-VALUE(SUBSTITUTE(VLOOKUP(TRIM(A3447),'RESTAURANTESDESCUENTOS 2026'!A:B,2,FALSE),"%",""))/100)+I3447),(VLOOKUP(TRIM(D3447), CATALOGO!A:B, 2, FALSE) * C3447+I3447)),""))</f>
        <v/>
      </c>
      <c r="K3447" s="196"/>
      <c r="L3447" s="87"/>
      <c r="M3447" s="245"/>
      <c r="N3447" s="168"/>
    </row>
    <row r="3448" ht="22.5" hidden="1" customHeight="1">
      <c r="A3448" s="137"/>
      <c r="B3448" s="90"/>
      <c r="C3448" s="55"/>
      <c r="D3448" s="193"/>
      <c r="E3448" s="201"/>
      <c r="F3448" s="202"/>
      <c r="G3448" s="194"/>
      <c r="H3448" s="198"/>
      <c r="I3448" s="196"/>
      <c r="J3448" s="179" t="str">
        <f>IF(A3448="RAPPI",(VLOOKUP(TRIM(D3448), CATALOGO!F:G, 2, FALSE) * C3448)+I3448,IFERROR(IF(COUNTIF('RESTAURANTESDESCUENTOS 2026'!A:A,TRIM(A3448))&gt;0,((VLOOKUP(TRIM(D3448), CATALOGO!A:B, 2, FALSE) * C3448)*(1-VALUE(SUBSTITUTE(VLOOKUP(TRIM(A3448),'RESTAURANTESDESCUENTOS 2026'!A:B,2,FALSE),"%",""))/100)+I3448),(VLOOKUP(TRIM(D3448), CATALOGO!A:B, 2, FALSE) * C3448+I3448)),""))</f>
        <v/>
      </c>
      <c r="K3448" s="196"/>
      <c r="L3448" s="87"/>
      <c r="M3448" s="245"/>
      <c r="N3448" s="168"/>
    </row>
    <row r="3449" ht="22.5" hidden="1" customHeight="1">
      <c r="A3449" s="137"/>
      <c r="B3449" s="90"/>
      <c r="C3449" s="55"/>
      <c r="D3449" s="193"/>
      <c r="E3449" s="201"/>
      <c r="F3449" s="202"/>
      <c r="G3449" s="194"/>
      <c r="H3449" s="198"/>
      <c r="I3449" s="196"/>
      <c r="J3449" s="179" t="str">
        <f>IF(A3449="RAPPI",(VLOOKUP(TRIM(D3449), CATALOGO!F:G, 2, FALSE) * C3449)+I3449,IFERROR(IF(COUNTIF('RESTAURANTESDESCUENTOS 2026'!A:A,TRIM(A3449))&gt;0,((VLOOKUP(TRIM(D3449), CATALOGO!A:B, 2, FALSE) * C3449)*(1-VALUE(SUBSTITUTE(VLOOKUP(TRIM(A3449),'RESTAURANTESDESCUENTOS 2026'!A:B,2,FALSE),"%",""))/100)+I3449),(VLOOKUP(TRIM(D3449), CATALOGO!A:B, 2, FALSE) * C3449+I3449)),""))</f>
        <v/>
      </c>
      <c r="K3449" s="196"/>
      <c r="L3449" s="87"/>
      <c r="M3449" s="245"/>
      <c r="N3449" s="168"/>
    </row>
    <row r="3450" ht="22.5" hidden="1" customHeight="1">
      <c r="A3450" s="137"/>
      <c r="B3450" s="90"/>
      <c r="C3450" s="55"/>
      <c r="D3450" s="193"/>
      <c r="E3450" s="201"/>
      <c r="F3450" s="202"/>
      <c r="G3450" s="194"/>
      <c r="H3450" s="198"/>
      <c r="I3450" s="196"/>
      <c r="J3450" s="179" t="str">
        <f>IF(A3450="RAPPI",(VLOOKUP(TRIM(D3450), CATALOGO!F:G, 2, FALSE) * C3450)+I3450,IFERROR(IF(COUNTIF('RESTAURANTESDESCUENTOS 2026'!A:A,TRIM(A3450))&gt;0,((VLOOKUP(TRIM(D3450), CATALOGO!A:B, 2, FALSE) * C3450)*(1-VALUE(SUBSTITUTE(VLOOKUP(TRIM(A3450),'RESTAURANTESDESCUENTOS 2026'!A:B,2,FALSE),"%",""))/100)+I3450),(VLOOKUP(TRIM(D3450), CATALOGO!A:B, 2, FALSE) * C3450+I3450)),""))</f>
        <v/>
      </c>
      <c r="K3450" s="196"/>
      <c r="L3450" s="87"/>
      <c r="M3450" s="245"/>
      <c r="N3450" s="168"/>
    </row>
    <row r="3451" ht="22.5" hidden="1" customHeight="1">
      <c r="A3451" s="137"/>
      <c r="B3451" s="90"/>
      <c r="C3451" s="55"/>
      <c r="D3451" s="193"/>
      <c r="E3451" s="201"/>
      <c r="F3451" s="202"/>
      <c r="G3451" s="194"/>
      <c r="H3451" s="198"/>
      <c r="I3451" s="196"/>
      <c r="J3451" s="179" t="str">
        <f>IF(A3451="RAPPI",(VLOOKUP(TRIM(D3451), CATALOGO!F:G, 2, FALSE) * C3451)+I3451,IFERROR(IF(COUNTIF('RESTAURANTESDESCUENTOS 2026'!A:A,TRIM(A3451))&gt;0,((VLOOKUP(TRIM(D3451), CATALOGO!A:B, 2, FALSE) * C3451)*(1-VALUE(SUBSTITUTE(VLOOKUP(TRIM(A3451),'RESTAURANTESDESCUENTOS 2026'!A:B,2,FALSE),"%",""))/100)+I3451),(VLOOKUP(TRIM(D3451), CATALOGO!A:B, 2, FALSE) * C3451+I3451)),""))</f>
        <v/>
      </c>
      <c r="K3451" s="196"/>
      <c r="L3451" s="87"/>
      <c r="M3451" s="245"/>
      <c r="N3451" s="168"/>
    </row>
    <row r="3452" ht="22.5" hidden="1" customHeight="1">
      <c r="A3452" s="137"/>
      <c r="B3452" s="90"/>
      <c r="C3452" s="55"/>
      <c r="D3452" s="193"/>
      <c r="E3452" s="201"/>
      <c r="F3452" s="202"/>
      <c r="G3452" s="194"/>
      <c r="H3452" s="198"/>
      <c r="I3452" s="196"/>
      <c r="J3452" s="179" t="str">
        <f>IF(A3452="RAPPI",(VLOOKUP(TRIM(D3452), CATALOGO!F:G, 2, FALSE) * C3452)+I3452,IFERROR(IF(COUNTIF('RESTAURANTESDESCUENTOS 2026'!A:A,TRIM(A3452))&gt;0,((VLOOKUP(TRIM(D3452), CATALOGO!A:B, 2, FALSE) * C3452)*(1-VALUE(SUBSTITUTE(VLOOKUP(TRIM(A3452),'RESTAURANTESDESCUENTOS 2026'!A:B,2,FALSE),"%",""))/100)+I3452),(VLOOKUP(TRIM(D3452), CATALOGO!A:B, 2, FALSE) * C3452+I3452)),""))</f>
        <v/>
      </c>
      <c r="K3452" s="196"/>
      <c r="L3452" s="87"/>
      <c r="M3452" s="245"/>
      <c r="N3452" s="168"/>
    </row>
    <row r="3453" ht="22.5" hidden="1" customHeight="1">
      <c r="A3453" s="137"/>
      <c r="B3453" s="90"/>
      <c r="C3453" s="55"/>
      <c r="D3453" s="193"/>
      <c r="E3453" s="201"/>
      <c r="F3453" s="202"/>
      <c r="G3453" s="194"/>
      <c r="H3453" s="198"/>
      <c r="I3453" s="196"/>
      <c r="J3453" s="179" t="str">
        <f>IF(A3453="RAPPI",(VLOOKUP(TRIM(D3453), CATALOGO!F:G, 2, FALSE) * C3453)+I3453,IFERROR(IF(COUNTIF('RESTAURANTESDESCUENTOS 2026'!A:A,TRIM(A3453))&gt;0,((VLOOKUP(TRIM(D3453), CATALOGO!A:B, 2, FALSE) * C3453)*(1-VALUE(SUBSTITUTE(VLOOKUP(TRIM(A3453),'RESTAURANTESDESCUENTOS 2026'!A:B,2,FALSE),"%",""))/100)+I3453),(VLOOKUP(TRIM(D3453), CATALOGO!A:B, 2, FALSE) * C3453+I3453)),""))</f>
        <v/>
      </c>
      <c r="K3453" s="196"/>
      <c r="L3453" s="87"/>
      <c r="M3453" s="245"/>
      <c r="N3453" s="168"/>
    </row>
    <row r="3454" ht="22.5" hidden="1" customHeight="1">
      <c r="A3454" s="137"/>
      <c r="B3454" s="90"/>
      <c r="C3454" s="55"/>
      <c r="D3454" s="193"/>
      <c r="E3454" s="201"/>
      <c r="F3454" s="202"/>
      <c r="G3454" s="194"/>
      <c r="H3454" s="198"/>
      <c r="I3454" s="196"/>
      <c r="J3454" s="179" t="str">
        <f>IF(A3454="RAPPI",(VLOOKUP(TRIM(D3454), CATALOGO!F:G, 2, FALSE) * C3454)+I3454,IFERROR(IF(COUNTIF('RESTAURANTESDESCUENTOS 2026'!A:A,TRIM(A3454))&gt;0,((VLOOKUP(TRIM(D3454), CATALOGO!A:B, 2, FALSE) * C3454)*(1-VALUE(SUBSTITUTE(VLOOKUP(TRIM(A3454),'RESTAURANTESDESCUENTOS 2026'!A:B,2,FALSE),"%",""))/100)+I3454),(VLOOKUP(TRIM(D3454), CATALOGO!A:B, 2, FALSE) * C3454+I3454)),""))</f>
        <v/>
      </c>
      <c r="K3454" s="196"/>
      <c r="L3454" s="87"/>
      <c r="M3454" s="245"/>
      <c r="N3454" s="168"/>
    </row>
    <row r="3455" ht="22.5" hidden="1" customHeight="1">
      <c r="A3455" s="137"/>
      <c r="B3455" s="90"/>
      <c r="C3455" s="55"/>
      <c r="D3455" s="193"/>
      <c r="E3455" s="201"/>
      <c r="F3455" s="202"/>
      <c r="G3455" s="194"/>
      <c r="H3455" s="198"/>
      <c r="I3455" s="196"/>
      <c r="J3455" s="179" t="str">
        <f>IF(A3455="RAPPI",(VLOOKUP(TRIM(D3455), CATALOGO!F:G, 2, FALSE) * C3455)+I3455,IFERROR(IF(COUNTIF('RESTAURANTESDESCUENTOS 2026'!A:A,TRIM(A3455))&gt;0,((VLOOKUP(TRIM(D3455), CATALOGO!A:B, 2, FALSE) * C3455)*(1-VALUE(SUBSTITUTE(VLOOKUP(TRIM(A3455),'RESTAURANTESDESCUENTOS 2026'!A:B,2,FALSE),"%",""))/100)+I3455),(VLOOKUP(TRIM(D3455), CATALOGO!A:B, 2, FALSE) * C3455+I3455)),""))</f>
        <v/>
      </c>
      <c r="K3455" s="196"/>
      <c r="L3455" s="87"/>
      <c r="M3455" s="245"/>
      <c r="N3455" s="168"/>
    </row>
    <row r="3456" ht="22.5" hidden="1" customHeight="1">
      <c r="A3456" s="137"/>
      <c r="B3456" s="90"/>
      <c r="C3456" s="55"/>
      <c r="D3456" s="193"/>
      <c r="E3456" s="201"/>
      <c r="F3456" s="202"/>
      <c r="G3456" s="194"/>
      <c r="H3456" s="198"/>
      <c r="I3456" s="196"/>
      <c r="J3456" s="179" t="str">
        <f>IF(A3456="RAPPI",(VLOOKUP(TRIM(D3456), CATALOGO!F:G, 2, FALSE) * C3456)+I3456,IFERROR(IF(COUNTIF('RESTAURANTESDESCUENTOS 2026'!A:A,TRIM(A3456))&gt;0,((VLOOKUP(TRIM(D3456), CATALOGO!A:B, 2, FALSE) * C3456)*(1-VALUE(SUBSTITUTE(VLOOKUP(TRIM(A3456),'RESTAURANTESDESCUENTOS 2026'!A:B,2,FALSE),"%",""))/100)+I3456),(VLOOKUP(TRIM(D3456), CATALOGO!A:B, 2, FALSE) * C3456+I3456)),""))</f>
        <v/>
      </c>
      <c r="K3456" s="196"/>
      <c r="L3456" s="87"/>
      <c r="M3456" s="245"/>
      <c r="N3456" s="168"/>
    </row>
    <row r="3457" ht="22.5" hidden="1" customHeight="1">
      <c r="A3457" s="137"/>
      <c r="B3457" s="90"/>
      <c r="C3457" s="55"/>
      <c r="D3457" s="193"/>
      <c r="E3457" s="201"/>
      <c r="F3457" s="202"/>
      <c r="G3457" s="194"/>
      <c r="H3457" s="198"/>
      <c r="I3457" s="196"/>
      <c r="J3457" s="179" t="str">
        <f>IF(A3457="RAPPI",(VLOOKUP(TRIM(D3457), CATALOGO!F:G, 2, FALSE) * C3457)+I3457,IFERROR(IF(COUNTIF('RESTAURANTESDESCUENTOS 2026'!A:A,TRIM(A3457))&gt;0,((VLOOKUP(TRIM(D3457), CATALOGO!A:B, 2, FALSE) * C3457)*(1-VALUE(SUBSTITUTE(VLOOKUP(TRIM(A3457),'RESTAURANTESDESCUENTOS 2026'!A:B,2,FALSE),"%",""))/100)+I3457),(VLOOKUP(TRIM(D3457), CATALOGO!A:B, 2, FALSE) * C3457+I3457)),""))</f>
        <v/>
      </c>
      <c r="K3457" s="196"/>
      <c r="L3457" s="87"/>
      <c r="M3457" s="245"/>
      <c r="N3457" s="168"/>
    </row>
    <row r="3458" ht="22.5" hidden="1" customHeight="1">
      <c r="A3458" s="137"/>
      <c r="B3458" s="90"/>
      <c r="C3458" s="55"/>
      <c r="D3458" s="193"/>
      <c r="E3458" s="201"/>
      <c r="F3458" s="202"/>
      <c r="G3458" s="194"/>
      <c r="H3458" s="198"/>
      <c r="I3458" s="196"/>
      <c r="J3458" s="179" t="str">
        <f>IF(A3458="RAPPI",(VLOOKUP(TRIM(D3458), CATALOGO!F:G, 2, FALSE) * C3458)+I3458,IFERROR(IF(COUNTIF('RESTAURANTESDESCUENTOS 2026'!A:A,TRIM(A3458))&gt;0,((VLOOKUP(TRIM(D3458), CATALOGO!A:B, 2, FALSE) * C3458)*(1-VALUE(SUBSTITUTE(VLOOKUP(TRIM(A3458),'RESTAURANTESDESCUENTOS 2026'!A:B,2,FALSE),"%",""))/100)+I3458),(VLOOKUP(TRIM(D3458), CATALOGO!A:B, 2, FALSE) * C3458+I3458)),""))</f>
        <v/>
      </c>
      <c r="K3458" s="196"/>
      <c r="L3458" s="87"/>
      <c r="M3458" s="245"/>
      <c r="N3458" s="168"/>
    </row>
    <row r="3459" ht="22.5" hidden="1" customHeight="1">
      <c r="A3459" s="137"/>
      <c r="B3459" s="90"/>
      <c r="C3459" s="55"/>
      <c r="D3459" s="193"/>
      <c r="E3459" s="201"/>
      <c r="F3459" s="202"/>
      <c r="G3459" s="194"/>
      <c r="H3459" s="198"/>
      <c r="I3459" s="196"/>
      <c r="J3459" s="179" t="str">
        <f>IF(A3459="RAPPI",(VLOOKUP(TRIM(D3459), CATALOGO!F:G, 2, FALSE) * C3459)+I3459,IFERROR(IF(COUNTIF('RESTAURANTESDESCUENTOS 2026'!A:A,TRIM(A3459))&gt;0,((VLOOKUP(TRIM(D3459), CATALOGO!A:B, 2, FALSE) * C3459)*(1-VALUE(SUBSTITUTE(VLOOKUP(TRIM(A3459),'RESTAURANTESDESCUENTOS 2026'!A:B,2,FALSE),"%",""))/100)+I3459),(VLOOKUP(TRIM(D3459), CATALOGO!A:B, 2, FALSE) * C3459+I3459)),""))</f>
        <v/>
      </c>
      <c r="K3459" s="196"/>
      <c r="L3459" s="87"/>
      <c r="M3459" s="245"/>
      <c r="N3459" s="168"/>
    </row>
    <row r="3460" ht="22.5" hidden="1" customHeight="1">
      <c r="A3460" s="137"/>
      <c r="B3460" s="90"/>
      <c r="C3460" s="55"/>
      <c r="D3460" s="193"/>
      <c r="E3460" s="201"/>
      <c r="F3460" s="202"/>
      <c r="G3460" s="194"/>
      <c r="H3460" s="198"/>
      <c r="I3460" s="196"/>
      <c r="J3460" s="179" t="str">
        <f>IF(A3460="RAPPI",(VLOOKUP(TRIM(D3460), CATALOGO!F:G, 2, FALSE) * C3460)+I3460,IFERROR(IF(COUNTIF('RESTAURANTESDESCUENTOS 2026'!A:A,TRIM(A3460))&gt;0,((VLOOKUP(TRIM(D3460), CATALOGO!A:B, 2, FALSE) * C3460)*(1-VALUE(SUBSTITUTE(VLOOKUP(TRIM(A3460),'RESTAURANTESDESCUENTOS 2026'!A:B,2,FALSE),"%",""))/100)+I3460),(VLOOKUP(TRIM(D3460), CATALOGO!A:B, 2, FALSE) * C3460+I3460)),""))</f>
        <v/>
      </c>
      <c r="K3460" s="196"/>
      <c r="L3460" s="87"/>
      <c r="M3460" s="245"/>
      <c r="N3460" s="168"/>
    </row>
    <row r="3461" ht="22.5" hidden="1" customHeight="1">
      <c r="A3461" s="137"/>
      <c r="B3461" s="90"/>
      <c r="C3461" s="55"/>
      <c r="D3461" s="193"/>
      <c r="E3461" s="201"/>
      <c r="F3461" s="202"/>
      <c r="G3461" s="194"/>
      <c r="H3461" s="198"/>
      <c r="I3461" s="196"/>
      <c r="J3461" s="179" t="str">
        <f>IF(A3461="RAPPI",(VLOOKUP(TRIM(D3461), CATALOGO!F:G, 2, FALSE) * C3461)+I3461,IFERROR(IF(COUNTIF('RESTAURANTESDESCUENTOS 2026'!A:A,TRIM(A3461))&gt;0,((VLOOKUP(TRIM(D3461), CATALOGO!A:B, 2, FALSE) * C3461)*(1-VALUE(SUBSTITUTE(VLOOKUP(TRIM(A3461),'RESTAURANTESDESCUENTOS 2026'!A:B,2,FALSE),"%",""))/100)+I3461),(VLOOKUP(TRIM(D3461), CATALOGO!A:B, 2, FALSE) * C3461+I3461)),""))</f>
        <v/>
      </c>
      <c r="K3461" s="196"/>
      <c r="L3461" s="87"/>
      <c r="M3461" s="245"/>
      <c r="N3461" s="168"/>
    </row>
    <row r="3462" ht="22.5" hidden="1" customHeight="1">
      <c r="A3462" s="137"/>
      <c r="B3462" s="90"/>
      <c r="C3462" s="55"/>
      <c r="D3462" s="193"/>
      <c r="E3462" s="201"/>
      <c r="F3462" s="202"/>
      <c r="G3462" s="194"/>
      <c r="H3462" s="198"/>
      <c r="I3462" s="196"/>
      <c r="J3462" s="179" t="str">
        <f>IF(A3462="RAPPI",(VLOOKUP(TRIM(D3462), CATALOGO!F:G, 2, FALSE) * C3462)+I3462,IFERROR(IF(COUNTIF('RESTAURANTESDESCUENTOS 2026'!A:A,TRIM(A3462))&gt;0,((VLOOKUP(TRIM(D3462), CATALOGO!A:B, 2, FALSE) * C3462)*(1-VALUE(SUBSTITUTE(VLOOKUP(TRIM(A3462),'RESTAURANTESDESCUENTOS 2026'!A:B,2,FALSE),"%",""))/100)+I3462),(VLOOKUP(TRIM(D3462), CATALOGO!A:B, 2, FALSE) * C3462+I3462)),""))</f>
        <v/>
      </c>
      <c r="K3462" s="196"/>
      <c r="L3462" s="87"/>
      <c r="M3462" s="245"/>
      <c r="N3462" s="168"/>
    </row>
    <row r="3463" ht="22.5" hidden="1" customHeight="1">
      <c r="A3463" s="137"/>
      <c r="B3463" s="90"/>
      <c r="C3463" s="55"/>
      <c r="D3463" s="193"/>
      <c r="E3463" s="201"/>
      <c r="F3463" s="202"/>
      <c r="G3463" s="194"/>
      <c r="H3463" s="198"/>
      <c r="I3463" s="196"/>
      <c r="J3463" s="179" t="str">
        <f>IF(A3463="RAPPI",(VLOOKUP(TRIM(D3463), CATALOGO!F:G, 2, FALSE) * C3463)+I3463,IFERROR(IF(COUNTIF('RESTAURANTESDESCUENTOS 2026'!A:A,TRIM(A3463))&gt;0,((VLOOKUP(TRIM(D3463), CATALOGO!A:B, 2, FALSE) * C3463)*(1-VALUE(SUBSTITUTE(VLOOKUP(TRIM(A3463),'RESTAURANTESDESCUENTOS 2026'!A:B,2,FALSE),"%",""))/100)+I3463),(VLOOKUP(TRIM(D3463), CATALOGO!A:B, 2, FALSE) * C3463+I3463)),""))</f>
        <v/>
      </c>
      <c r="K3463" s="196"/>
      <c r="L3463" s="87"/>
      <c r="M3463" s="245"/>
      <c r="N3463" s="168"/>
    </row>
    <row r="3464" ht="22.5" hidden="1" customHeight="1">
      <c r="A3464" s="137"/>
      <c r="B3464" s="90"/>
      <c r="C3464" s="55"/>
      <c r="D3464" s="193"/>
      <c r="E3464" s="201"/>
      <c r="F3464" s="202"/>
      <c r="G3464" s="194"/>
      <c r="H3464" s="198"/>
      <c r="I3464" s="196"/>
      <c r="J3464" s="179" t="str">
        <f>IF(A3464="RAPPI",(VLOOKUP(TRIM(D3464), CATALOGO!F:G, 2, FALSE) * C3464)+I3464,IFERROR(IF(COUNTIF('RESTAURANTESDESCUENTOS 2026'!A:A,TRIM(A3464))&gt;0,((VLOOKUP(TRIM(D3464), CATALOGO!A:B, 2, FALSE) * C3464)*(1-VALUE(SUBSTITUTE(VLOOKUP(TRIM(A3464),'RESTAURANTESDESCUENTOS 2026'!A:B,2,FALSE),"%",""))/100)+I3464),(VLOOKUP(TRIM(D3464), CATALOGO!A:B, 2, FALSE) * C3464+I3464)),""))</f>
        <v/>
      </c>
      <c r="K3464" s="196"/>
      <c r="L3464" s="87"/>
      <c r="M3464" s="245"/>
      <c r="N3464" s="168"/>
    </row>
    <row r="3465" ht="22.5" hidden="1" customHeight="1">
      <c r="A3465" s="137"/>
      <c r="B3465" s="90"/>
      <c r="C3465" s="55"/>
      <c r="D3465" s="193"/>
      <c r="E3465" s="201"/>
      <c r="F3465" s="202"/>
      <c r="G3465" s="194"/>
      <c r="H3465" s="198"/>
      <c r="I3465" s="196"/>
      <c r="J3465" s="179" t="str">
        <f>IF(A3465="RAPPI",(VLOOKUP(TRIM(D3465), CATALOGO!F:G, 2, FALSE) * C3465)+I3465,IFERROR(IF(COUNTIF('RESTAURANTESDESCUENTOS 2026'!A:A,TRIM(A3465))&gt;0,((VLOOKUP(TRIM(D3465), CATALOGO!A:B, 2, FALSE) * C3465)*(1-VALUE(SUBSTITUTE(VLOOKUP(TRIM(A3465),'RESTAURANTESDESCUENTOS 2026'!A:B,2,FALSE),"%",""))/100)+I3465),(VLOOKUP(TRIM(D3465), CATALOGO!A:B, 2, FALSE) * C3465+I3465)),""))</f>
        <v/>
      </c>
      <c r="K3465" s="196"/>
      <c r="L3465" s="87"/>
      <c r="M3465" s="245"/>
      <c r="N3465" s="168"/>
    </row>
    <row r="3466" ht="22.5" hidden="1" customHeight="1">
      <c r="A3466" s="137"/>
      <c r="B3466" s="90"/>
      <c r="C3466" s="55"/>
      <c r="D3466" s="193"/>
      <c r="E3466" s="201"/>
      <c r="F3466" s="202"/>
      <c r="G3466" s="194"/>
      <c r="H3466" s="198"/>
      <c r="I3466" s="196"/>
      <c r="J3466" s="179" t="str">
        <f>IF(A3466="RAPPI",(VLOOKUP(TRIM(D3466), CATALOGO!F:G, 2, FALSE) * C3466)+I3466,IFERROR(IF(COUNTIF('RESTAURANTESDESCUENTOS 2026'!A:A,TRIM(A3466))&gt;0,((VLOOKUP(TRIM(D3466), CATALOGO!A:B, 2, FALSE) * C3466)*(1-VALUE(SUBSTITUTE(VLOOKUP(TRIM(A3466),'RESTAURANTESDESCUENTOS 2026'!A:B,2,FALSE),"%",""))/100)+I3466),(VLOOKUP(TRIM(D3466), CATALOGO!A:B, 2, FALSE) * C3466+I3466)),""))</f>
        <v/>
      </c>
      <c r="K3466" s="196"/>
      <c r="L3466" s="87"/>
      <c r="M3466" s="245"/>
      <c r="N3466" s="168"/>
    </row>
    <row r="3467" ht="22.5" hidden="1" customHeight="1">
      <c r="A3467" s="137"/>
      <c r="B3467" s="90"/>
      <c r="C3467" s="55"/>
      <c r="D3467" s="193"/>
      <c r="E3467" s="201"/>
      <c r="F3467" s="202"/>
      <c r="G3467" s="194"/>
      <c r="H3467" s="198"/>
      <c r="I3467" s="196"/>
      <c r="J3467" s="179" t="str">
        <f>IF(A3467="RAPPI",(VLOOKUP(TRIM(D3467), CATALOGO!F:G, 2, FALSE) * C3467)+I3467,IFERROR(IF(COUNTIF('RESTAURANTESDESCUENTOS 2026'!A:A,TRIM(A3467))&gt;0,((VLOOKUP(TRIM(D3467), CATALOGO!A:B, 2, FALSE) * C3467)*(1-VALUE(SUBSTITUTE(VLOOKUP(TRIM(A3467),'RESTAURANTESDESCUENTOS 2026'!A:B,2,FALSE),"%",""))/100)+I3467),(VLOOKUP(TRIM(D3467), CATALOGO!A:B, 2, FALSE) * C3467+I3467)),""))</f>
        <v/>
      </c>
      <c r="K3467" s="196"/>
      <c r="L3467" s="87"/>
      <c r="M3467" s="245"/>
      <c r="N3467" s="168"/>
    </row>
    <row r="3468" ht="22.5" hidden="1" customHeight="1">
      <c r="A3468" s="137"/>
      <c r="B3468" s="90"/>
      <c r="C3468" s="55"/>
      <c r="D3468" s="193"/>
      <c r="E3468" s="201"/>
      <c r="F3468" s="202"/>
      <c r="G3468" s="194"/>
      <c r="H3468" s="198"/>
      <c r="I3468" s="196"/>
      <c r="J3468" s="179" t="str">
        <f>IF(A3468="RAPPI",(VLOOKUP(TRIM(D3468), CATALOGO!F:G, 2, FALSE) * C3468)+I3468,IFERROR(IF(COUNTIF('RESTAURANTESDESCUENTOS 2026'!A:A,TRIM(A3468))&gt;0,((VLOOKUP(TRIM(D3468), CATALOGO!A:B, 2, FALSE) * C3468)*(1-VALUE(SUBSTITUTE(VLOOKUP(TRIM(A3468),'RESTAURANTESDESCUENTOS 2026'!A:B,2,FALSE),"%",""))/100)+I3468),(VLOOKUP(TRIM(D3468), CATALOGO!A:B, 2, FALSE) * C3468+I3468)),""))</f>
        <v/>
      </c>
      <c r="K3468" s="196"/>
      <c r="L3468" s="87"/>
      <c r="M3468" s="245"/>
      <c r="N3468" s="168"/>
    </row>
    <row r="3469" ht="22.5" hidden="1" customHeight="1">
      <c r="A3469" s="137"/>
      <c r="B3469" s="90"/>
      <c r="C3469" s="55"/>
      <c r="D3469" s="193"/>
      <c r="E3469" s="201"/>
      <c r="F3469" s="202"/>
      <c r="G3469" s="194"/>
      <c r="H3469" s="198"/>
      <c r="I3469" s="196"/>
      <c r="J3469" s="179" t="str">
        <f>IF(A3469="RAPPI",(VLOOKUP(TRIM(D3469), CATALOGO!F:G, 2, FALSE) * C3469)+I3469,IFERROR(IF(COUNTIF('RESTAURANTESDESCUENTOS 2026'!A:A,TRIM(A3469))&gt;0,((VLOOKUP(TRIM(D3469), CATALOGO!A:B, 2, FALSE) * C3469)*(1-VALUE(SUBSTITUTE(VLOOKUP(TRIM(A3469),'RESTAURANTESDESCUENTOS 2026'!A:B,2,FALSE),"%",""))/100)+I3469),(VLOOKUP(TRIM(D3469), CATALOGO!A:B, 2, FALSE) * C3469+I3469)),""))</f>
        <v/>
      </c>
      <c r="K3469" s="196"/>
      <c r="L3469" s="87"/>
      <c r="M3469" s="245"/>
      <c r="N3469" s="168"/>
    </row>
    <row r="3470" ht="22.5" hidden="1" customHeight="1">
      <c r="A3470" s="137"/>
      <c r="B3470" s="90"/>
      <c r="C3470" s="55"/>
      <c r="D3470" s="193"/>
      <c r="E3470" s="201"/>
      <c r="F3470" s="202"/>
      <c r="G3470" s="194"/>
      <c r="H3470" s="198"/>
      <c r="I3470" s="196"/>
      <c r="J3470" s="179" t="str">
        <f>IF(A3470="RAPPI",(VLOOKUP(TRIM(D3470), CATALOGO!F:G, 2, FALSE) * C3470)+I3470,IFERROR(IF(COUNTIF('RESTAURANTESDESCUENTOS 2026'!A:A,TRIM(A3470))&gt;0,((VLOOKUP(TRIM(D3470), CATALOGO!A:B, 2, FALSE) * C3470)*(1-VALUE(SUBSTITUTE(VLOOKUP(TRIM(A3470),'RESTAURANTESDESCUENTOS 2026'!A:B,2,FALSE),"%",""))/100)+I3470),(VLOOKUP(TRIM(D3470), CATALOGO!A:B, 2, FALSE) * C3470+I3470)),""))</f>
        <v/>
      </c>
      <c r="K3470" s="196"/>
      <c r="L3470" s="87"/>
      <c r="M3470" s="245"/>
      <c r="N3470" s="168"/>
    </row>
    <row r="3471" ht="22.5" hidden="1" customHeight="1">
      <c r="A3471" s="137"/>
      <c r="B3471" s="90"/>
      <c r="C3471" s="55"/>
      <c r="D3471" s="193"/>
      <c r="E3471" s="201"/>
      <c r="F3471" s="202"/>
      <c r="G3471" s="194"/>
      <c r="H3471" s="198"/>
      <c r="I3471" s="196"/>
      <c r="J3471" s="179" t="str">
        <f>IF(A3471="RAPPI",(VLOOKUP(TRIM(D3471), CATALOGO!F:G, 2, FALSE) * C3471)+I3471,IFERROR(IF(COUNTIF('RESTAURANTESDESCUENTOS 2026'!A:A,TRIM(A3471))&gt;0,((VLOOKUP(TRIM(D3471), CATALOGO!A:B, 2, FALSE) * C3471)*(1-VALUE(SUBSTITUTE(VLOOKUP(TRIM(A3471),'RESTAURANTESDESCUENTOS 2026'!A:B,2,FALSE),"%",""))/100)+I3471),(VLOOKUP(TRIM(D3471), CATALOGO!A:B, 2, FALSE) * C3471+I3471)),""))</f>
        <v/>
      </c>
      <c r="K3471" s="196"/>
      <c r="L3471" s="87"/>
      <c r="M3471" s="245"/>
      <c r="N3471" s="168"/>
    </row>
    <row r="3472" ht="22.5" hidden="1" customHeight="1">
      <c r="A3472" s="137"/>
      <c r="B3472" s="90"/>
      <c r="C3472" s="55"/>
      <c r="D3472" s="193"/>
      <c r="E3472" s="201"/>
      <c r="F3472" s="202"/>
      <c r="G3472" s="194"/>
      <c r="H3472" s="198"/>
      <c r="I3472" s="196"/>
      <c r="J3472" s="179" t="str">
        <f>IF(A3472="RAPPI",(VLOOKUP(TRIM(D3472), CATALOGO!F:G, 2, FALSE) * C3472)+I3472,IFERROR(IF(COUNTIF('RESTAURANTESDESCUENTOS 2026'!A:A,TRIM(A3472))&gt;0,((VLOOKUP(TRIM(D3472), CATALOGO!A:B, 2, FALSE) * C3472)*(1-VALUE(SUBSTITUTE(VLOOKUP(TRIM(A3472),'RESTAURANTESDESCUENTOS 2026'!A:B,2,FALSE),"%",""))/100)+I3472),(VLOOKUP(TRIM(D3472), CATALOGO!A:B, 2, FALSE) * C3472+I3472)),""))</f>
        <v/>
      </c>
      <c r="K3472" s="196"/>
      <c r="L3472" s="87"/>
      <c r="M3472" s="245"/>
      <c r="N3472" s="168"/>
    </row>
    <row r="3473" ht="22.5" hidden="1" customHeight="1">
      <c r="A3473" s="137"/>
      <c r="B3473" s="90"/>
      <c r="C3473" s="55"/>
      <c r="D3473" s="193"/>
      <c r="E3473" s="201"/>
      <c r="F3473" s="202"/>
      <c r="G3473" s="194"/>
      <c r="H3473" s="198"/>
      <c r="I3473" s="196"/>
      <c r="J3473" s="179" t="str">
        <f>IF(A3473="RAPPI",(VLOOKUP(TRIM(D3473), CATALOGO!F:G, 2, FALSE) * C3473)+I3473,IFERROR(IF(COUNTIF('RESTAURANTESDESCUENTOS 2026'!A:A,TRIM(A3473))&gt;0,((VLOOKUP(TRIM(D3473), CATALOGO!A:B, 2, FALSE) * C3473)*(1-VALUE(SUBSTITUTE(VLOOKUP(TRIM(A3473),'RESTAURANTESDESCUENTOS 2026'!A:B,2,FALSE),"%",""))/100)+I3473),(VLOOKUP(TRIM(D3473), CATALOGO!A:B, 2, FALSE) * C3473+I3473)),""))</f>
        <v/>
      </c>
      <c r="K3473" s="196"/>
      <c r="L3473" s="87"/>
      <c r="M3473" s="245"/>
      <c r="N3473" s="168"/>
    </row>
    <row r="3474" ht="22.5" hidden="1" customHeight="1">
      <c r="A3474" s="137"/>
      <c r="B3474" s="90"/>
      <c r="C3474" s="55"/>
      <c r="D3474" s="193"/>
      <c r="E3474" s="201"/>
      <c r="F3474" s="202"/>
      <c r="G3474" s="194"/>
      <c r="H3474" s="198"/>
      <c r="I3474" s="196"/>
      <c r="J3474" s="179" t="str">
        <f>IF(A3474="RAPPI",(VLOOKUP(TRIM(D3474), CATALOGO!F:G, 2, FALSE) * C3474)+I3474,IFERROR(IF(COUNTIF('RESTAURANTESDESCUENTOS 2026'!A:A,TRIM(A3474))&gt;0,((VLOOKUP(TRIM(D3474), CATALOGO!A:B, 2, FALSE) * C3474)*(1-VALUE(SUBSTITUTE(VLOOKUP(TRIM(A3474),'RESTAURANTESDESCUENTOS 2026'!A:B,2,FALSE),"%",""))/100)+I3474),(VLOOKUP(TRIM(D3474), CATALOGO!A:B, 2, FALSE) * C3474+I3474)),""))</f>
        <v/>
      </c>
      <c r="K3474" s="196"/>
      <c r="L3474" s="87"/>
      <c r="M3474" s="245"/>
      <c r="N3474" s="168"/>
    </row>
    <row r="3475" ht="22.5" hidden="1" customHeight="1">
      <c r="A3475" s="137"/>
      <c r="B3475" s="90"/>
      <c r="C3475" s="55"/>
      <c r="D3475" s="193"/>
      <c r="E3475" s="201"/>
      <c r="F3475" s="202"/>
      <c r="G3475" s="194"/>
      <c r="H3475" s="198"/>
      <c r="I3475" s="196"/>
      <c r="J3475" s="179" t="str">
        <f>IF(A3475="RAPPI",(VLOOKUP(TRIM(D3475), CATALOGO!F:G, 2, FALSE) * C3475)+I3475,IFERROR(IF(COUNTIF('RESTAURANTESDESCUENTOS 2026'!A:A,TRIM(A3475))&gt;0,((VLOOKUP(TRIM(D3475), CATALOGO!A:B, 2, FALSE) * C3475)*(1-VALUE(SUBSTITUTE(VLOOKUP(TRIM(A3475),'RESTAURANTESDESCUENTOS 2026'!A:B,2,FALSE),"%",""))/100)+I3475),(VLOOKUP(TRIM(D3475), CATALOGO!A:B, 2, FALSE) * C3475+I3475)),""))</f>
        <v/>
      </c>
      <c r="K3475" s="196"/>
      <c r="L3475" s="87"/>
      <c r="M3475" s="245"/>
      <c r="N3475" s="168"/>
    </row>
    <row r="3476" ht="22.5" hidden="1" customHeight="1">
      <c r="A3476" s="137"/>
      <c r="B3476" s="90"/>
      <c r="C3476" s="55"/>
      <c r="D3476" s="193"/>
      <c r="E3476" s="201"/>
      <c r="F3476" s="202"/>
      <c r="G3476" s="194"/>
      <c r="H3476" s="198"/>
      <c r="I3476" s="196"/>
      <c r="J3476" s="179" t="str">
        <f>IF(A3476="RAPPI",(VLOOKUP(TRIM(D3476), CATALOGO!F:G, 2, FALSE) * C3476)+I3476,IFERROR(IF(COUNTIF('RESTAURANTESDESCUENTOS 2026'!A:A,TRIM(A3476))&gt;0,((VLOOKUP(TRIM(D3476), CATALOGO!A:B, 2, FALSE) * C3476)*(1-VALUE(SUBSTITUTE(VLOOKUP(TRIM(A3476),'RESTAURANTESDESCUENTOS 2026'!A:B,2,FALSE),"%",""))/100)+I3476),(VLOOKUP(TRIM(D3476), CATALOGO!A:B, 2, FALSE) * C3476+I3476)),""))</f>
        <v/>
      </c>
      <c r="K3476" s="196"/>
      <c r="L3476" s="87"/>
      <c r="M3476" s="245"/>
      <c r="N3476" s="168"/>
    </row>
    <row r="3477" ht="22.5" hidden="1" customHeight="1">
      <c r="A3477" s="137"/>
      <c r="B3477" s="90"/>
      <c r="C3477" s="55"/>
      <c r="D3477" s="193"/>
      <c r="E3477" s="201"/>
      <c r="F3477" s="202"/>
      <c r="G3477" s="194"/>
      <c r="H3477" s="198"/>
      <c r="I3477" s="196"/>
      <c r="J3477" s="179" t="str">
        <f>IF(A3477="RAPPI",(VLOOKUP(TRIM(D3477), CATALOGO!F:G, 2, FALSE) * C3477)+I3477,IFERROR(IF(COUNTIF('RESTAURANTESDESCUENTOS 2026'!A:A,TRIM(A3477))&gt;0,((VLOOKUP(TRIM(D3477), CATALOGO!A:B, 2, FALSE) * C3477)*(1-VALUE(SUBSTITUTE(VLOOKUP(TRIM(A3477),'RESTAURANTESDESCUENTOS 2026'!A:B,2,FALSE),"%",""))/100)+I3477),(VLOOKUP(TRIM(D3477), CATALOGO!A:B, 2, FALSE) * C3477+I3477)),""))</f>
        <v/>
      </c>
      <c r="K3477" s="196"/>
      <c r="L3477" s="87"/>
      <c r="M3477" s="245"/>
      <c r="N3477" s="168"/>
    </row>
    <row r="3478" ht="22.5" hidden="1" customHeight="1">
      <c r="A3478" s="137"/>
      <c r="B3478" s="90"/>
      <c r="C3478" s="55"/>
      <c r="D3478" s="193"/>
      <c r="E3478" s="201"/>
      <c r="F3478" s="202"/>
      <c r="G3478" s="194"/>
      <c r="H3478" s="198"/>
      <c r="I3478" s="196"/>
      <c r="J3478" s="179" t="str">
        <f>IF(A3478="RAPPI",(VLOOKUP(TRIM(D3478), CATALOGO!F:G, 2, FALSE) * C3478)+I3478,IFERROR(IF(COUNTIF('RESTAURANTESDESCUENTOS 2026'!A:A,TRIM(A3478))&gt;0,((VLOOKUP(TRIM(D3478), CATALOGO!A:B, 2, FALSE) * C3478)*(1-VALUE(SUBSTITUTE(VLOOKUP(TRIM(A3478),'RESTAURANTESDESCUENTOS 2026'!A:B,2,FALSE),"%",""))/100)+I3478),(VLOOKUP(TRIM(D3478), CATALOGO!A:B, 2, FALSE) * C3478+I3478)),""))</f>
        <v/>
      </c>
      <c r="K3478" s="196"/>
      <c r="L3478" s="87"/>
      <c r="M3478" s="245"/>
      <c r="N3478" s="168"/>
    </row>
    <row r="3479" ht="22.5" hidden="1" customHeight="1">
      <c r="A3479" s="137"/>
      <c r="B3479" s="90"/>
      <c r="C3479" s="55"/>
      <c r="D3479" s="193"/>
      <c r="E3479" s="201"/>
      <c r="F3479" s="202"/>
      <c r="G3479" s="194"/>
      <c r="H3479" s="198"/>
      <c r="I3479" s="196"/>
      <c r="J3479" s="179" t="str">
        <f>IF(A3479="RAPPI",(VLOOKUP(TRIM(D3479), CATALOGO!F:G, 2, FALSE) * C3479)+I3479,IFERROR(IF(COUNTIF('RESTAURANTESDESCUENTOS 2026'!A:A,TRIM(A3479))&gt;0,((VLOOKUP(TRIM(D3479), CATALOGO!A:B, 2, FALSE) * C3479)*(1-VALUE(SUBSTITUTE(VLOOKUP(TRIM(A3479),'RESTAURANTESDESCUENTOS 2026'!A:B,2,FALSE),"%",""))/100)+I3479),(VLOOKUP(TRIM(D3479), CATALOGO!A:B, 2, FALSE) * C3479+I3479)),""))</f>
        <v/>
      </c>
      <c r="K3479" s="196"/>
      <c r="L3479" s="87"/>
      <c r="M3479" s="245"/>
      <c r="N3479" s="168"/>
    </row>
    <row r="3480" ht="22.5" hidden="1" customHeight="1">
      <c r="A3480" s="137"/>
      <c r="B3480" s="90"/>
      <c r="C3480" s="55"/>
      <c r="D3480" s="193"/>
      <c r="E3480" s="201"/>
      <c r="F3480" s="202"/>
      <c r="G3480" s="194"/>
      <c r="H3480" s="198"/>
      <c r="I3480" s="196"/>
      <c r="J3480" s="179" t="str">
        <f>IF(A3480="RAPPI",(VLOOKUP(TRIM(D3480), CATALOGO!F:G, 2, FALSE) * C3480)+I3480,IFERROR(IF(COUNTIF('RESTAURANTESDESCUENTOS 2026'!A:A,TRIM(A3480))&gt;0,((VLOOKUP(TRIM(D3480), CATALOGO!A:B, 2, FALSE) * C3480)*(1-VALUE(SUBSTITUTE(VLOOKUP(TRIM(A3480),'RESTAURANTESDESCUENTOS 2026'!A:B,2,FALSE),"%",""))/100)+I3480),(VLOOKUP(TRIM(D3480), CATALOGO!A:B, 2, FALSE) * C3480+I3480)),""))</f>
        <v/>
      </c>
      <c r="K3480" s="196"/>
      <c r="L3480" s="87"/>
      <c r="M3480" s="245"/>
      <c r="N3480" s="168"/>
    </row>
    <row r="3481" ht="22.5" hidden="1" customHeight="1">
      <c r="A3481" s="137"/>
      <c r="B3481" s="90"/>
      <c r="C3481" s="55"/>
      <c r="D3481" s="193"/>
      <c r="E3481" s="201"/>
      <c r="F3481" s="202"/>
      <c r="G3481" s="194"/>
      <c r="H3481" s="198"/>
      <c r="I3481" s="196"/>
      <c r="J3481" s="179" t="str">
        <f>IF(A3481="RAPPI",(VLOOKUP(TRIM(D3481), CATALOGO!F:G, 2, FALSE) * C3481)+I3481,IFERROR(IF(COUNTIF('RESTAURANTESDESCUENTOS 2026'!A:A,TRIM(A3481))&gt;0,((VLOOKUP(TRIM(D3481), CATALOGO!A:B, 2, FALSE) * C3481)*(1-VALUE(SUBSTITUTE(VLOOKUP(TRIM(A3481),'RESTAURANTESDESCUENTOS 2026'!A:B,2,FALSE),"%",""))/100)+I3481),(VLOOKUP(TRIM(D3481), CATALOGO!A:B, 2, FALSE) * C3481+I3481)),""))</f>
        <v/>
      </c>
      <c r="K3481" s="196"/>
      <c r="L3481" s="87"/>
      <c r="M3481" s="245"/>
      <c r="N3481" s="168"/>
    </row>
    <row r="3482" ht="22.5" hidden="1" customHeight="1">
      <c r="A3482" s="137"/>
      <c r="B3482" s="90"/>
      <c r="C3482" s="55"/>
      <c r="D3482" s="193"/>
      <c r="E3482" s="201"/>
      <c r="F3482" s="202"/>
      <c r="G3482" s="194"/>
      <c r="H3482" s="198"/>
      <c r="I3482" s="196"/>
      <c r="J3482" s="179" t="str">
        <f>IF(A3482="RAPPI",(VLOOKUP(TRIM(D3482), CATALOGO!F:G, 2, FALSE) * C3482)+I3482,IFERROR(IF(COUNTIF('RESTAURANTESDESCUENTOS 2026'!A:A,TRIM(A3482))&gt;0,((VLOOKUP(TRIM(D3482), CATALOGO!A:B, 2, FALSE) * C3482)*(1-VALUE(SUBSTITUTE(VLOOKUP(TRIM(A3482),'RESTAURANTESDESCUENTOS 2026'!A:B,2,FALSE),"%",""))/100)+I3482),(VLOOKUP(TRIM(D3482), CATALOGO!A:B, 2, FALSE) * C3482+I3482)),""))</f>
        <v/>
      </c>
      <c r="K3482" s="196"/>
      <c r="L3482" s="87"/>
      <c r="M3482" s="245"/>
      <c r="N3482" s="168"/>
    </row>
    <row r="3483" ht="22.5" hidden="1" customHeight="1">
      <c r="A3483" s="137"/>
      <c r="B3483" s="90"/>
      <c r="C3483" s="55"/>
      <c r="D3483" s="193"/>
      <c r="E3483" s="201"/>
      <c r="F3483" s="202"/>
      <c r="G3483" s="194"/>
      <c r="H3483" s="198"/>
      <c r="I3483" s="196"/>
      <c r="J3483" s="179" t="str">
        <f>IF(A3483="RAPPI",(VLOOKUP(TRIM(D3483), CATALOGO!F:G, 2, FALSE) * C3483)+I3483,IFERROR(IF(COUNTIF('RESTAURANTESDESCUENTOS 2026'!A:A,TRIM(A3483))&gt;0,((VLOOKUP(TRIM(D3483), CATALOGO!A:B, 2, FALSE) * C3483)*(1-VALUE(SUBSTITUTE(VLOOKUP(TRIM(A3483),'RESTAURANTESDESCUENTOS 2026'!A:B,2,FALSE),"%",""))/100)+I3483),(VLOOKUP(TRIM(D3483), CATALOGO!A:B, 2, FALSE) * C3483+I3483)),""))</f>
        <v/>
      </c>
      <c r="K3483" s="196"/>
      <c r="L3483" s="87"/>
      <c r="M3483" s="245"/>
      <c r="N3483" s="168"/>
    </row>
    <row r="3484" ht="22.5" hidden="1" customHeight="1">
      <c r="A3484" s="137"/>
      <c r="B3484" s="90"/>
      <c r="C3484" s="55"/>
      <c r="D3484" s="193"/>
      <c r="E3484" s="201"/>
      <c r="F3484" s="202"/>
      <c r="G3484" s="194"/>
      <c r="H3484" s="198"/>
      <c r="I3484" s="196"/>
      <c r="J3484" s="179" t="str">
        <f>IF(A3484="RAPPI",(VLOOKUP(TRIM(D3484), CATALOGO!F:G, 2, FALSE) * C3484)+I3484,IFERROR(IF(COUNTIF('RESTAURANTESDESCUENTOS 2026'!A:A,TRIM(A3484))&gt;0,((VLOOKUP(TRIM(D3484), CATALOGO!A:B, 2, FALSE) * C3484)*(1-VALUE(SUBSTITUTE(VLOOKUP(TRIM(A3484),'RESTAURANTESDESCUENTOS 2026'!A:B,2,FALSE),"%",""))/100)+I3484),(VLOOKUP(TRIM(D3484), CATALOGO!A:B, 2, FALSE) * C3484+I3484)),""))</f>
        <v/>
      </c>
      <c r="K3484" s="196"/>
      <c r="L3484" s="87"/>
      <c r="M3484" s="245"/>
      <c r="N3484" s="168"/>
    </row>
    <row r="3485" ht="22.5" hidden="1" customHeight="1">
      <c r="A3485" s="137"/>
      <c r="B3485" s="90"/>
      <c r="C3485" s="55"/>
      <c r="D3485" s="193"/>
      <c r="E3485" s="201"/>
      <c r="F3485" s="202"/>
      <c r="G3485" s="194"/>
      <c r="H3485" s="198"/>
      <c r="I3485" s="196"/>
      <c r="J3485" s="179" t="str">
        <f>IF(A3485="RAPPI",(VLOOKUP(TRIM(D3485), CATALOGO!F:G, 2, FALSE) * C3485)+I3485,IFERROR(IF(COUNTIF('RESTAURANTESDESCUENTOS 2026'!A:A,TRIM(A3485))&gt;0,((VLOOKUP(TRIM(D3485), CATALOGO!A:B, 2, FALSE) * C3485)*(1-VALUE(SUBSTITUTE(VLOOKUP(TRIM(A3485),'RESTAURANTESDESCUENTOS 2026'!A:B,2,FALSE),"%",""))/100)+I3485),(VLOOKUP(TRIM(D3485), CATALOGO!A:B, 2, FALSE) * C3485+I3485)),""))</f>
        <v/>
      </c>
      <c r="K3485" s="196"/>
      <c r="L3485" s="87"/>
      <c r="M3485" s="245"/>
      <c r="N3485" s="168"/>
    </row>
    <row r="3486" ht="22.5" hidden="1" customHeight="1">
      <c r="A3486" s="137"/>
      <c r="B3486" s="90"/>
      <c r="C3486" s="55"/>
      <c r="D3486" s="193"/>
      <c r="E3486" s="201"/>
      <c r="F3486" s="202"/>
      <c r="G3486" s="194"/>
      <c r="H3486" s="198"/>
      <c r="I3486" s="196"/>
      <c r="J3486" s="179" t="str">
        <f>IF(A3486="RAPPI",(VLOOKUP(TRIM(D3486), CATALOGO!F:G, 2, FALSE) * C3486)+I3486,IFERROR(IF(COUNTIF('RESTAURANTESDESCUENTOS 2026'!A:A,TRIM(A3486))&gt;0,((VLOOKUP(TRIM(D3486), CATALOGO!A:B, 2, FALSE) * C3486)*(1-VALUE(SUBSTITUTE(VLOOKUP(TRIM(A3486),'RESTAURANTESDESCUENTOS 2026'!A:B,2,FALSE),"%",""))/100)+I3486),(VLOOKUP(TRIM(D3486), CATALOGO!A:B, 2, FALSE) * C3486+I3486)),""))</f>
        <v/>
      </c>
      <c r="K3486" s="196"/>
      <c r="L3486" s="87"/>
      <c r="M3486" s="245"/>
      <c r="N3486" s="168"/>
    </row>
    <row r="3487" ht="22.5" hidden="1" customHeight="1">
      <c r="A3487" s="137"/>
      <c r="B3487" s="90"/>
      <c r="C3487" s="55"/>
      <c r="D3487" s="193"/>
      <c r="E3487" s="201"/>
      <c r="F3487" s="202"/>
      <c r="G3487" s="194"/>
      <c r="H3487" s="198"/>
      <c r="I3487" s="196"/>
      <c r="J3487" s="179" t="str">
        <f>IF(A3487="RAPPI",(VLOOKUP(TRIM(D3487), CATALOGO!F:G, 2, FALSE) * C3487)+I3487,IFERROR(IF(COUNTIF('RESTAURANTESDESCUENTOS 2026'!A:A,TRIM(A3487))&gt;0,((VLOOKUP(TRIM(D3487), CATALOGO!A:B, 2, FALSE) * C3487)*(1-VALUE(SUBSTITUTE(VLOOKUP(TRIM(A3487),'RESTAURANTESDESCUENTOS 2026'!A:B,2,FALSE),"%",""))/100)+I3487),(VLOOKUP(TRIM(D3487), CATALOGO!A:B, 2, FALSE) * C3487+I3487)),""))</f>
        <v/>
      </c>
      <c r="K3487" s="196"/>
      <c r="L3487" s="87"/>
      <c r="M3487" s="245"/>
      <c r="N3487" s="168"/>
    </row>
    <row r="3488" ht="22.5" hidden="1" customHeight="1">
      <c r="A3488" s="137"/>
      <c r="B3488" s="90"/>
      <c r="C3488" s="55"/>
      <c r="D3488" s="193"/>
      <c r="E3488" s="201"/>
      <c r="F3488" s="202"/>
      <c r="G3488" s="194"/>
      <c r="H3488" s="198"/>
      <c r="I3488" s="196"/>
      <c r="J3488" s="179" t="str">
        <f>IF(A3488="RAPPI",(VLOOKUP(TRIM(D3488), CATALOGO!F:G, 2, FALSE) * C3488)+I3488,IFERROR(IF(COUNTIF('RESTAURANTESDESCUENTOS 2026'!A:A,TRIM(A3488))&gt;0,((VLOOKUP(TRIM(D3488), CATALOGO!A:B, 2, FALSE) * C3488)*(1-VALUE(SUBSTITUTE(VLOOKUP(TRIM(A3488),'RESTAURANTESDESCUENTOS 2026'!A:B,2,FALSE),"%",""))/100)+I3488),(VLOOKUP(TRIM(D3488), CATALOGO!A:B, 2, FALSE) * C3488+I3488)),""))</f>
        <v/>
      </c>
      <c r="K3488" s="196"/>
      <c r="L3488" s="87"/>
      <c r="M3488" s="245"/>
      <c r="N3488" s="168"/>
    </row>
    <row r="3489" ht="22.5" hidden="1" customHeight="1">
      <c r="A3489" s="137"/>
      <c r="B3489" s="90"/>
      <c r="C3489" s="55"/>
      <c r="D3489" s="193"/>
      <c r="E3489" s="201"/>
      <c r="F3489" s="202"/>
      <c r="G3489" s="194"/>
      <c r="H3489" s="198"/>
      <c r="I3489" s="196"/>
      <c r="J3489" s="179" t="str">
        <f>IF(A3489="RAPPI",(VLOOKUP(TRIM(D3489), CATALOGO!F:G, 2, FALSE) * C3489)+I3489,IFERROR(IF(COUNTIF('RESTAURANTESDESCUENTOS 2026'!A:A,TRIM(A3489))&gt;0,((VLOOKUP(TRIM(D3489), CATALOGO!A:B, 2, FALSE) * C3489)*(1-VALUE(SUBSTITUTE(VLOOKUP(TRIM(A3489),'RESTAURANTESDESCUENTOS 2026'!A:B,2,FALSE),"%",""))/100)+I3489),(VLOOKUP(TRIM(D3489), CATALOGO!A:B, 2, FALSE) * C3489+I3489)),""))</f>
        <v/>
      </c>
      <c r="K3489" s="196"/>
      <c r="L3489" s="87"/>
      <c r="M3489" s="245"/>
      <c r="N3489" s="168"/>
    </row>
    <row r="3490" ht="22.5" hidden="1" customHeight="1">
      <c r="A3490" s="137"/>
      <c r="B3490" s="90"/>
      <c r="C3490" s="55"/>
      <c r="D3490" s="193"/>
      <c r="E3490" s="201"/>
      <c r="F3490" s="202"/>
      <c r="G3490" s="194"/>
      <c r="H3490" s="198"/>
      <c r="I3490" s="196"/>
      <c r="J3490" s="179" t="str">
        <f>IF(A3490="RAPPI",(VLOOKUP(TRIM(D3490), CATALOGO!F:G, 2, FALSE) * C3490)+I3490,IFERROR(IF(COUNTIF('RESTAURANTESDESCUENTOS 2026'!A:A,TRIM(A3490))&gt;0,((VLOOKUP(TRIM(D3490), CATALOGO!A:B, 2, FALSE) * C3490)*(1-VALUE(SUBSTITUTE(VLOOKUP(TRIM(A3490),'RESTAURANTESDESCUENTOS 2026'!A:B,2,FALSE),"%",""))/100)+I3490),(VLOOKUP(TRIM(D3490), CATALOGO!A:B, 2, FALSE) * C3490+I3490)),""))</f>
        <v/>
      </c>
      <c r="K3490" s="196"/>
      <c r="L3490" s="87"/>
      <c r="M3490" s="245"/>
      <c r="N3490" s="168"/>
    </row>
    <row r="3491" ht="22.5" hidden="1" customHeight="1">
      <c r="A3491" s="137"/>
      <c r="B3491" s="90"/>
      <c r="C3491" s="55"/>
      <c r="D3491" s="193"/>
      <c r="E3491" s="201"/>
      <c r="F3491" s="202"/>
      <c r="G3491" s="194"/>
      <c r="H3491" s="198"/>
      <c r="I3491" s="196"/>
      <c r="J3491" s="179" t="str">
        <f>IF(A3491="RAPPI",(VLOOKUP(TRIM(D3491), CATALOGO!F:G, 2, FALSE) * C3491)+I3491,IFERROR(IF(COUNTIF('RESTAURANTESDESCUENTOS 2026'!A:A,TRIM(A3491))&gt;0,((VLOOKUP(TRIM(D3491), CATALOGO!A:B, 2, FALSE) * C3491)*(1-VALUE(SUBSTITUTE(VLOOKUP(TRIM(A3491),'RESTAURANTESDESCUENTOS 2026'!A:B,2,FALSE),"%",""))/100)+I3491),(VLOOKUP(TRIM(D3491), CATALOGO!A:B, 2, FALSE) * C3491+I3491)),""))</f>
        <v/>
      </c>
      <c r="K3491" s="196"/>
      <c r="L3491" s="87"/>
      <c r="M3491" s="245"/>
      <c r="N3491" s="168"/>
    </row>
    <row r="3492" ht="22.5" hidden="1" customHeight="1">
      <c r="A3492" s="137"/>
      <c r="B3492" s="90"/>
      <c r="C3492" s="55"/>
      <c r="D3492" s="193"/>
      <c r="E3492" s="201"/>
      <c r="F3492" s="202"/>
      <c r="G3492" s="194"/>
      <c r="H3492" s="198"/>
      <c r="I3492" s="196"/>
      <c r="J3492" s="179" t="str">
        <f>IF(A3492="RAPPI",(VLOOKUP(TRIM(D3492), CATALOGO!F:G, 2, FALSE) * C3492)+I3492,IFERROR(IF(COUNTIF('RESTAURANTESDESCUENTOS 2026'!A:A,TRIM(A3492))&gt;0,((VLOOKUP(TRIM(D3492), CATALOGO!A:B, 2, FALSE) * C3492)*(1-VALUE(SUBSTITUTE(VLOOKUP(TRIM(A3492),'RESTAURANTESDESCUENTOS 2026'!A:B,2,FALSE),"%",""))/100)+I3492),(VLOOKUP(TRIM(D3492), CATALOGO!A:B, 2, FALSE) * C3492+I3492)),""))</f>
        <v/>
      </c>
      <c r="K3492" s="196"/>
      <c r="L3492" s="87"/>
      <c r="M3492" s="245"/>
      <c r="N3492" s="168"/>
    </row>
    <row r="3493" ht="22.5" hidden="1" customHeight="1">
      <c r="A3493" s="137"/>
      <c r="B3493" s="90"/>
      <c r="C3493" s="55"/>
      <c r="D3493" s="193"/>
      <c r="E3493" s="201"/>
      <c r="F3493" s="202"/>
      <c r="G3493" s="194"/>
      <c r="H3493" s="198"/>
      <c r="I3493" s="196"/>
      <c r="J3493" s="179" t="str">
        <f>IF(A3493="RAPPI",(VLOOKUP(TRIM(D3493), CATALOGO!F:G, 2, FALSE) * C3493)+I3493,IFERROR(IF(COUNTIF('RESTAURANTESDESCUENTOS 2026'!A:A,TRIM(A3493))&gt;0,((VLOOKUP(TRIM(D3493), CATALOGO!A:B, 2, FALSE) * C3493)*(1-VALUE(SUBSTITUTE(VLOOKUP(TRIM(A3493),'RESTAURANTESDESCUENTOS 2026'!A:B,2,FALSE),"%",""))/100)+I3493),(VLOOKUP(TRIM(D3493), CATALOGO!A:B, 2, FALSE) * C3493+I3493)),""))</f>
        <v/>
      </c>
      <c r="K3493" s="196"/>
      <c r="L3493" s="87"/>
      <c r="M3493" s="245"/>
      <c r="N3493" s="168"/>
    </row>
    <row r="3494" ht="22.5" hidden="1" customHeight="1">
      <c r="A3494" s="137"/>
      <c r="B3494" s="90"/>
      <c r="C3494" s="55"/>
      <c r="D3494" s="193"/>
      <c r="E3494" s="201"/>
      <c r="F3494" s="202"/>
      <c r="G3494" s="194"/>
      <c r="H3494" s="198"/>
      <c r="I3494" s="196"/>
      <c r="J3494" s="179" t="str">
        <f>IF(A3494="RAPPI",(VLOOKUP(TRIM(D3494), CATALOGO!F:G, 2, FALSE) * C3494)+I3494,IFERROR(IF(COUNTIF('RESTAURANTESDESCUENTOS 2026'!A:A,TRIM(A3494))&gt;0,((VLOOKUP(TRIM(D3494), CATALOGO!A:B, 2, FALSE) * C3494)*(1-VALUE(SUBSTITUTE(VLOOKUP(TRIM(A3494),'RESTAURANTESDESCUENTOS 2026'!A:B,2,FALSE),"%",""))/100)+I3494),(VLOOKUP(TRIM(D3494), CATALOGO!A:B, 2, FALSE) * C3494+I3494)),""))</f>
        <v/>
      </c>
      <c r="K3494" s="196"/>
      <c r="L3494" s="87"/>
      <c r="M3494" s="245"/>
      <c r="N3494" s="168"/>
    </row>
    <row r="3495" ht="22.5" hidden="1" customHeight="1">
      <c r="A3495" s="137"/>
      <c r="B3495" s="90"/>
      <c r="C3495" s="55"/>
      <c r="D3495" s="193"/>
      <c r="E3495" s="201"/>
      <c r="F3495" s="202"/>
      <c r="G3495" s="194"/>
      <c r="H3495" s="198"/>
      <c r="I3495" s="196"/>
      <c r="J3495" s="179" t="str">
        <f>IF(A3495="RAPPI",(VLOOKUP(TRIM(D3495), CATALOGO!F:G, 2, FALSE) * C3495)+I3495,IFERROR(IF(COUNTIF('RESTAURANTESDESCUENTOS 2026'!A:A,TRIM(A3495))&gt;0,((VLOOKUP(TRIM(D3495), CATALOGO!A:B, 2, FALSE) * C3495)*(1-VALUE(SUBSTITUTE(VLOOKUP(TRIM(A3495),'RESTAURANTESDESCUENTOS 2026'!A:B,2,FALSE),"%",""))/100)+I3495),(VLOOKUP(TRIM(D3495), CATALOGO!A:B, 2, FALSE) * C3495+I3495)),""))</f>
        <v/>
      </c>
      <c r="K3495" s="196"/>
      <c r="L3495" s="87"/>
      <c r="M3495" s="245"/>
      <c r="N3495" s="168"/>
    </row>
    <row r="3496" ht="22.5" hidden="1" customHeight="1">
      <c r="A3496" s="137"/>
      <c r="B3496" s="90"/>
      <c r="C3496" s="55"/>
      <c r="D3496" s="193"/>
      <c r="E3496" s="201"/>
      <c r="F3496" s="202"/>
      <c r="G3496" s="194"/>
      <c r="H3496" s="198"/>
      <c r="I3496" s="196"/>
      <c r="J3496" s="179" t="str">
        <f>IF(A3496="RAPPI",(VLOOKUP(TRIM(D3496), CATALOGO!F:G, 2, FALSE) * C3496)+I3496,IFERROR(IF(COUNTIF('RESTAURANTESDESCUENTOS 2026'!A:A,TRIM(A3496))&gt;0,((VLOOKUP(TRIM(D3496), CATALOGO!A:B, 2, FALSE) * C3496)*(1-VALUE(SUBSTITUTE(VLOOKUP(TRIM(A3496),'RESTAURANTESDESCUENTOS 2026'!A:B,2,FALSE),"%",""))/100)+I3496),(VLOOKUP(TRIM(D3496), CATALOGO!A:B, 2, FALSE) * C3496+I3496)),""))</f>
        <v/>
      </c>
      <c r="K3496" s="196"/>
      <c r="L3496" s="87"/>
      <c r="M3496" s="245"/>
      <c r="N3496" s="168"/>
    </row>
    <row r="3497" ht="22.5" hidden="1" customHeight="1">
      <c r="A3497" s="137"/>
      <c r="B3497" s="90"/>
      <c r="C3497" s="55"/>
      <c r="D3497" s="193"/>
      <c r="E3497" s="201"/>
      <c r="F3497" s="202"/>
      <c r="G3497" s="194"/>
      <c r="H3497" s="198"/>
      <c r="I3497" s="196"/>
      <c r="J3497" s="179" t="str">
        <f>IF(A3497="RAPPI",(VLOOKUP(TRIM(D3497), CATALOGO!F:G, 2, FALSE) * C3497)+I3497,IFERROR(IF(COUNTIF('RESTAURANTESDESCUENTOS 2026'!A:A,TRIM(A3497))&gt;0,((VLOOKUP(TRIM(D3497), CATALOGO!A:B, 2, FALSE) * C3497)*(1-VALUE(SUBSTITUTE(VLOOKUP(TRIM(A3497),'RESTAURANTESDESCUENTOS 2026'!A:B,2,FALSE),"%",""))/100)+I3497),(VLOOKUP(TRIM(D3497), CATALOGO!A:B, 2, FALSE) * C3497+I3497)),""))</f>
        <v/>
      </c>
      <c r="K3497" s="196"/>
      <c r="L3497" s="87"/>
      <c r="M3497" s="245"/>
      <c r="N3497" s="168"/>
    </row>
    <row r="3498" ht="22.5" hidden="1" customHeight="1">
      <c r="A3498" s="137"/>
      <c r="B3498" s="90"/>
      <c r="C3498" s="55"/>
      <c r="D3498" s="193"/>
      <c r="E3498" s="201"/>
      <c r="F3498" s="202"/>
      <c r="G3498" s="194"/>
      <c r="H3498" s="198"/>
      <c r="I3498" s="196"/>
      <c r="J3498" s="179" t="str">
        <f>IF(A3498="RAPPI",(VLOOKUP(TRIM(D3498), CATALOGO!F:G, 2, FALSE) * C3498)+I3498,IFERROR(IF(COUNTIF('RESTAURANTESDESCUENTOS 2026'!A:A,TRIM(A3498))&gt;0,((VLOOKUP(TRIM(D3498), CATALOGO!A:B, 2, FALSE) * C3498)*(1-VALUE(SUBSTITUTE(VLOOKUP(TRIM(A3498),'RESTAURANTESDESCUENTOS 2026'!A:B,2,FALSE),"%",""))/100)+I3498),(VLOOKUP(TRIM(D3498), CATALOGO!A:B, 2, FALSE) * C3498+I3498)),""))</f>
        <v/>
      </c>
      <c r="K3498" s="196"/>
      <c r="L3498" s="87"/>
      <c r="M3498" s="245"/>
      <c r="N3498" s="168"/>
    </row>
    <row r="3499" ht="22.5" hidden="1" customHeight="1">
      <c r="A3499" s="137"/>
      <c r="B3499" s="90"/>
      <c r="C3499" s="55"/>
      <c r="D3499" s="193"/>
      <c r="E3499" s="201"/>
      <c r="F3499" s="202"/>
      <c r="G3499" s="194"/>
      <c r="H3499" s="198"/>
      <c r="I3499" s="196"/>
      <c r="J3499" s="179" t="str">
        <f>IF(A3499="RAPPI",(VLOOKUP(TRIM(D3499), CATALOGO!F:G, 2, FALSE) * C3499)+I3499,IFERROR(IF(COUNTIF('RESTAURANTESDESCUENTOS 2026'!A:A,TRIM(A3499))&gt;0,((VLOOKUP(TRIM(D3499), CATALOGO!A:B, 2, FALSE) * C3499)*(1-VALUE(SUBSTITUTE(VLOOKUP(TRIM(A3499),'RESTAURANTESDESCUENTOS 2026'!A:B,2,FALSE),"%",""))/100)+I3499),(VLOOKUP(TRIM(D3499), CATALOGO!A:B, 2, FALSE) * C3499+I3499)),""))</f>
        <v/>
      </c>
      <c r="K3499" s="196"/>
      <c r="L3499" s="87"/>
      <c r="M3499" s="245"/>
      <c r="N3499" s="168"/>
    </row>
    <row r="3500" ht="22.5" hidden="1" customHeight="1">
      <c r="A3500" s="137"/>
      <c r="B3500" s="90"/>
      <c r="C3500" s="55"/>
      <c r="D3500" s="193"/>
      <c r="E3500" s="201"/>
      <c r="F3500" s="202"/>
      <c r="G3500" s="194"/>
      <c r="H3500" s="198"/>
      <c r="I3500" s="196"/>
      <c r="J3500" s="179" t="str">
        <f>IF(A3500="RAPPI",(VLOOKUP(TRIM(D3500), CATALOGO!F:G, 2, FALSE) * C3500)+I3500,IFERROR(IF(COUNTIF('RESTAURANTESDESCUENTOS 2026'!A:A,TRIM(A3500))&gt;0,((VLOOKUP(TRIM(D3500), CATALOGO!A:B, 2, FALSE) * C3500)*(1-VALUE(SUBSTITUTE(VLOOKUP(TRIM(A3500),'RESTAURANTESDESCUENTOS 2026'!A:B,2,FALSE),"%",""))/100)+I3500),(VLOOKUP(TRIM(D3500), CATALOGO!A:B, 2, FALSE) * C3500+I3500)),""))</f>
        <v/>
      </c>
      <c r="K3500" s="196"/>
      <c r="L3500" s="87"/>
      <c r="M3500" s="245"/>
      <c r="N3500" s="168"/>
    </row>
    <row r="3501" ht="22.5" hidden="1" customHeight="1">
      <c r="A3501" s="137"/>
      <c r="B3501" s="90"/>
      <c r="C3501" s="55"/>
      <c r="D3501" s="193"/>
      <c r="E3501" s="201"/>
      <c r="F3501" s="202"/>
      <c r="G3501" s="194"/>
      <c r="H3501" s="198"/>
      <c r="I3501" s="196"/>
      <c r="J3501" s="179" t="str">
        <f>IF(A3501="RAPPI",(VLOOKUP(TRIM(D3501), CATALOGO!F:G, 2, FALSE) * C3501)+I3501,IFERROR(IF(COUNTIF('RESTAURANTESDESCUENTOS 2026'!A:A,TRIM(A3501))&gt;0,((VLOOKUP(TRIM(D3501), CATALOGO!A:B, 2, FALSE) * C3501)*(1-VALUE(SUBSTITUTE(VLOOKUP(TRIM(A3501),'RESTAURANTESDESCUENTOS 2026'!A:B,2,FALSE),"%",""))/100)+I3501),(VLOOKUP(TRIM(D3501), CATALOGO!A:B, 2, FALSE) * C3501+I3501)),""))</f>
        <v/>
      </c>
      <c r="K3501" s="196"/>
      <c r="L3501" s="87"/>
      <c r="M3501" s="245"/>
      <c r="N3501" s="168"/>
    </row>
    <row r="3502" ht="22.5" hidden="1" customHeight="1">
      <c r="A3502" s="137"/>
      <c r="B3502" s="90"/>
      <c r="C3502" s="55"/>
      <c r="D3502" s="193"/>
      <c r="E3502" s="201"/>
      <c r="F3502" s="202"/>
      <c r="G3502" s="194"/>
      <c r="H3502" s="198"/>
      <c r="I3502" s="196"/>
      <c r="J3502" s="179" t="str">
        <f>IF(A3502="RAPPI",(VLOOKUP(TRIM(D3502), CATALOGO!F:G, 2, FALSE) * C3502)+I3502,IFERROR(IF(COUNTIF('RESTAURANTESDESCUENTOS 2026'!A:A,TRIM(A3502))&gt;0,((VLOOKUP(TRIM(D3502), CATALOGO!A:B, 2, FALSE) * C3502)*(1-VALUE(SUBSTITUTE(VLOOKUP(TRIM(A3502),'RESTAURANTESDESCUENTOS 2026'!A:B,2,FALSE),"%",""))/100)+I3502),(VLOOKUP(TRIM(D3502), CATALOGO!A:B, 2, FALSE) * C3502+I3502)),""))</f>
        <v/>
      </c>
      <c r="K3502" s="196"/>
      <c r="L3502" s="87"/>
      <c r="M3502" s="245"/>
      <c r="N3502" s="168"/>
    </row>
    <row r="3503" ht="22.5" hidden="1" customHeight="1">
      <c r="A3503" s="137"/>
      <c r="B3503" s="90"/>
      <c r="C3503" s="55"/>
      <c r="D3503" s="193"/>
      <c r="E3503" s="201"/>
      <c r="F3503" s="202"/>
      <c r="G3503" s="194"/>
      <c r="H3503" s="198"/>
      <c r="I3503" s="196"/>
      <c r="J3503" s="179" t="str">
        <f>IF(A3503="RAPPI",(VLOOKUP(TRIM(D3503), CATALOGO!F:G, 2, FALSE) * C3503)+I3503,IFERROR(IF(COUNTIF('RESTAURANTESDESCUENTOS 2026'!A:A,TRIM(A3503))&gt;0,((VLOOKUP(TRIM(D3503), CATALOGO!A:B, 2, FALSE) * C3503)*(1-VALUE(SUBSTITUTE(VLOOKUP(TRIM(A3503),'RESTAURANTESDESCUENTOS 2026'!A:B,2,FALSE),"%",""))/100)+I3503),(VLOOKUP(TRIM(D3503), CATALOGO!A:B, 2, FALSE) * C3503+I3503)),""))</f>
        <v/>
      </c>
      <c r="K3503" s="196"/>
      <c r="L3503" s="87"/>
      <c r="M3503" s="245"/>
      <c r="N3503" s="168"/>
    </row>
    <row r="3504" ht="22.5" hidden="1" customHeight="1">
      <c r="A3504" s="137"/>
      <c r="B3504" s="90"/>
      <c r="C3504" s="55"/>
      <c r="D3504" s="193"/>
      <c r="E3504" s="201"/>
      <c r="F3504" s="202"/>
      <c r="G3504" s="194"/>
      <c r="H3504" s="198"/>
      <c r="I3504" s="196"/>
      <c r="J3504" s="179" t="str">
        <f>IF(A3504="RAPPI",(VLOOKUP(TRIM(D3504), CATALOGO!F:G, 2, FALSE) * C3504)+I3504,IFERROR(IF(COUNTIF('RESTAURANTESDESCUENTOS 2026'!A:A,TRIM(A3504))&gt;0,((VLOOKUP(TRIM(D3504), CATALOGO!A:B, 2, FALSE) * C3504)*(1-VALUE(SUBSTITUTE(VLOOKUP(TRIM(A3504),'RESTAURANTESDESCUENTOS 2026'!A:B,2,FALSE),"%",""))/100)+I3504),(VLOOKUP(TRIM(D3504), CATALOGO!A:B, 2, FALSE) * C3504+I3504)),""))</f>
        <v/>
      </c>
      <c r="K3504" s="196"/>
      <c r="L3504" s="87"/>
      <c r="M3504" s="245"/>
      <c r="N3504" s="168"/>
    </row>
    <row r="3505" ht="22.5" hidden="1" customHeight="1">
      <c r="A3505" s="137"/>
      <c r="B3505" s="90"/>
      <c r="C3505" s="55"/>
      <c r="D3505" s="193"/>
      <c r="E3505" s="201"/>
      <c r="F3505" s="202"/>
      <c r="G3505" s="194"/>
      <c r="H3505" s="198"/>
      <c r="I3505" s="196"/>
      <c r="J3505" s="179" t="str">
        <f>IF(A3505="RAPPI",(VLOOKUP(TRIM(D3505), CATALOGO!F:G, 2, FALSE) * C3505)+I3505,IFERROR(IF(COUNTIF('RESTAURANTESDESCUENTOS 2026'!A:A,TRIM(A3505))&gt;0,((VLOOKUP(TRIM(D3505), CATALOGO!A:B, 2, FALSE) * C3505)*(1-VALUE(SUBSTITUTE(VLOOKUP(TRIM(A3505),'RESTAURANTESDESCUENTOS 2026'!A:B,2,FALSE),"%",""))/100)+I3505),(VLOOKUP(TRIM(D3505), CATALOGO!A:B, 2, FALSE) * C3505+I3505)),""))</f>
        <v/>
      </c>
      <c r="K3505" s="196"/>
      <c r="L3505" s="87"/>
      <c r="M3505" s="245"/>
      <c r="N3505" s="168"/>
    </row>
    <row r="3506" ht="22.5" hidden="1" customHeight="1">
      <c r="A3506" s="137"/>
      <c r="B3506" s="90"/>
      <c r="C3506" s="55"/>
      <c r="D3506" s="193"/>
      <c r="E3506" s="201"/>
      <c r="F3506" s="202"/>
      <c r="G3506" s="194"/>
      <c r="H3506" s="198"/>
      <c r="I3506" s="196"/>
      <c r="J3506" s="179" t="str">
        <f>IF(A3506="RAPPI",(VLOOKUP(TRIM(D3506), CATALOGO!F:G, 2, FALSE) * C3506)+I3506,IFERROR(IF(COUNTIF('RESTAURANTESDESCUENTOS 2026'!A:A,TRIM(A3506))&gt;0,((VLOOKUP(TRIM(D3506), CATALOGO!A:B, 2, FALSE) * C3506)*(1-VALUE(SUBSTITUTE(VLOOKUP(TRIM(A3506),'RESTAURANTESDESCUENTOS 2026'!A:B,2,FALSE),"%",""))/100)+I3506),(VLOOKUP(TRIM(D3506), CATALOGO!A:B, 2, FALSE) * C3506+I3506)),""))</f>
        <v/>
      </c>
      <c r="K3506" s="196"/>
      <c r="L3506" s="87"/>
      <c r="M3506" s="245"/>
      <c r="N3506" s="168"/>
    </row>
    <row r="3507" ht="22.5" hidden="1" customHeight="1">
      <c r="A3507" s="137"/>
      <c r="B3507" s="90"/>
      <c r="C3507" s="55"/>
      <c r="D3507" s="193"/>
      <c r="E3507" s="201"/>
      <c r="F3507" s="202"/>
      <c r="G3507" s="194"/>
      <c r="H3507" s="198"/>
      <c r="I3507" s="196"/>
      <c r="J3507" s="179" t="str">
        <f>IF(A3507="RAPPI",(VLOOKUP(TRIM(D3507), CATALOGO!F:G, 2, FALSE) * C3507)+I3507,IFERROR(IF(COUNTIF('RESTAURANTESDESCUENTOS 2026'!A:A,TRIM(A3507))&gt;0,((VLOOKUP(TRIM(D3507), CATALOGO!A:B, 2, FALSE) * C3507)*(1-VALUE(SUBSTITUTE(VLOOKUP(TRIM(A3507),'RESTAURANTESDESCUENTOS 2026'!A:B,2,FALSE),"%",""))/100)+I3507),(VLOOKUP(TRIM(D3507), CATALOGO!A:B, 2, FALSE) * C3507+I3507)),""))</f>
        <v/>
      </c>
      <c r="K3507" s="196"/>
      <c r="L3507" s="87"/>
      <c r="M3507" s="245"/>
      <c r="N3507" s="168"/>
    </row>
    <row r="3508" ht="22.5" hidden="1" customHeight="1">
      <c r="A3508" s="137"/>
      <c r="B3508" s="90"/>
      <c r="C3508" s="55"/>
      <c r="D3508" s="193"/>
      <c r="E3508" s="201"/>
      <c r="F3508" s="202"/>
      <c r="G3508" s="194"/>
      <c r="H3508" s="198"/>
      <c r="I3508" s="196"/>
      <c r="J3508" s="179" t="str">
        <f>IF(A3508="RAPPI",(VLOOKUP(TRIM(D3508), CATALOGO!F:G, 2, FALSE) * C3508)+I3508,IFERROR(IF(COUNTIF('RESTAURANTESDESCUENTOS 2026'!A:A,TRIM(A3508))&gt;0,((VLOOKUP(TRIM(D3508), CATALOGO!A:B, 2, FALSE) * C3508)*(1-VALUE(SUBSTITUTE(VLOOKUP(TRIM(A3508),'RESTAURANTESDESCUENTOS 2026'!A:B,2,FALSE),"%",""))/100)+I3508),(VLOOKUP(TRIM(D3508), CATALOGO!A:B, 2, FALSE) * C3508+I3508)),""))</f>
        <v/>
      </c>
      <c r="K3508" s="196"/>
      <c r="L3508" s="87"/>
      <c r="M3508" s="245"/>
      <c r="N3508" s="168"/>
    </row>
    <row r="3509" ht="22.5" hidden="1" customHeight="1">
      <c r="A3509" s="137"/>
      <c r="B3509" s="90"/>
      <c r="C3509" s="55"/>
      <c r="D3509" s="193"/>
      <c r="E3509" s="201"/>
      <c r="F3509" s="202"/>
      <c r="G3509" s="194"/>
      <c r="H3509" s="198"/>
      <c r="I3509" s="196"/>
      <c r="J3509" s="179" t="str">
        <f>IF(A3509="RAPPI",(VLOOKUP(TRIM(D3509), CATALOGO!F:G, 2, FALSE) * C3509)+I3509,IFERROR(IF(COUNTIF('RESTAURANTESDESCUENTOS 2026'!A:A,TRIM(A3509))&gt;0,((VLOOKUP(TRIM(D3509), CATALOGO!A:B, 2, FALSE) * C3509)*(1-VALUE(SUBSTITUTE(VLOOKUP(TRIM(A3509),'RESTAURANTESDESCUENTOS 2026'!A:B,2,FALSE),"%",""))/100)+I3509),(VLOOKUP(TRIM(D3509), CATALOGO!A:B, 2, FALSE) * C3509+I3509)),""))</f>
        <v/>
      </c>
      <c r="K3509" s="196"/>
      <c r="L3509" s="87"/>
      <c r="M3509" s="245"/>
      <c r="N3509" s="168"/>
    </row>
    <row r="3510" ht="22.5" hidden="1" customHeight="1">
      <c r="A3510" s="137"/>
      <c r="B3510" s="90"/>
      <c r="C3510" s="55"/>
      <c r="D3510" s="193"/>
      <c r="E3510" s="201"/>
      <c r="F3510" s="202"/>
      <c r="G3510" s="194"/>
      <c r="H3510" s="198"/>
      <c r="I3510" s="196"/>
      <c r="J3510" s="179" t="str">
        <f>IF(A3510="RAPPI",(VLOOKUP(TRIM(D3510), CATALOGO!F:G, 2, FALSE) * C3510)+I3510,IFERROR(IF(COUNTIF('RESTAURANTESDESCUENTOS 2026'!A:A,TRIM(A3510))&gt;0,((VLOOKUP(TRIM(D3510), CATALOGO!A:B, 2, FALSE) * C3510)*(1-VALUE(SUBSTITUTE(VLOOKUP(TRIM(A3510),'RESTAURANTESDESCUENTOS 2026'!A:B,2,FALSE),"%",""))/100)+I3510),(VLOOKUP(TRIM(D3510), CATALOGO!A:B, 2, FALSE) * C3510+I3510)),""))</f>
        <v/>
      </c>
      <c r="K3510" s="196"/>
      <c r="L3510" s="87"/>
      <c r="M3510" s="245"/>
      <c r="N3510" s="168"/>
    </row>
    <row r="3511" ht="22.5" hidden="1" customHeight="1">
      <c r="A3511" s="137"/>
      <c r="B3511" s="90"/>
      <c r="C3511" s="55"/>
      <c r="D3511" s="193"/>
      <c r="E3511" s="201"/>
      <c r="F3511" s="202"/>
      <c r="G3511" s="194"/>
      <c r="H3511" s="198"/>
      <c r="I3511" s="196"/>
      <c r="J3511" s="179" t="str">
        <f>IF(A3511="RAPPI",(VLOOKUP(TRIM(D3511), CATALOGO!F:G, 2, FALSE) * C3511)+I3511,IFERROR(IF(COUNTIF('RESTAURANTESDESCUENTOS 2026'!A:A,TRIM(A3511))&gt;0,((VLOOKUP(TRIM(D3511), CATALOGO!A:B, 2, FALSE) * C3511)*(1-VALUE(SUBSTITUTE(VLOOKUP(TRIM(A3511),'RESTAURANTESDESCUENTOS 2026'!A:B,2,FALSE),"%",""))/100)+I3511),(VLOOKUP(TRIM(D3511), CATALOGO!A:B, 2, FALSE) * C3511+I3511)),""))</f>
        <v/>
      </c>
      <c r="K3511" s="196"/>
      <c r="L3511" s="87"/>
      <c r="M3511" s="245"/>
      <c r="N3511" s="168"/>
    </row>
    <row r="3512" ht="22.5" hidden="1" customHeight="1">
      <c r="A3512" s="137"/>
      <c r="B3512" s="90"/>
      <c r="C3512" s="55"/>
      <c r="D3512" s="193"/>
      <c r="E3512" s="201"/>
      <c r="F3512" s="202"/>
      <c r="G3512" s="194"/>
      <c r="H3512" s="198"/>
      <c r="I3512" s="196"/>
      <c r="J3512" s="179" t="str">
        <f>IF(A3512="RAPPI",(VLOOKUP(TRIM(D3512), CATALOGO!F:G, 2, FALSE) * C3512)+I3512,IFERROR(IF(COUNTIF('RESTAURANTESDESCUENTOS 2026'!A:A,TRIM(A3512))&gt;0,((VLOOKUP(TRIM(D3512), CATALOGO!A:B, 2, FALSE) * C3512)*(1-VALUE(SUBSTITUTE(VLOOKUP(TRIM(A3512),'RESTAURANTESDESCUENTOS 2026'!A:B,2,FALSE),"%",""))/100)+I3512),(VLOOKUP(TRIM(D3512), CATALOGO!A:B, 2, FALSE) * C3512+I3512)),""))</f>
        <v/>
      </c>
      <c r="K3512" s="196"/>
      <c r="L3512" s="87"/>
      <c r="M3512" s="245"/>
      <c r="N3512" s="168"/>
    </row>
    <row r="3513" ht="22.5" hidden="1" customHeight="1">
      <c r="A3513" s="137"/>
      <c r="B3513" s="90"/>
      <c r="C3513" s="55"/>
      <c r="D3513" s="193"/>
      <c r="E3513" s="201"/>
      <c r="F3513" s="202"/>
      <c r="G3513" s="194"/>
      <c r="H3513" s="198"/>
      <c r="I3513" s="196"/>
      <c r="J3513" s="179" t="str">
        <f>IF(A3513="RAPPI",(VLOOKUP(TRIM(D3513), CATALOGO!F:G, 2, FALSE) * C3513)+I3513,IFERROR(IF(COUNTIF('RESTAURANTESDESCUENTOS 2026'!A:A,TRIM(A3513))&gt;0,((VLOOKUP(TRIM(D3513), CATALOGO!A:B, 2, FALSE) * C3513)*(1-VALUE(SUBSTITUTE(VLOOKUP(TRIM(A3513),'RESTAURANTESDESCUENTOS 2026'!A:B,2,FALSE),"%",""))/100)+I3513),(VLOOKUP(TRIM(D3513), CATALOGO!A:B, 2, FALSE) * C3513+I3513)),""))</f>
        <v/>
      </c>
      <c r="K3513" s="196"/>
      <c r="L3513" s="87"/>
      <c r="M3513" s="245"/>
      <c r="N3513" s="168"/>
    </row>
    <row r="3514" ht="22.5" hidden="1" customHeight="1">
      <c r="A3514" s="137"/>
      <c r="B3514" s="90"/>
      <c r="C3514" s="55"/>
      <c r="D3514" s="193"/>
      <c r="E3514" s="201"/>
      <c r="F3514" s="202"/>
      <c r="G3514" s="194"/>
      <c r="H3514" s="198"/>
      <c r="I3514" s="196"/>
      <c r="J3514" s="179" t="str">
        <f>IF(A3514="RAPPI",(VLOOKUP(TRIM(D3514), CATALOGO!F:G, 2, FALSE) * C3514)+I3514,IFERROR(IF(COUNTIF('RESTAURANTESDESCUENTOS 2026'!A:A,TRIM(A3514))&gt;0,((VLOOKUP(TRIM(D3514), CATALOGO!A:B, 2, FALSE) * C3514)*(1-VALUE(SUBSTITUTE(VLOOKUP(TRIM(A3514),'RESTAURANTESDESCUENTOS 2026'!A:B,2,FALSE),"%",""))/100)+I3514),(VLOOKUP(TRIM(D3514), CATALOGO!A:B, 2, FALSE) * C3514+I3514)),""))</f>
        <v/>
      </c>
      <c r="K3514" s="196"/>
      <c r="L3514" s="87"/>
      <c r="M3514" s="245"/>
      <c r="N3514" s="168"/>
    </row>
    <row r="3515" ht="22.5" hidden="1" customHeight="1">
      <c r="A3515" s="137"/>
      <c r="B3515" s="90"/>
      <c r="C3515" s="55"/>
      <c r="D3515" s="193"/>
      <c r="E3515" s="201"/>
      <c r="F3515" s="202"/>
      <c r="G3515" s="194"/>
      <c r="H3515" s="198"/>
      <c r="I3515" s="196"/>
      <c r="J3515" s="179" t="str">
        <f>IF(A3515="RAPPI",(VLOOKUP(TRIM(D3515), CATALOGO!F:G, 2, FALSE) * C3515)+I3515,IFERROR(IF(COUNTIF('RESTAURANTESDESCUENTOS 2026'!A:A,TRIM(A3515))&gt;0,((VLOOKUP(TRIM(D3515), CATALOGO!A:B, 2, FALSE) * C3515)*(1-VALUE(SUBSTITUTE(VLOOKUP(TRIM(A3515),'RESTAURANTESDESCUENTOS 2026'!A:B,2,FALSE),"%",""))/100)+I3515),(VLOOKUP(TRIM(D3515), CATALOGO!A:B, 2, FALSE) * C3515+I3515)),""))</f>
        <v/>
      </c>
      <c r="K3515" s="196"/>
      <c r="L3515" s="87"/>
      <c r="M3515" s="245"/>
      <c r="N3515" s="168"/>
    </row>
    <row r="3516" ht="22.5" hidden="1" customHeight="1">
      <c r="A3516" s="137"/>
      <c r="B3516" s="90"/>
      <c r="C3516" s="55"/>
      <c r="D3516" s="193"/>
      <c r="E3516" s="201"/>
      <c r="F3516" s="202"/>
      <c r="G3516" s="194"/>
      <c r="H3516" s="198"/>
      <c r="I3516" s="196"/>
      <c r="J3516" s="179" t="str">
        <f>IF(A3516="RAPPI",(VLOOKUP(TRIM(D3516), CATALOGO!F:G, 2, FALSE) * C3516)+I3516,IFERROR(IF(COUNTIF('RESTAURANTESDESCUENTOS 2026'!A:A,TRIM(A3516))&gt;0,((VLOOKUP(TRIM(D3516), CATALOGO!A:B, 2, FALSE) * C3516)*(1-VALUE(SUBSTITUTE(VLOOKUP(TRIM(A3516),'RESTAURANTESDESCUENTOS 2026'!A:B,2,FALSE),"%",""))/100)+I3516),(VLOOKUP(TRIM(D3516), CATALOGO!A:B, 2, FALSE) * C3516+I3516)),""))</f>
        <v/>
      </c>
      <c r="K3516" s="196"/>
      <c r="L3516" s="87"/>
      <c r="M3516" s="245"/>
      <c r="N3516" s="168"/>
    </row>
    <row r="3517" ht="22.5" hidden="1" customHeight="1">
      <c r="A3517" s="137"/>
      <c r="B3517" s="90"/>
      <c r="C3517" s="55"/>
      <c r="D3517" s="193"/>
      <c r="E3517" s="201"/>
      <c r="F3517" s="202"/>
      <c r="G3517" s="194"/>
      <c r="H3517" s="198"/>
      <c r="I3517" s="196"/>
      <c r="J3517" s="179" t="str">
        <f>IF(A3517="RAPPI",(VLOOKUP(TRIM(D3517), CATALOGO!F:G, 2, FALSE) * C3517)+I3517,IFERROR(IF(COUNTIF('RESTAURANTESDESCUENTOS 2026'!A:A,TRIM(A3517))&gt;0,((VLOOKUP(TRIM(D3517), CATALOGO!A:B, 2, FALSE) * C3517)*(1-VALUE(SUBSTITUTE(VLOOKUP(TRIM(A3517),'RESTAURANTESDESCUENTOS 2026'!A:B,2,FALSE),"%",""))/100)+I3517),(VLOOKUP(TRIM(D3517), CATALOGO!A:B, 2, FALSE) * C3517+I3517)),""))</f>
        <v/>
      </c>
      <c r="K3517" s="196"/>
      <c r="L3517" s="87"/>
      <c r="M3517" s="245"/>
      <c r="N3517" s="168"/>
    </row>
    <row r="3518" ht="22.5" hidden="1" customHeight="1">
      <c r="A3518" s="137"/>
      <c r="B3518" s="90"/>
      <c r="C3518" s="55"/>
      <c r="D3518" s="193"/>
      <c r="E3518" s="201"/>
      <c r="F3518" s="202"/>
      <c r="G3518" s="194"/>
      <c r="H3518" s="198"/>
      <c r="I3518" s="196"/>
      <c r="J3518" s="179" t="str">
        <f>IF(A3518="RAPPI",(VLOOKUP(TRIM(D3518), CATALOGO!F:G, 2, FALSE) * C3518)+I3518,IFERROR(IF(COUNTIF('RESTAURANTESDESCUENTOS 2026'!A:A,TRIM(A3518))&gt;0,((VLOOKUP(TRIM(D3518), CATALOGO!A:B, 2, FALSE) * C3518)*(1-VALUE(SUBSTITUTE(VLOOKUP(TRIM(A3518),'RESTAURANTESDESCUENTOS 2026'!A:B,2,FALSE),"%",""))/100)+I3518),(VLOOKUP(TRIM(D3518), CATALOGO!A:B, 2, FALSE) * C3518+I3518)),""))</f>
        <v/>
      </c>
      <c r="K3518" s="196"/>
      <c r="L3518" s="87"/>
      <c r="M3518" s="245"/>
      <c r="N3518" s="168"/>
    </row>
    <row r="3519" ht="22.5" hidden="1" customHeight="1">
      <c r="A3519" s="137"/>
      <c r="B3519" s="90"/>
      <c r="C3519" s="55"/>
      <c r="D3519" s="193"/>
      <c r="E3519" s="201"/>
      <c r="F3519" s="202"/>
      <c r="G3519" s="194"/>
      <c r="H3519" s="198"/>
      <c r="I3519" s="196"/>
      <c r="J3519" s="179" t="str">
        <f>IF(A3519="RAPPI",(VLOOKUP(TRIM(D3519), CATALOGO!F:G, 2, FALSE) * C3519)+I3519,IFERROR(IF(COUNTIF('RESTAURANTESDESCUENTOS 2026'!A:A,TRIM(A3519))&gt;0,((VLOOKUP(TRIM(D3519), CATALOGO!A:B, 2, FALSE) * C3519)*(1-VALUE(SUBSTITUTE(VLOOKUP(TRIM(A3519),'RESTAURANTESDESCUENTOS 2026'!A:B,2,FALSE),"%",""))/100)+I3519),(VLOOKUP(TRIM(D3519), CATALOGO!A:B, 2, FALSE) * C3519+I3519)),""))</f>
        <v/>
      </c>
      <c r="K3519" s="196"/>
      <c r="L3519" s="87"/>
      <c r="M3519" s="245"/>
      <c r="N3519" s="168"/>
    </row>
    <row r="3520" ht="22.5" hidden="1" customHeight="1">
      <c r="A3520" s="137"/>
      <c r="B3520" s="90"/>
      <c r="C3520" s="55"/>
      <c r="D3520" s="193"/>
      <c r="E3520" s="201"/>
      <c r="F3520" s="202"/>
      <c r="G3520" s="194"/>
      <c r="H3520" s="198"/>
      <c r="I3520" s="196"/>
      <c r="J3520" s="179" t="str">
        <f>IF(A3520="RAPPI",(VLOOKUP(TRIM(D3520), CATALOGO!F:G, 2, FALSE) * C3520)+I3520,IFERROR(IF(COUNTIF('RESTAURANTESDESCUENTOS 2026'!A:A,TRIM(A3520))&gt;0,((VLOOKUP(TRIM(D3520), CATALOGO!A:B, 2, FALSE) * C3520)*(1-VALUE(SUBSTITUTE(VLOOKUP(TRIM(A3520),'RESTAURANTESDESCUENTOS 2026'!A:B,2,FALSE),"%",""))/100)+I3520),(VLOOKUP(TRIM(D3520), CATALOGO!A:B, 2, FALSE) * C3520+I3520)),""))</f>
        <v/>
      </c>
      <c r="K3520" s="196"/>
      <c r="L3520" s="87"/>
      <c r="M3520" s="245"/>
      <c r="N3520" s="168"/>
    </row>
    <row r="3521" ht="22.5" hidden="1" customHeight="1">
      <c r="A3521" s="137"/>
      <c r="B3521" s="90"/>
      <c r="C3521" s="55"/>
      <c r="D3521" s="193"/>
      <c r="E3521" s="201"/>
      <c r="F3521" s="202"/>
      <c r="G3521" s="194"/>
      <c r="H3521" s="198"/>
      <c r="I3521" s="196"/>
      <c r="J3521" s="179" t="str">
        <f>IF(A3521="RAPPI",(VLOOKUP(TRIM(D3521), CATALOGO!F:G, 2, FALSE) * C3521)+I3521,IFERROR(IF(COUNTIF('RESTAURANTESDESCUENTOS 2026'!A:A,TRIM(A3521))&gt;0,((VLOOKUP(TRIM(D3521), CATALOGO!A:B, 2, FALSE) * C3521)*(1-VALUE(SUBSTITUTE(VLOOKUP(TRIM(A3521),'RESTAURANTESDESCUENTOS 2026'!A:B,2,FALSE),"%",""))/100)+I3521),(VLOOKUP(TRIM(D3521), CATALOGO!A:B, 2, FALSE) * C3521+I3521)),""))</f>
        <v/>
      </c>
      <c r="K3521" s="196"/>
      <c r="L3521" s="87"/>
      <c r="M3521" s="245"/>
      <c r="N3521" s="168"/>
    </row>
    <row r="3522" ht="22.5" hidden="1" customHeight="1">
      <c r="A3522" s="137"/>
      <c r="B3522" s="90"/>
      <c r="C3522" s="55"/>
      <c r="D3522" s="193"/>
      <c r="E3522" s="201"/>
      <c r="F3522" s="202"/>
      <c r="G3522" s="194"/>
      <c r="H3522" s="198"/>
      <c r="I3522" s="196"/>
      <c r="J3522" s="179" t="str">
        <f>IF(A3522="RAPPI",(VLOOKUP(TRIM(D3522), CATALOGO!F:G, 2, FALSE) * C3522)+I3522,IFERROR(IF(COUNTIF('RESTAURANTESDESCUENTOS 2026'!A:A,TRIM(A3522))&gt;0,((VLOOKUP(TRIM(D3522), CATALOGO!A:B, 2, FALSE) * C3522)*(1-VALUE(SUBSTITUTE(VLOOKUP(TRIM(A3522),'RESTAURANTESDESCUENTOS 2026'!A:B,2,FALSE),"%",""))/100)+I3522),(VLOOKUP(TRIM(D3522), CATALOGO!A:B, 2, FALSE) * C3522+I3522)),""))</f>
        <v/>
      </c>
      <c r="K3522" s="196"/>
      <c r="L3522" s="87"/>
      <c r="M3522" s="245"/>
      <c r="N3522" s="168"/>
    </row>
    <row r="3523" ht="22.5" hidden="1" customHeight="1">
      <c r="A3523" s="137"/>
      <c r="B3523" s="90"/>
      <c r="C3523" s="55"/>
      <c r="D3523" s="193"/>
      <c r="E3523" s="201"/>
      <c r="F3523" s="202"/>
      <c r="G3523" s="194"/>
      <c r="H3523" s="198"/>
      <c r="I3523" s="196"/>
      <c r="J3523" s="179" t="str">
        <f>IF(A3523="RAPPI",(VLOOKUP(TRIM(D3523), CATALOGO!F:G, 2, FALSE) * C3523)+I3523,IFERROR(IF(COUNTIF('RESTAURANTESDESCUENTOS 2026'!A:A,TRIM(A3523))&gt;0,((VLOOKUP(TRIM(D3523), CATALOGO!A:B, 2, FALSE) * C3523)*(1-VALUE(SUBSTITUTE(VLOOKUP(TRIM(A3523),'RESTAURANTESDESCUENTOS 2026'!A:B,2,FALSE),"%",""))/100)+I3523),(VLOOKUP(TRIM(D3523), CATALOGO!A:B, 2, FALSE) * C3523+I3523)),""))</f>
        <v/>
      </c>
      <c r="K3523" s="196"/>
      <c r="L3523" s="87"/>
      <c r="M3523" s="245"/>
      <c r="N3523" s="168"/>
    </row>
    <row r="3524" ht="22.5" hidden="1" customHeight="1">
      <c r="A3524" s="137"/>
      <c r="B3524" s="90"/>
      <c r="C3524" s="55"/>
      <c r="D3524" s="193"/>
      <c r="E3524" s="201"/>
      <c r="F3524" s="202"/>
      <c r="G3524" s="194"/>
      <c r="H3524" s="198"/>
      <c r="I3524" s="196"/>
      <c r="J3524" s="179" t="str">
        <f>IF(A3524="RAPPI",(VLOOKUP(TRIM(D3524), CATALOGO!F:G, 2, FALSE) * C3524)+I3524,IFERROR(IF(COUNTIF('RESTAURANTESDESCUENTOS 2026'!A:A,TRIM(A3524))&gt;0,((VLOOKUP(TRIM(D3524), CATALOGO!A:B, 2, FALSE) * C3524)*(1-VALUE(SUBSTITUTE(VLOOKUP(TRIM(A3524),'RESTAURANTESDESCUENTOS 2026'!A:B,2,FALSE),"%",""))/100)+I3524),(VLOOKUP(TRIM(D3524), CATALOGO!A:B, 2, FALSE) * C3524+I3524)),""))</f>
        <v/>
      </c>
      <c r="K3524" s="196"/>
      <c r="L3524" s="87"/>
      <c r="M3524" s="245"/>
      <c r="N3524" s="168"/>
    </row>
    <row r="3525" ht="22.5" hidden="1" customHeight="1">
      <c r="A3525" s="137"/>
      <c r="B3525" s="90"/>
      <c r="C3525" s="55"/>
      <c r="D3525" s="193"/>
      <c r="E3525" s="201"/>
      <c r="F3525" s="202"/>
      <c r="G3525" s="194"/>
      <c r="H3525" s="198"/>
      <c r="I3525" s="196"/>
      <c r="J3525" s="179" t="str">
        <f>IF(A3525="RAPPI",(VLOOKUP(TRIM(D3525), CATALOGO!F:G, 2, FALSE) * C3525)+I3525,IFERROR(IF(COUNTIF('RESTAURANTESDESCUENTOS 2026'!A:A,TRIM(A3525))&gt;0,((VLOOKUP(TRIM(D3525), CATALOGO!A:B, 2, FALSE) * C3525)*(1-VALUE(SUBSTITUTE(VLOOKUP(TRIM(A3525),'RESTAURANTESDESCUENTOS 2026'!A:B,2,FALSE),"%",""))/100)+I3525),(VLOOKUP(TRIM(D3525), CATALOGO!A:B, 2, FALSE) * C3525+I3525)),""))</f>
        <v/>
      </c>
      <c r="K3525" s="196"/>
      <c r="L3525" s="87"/>
      <c r="M3525" s="245"/>
      <c r="N3525" s="168"/>
    </row>
    <row r="3526" ht="22.5" hidden="1" customHeight="1">
      <c r="A3526" s="137"/>
      <c r="B3526" s="90"/>
      <c r="C3526" s="55"/>
      <c r="D3526" s="193"/>
      <c r="E3526" s="201"/>
      <c r="F3526" s="202"/>
      <c r="G3526" s="194"/>
      <c r="H3526" s="198"/>
      <c r="I3526" s="196"/>
      <c r="J3526" s="179" t="str">
        <f>IF(A3526="RAPPI",(VLOOKUP(TRIM(D3526), CATALOGO!F:G, 2, FALSE) * C3526)+I3526,IFERROR(IF(COUNTIF('RESTAURANTESDESCUENTOS 2026'!A:A,TRIM(A3526))&gt;0,((VLOOKUP(TRIM(D3526), CATALOGO!A:B, 2, FALSE) * C3526)*(1-VALUE(SUBSTITUTE(VLOOKUP(TRIM(A3526),'RESTAURANTESDESCUENTOS 2026'!A:B,2,FALSE),"%",""))/100)+I3526),(VLOOKUP(TRIM(D3526), CATALOGO!A:B, 2, FALSE) * C3526+I3526)),""))</f>
        <v/>
      </c>
      <c r="K3526" s="196"/>
      <c r="L3526" s="87"/>
      <c r="M3526" s="245"/>
      <c r="N3526" s="168"/>
    </row>
    <row r="3527" ht="22.5" hidden="1" customHeight="1">
      <c r="A3527" s="137"/>
      <c r="B3527" s="90"/>
      <c r="C3527" s="55"/>
      <c r="D3527" s="193"/>
      <c r="E3527" s="201"/>
      <c r="F3527" s="202"/>
      <c r="G3527" s="194"/>
      <c r="H3527" s="198"/>
      <c r="I3527" s="196"/>
      <c r="J3527" s="179" t="str">
        <f>IF(A3527="RAPPI",(VLOOKUP(TRIM(D3527), CATALOGO!F:G, 2, FALSE) * C3527)+I3527,IFERROR(IF(COUNTIF('RESTAURANTESDESCUENTOS 2026'!A:A,TRIM(A3527))&gt;0,((VLOOKUP(TRIM(D3527), CATALOGO!A:B, 2, FALSE) * C3527)*(1-VALUE(SUBSTITUTE(VLOOKUP(TRIM(A3527),'RESTAURANTESDESCUENTOS 2026'!A:B,2,FALSE),"%",""))/100)+I3527),(VLOOKUP(TRIM(D3527), CATALOGO!A:B, 2, FALSE) * C3527+I3527)),""))</f>
        <v/>
      </c>
      <c r="K3527" s="196"/>
      <c r="L3527" s="87"/>
      <c r="M3527" s="245"/>
      <c r="N3527" s="168"/>
    </row>
    <row r="3528" ht="22.5" hidden="1" customHeight="1">
      <c r="A3528" s="137"/>
      <c r="B3528" s="90"/>
      <c r="C3528" s="55"/>
      <c r="D3528" s="193"/>
      <c r="E3528" s="201"/>
      <c r="F3528" s="202"/>
      <c r="G3528" s="194"/>
      <c r="H3528" s="198"/>
      <c r="I3528" s="196"/>
      <c r="J3528" s="179" t="str">
        <f>IF(A3528="RAPPI",(VLOOKUP(TRIM(D3528), CATALOGO!F:G, 2, FALSE) * C3528)+I3528,IFERROR(IF(COUNTIF('RESTAURANTESDESCUENTOS 2026'!A:A,TRIM(A3528))&gt;0,((VLOOKUP(TRIM(D3528), CATALOGO!A:B, 2, FALSE) * C3528)*(1-VALUE(SUBSTITUTE(VLOOKUP(TRIM(A3528),'RESTAURANTESDESCUENTOS 2026'!A:B,2,FALSE),"%",""))/100)+I3528),(VLOOKUP(TRIM(D3528), CATALOGO!A:B, 2, FALSE) * C3528+I3528)),""))</f>
        <v/>
      </c>
      <c r="K3528" s="196"/>
      <c r="L3528" s="87"/>
      <c r="M3528" s="245"/>
      <c r="N3528" s="168"/>
    </row>
    <row r="3529" ht="22.5" hidden="1" customHeight="1">
      <c r="A3529" s="137"/>
      <c r="B3529" s="90"/>
      <c r="C3529" s="55"/>
      <c r="D3529" s="193"/>
      <c r="E3529" s="201"/>
      <c r="F3529" s="202"/>
      <c r="G3529" s="194"/>
      <c r="H3529" s="198"/>
      <c r="I3529" s="196"/>
      <c r="J3529" s="179" t="str">
        <f>IF(A3529="RAPPI",(VLOOKUP(TRIM(D3529), CATALOGO!F:G, 2, FALSE) * C3529)+I3529,IFERROR(IF(COUNTIF('RESTAURANTESDESCUENTOS 2026'!A:A,TRIM(A3529))&gt;0,((VLOOKUP(TRIM(D3529), CATALOGO!A:B, 2, FALSE) * C3529)*(1-VALUE(SUBSTITUTE(VLOOKUP(TRIM(A3529),'RESTAURANTESDESCUENTOS 2026'!A:B,2,FALSE),"%",""))/100)+I3529),(VLOOKUP(TRIM(D3529), CATALOGO!A:B, 2, FALSE) * C3529+I3529)),""))</f>
        <v/>
      </c>
      <c r="K3529" s="196"/>
      <c r="L3529" s="87"/>
      <c r="M3529" s="245"/>
      <c r="N3529" s="168"/>
    </row>
    <row r="3530" ht="22.5" hidden="1" customHeight="1">
      <c r="A3530" s="137"/>
      <c r="B3530" s="90"/>
      <c r="C3530" s="55"/>
      <c r="D3530" s="193"/>
      <c r="E3530" s="201"/>
      <c r="F3530" s="202"/>
      <c r="G3530" s="194"/>
      <c r="H3530" s="198"/>
      <c r="I3530" s="196"/>
      <c r="J3530" s="179" t="str">
        <f>IF(A3530="RAPPI",(VLOOKUP(TRIM(D3530), CATALOGO!F:G, 2, FALSE) * C3530)+I3530,IFERROR(IF(COUNTIF('RESTAURANTESDESCUENTOS 2026'!A:A,TRIM(A3530))&gt;0,((VLOOKUP(TRIM(D3530), CATALOGO!A:B, 2, FALSE) * C3530)*(1-VALUE(SUBSTITUTE(VLOOKUP(TRIM(A3530),'RESTAURANTESDESCUENTOS 2026'!A:B,2,FALSE),"%",""))/100)+I3530),(VLOOKUP(TRIM(D3530), CATALOGO!A:B, 2, FALSE) * C3530+I3530)),""))</f>
        <v/>
      </c>
      <c r="K3530" s="196"/>
      <c r="L3530" s="87"/>
      <c r="M3530" s="245"/>
      <c r="N3530" s="168"/>
    </row>
    <row r="3531" ht="22.5" hidden="1" customHeight="1">
      <c r="A3531" s="137"/>
      <c r="B3531" s="90"/>
      <c r="C3531" s="55"/>
      <c r="D3531" s="193"/>
      <c r="E3531" s="201"/>
      <c r="F3531" s="202"/>
      <c r="G3531" s="194"/>
      <c r="H3531" s="198"/>
      <c r="I3531" s="196"/>
      <c r="J3531" s="179" t="str">
        <f>IF(A3531="RAPPI",(VLOOKUP(TRIM(D3531), CATALOGO!F:G, 2, FALSE) * C3531)+I3531,IFERROR(IF(COUNTIF('RESTAURANTESDESCUENTOS 2026'!A:A,TRIM(A3531))&gt;0,((VLOOKUP(TRIM(D3531), CATALOGO!A:B, 2, FALSE) * C3531)*(1-VALUE(SUBSTITUTE(VLOOKUP(TRIM(A3531),'RESTAURANTESDESCUENTOS 2026'!A:B,2,FALSE),"%",""))/100)+I3531),(VLOOKUP(TRIM(D3531), CATALOGO!A:B, 2, FALSE) * C3531+I3531)),""))</f>
        <v/>
      </c>
      <c r="K3531" s="196"/>
      <c r="L3531" s="87"/>
      <c r="M3531" s="245"/>
      <c r="N3531" s="168"/>
    </row>
    <row r="3532" ht="22.5" hidden="1" customHeight="1">
      <c r="A3532" s="137"/>
      <c r="B3532" s="90"/>
      <c r="C3532" s="55"/>
      <c r="D3532" s="193"/>
      <c r="E3532" s="201"/>
      <c r="F3532" s="202"/>
      <c r="G3532" s="194"/>
      <c r="H3532" s="198"/>
      <c r="I3532" s="196"/>
      <c r="J3532" s="179" t="str">
        <f>IF(A3532="RAPPI",(VLOOKUP(TRIM(D3532), CATALOGO!F:G, 2, FALSE) * C3532)+I3532,IFERROR(IF(COUNTIF('RESTAURANTESDESCUENTOS 2026'!A:A,TRIM(A3532))&gt;0,((VLOOKUP(TRIM(D3532), CATALOGO!A:B, 2, FALSE) * C3532)*(1-VALUE(SUBSTITUTE(VLOOKUP(TRIM(A3532),'RESTAURANTESDESCUENTOS 2026'!A:B,2,FALSE),"%",""))/100)+I3532),(VLOOKUP(TRIM(D3532), CATALOGO!A:B, 2, FALSE) * C3532+I3532)),""))</f>
        <v/>
      </c>
      <c r="K3532" s="196"/>
      <c r="L3532" s="87"/>
      <c r="M3532" s="245"/>
      <c r="N3532" s="168"/>
    </row>
    <row r="3533" ht="22.5" hidden="1" customHeight="1">
      <c r="A3533" s="137"/>
      <c r="B3533" s="90"/>
      <c r="C3533" s="55"/>
      <c r="D3533" s="193"/>
      <c r="E3533" s="201"/>
      <c r="F3533" s="202"/>
      <c r="G3533" s="194"/>
      <c r="H3533" s="198"/>
      <c r="I3533" s="196"/>
      <c r="J3533" s="179" t="str">
        <f>IF(A3533="RAPPI",(VLOOKUP(TRIM(D3533), CATALOGO!F:G, 2, FALSE) * C3533)+I3533,IFERROR(IF(COUNTIF('RESTAURANTESDESCUENTOS 2026'!A:A,TRIM(A3533))&gt;0,((VLOOKUP(TRIM(D3533), CATALOGO!A:B, 2, FALSE) * C3533)*(1-VALUE(SUBSTITUTE(VLOOKUP(TRIM(A3533),'RESTAURANTESDESCUENTOS 2026'!A:B,2,FALSE),"%",""))/100)+I3533),(VLOOKUP(TRIM(D3533), CATALOGO!A:B, 2, FALSE) * C3533+I3533)),""))</f>
        <v/>
      </c>
      <c r="K3533" s="196"/>
      <c r="L3533" s="87"/>
      <c r="M3533" s="245"/>
      <c r="N3533" s="168"/>
    </row>
    <row r="3534" ht="22.5" hidden="1" customHeight="1">
      <c r="A3534" s="137"/>
      <c r="B3534" s="90"/>
      <c r="C3534" s="55"/>
      <c r="D3534" s="193"/>
      <c r="E3534" s="201"/>
      <c r="F3534" s="202"/>
      <c r="G3534" s="194"/>
      <c r="H3534" s="198"/>
      <c r="I3534" s="196"/>
      <c r="J3534" s="179" t="str">
        <f>IF(A3534="RAPPI",(VLOOKUP(TRIM(D3534), CATALOGO!F:G, 2, FALSE) * C3534)+I3534,IFERROR(IF(COUNTIF('RESTAURANTESDESCUENTOS 2026'!A:A,TRIM(A3534))&gt;0,((VLOOKUP(TRIM(D3534), CATALOGO!A:B, 2, FALSE) * C3534)*(1-VALUE(SUBSTITUTE(VLOOKUP(TRIM(A3534),'RESTAURANTESDESCUENTOS 2026'!A:B,2,FALSE),"%",""))/100)+I3534),(VLOOKUP(TRIM(D3534), CATALOGO!A:B, 2, FALSE) * C3534+I3534)),""))</f>
        <v/>
      </c>
      <c r="K3534" s="196"/>
      <c r="L3534" s="87"/>
      <c r="M3534" s="245"/>
      <c r="N3534" s="168"/>
    </row>
    <row r="3535" ht="22.5" hidden="1" customHeight="1">
      <c r="A3535" s="137"/>
      <c r="B3535" s="90"/>
      <c r="C3535" s="55"/>
      <c r="D3535" s="193"/>
      <c r="E3535" s="201"/>
      <c r="F3535" s="202"/>
      <c r="G3535" s="194"/>
      <c r="H3535" s="198"/>
      <c r="I3535" s="196"/>
      <c r="J3535" s="179" t="str">
        <f>IF(A3535="RAPPI",(VLOOKUP(TRIM(D3535), CATALOGO!F:G, 2, FALSE) * C3535)+I3535,IFERROR(IF(COUNTIF('RESTAURANTESDESCUENTOS 2026'!A:A,TRIM(A3535))&gt;0,((VLOOKUP(TRIM(D3535), CATALOGO!A:B, 2, FALSE) * C3535)*(1-VALUE(SUBSTITUTE(VLOOKUP(TRIM(A3535),'RESTAURANTESDESCUENTOS 2026'!A:B,2,FALSE),"%",""))/100)+I3535),(VLOOKUP(TRIM(D3535), CATALOGO!A:B, 2, FALSE) * C3535+I3535)),""))</f>
        <v/>
      </c>
      <c r="K3535" s="196"/>
      <c r="L3535" s="87"/>
      <c r="M3535" s="245"/>
      <c r="N3535" s="168"/>
    </row>
    <row r="3536" ht="22.5" hidden="1" customHeight="1">
      <c r="A3536" s="137"/>
      <c r="B3536" s="90"/>
      <c r="C3536" s="55"/>
      <c r="D3536" s="193"/>
      <c r="E3536" s="201"/>
      <c r="F3536" s="202"/>
      <c r="G3536" s="194"/>
      <c r="H3536" s="198"/>
      <c r="I3536" s="196"/>
      <c r="J3536" s="179" t="str">
        <f>IF(A3536="RAPPI",(VLOOKUP(TRIM(D3536), CATALOGO!F:G, 2, FALSE) * C3536)+I3536,IFERROR(IF(COUNTIF('RESTAURANTESDESCUENTOS 2026'!A:A,TRIM(A3536))&gt;0,((VLOOKUP(TRIM(D3536), CATALOGO!A:B, 2, FALSE) * C3536)*(1-VALUE(SUBSTITUTE(VLOOKUP(TRIM(A3536),'RESTAURANTESDESCUENTOS 2026'!A:B,2,FALSE),"%",""))/100)+I3536),(VLOOKUP(TRIM(D3536), CATALOGO!A:B, 2, FALSE) * C3536+I3536)),""))</f>
        <v/>
      </c>
      <c r="K3536" s="196"/>
      <c r="L3536" s="87"/>
      <c r="M3536" s="245"/>
      <c r="N3536" s="168"/>
    </row>
    <row r="3537" ht="22.5" hidden="1" customHeight="1">
      <c r="A3537" s="137"/>
      <c r="B3537" s="90"/>
      <c r="C3537" s="55"/>
      <c r="D3537" s="193"/>
      <c r="E3537" s="201"/>
      <c r="F3537" s="202"/>
      <c r="G3537" s="194"/>
      <c r="H3537" s="198"/>
      <c r="I3537" s="196"/>
      <c r="J3537" s="179" t="str">
        <f>IF(A3537="RAPPI",(VLOOKUP(TRIM(D3537), CATALOGO!F:G, 2, FALSE) * C3537)+I3537,IFERROR(IF(COUNTIF('RESTAURANTESDESCUENTOS 2026'!A:A,TRIM(A3537))&gt;0,((VLOOKUP(TRIM(D3537), CATALOGO!A:B, 2, FALSE) * C3537)*(1-VALUE(SUBSTITUTE(VLOOKUP(TRIM(A3537),'RESTAURANTESDESCUENTOS 2026'!A:B,2,FALSE),"%",""))/100)+I3537),(VLOOKUP(TRIM(D3537), CATALOGO!A:B, 2, FALSE) * C3537+I3537)),""))</f>
        <v/>
      </c>
      <c r="K3537" s="196"/>
      <c r="L3537" s="87"/>
      <c r="M3537" s="245"/>
      <c r="N3537" s="168"/>
    </row>
    <row r="3538" ht="22.5" hidden="1" customHeight="1">
      <c r="A3538" s="137"/>
      <c r="B3538" s="90"/>
      <c r="C3538" s="55"/>
      <c r="D3538" s="193"/>
      <c r="E3538" s="201"/>
      <c r="F3538" s="202"/>
      <c r="G3538" s="194"/>
      <c r="H3538" s="198"/>
      <c r="I3538" s="196"/>
      <c r="J3538" s="179" t="str">
        <f>IF(A3538="RAPPI",(VLOOKUP(TRIM(D3538), CATALOGO!F:G, 2, FALSE) * C3538)+I3538,IFERROR(IF(COUNTIF('RESTAURANTESDESCUENTOS 2026'!A:A,TRIM(A3538))&gt;0,((VLOOKUP(TRIM(D3538), CATALOGO!A:B, 2, FALSE) * C3538)*(1-VALUE(SUBSTITUTE(VLOOKUP(TRIM(A3538),'RESTAURANTESDESCUENTOS 2026'!A:B,2,FALSE),"%",""))/100)+I3538),(VLOOKUP(TRIM(D3538), CATALOGO!A:B, 2, FALSE) * C3538+I3538)),""))</f>
        <v/>
      </c>
      <c r="K3538" s="196"/>
      <c r="L3538" s="87"/>
      <c r="M3538" s="245"/>
      <c r="N3538" s="168"/>
    </row>
    <row r="3539" ht="22.5" hidden="1" customHeight="1">
      <c r="A3539" s="137"/>
      <c r="B3539" s="90"/>
      <c r="C3539" s="55"/>
      <c r="D3539" s="193"/>
      <c r="E3539" s="201"/>
      <c r="F3539" s="202"/>
      <c r="G3539" s="194"/>
      <c r="H3539" s="198"/>
      <c r="I3539" s="196"/>
      <c r="J3539" s="179" t="str">
        <f>IF(A3539="RAPPI",(VLOOKUP(TRIM(D3539), CATALOGO!F:G, 2, FALSE) * C3539)+I3539,IFERROR(IF(COUNTIF('RESTAURANTESDESCUENTOS 2026'!A:A,TRIM(A3539))&gt;0,((VLOOKUP(TRIM(D3539), CATALOGO!A:B, 2, FALSE) * C3539)*(1-VALUE(SUBSTITUTE(VLOOKUP(TRIM(A3539),'RESTAURANTESDESCUENTOS 2026'!A:B,2,FALSE),"%",""))/100)+I3539),(VLOOKUP(TRIM(D3539), CATALOGO!A:B, 2, FALSE) * C3539+I3539)),""))</f>
        <v/>
      </c>
      <c r="K3539" s="196"/>
      <c r="L3539" s="87"/>
      <c r="M3539" s="245"/>
      <c r="N3539" s="168"/>
    </row>
    <row r="3540" ht="22.5" hidden="1" customHeight="1">
      <c r="A3540" s="137"/>
      <c r="B3540" s="90"/>
      <c r="C3540" s="55"/>
      <c r="D3540" s="193"/>
      <c r="E3540" s="201"/>
      <c r="F3540" s="202"/>
      <c r="G3540" s="194"/>
      <c r="H3540" s="198"/>
      <c r="I3540" s="196"/>
      <c r="J3540" s="179" t="str">
        <f>IF(A3540="RAPPI",(VLOOKUP(TRIM(D3540), CATALOGO!F:G, 2, FALSE) * C3540)+I3540,IFERROR(IF(COUNTIF('RESTAURANTESDESCUENTOS 2026'!A:A,TRIM(A3540))&gt;0,((VLOOKUP(TRIM(D3540), CATALOGO!A:B, 2, FALSE) * C3540)*(1-VALUE(SUBSTITUTE(VLOOKUP(TRIM(A3540),'RESTAURANTESDESCUENTOS 2026'!A:B,2,FALSE),"%",""))/100)+I3540),(VLOOKUP(TRIM(D3540), CATALOGO!A:B, 2, FALSE) * C3540+I3540)),""))</f>
        <v/>
      </c>
      <c r="K3540" s="196"/>
      <c r="L3540" s="87"/>
      <c r="M3540" s="245"/>
      <c r="N3540" s="168"/>
    </row>
    <row r="3541" ht="22.5" hidden="1" customHeight="1">
      <c r="A3541" s="137"/>
      <c r="B3541" s="90"/>
      <c r="C3541" s="55"/>
      <c r="D3541" s="193"/>
      <c r="E3541" s="201"/>
      <c r="F3541" s="202"/>
      <c r="G3541" s="194"/>
      <c r="H3541" s="198"/>
      <c r="I3541" s="196"/>
      <c r="J3541" s="179" t="str">
        <f>IF(A3541="RAPPI",(VLOOKUP(TRIM(D3541), CATALOGO!F:G, 2, FALSE) * C3541)+I3541,IFERROR(IF(COUNTIF('RESTAURANTESDESCUENTOS 2026'!A:A,TRIM(A3541))&gt;0,((VLOOKUP(TRIM(D3541), CATALOGO!A:B, 2, FALSE) * C3541)*(1-VALUE(SUBSTITUTE(VLOOKUP(TRIM(A3541),'RESTAURANTESDESCUENTOS 2026'!A:B,2,FALSE),"%",""))/100)+I3541),(VLOOKUP(TRIM(D3541), CATALOGO!A:B, 2, FALSE) * C3541+I3541)),""))</f>
        <v/>
      </c>
      <c r="K3541" s="196"/>
      <c r="L3541" s="87"/>
      <c r="M3541" s="245"/>
      <c r="N3541" s="168"/>
    </row>
    <row r="3542" ht="22.5" hidden="1" customHeight="1">
      <c r="A3542" s="137"/>
      <c r="B3542" s="90"/>
      <c r="C3542" s="55"/>
      <c r="D3542" s="193"/>
      <c r="E3542" s="201"/>
      <c r="F3542" s="202"/>
      <c r="G3542" s="194"/>
      <c r="H3542" s="198"/>
      <c r="I3542" s="196"/>
      <c r="J3542" s="179" t="str">
        <f>IF(A3542="RAPPI",(VLOOKUP(TRIM(D3542), CATALOGO!F:G, 2, FALSE) * C3542)+I3542,IFERROR(IF(COUNTIF('RESTAURANTESDESCUENTOS 2026'!A:A,TRIM(A3542))&gt;0,((VLOOKUP(TRIM(D3542), CATALOGO!A:B, 2, FALSE) * C3542)*(1-VALUE(SUBSTITUTE(VLOOKUP(TRIM(A3542),'RESTAURANTESDESCUENTOS 2026'!A:B,2,FALSE),"%",""))/100)+I3542),(VLOOKUP(TRIM(D3542), CATALOGO!A:B, 2, FALSE) * C3542+I3542)),""))</f>
        <v/>
      </c>
      <c r="K3542" s="196"/>
      <c r="L3542" s="87"/>
      <c r="M3542" s="245"/>
      <c r="N3542" s="168"/>
    </row>
    <row r="3543" ht="22.5" hidden="1" customHeight="1">
      <c r="A3543" s="137"/>
      <c r="B3543" s="90"/>
      <c r="C3543" s="55"/>
      <c r="D3543" s="193"/>
      <c r="E3543" s="201"/>
      <c r="F3543" s="202"/>
      <c r="G3543" s="194"/>
      <c r="H3543" s="198"/>
      <c r="I3543" s="196"/>
      <c r="J3543" s="179" t="str">
        <f>IF(A3543="RAPPI",(VLOOKUP(TRIM(D3543), CATALOGO!F:G, 2, FALSE) * C3543)+I3543,IFERROR(IF(COUNTIF('RESTAURANTESDESCUENTOS 2026'!A:A,TRIM(A3543))&gt;0,((VLOOKUP(TRIM(D3543), CATALOGO!A:B, 2, FALSE) * C3543)*(1-VALUE(SUBSTITUTE(VLOOKUP(TRIM(A3543),'RESTAURANTESDESCUENTOS 2026'!A:B,2,FALSE),"%",""))/100)+I3543),(VLOOKUP(TRIM(D3543), CATALOGO!A:B, 2, FALSE) * C3543+I3543)),""))</f>
        <v/>
      </c>
      <c r="K3543" s="196"/>
      <c r="L3543" s="87"/>
      <c r="M3543" s="245"/>
      <c r="N3543" s="168"/>
    </row>
    <row r="3544" ht="22.5" hidden="1" customHeight="1">
      <c r="A3544" s="137"/>
      <c r="B3544" s="90"/>
      <c r="C3544" s="55"/>
      <c r="D3544" s="193"/>
      <c r="E3544" s="201"/>
      <c r="F3544" s="202"/>
      <c r="G3544" s="194"/>
      <c r="H3544" s="198"/>
      <c r="I3544" s="196"/>
      <c r="J3544" s="179" t="str">
        <f>IF(A3544="RAPPI",(VLOOKUP(TRIM(D3544), CATALOGO!F:G, 2, FALSE) * C3544)+I3544,IFERROR(IF(COUNTIF('RESTAURANTESDESCUENTOS 2026'!A:A,TRIM(A3544))&gt;0,((VLOOKUP(TRIM(D3544), CATALOGO!A:B, 2, FALSE) * C3544)*(1-VALUE(SUBSTITUTE(VLOOKUP(TRIM(A3544),'RESTAURANTESDESCUENTOS 2026'!A:B,2,FALSE),"%",""))/100)+I3544),(VLOOKUP(TRIM(D3544), CATALOGO!A:B, 2, FALSE) * C3544+I3544)),""))</f>
        <v/>
      </c>
      <c r="K3544" s="196"/>
      <c r="L3544" s="87"/>
      <c r="M3544" s="245"/>
      <c r="N3544" s="168"/>
    </row>
    <row r="3545" ht="22.5" hidden="1" customHeight="1">
      <c r="A3545" s="137"/>
      <c r="B3545" s="90"/>
      <c r="C3545" s="55"/>
      <c r="D3545" s="193"/>
      <c r="E3545" s="201"/>
      <c r="F3545" s="202"/>
      <c r="G3545" s="194"/>
      <c r="H3545" s="198"/>
      <c r="I3545" s="196"/>
      <c r="J3545" s="179" t="str">
        <f>IF(A3545="RAPPI",(VLOOKUP(TRIM(D3545), CATALOGO!F:G, 2, FALSE) * C3545)+I3545,IFERROR(IF(COUNTIF('RESTAURANTESDESCUENTOS 2026'!A:A,TRIM(A3545))&gt;0,((VLOOKUP(TRIM(D3545), CATALOGO!A:B, 2, FALSE) * C3545)*(1-VALUE(SUBSTITUTE(VLOOKUP(TRIM(A3545),'RESTAURANTESDESCUENTOS 2026'!A:B,2,FALSE),"%",""))/100)+I3545),(VLOOKUP(TRIM(D3545), CATALOGO!A:B, 2, FALSE) * C3545+I3545)),""))</f>
        <v/>
      </c>
      <c r="K3545" s="196"/>
      <c r="L3545" s="87"/>
      <c r="M3545" s="245"/>
      <c r="N3545" s="168"/>
    </row>
    <row r="3546" ht="22.5" hidden="1" customHeight="1">
      <c r="A3546" s="137"/>
      <c r="B3546" s="90"/>
      <c r="C3546" s="55"/>
      <c r="D3546" s="193"/>
      <c r="E3546" s="201"/>
      <c r="F3546" s="202"/>
      <c r="G3546" s="194"/>
      <c r="H3546" s="198"/>
      <c r="I3546" s="196"/>
      <c r="J3546" s="179" t="str">
        <f>IF(A3546="RAPPI",(VLOOKUP(TRIM(D3546), CATALOGO!F:G, 2, FALSE) * C3546)+I3546,IFERROR(IF(COUNTIF('RESTAURANTESDESCUENTOS 2026'!A:A,TRIM(A3546))&gt;0,((VLOOKUP(TRIM(D3546), CATALOGO!A:B, 2, FALSE) * C3546)*(1-VALUE(SUBSTITUTE(VLOOKUP(TRIM(A3546),'RESTAURANTESDESCUENTOS 2026'!A:B,2,FALSE),"%",""))/100)+I3546),(VLOOKUP(TRIM(D3546), CATALOGO!A:B, 2, FALSE) * C3546+I3546)),""))</f>
        <v/>
      </c>
      <c r="K3546" s="196"/>
      <c r="L3546" s="87"/>
      <c r="M3546" s="245"/>
      <c r="N3546" s="168"/>
    </row>
    <row r="3547" ht="22.5" hidden="1" customHeight="1">
      <c r="A3547" s="137"/>
      <c r="B3547" s="90"/>
      <c r="C3547" s="55"/>
      <c r="D3547" s="193"/>
      <c r="E3547" s="201"/>
      <c r="F3547" s="202"/>
      <c r="G3547" s="194"/>
      <c r="H3547" s="198"/>
      <c r="I3547" s="196"/>
      <c r="J3547" s="179" t="str">
        <f>IF(A3547="RAPPI",(VLOOKUP(TRIM(D3547), CATALOGO!F:G, 2, FALSE) * C3547)+I3547,IFERROR(IF(COUNTIF('RESTAURANTESDESCUENTOS 2026'!A:A,TRIM(A3547))&gt;0,((VLOOKUP(TRIM(D3547), CATALOGO!A:B, 2, FALSE) * C3547)*(1-VALUE(SUBSTITUTE(VLOOKUP(TRIM(A3547),'RESTAURANTESDESCUENTOS 2026'!A:B,2,FALSE),"%",""))/100)+I3547),(VLOOKUP(TRIM(D3547), CATALOGO!A:B, 2, FALSE) * C3547+I3547)),""))</f>
        <v/>
      </c>
      <c r="K3547" s="196"/>
      <c r="L3547" s="87"/>
      <c r="M3547" s="245"/>
      <c r="N3547" s="168"/>
    </row>
    <row r="3548" ht="22.5" hidden="1" customHeight="1">
      <c r="A3548" s="137"/>
      <c r="B3548" s="90"/>
      <c r="C3548" s="55"/>
      <c r="D3548" s="193"/>
      <c r="E3548" s="201"/>
      <c r="F3548" s="202"/>
      <c r="G3548" s="194"/>
      <c r="H3548" s="198"/>
      <c r="I3548" s="196"/>
      <c r="J3548" s="179" t="str">
        <f>IF(A3548="RAPPI",(VLOOKUP(TRIM(D3548), CATALOGO!F:G, 2, FALSE) * C3548)+I3548,IFERROR(IF(COUNTIF('RESTAURANTESDESCUENTOS 2026'!A:A,TRIM(A3548))&gt;0,((VLOOKUP(TRIM(D3548), CATALOGO!A:B, 2, FALSE) * C3548)*(1-VALUE(SUBSTITUTE(VLOOKUP(TRIM(A3548),'RESTAURANTESDESCUENTOS 2026'!A:B,2,FALSE),"%",""))/100)+I3548),(VLOOKUP(TRIM(D3548), CATALOGO!A:B, 2, FALSE) * C3548+I3548)),""))</f>
        <v/>
      </c>
      <c r="K3548" s="196"/>
      <c r="L3548" s="87"/>
      <c r="M3548" s="245"/>
      <c r="N3548" s="168"/>
    </row>
    <row r="3549" ht="22.5" hidden="1" customHeight="1">
      <c r="A3549" s="137"/>
      <c r="B3549" s="90"/>
      <c r="C3549" s="55"/>
      <c r="D3549" s="193"/>
      <c r="E3549" s="201"/>
      <c r="F3549" s="202"/>
      <c r="G3549" s="194"/>
      <c r="H3549" s="198"/>
      <c r="I3549" s="196"/>
      <c r="J3549" s="179" t="str">
        <f>IF(A3549="RAPPI",(VLOOKUP(TRIM(D3549), CATALOGO!F:G, 2, FALSE) * C3549)+I3549,IFERROR(IF(COUNTIF('RESTAURANTESDESCUENTOS 2026'!A:A,TRIM(A3549))&gt;0,((VLOOKUP(TRIM(D3549), CATALOGO!A:B, 2, FALSE) * C3549)*(1-VALUE(SUBSTITUTE(VLOOKUP(TRIM(A3549),'RESTAURANTESDESCUENTOS 2026'!A:B,2,FALSE),"%",""))/100)+I3549),(VLOOKUP(TRIM(D3549), CATALOGO!A:B, 2, FALSE) * C3549+I3549)),""))</f>
        <v/>
      </c>
      <c r="K3549" s="196"/>
      <c r="L3549" s="87"/>
      <c r="M3549" s="245"/>
      <c r="N3549" s="168"/>
    </row>
    <row r="3550" ht="22.5" hidden="1" customHeight="1">
      <c r="A3550" s="137"/>
      <c r="B3550" s="90"/>
      <c r="C3550" s="55"/>
      <c r="D3550" s="193"/>
      <c r="E3550" s="201"/>
      <c r="F3550" s="202"/>
      <c r="G3550" s="194"/>
      <c r="H3550" s="198"/>
      <c r="I3550" s="196"/>
      <c r="J3550" s="179" t="str">
        <f>IF(A3550="RAPPI",(VLOOKUP(TRIM(D3550), CATALOGO!F:G, 2, FALSE) * C3550)+I3550,IFERROR(IF(COUNTIF('RESTAURANTESDESCUENTOS 2026'!A:A,TRIM(A3550))&gt;0,((VLOOKUP(TRIM(D3550), CATALOGO!A:B, 2, FALSE) * C3550)*(1-VALUE(SUBSTITUTE(VLOOKUP(TRIM(A3550),'RESTAURANTESDESCUENTOS 2026'!A:B,2,FALSE),"%",""))/100)+I3550),(VLOOKUP(TRIM(D3550), CATALOGO!A:B, 2, FALSE) * C3550+I3550)),""))</f>
        <v/>
      </c>
      <c r="K3550" s="196"/>
      <c r="L3550" s="87"/>
      <c r="M3550" s="245"/>
      <c r="N3550" s="168"/>
    </row>
    <row r="3551" ht="22.5" hidden="1" customHeight="1">
      <c r="A3551" s="137"/>
      <c r="B3551" s="90"/>
      <c r="C3551" s="55"/>
      <c r="D3551" s="193"/>
      <c r="E3551" s="201"/>
      <c r="F3551" s="202"/>
      <c r="G3551" s="194"/>
      <c r="H3551" s="198"/>
      <c r="I3551" s="196"/>
      <c r="J3551" s="179" t="str">
        <f>IF(A3551="RAPPI",(VLOOKUP(TRIM(D3551), CATALOGO!F:G, 2, FALSE) * C3551)+I3551,IFERROR(IF(COUNTIF('RESTAURANTESDESCUENTOS 2026'!A:A,TRIM(A3551))&gt;0,((VLOOKUP(TRIM(D3551), CATALOGO!A:B, 2, FALSE) * C3551)*(1-VALUE(SUBSTITUTE(VLOOKUP(TRIM(A3551),'RESTAURANTESDESCUENTOS 2026'!A:B,2,FALSE),"%",""))/100)+I3551),(VLOOKUP(TRIM(D3551), CATALOGO!A:B, 2, FALSE) * C3551+I3551)),""))</f>
        <v/>
      </c>
      <c r="K3551" s="196"/>
      <c r="L3551" s="87"/>
      <c r="M3551" s="245"/>
      <c r="N3551" s="168"/>
    </row>
    <row r="3552" ht="22.5" hidden="1" customHeight="1">
      <c r="A3552" s="137"/>
      <c r="B3552" s="90"/>
      <c r="C3552" s="55"/>
      <c r="D3552" s="193"/>
      <c r="E3552" s="201"/>
      <c r="F3552" s="202"/>
      <c r="G3552" s="194"/>
      <c r="H3552" s="198"/>
      <c r="I3552" s="196"/>
      <c r="J3552" s="179" t="str">
        <f>IF(A3552="RAPPI",(VLOOKUP(TRIM(D3552), CATALOGO!F:G, 2, FALSE) * C3552)+I3552,IFERROR(IF(COUNTIF('RESTAURANTESDESCUENTOS 2026'!A:A,TRIM(A3552))&gt;0,((VLOOKUP(TRIM(D3552), CATALOGO!A:B, 2, FALSE) * C3552)*(1-VALUE(SUBSTITUTE(VLOOKUP(TRIM(A3552),'RESTAURANTESDESCUENTOS 2026'!A:B,2,FALSE),"%",""))/100)+I3552),(VLOOKUP(TRIM(D3552), CATALOGO!A:B, 2, FALSE) * C3552+I3552)),""))</f>
        <v/>
      </c>
      <c r="K3552" s="196"/>
      <c r="L3552" s="87"/>
      <c r="M3552" s="245"/>
      <c r="N3552" s="168"/>
    </row>
    <row r="3553" ht="22.5" hidden="1" customHeight="1">
      <c r="A3553" s="137"/>
      <c r="B3553" s="90"/>
      <c r="C3553" s="55"/>
      <c r="D3553" s="193"/>
      <c r="E3553" s="201"/>
      <c r="F3553" s="202"/>
      <c r="G3553" s="194"/>
      <c r="H3553" s="198"/>
      <c r="I3553" s="196"/>
      <c r="J3553" s="179" t="str">
        <f>IF(A3553="RAPPI",(VLOOKUP(TRIM(D3553), CATALOGO!F:G, 2, FALSE) * C3553)+I3553,IFERROR(IF(COUNTIF('RESTAURANTESDESCUENTOS 2026'!A:A,TRIM(A3553))&gt;0,((VLOOKUP(TRIM(D3553), CATALOGO!A:B, 2, FALSE) * C3553)*(1-VALUE(SUBSTITUTE(VLOOKUP(TRIM(A3553),'RESTAURANTESDESCUENTOS 2026'!A:B,2,FALSE),"%",""))/100)+I3553),(VLOOKUP(TRIM(D3553), CATALOGO!A:B, 2, FALSE) * C3553+I3553)),""))</f>
        <v/>
      </c>
      <c r="K3553" s="196"/>
      <c r="L3553" s="87"/>
      <c r="M3553" s="245"/>
      <c r="N3553" s="168"/>
    </row>
    <row r="3554" ht="22.5" hidden="1" customHeight="1">
      <c r="A3554" s="137"/>
      <c r="B3554" s="90"/>
      <c r="C3554" s="55"/>
      <c r="D3554" s="193"/>
      <c r="E3554" s="201"/>
      <c r="F3554" s="202"/>
      <c r="G3554" s="194"/>
      <c r="H3554" s="198"/>
      <c r="I3554" s="196"/>
      <c r="J3554" s="179" t="str">
        <f>IF(A3554="RAPPI",(VLOOKUP(TRIM(D3554), CATALOGO!F:G, 2, FALSE) * C3554)+I3554,IFERROR(IF(COUNTIF('RESTAURANTESDESCUENTOS 2026'!A:A,TRIM(A3554))&gt;0,((VLOOKUP(TRIM(D3554), CATALOGO!A:B, 2, FALSE) * C3554)*(1-VALUE(SUBSTITUTE(VLOOKUP(TRIM(A3554),'RESTAURANTESDESCUENTOS 2026'!A:B,2,FALSE),"%",""))/100)+I3554),(VLOOKUP(TRIM(D3554), CATALOGO!A:B, 2, FALSE) * C3554+I3554)),""))</f>
        <v/>
      </c>
      <c r="K3554" s="196"/>
      <c r="L3554" s="87"/>
      <c r="M3554" s="245"/>
      <c r="N3554" s="168"/>
    </row>
    <row r="3555" ht="22.5" hidden="1" customHeight="1">
      <c r="A3555" s="137"/>
      <c r="B3555" s="90"/>
      <c r="C3555" s="55"/>
      <c r="D3555" s="193"/>
      <c r="E3555" s="201"/>
      <c r="F3555" s="202"/>
      <c r="G3555" s="194"/>
      <c r="H3555" s="198"/>
      <c r="I3555" s="196"/>
      <c r="J3555" s="179" t="str">
        <f>IF(A3555="RAPPI",(VLOOKUP(TRIM(D3555), CATALOGO!F:G, 2, FALSE) * C3555)+I3555,IFERROR(IF(COUNTIF('RESTAURANTESDESCUENTOS 2026'!A:A,TRIM(A3555))&gt;0,((VLOOKUP(TRIM(D3555), CATALOGO!A:B, 2, FALSE) * C3555)*(1-VALUE(SUBSTITUTE(VLOOKUP(TRIM(A3555),'RESTAURANTESDESCUENTOS 2026'!A:B,2,FALSE),"%",""))/100)+I3555),(VLOOKUP(TRIM(D3555), CATALOGO!A:B, 2, FALSE) * C3555+I3555)),""))</f>
        <v/>
      </c>
      <c r="K3555" s="196"/>
      <c r="L3555" s="87"/>
      <c r="M3555" s="245"/>
      <c r="N3555" s="168"/>
    </row>
    <row r="3556" ht="22.5" hidden="1" customHeight="1">
      <c r="A3556" s="137"/>
      <c r="B3556" s="90"/>
      <c r="C3556" s="55"/>
      <c r="D3556" s="193"/>
      <c r="E3556" s="201"/>
      <c r="F3556" s="202"/>
      <c r="G3556" s="194"/>
      <c r="H3556" s="198"/>
      <c r="I3556" s="196"/>
      <c r="J3556" s="179" t="str">
        <f>IF(A3556="RAPPI",(VLOOKUP(TRIM(D3556), CATALOGO!F:G, 2, FALSE) * C3556)+I3556,IFERROR(IF(COUNTIF('RESTAURANTESDESCUENTOS 2026'!A:A,TRIM(A3556))&gt;0,((VLOOKUP(TRIM(D3556), CATALOGO!A:B, 2, FALSE) * C3556)*(1-VALUE(SUBSTITUTE(VLOOKUP(TRIM(A3556),'RESTAURANTESDESCUENTOS 2026'!A:B,2,FALSE),"%",""))/100)+I3556),(VLOOKUP(TRIM(D3556), CATALOGO!A:B, 2, FALSE) * C3556+I3556)),""))</f>
        <v/>
      </c>
      <c r="K3556" s="196"/>
      <c r="L3556" s="87"/>
      <c r="M3556" s="245"/>
      <c r="N3556" s="168"/>
    </row>
    <row r="3557" ht="22.5" hidden="1" customHeight="1">
      <c r="A3557" s="137"/>
      <c r="B3557" s="90"/>
      <c r="C3557" s="55"/>
      <c r="D3557" s="193"/>
      <c r="E3557" s="201"/>
      <c r="F3557" s="202"/>
      <c r="G3557" s="194"/>
      <c r="H3557" s="198"/>
      <c r="I3557" s="196"/>
      <c r="J3557" s="179" t="str">
        <f>IF(A3557="RAPPI",(VLOOKUP(TRIM(D3557), CATALOGO!F:G, 2, FALSE) * C3557)+I3557,IFERROR(IF(COUNTIF('RESTAURANTESDESCUENTOS 2026'!A:A,TRIM(A3557))&gt;0,((VLOOKUP(TRIM(D3557), CATALOGO!A:B, 2, FALSE) * C3557)*(1-VALUE(SUBSTITUTE(VLOOKUP(TRIM(A3557),'RESTAURANTESDESCUENTOS 2026'!A:B,2,FALSE),"%",""))/100)+I3557),(VLOOKUP(TRIM(D3557), CATALOGO!A:B, 2, FALSE) * C3557+I3557)),""))</f>
        <v/>
      </c>
      <c r="K3557" s="196"/>
      <c r="L3557" s="87"/>
      <c r="M3557" s="245"/>
      <c r="N3557" s="168"/>
    </row>
    <row r="3558" ht="22.5" hidden="1" customHeight="1">
      <c r="A3558" s="137"/>
      <c r="B3558" s="90"/>
      <c r="C3558" s="55"/>
      <c r="D3558" s="193"/>
      <c r="E3558" s="201"/>
      <c r="F3558" s="202"/>
      <c r="G3558" s="194"/>
      <c r="H3558" s="198"/>
      <c r="I3558" s="196"/>
      <c r="J3558" s="179" t="str">
        <f>IF(A3558="RAPPI",(VLOOKUP(TRIM(D3558), CATALOGO!F:G, 2, FALSE) * C3558)+I3558,IFERROR(IF(COUNTIF('RESTAURANTESDESCUENTOS 2026'!A:A,TRIM(A3558))&gt;0,((VLOOKUP(TRIM(D3558), CATALOGO!A:B, 2, FALSE) * C3558)*(1-VALUE(SUBSTITUTE(VLOOKUP(TRIM(A3558),'RESTAURANTESDESCUENTOS 2026'!A:B,2,FALSE),"%",""))/100)+I3558),(VLOOKUP(TRIM(D3558), CATALOGO!A:B, 2, FALSE) * C3558+I3558)),""))</f>
        <v/>
      </c>
      <c r="K3558" s="196"/>
      <c r="L3558" s="87"/>
      <c r="M3558" s="245"/>
      <c r="N3558" s="168"/>
    </row>
    <row r="3559" ht="22.5" hidden="1" customHeight="1">
      <c r="A3559" s="137"/>
      <c r="B3559" s="90"/>
      <c r="C3559" s="55"/>
      <c r="D3559" s="193"/>
      <c r="E3559" s="201"/>
      <c r="F3559" s="202"/>
      <c r="G3559" s="194"/>
      <c r="H3559" s="198"/>
      <c r="I3559" s="196"/>
      <c r="J3559" s="179" t="str">
        <f>IF(A3559="RAPPI",(VLOOKUP(TRIM(D3559), CATALOGO!F:G, 2, FALSE) * C3559)+I3559,IFERROR(IF(COUNTIF('RESTAURANTESDESCUENTOS 2026'!A:A,TRIM(A3559))&gt;0,((VLOOKUP(TRIM(D3559), CATALOGO!A:B, 2, FALSE) * C3559)*(1-VALUE(SUBSTITUTE(VLOOKUP(TRIM(A3559),'RESTAURANTESDESCUENTOS 2026'!A:B,2,FALSE),"%",""))/100)+I3559),(VLOOKUP(TRIM(D3559), CATALOGO!A:B, 2, FALSE) * C3559+I3559)),""))</f>
        <v/>
      </c>
      <c r="K3559" s="196"/>
      <c r="L3559" s="87"/>
      <c r="M3559" s="245"/>
      <c r="N3559" s="168"/>
    </row>
    <row r="3560" ht="22.5" hidden="1" customHeight="1">
      <c r="A3560" s="137"/>
      <c r="B3560" s="90"/>
      <c r="C3560" s="55"/>
      <c r="D3560" s="193"/>
      <c r="E3560" s="201"/>
      <c r="F3560" s="202"/>
      <c r="G3560" s="194"/>
      <c r="H3560" s="198"/>
      <c r="I3560" s="196"/>
      <c r="J3560" s="179" t="str">
        <f>IF(A3560="RAPPI",(VLOOKUP(TRIM(D3560), CATALOGO!F:G, 2, FALSE) * C3560)+I3560,IFERROR(IF(COUNTIF('RESTAURANTESDESCUENTOS 2026'!A:A,TRIM(A3560))&gt;0,((VLOOKUP(TRIM(D3560), CATALOGO!A:B, 2, FALSE) * C3560)*(1-VALUE(SUBSTITUTE(VLOOKUP(TRIM(A3560),'RESTAURANTESDESCUENTOS 2026'!A:B,2,FALSE),"%",""))/100)+I3560),(VLOOKUP(TRIM(D3560), CATALOGO!A:B, 2, FALSE) * C3560+I3560)),""))</f>
        <v/>
      </c>
      <c r="K3560" s="196"/>
      <c r="L3560" s="87"/>
      <c r="M3560" s="245"/>
      <c r="N3560" s="168"/>
    </row>
    <row r="3561" ht="22.5" hidden="1" customHeight="1">
      <c r="A3561" s="137"/>
      <c r="B3561" s="90"/>
      <c r="C3561" s="55"/>
      <c r="D3561" s="193"/>
      <c r="E3561" s="201"/>
      <c r="F3561" s="202"/>
      <c r="G3561" s="194"/>
      <c r="H3561" s="198"/>
      <c r="I3561" s="196"/>
      <c r="J3561" s="179" t="str">
        <f>IF(A3561="RAPPI",(VLOOKUP(TRIM(D3561), CATALOGO!F:G, 2, FALSE) * C3561)+I3561,IFERROR(IF(COUNTIF('RESTAURANTESDESCUENTOS 2026'!A:A,TRIM(A3561))&gt;0,((VLOOKUP(TRIM(D3561), CATALOGO!A:B, 2, FALSE) * C3561)*(1-VALUE(SUBSTITUTE(VLOOKUP(TRIM(A3561),'RESTAURANTESDESCUENTOS 2026'!A:B,2,FALSE),"%",""))/100)+I3561),(VLOOKUP(TRIM(D3561), CATALOGO!A:B, 2, FALSE) * C3561+I3561)),""))</f>
        <v/>
      </c>
      <c r="K3561" s="196"/>
      <c r="L3561" s="87"/>
      <c r="M3561" s="245"/>
      <c r="N3561" s="168"/>
    </row>
    <row r="3562" ht="22.5" hidden="1" customHeight="1">
      <c r="A3562" s="137"/>
      <c r="B3562" s="90"/>
      <c r="C3562" s="55"/>
      <c r="D3562" s="193"/>
      <c r="E3562" s="201"/>
      <c r="F3562" s="202"/>
      <c r="G3562" s="194"/>
      <c r="H3562" s="198"/>
      <c r="I3562" s="196"/>
      <c r="J3562" s="179" t="str">
        <f>IF(A3562="RAPPI",(VLOOKUP(TRIM(D3562), CATALOGO!F:G, 2, FALSE) * C3562)+I3562,IFERROR(IF(COUNTIF('RESTAURANTESDESCUENTOS 2026'!A:A,TRIM(A3562))&gt;0,((VLOOKUP(TRIM(D3562), CATALOGO!A:B, 2, FALSE) * C3562)*(1-VALUE(SUBSTITUTE(VLOOKUP(TRIM(A3562),'RESTAURANTESDESCUENTOS 2026'!A:B,2,FALSE),"%",""))/100)+I3562),(VLOOKUP(TRIM(D3562), CATALOGO!A:B, 2, FALSE) * C3562+I3562)),""))</f>
        <v/>
      </c>
      <c r="K3562" s="196"/>
      <c r="L3562" s="87"/>
      <c r="M3562" s="245"/>
      <c r="N3562" s="168"/>
    </row>
    <row r="3563" ht="22.5" hidden="1" customHeight="1">
      <c r="A3563" s="137"/>
      <c r="B3563" s="90"/>
      <c r="C3563" s="55"/>
      <c r="D3563" s="193"/>
      <c r="E3563" s="201"/>
      <c r="F3563" s="202"/>
      <c r="G3563" s="194"/>
      <c r="H3563" s="198"/>
      <c r="I3563" s="196"/>
      <c r="J3563" s="179" t="str">
        <f>IF(A3563="RAPPI",(VLOOKUP(TRIM(D3563), CATALOGO!F:G, 2, FALSE) * C3563)+I3563,IFERROR(IF(COUNTIF('RESTAURANTESDESCUENTOS 2026'!A:A,TRIM(A3563))&gt;0,((VLOOKUP(TRIM(D3563), CATALOGO!A:B, 2, FALSE) * C3563)*(1-VALUE(SUBSTITUTE(VLOOKUP(TRIM(A3563),'RESTAURANTESDESCUENTOS 2026'!A:B,2,FALSE),"%",""))/100)+I3563),(VLOOKUP(TRIM(D3563), CATALOGO!A:B, 2, FALSE) * C3563+I3563)),""))</f>
        <v/>
      </c>
      <c r="K3563" s="196"/>
      <c r="L3563" s="87"/>
      <c r="M3563" s="245"/>
      <c r="N3563" s="168"/>
    </row>
    <row r="3564" ht="22.5" hidden="1" customHeight="1">
      <c r="A3564" s="137"/>
      <c r="B3564" s="90"/>
      <c r="C3564" s="55"/>
      <c r="D3564" s="193"/>
      <c r="E3564" s="201"/>
      <c r="F3564" s="202"/>
      <c r="G3564" s="194"/>
      <c r="H3564" s="198"/>
      <c r="I3564" s="196"/>
      <c r="J3564" s="179" t="str">
        <f>IF(A3564="RAPPI",(VLOOKUP(TRIM(D3564), CATALOGO!F:G, 2, FALSE) * C3564)+I3564,IFERROR(IF(COUNTIF('RESTAURANTESDESCUENTOS 2026'!A:A,TRIM(A3564))&gt;0,((VLOOKUP(TRIM(D3564), CATALOGO!A:B, 2, FALSE) * C3564)*(1-VALUE(SUBSTITUTE(VLOOKUP(TRIM(A3564),'RESTAURANTESDESCUENTOS 2026'!A:B,2,FALSE),"%",""))/100)+I3564),(VLOOKUP(TRIM(D3564), CATALOGO!A:B, 2, FALSE) * C3564+I3564)),""))</f>
        <v/>
      </c>
      <c r="K3564" s="196"/>
      <c r="L3564" s="87"/>
      <c r="M3564" s="245"/>
      <c r="N3564" s="168"/>
    </row>
    <row r="3565" ht="22.5" hidden="1" customHeight="1">
      <c r="A3565" s="137"/>
      <c r="B3565" s="90"/>
      <c r="C3565" s="55"/>
      <c r="D3565" s="193"/>
      <c r="E3565" s="201"/>
      <c r="F3565" s="202"/>
      <c r="G3565" s="194"/>
      <c r="H3565" s="198"/>
      <c r="I3565" s="196"/>
      <c r="J3565" s="179" t="str">
        <f>IF(A3565="RAPPI",(VLOOKUP(TRIM(D3565), CATALOGO!F:G, 2, FALSE) * C3565)+I3565,IFERROR(IF(COUNTIF('RESTAURANTESDESCUENTOS 2026'!A:A,TRIM(A3565))&gt;0,((VLOOKUP(TRIM(D3565), CATALOGO!A:B, 2, FALSE) * C3565)*(1-VALUE(SUBSTITUTE(VLOOKUP(TRIM(A3565),'RESTAURANTESDESCUENTOS 2026'!A:B,2,FALSE),"%",""))/100)+I3565),(VLOOKUP(TRIM(D3565), CATALOGO!A:B, 2, FALSE) * C3565+I3565)),""))</f>
        <v/>
      </c>
      <c r="K3565" s="196"/>
      <c r="L3565" s="87"/>
      <c r="M3565" s="245"/>
      <c r="N3565" s="168"/>
    </row>
    <row r="3566" ht="22.5" hidden="1" customHeight="1">
      <c r="A3566" s="137"/>
      <c r="B3566" s="90"/>
      <c r="C3566" s="55"/>
      <c r="D3566" s="193"/>
      <c r="E3566" s="201"/>
      <c r="F3566" s="202"/>
      <c r="G3566" s="194"/>
      <c r="H3566" s="198"/>
      <c r="I3566" s="196"/>
      <c r="J3566" s="179" t="str">
        <f>IF(A3566="RAPPI",(VLOOKUP(TRIM(D3566), CATALOGO!F:G, 2, FALSE) * C3566)+I3566,IFERROR(IF(COUNTIF('RESTAURANTESDESCUENTOS 2026'!A:A,TRIM(A3566))&gt;0,((VLOOKUP(TRIM(D3566), CATALOGO!A:B, 2, FALSE) * C3566)*(1-VALUE(SUBSTITUTE(VLOOKUP(TRIM(A3566),'RESTAURANTESDESCUENTOS 2026'!A:B,2,FALSE),"%",""))/100)+I3566),(VLOOKUP(TRIM(D3566), CATALOGO!A:B, 2, FALSE) * C3566+I3566)),""))</f>
        <v/>
      </c>
      <c r="K3566" s="196"/>
      <c r="L3566" s="87"/>
      <c r="M3566" s="245"/>
      <c r="N3566" s="168"/>
    </row>
    <row r="3567" ht="22.5" hidden="1" customHeight="1">
      <c r="A3567" s="137"/>
      <c r="B3567" s="90"/>
      <c r="C3567" s="55"/>
      <c r="D3567" s="193"/>
      <c r="E3567" s="201"/>
      <c r="F3567" s="202"/>
      <c r="G3567" s="194"/>
      <c r="H3567" s="198"/>
      <c r="I3567" s="196"/>
      <c r="J3567" s="179" t="str">
        <f>IF(A3567="RAPPI",(VLOOKUP(TRIM(D3567), CATALOGO!F:G, 2, FALSE) * C3567)+I3567,IFERROR(IF(COUNTIF('RESTAURANTESDESCUENTOS 2026'!A:A,TRIM(A3567))&gt;0,((VLOOKUP(TRIM(D3567), CATALOGO!A:B, 2, FALSE) * C3567)*(1-VALUE(SUBSTITUTE(VLOOKUP(TRIM(A3567),'RESTAURANTESDESCUENTOS 2026'!A:B,2,FALSE),"%",""))/100)+I3567),(VLOOKUP(TRIM(D3567), CATALOGO!A:B, 2, FALSE) * C3567+I3567)),""))</f>
        <v/>
      </c>
      <c r="K3567" s="196"/>
      <c r="L3567" s="87"/>
      <c r="M3567" s="245"/>
      <c r="N3567" s="168"/>
    </row>
    <row r="3568" ht="22.5" hidden="1" customHeight="1">
      <c r="A3568" s="137"/>
      <c r="B3568" s="90"/>
      <c r="C3568" s="55"/>
      <c r="D3568" s="193"/>
      <c r="E3568" s="201"/>
      <c r="F3568" s="202"/>
      <c r="G3568" s="194"/>
      <c r="H3568" s="198"/>
      <c r="I3568" s="196"/>
      <c r="J3568" s="179" t="str">
        <f>IF(A3568="RAPPI",(VLOOKUP(TRIM(D3568), CATALOGO!F:G, 2, FALSE) * C3568)+I3568,IFERROR(IF(COUNTIF('RESTAURANTESDESCUENTOS 2026'!A:A,TRIM(A3568))&gt;0,((VLOOKUP(TRIM(D3568), CATALOGO!A:B, 2, FALSE) * C3568)*(1-VALUE(SUBSTITUTE(VLOOKUP(TRIM(A3568),'RESTAURANTESDESCUENTOS 2026'!A:B,2,FALSE),"%",""))/100)+I3568),(VLOOKUP(TRIM(D3568), CATALOGO!A:B, 2, FALSE) * C3568+I3568)),""))</f>
        <v/>
      </c>
      <c r="K3568" s="196"/>
      <c r="L3568" s="87"/>
      <c r="M3568" s="245"/>
      <c r="N3568" s="168"/>
    </row>
    <row r="3569" ht="22.5" hidden="1" customHeight="1">
      <c r="A3569" s="137"/>
      <c r="B3569" s="90"/>
      <c r="C3569" s="55"/>
      <c r="D3569" s="193"/>
      <c r="E3569" s="201"/>
      <c r="F3569" s="202"/>
      <c r="G3569" s="194"/>
      <c r="H3569" s="198"/>
      <c r="I3569" s="196"/>
      <c r="J3569" s="179" t="str">
        <f>IF(A3569="RAPPI",(VLOOKUP(TRIM(D3569), CATALOGO!F:G, 2, FALSE) * C3569)+I3569,IFERROR(IF(COUNTIF('RESTAURANTESDESCUENTOS 2026'!A:A,TRIM(A3569))&gt;0,((VLOOKUP(TRIM(D3569), CATALOGO!A:B, 2, FALSE) * C3569)*(1-VALUE(SUBSTITUTE(VLOOKUP(TRIM(A3569),'RESTAURANTESDESCUENTOS 2026'!A:B,2,FALSE),"%",""))/100)+I3569),(VLOOKUP(TRIM(D3569), CATALOGO!A:B, 2, FALSE) * C3569+I3569)),""))</f>
        <v/>
      </c>
      <c r="K3569" s="196"/>
      <c r="L3569" s="87"/>
      <c r="M3569" s="245"/>
      <c r="N3569" s="168"/>
    </row>
    <row r="3570" ht="22.5" hidden="1" customHeight="1">
      <c r="A3570" s="137"/>
      <c r="B3570" s="90"/>
      <c r="C3570" s="55"/>
      <c r="D3570" s="193"/>
      <c r="E3570" s="201"/>
      <c r="F3570" s="202"/>
      <c r="G3570" s="194"/>
      <c r="H3570" s="198"/>
      <c r="I3570" s="196"/>
      <c r="J3570" s="179" t="str">
        <f>IF(A3570="RAPPI",(VLOOKUP(TRIM(D3570), CATALOGO!F:G, 2, FALSE) * C3570)+I3570,IFERROR(IF(COUNTIF('RESTAURANTESDESCUENTOS 2026'!A:A,TRIM(A3570))&gt;0,((VLOOKUP(TRIM(D3570), CATALOGO!A:B, 2, FALSE) * C3570)*(1-VALUE(SUBSTITUTE(VLOOKUP(TRIM(A3570),'RESTAURANTESDESCUENTOS 2026'!A:B,2,FALSE),"%",""))/100)+I3570),(VLOOKUP(TRIM(D3570), CATALOGO!A:B, 2, FALSE) * C3570+I3570)),""))</f>
        <v/>
      </c>
      <c r="K3570" s="196"/>
      <c r="L3570" s="87"/>
      <c r="M3570" s="245"/>
      <c r="N3570" s="168"/>
    </row>
    <row r="3571" ht="22.5" hidden="1" customHeight="1">
      <c r="A3571" s="137"/>
      <c r="B3571" s="90"/>
      <c r="C3571" s="55"/>
      <c r="D3571" s="193"/>
      <c r="E3571" s="201"/>
      <c r="F3571" s="202"/>
      <c r="G3571" s="194"/>
      <c r="H3571" s="198"/>
      <c r="I3571" s="196"/>
      <c r="J3571" s="179" t="str">
        <f>IF(A3571="RAPPI",(VLOOKUP(TRIM(D3571), CATALOGO!F:G, 2, FALSE) * C3571)+I3571,IFERROR(IF(COUNTIF('RESTAURANTESDESCUENTOS 2026'!A:A,TRIM(A3571))&gt;0,((VLOOKUP(TRIM(D3571), CATALOGO!A:B, 2, FALSE) * C3571)*(1-VALUE(SUBSTITUTE(VLOOKUP(TRIM(A3571),'RESTAURANTESDESCUENTOS 2026'!A:B,2,FALSE),"%",""))/100)+I3571),(VLOOKUP(TRIM(D3571), CATALOGO!A:B, 2, FALSE) * C3571+I3571)),""))</f>
        <v/>
      </c>
      <c r="K3571" s="196"/>
      <c r="L3571" s="87"/>
      <c r="M3571" s="245"/>
      <c r="N3571" s="168"/>
    </row>
    <row r="3572" ht="22.5" hidden="1" customHeight="1">
      <c r="A3572" s="137"/>
      <c r="B3572" s="90"/>
      <c r="C3572" s="55"/>
      <c r="D3572" s="193"/>
      <c r="E3572" s="201"/>
      <c r="F3572" s="202"/>
      <c r="G3572" s="194"/>
      <c r="H3572" s="198"/>
      <c r="I3572" s="196"/>
      <c r="J3572" s="179" t="str">
        <f>IF(A3572="RAPPI",(VLOOKUP(TRIM(D3572), CATALOGO!F:G, 2, FALSE) * C3572)+I3572,IFERROR(IF(COUNTIF('RESTAURANTESDESCUENTOS 2026'!A:A,TRIM(A3572))&gt;0,((VLOOKUP(TRIM(D3572), CATALOGO!A:B, 2, FALSE) * C3572)*(1-VALUE(SUBSTITUTE(VLOOKUP(TRIM(A3572),'RESTAURANTESDESCUENTOS 2026'!A:B,2,FALSE),"%",""))/100)+I3572),(VLOOKUP(TRIM(D3572), CATALOGO!A:B, 2, FALSE) * C3572+I3572)),""))</f>
        <v/>
      </c>
      <c r="K3572" s="196"/>
      <c r="L3572" s="87"/>
      <c r="M3572" s="245"/>
      <c r="N3572" s="168"/>
    </row>
    <row r="3573" ht="22.5" hidden="1" customHeight="1">
      <c r="A3573" s="137"/>
      <c r="B3573" s="90"/>
      <c r="C3573" s="55"/>
      <c r="D3573" s="193"/>
      <c r="E3573" s="201"/>
      <c r="F3573" s="202"/>
      <c r="G3573" s="194"/>
      <c r="H3573" s="198"/>
      <c r="I3573" s="196"/>
      <c r="J3573" s="179" t="str">
        <f>IF(A3573="RAPPI",(VLOOKUP(TRIM(D3573), CATALOGO!F:G, 2, FALSE) * C3573)+I3573,IFERROR(IF(COUNTIF('RESTAURANTESDESCUENTOS 2026'!A:A,TRIM(A3573))&gt;0,((VLOOKUP(TRIM(D3573), CATALOGO!A:B, 2, FALSE) * C3573)*(1-VALUE(SUBSTITUTE(VLOOKUP(TRIM(A3573),'RESTAURANTESDESCUENTOS 2026'!A:B,2,FALSE),"%",""))/100)+I3573),(VLOOKUP(TRIM(D3573), CATALOGO!A:B, 2, FALSE) * C3573+I3573)),""))</f>
        <v/>
      </c>
      <c r="K3573" s="196"/>
      <c r="L3573" s="87"/>
      <c r="M3573" s="245"/>
      <c r="N3573" s="168"/>
    </row>
    <row r="3574" ht="22.5" hidden="1" customHeight="1">
      <c r="A3574" s="137"/>
      <c r="B3574" s="90"/>
      <c r="C3574" s="55"/>
      <c r="D3574" s="193"/>
      <c r="E3574" s="201"/>
      <c r="F3574" s="202"/>
      <c r="G3574" s="194"/>
      <c r="H3574" s="198"/>
      <c r="I3574" s="196"/>
      <c r="J3574" s="179" t="str">
        <f>IF(A3574="RAPPI",(VLOOKUP(TRIM(D3574), CATALOGO!F:G, 2, FALSE) * C3574)+I3574,IFERROR(IF(COUNTIF('RESTAURANTESDESCUENTOS 2026'!A:A,TRIM(A3574))&gt;0,((VLOOKUP(TRIM(D3574), CATALOGO!A:B, 2, FALSE) * C3574)*(1-VALUE(SUBSTITUTE(VLOOKUP(TRIM(A3574),'RESTAURANTESDESCUENTOS 2026'!A:B,2,FALSE),"%",""))/100)+I3574),(VLOOKUP(TRIM(D3574), CATALOGO!A:B, 2, FALSE) * C3574+I3574)),""))</f>
        <v/>
      </c>
      <c r="K3574" s="196"/>
      <c r="L3574" s="87"/>
      <c r="M3574" s="245"/>
      <c r="N3574" s="168"/>
    </row>
    <row r="3575" ht="22.5" hidden="1" customHeight="1">
      <c r="A3575" s="137"/>
      <c r="B3575" s="90"/>
      <c r="C3575" s="55"/>
      <c r="D3575" s="193"/>
      <c r="E3575" s="201"/>
      <c r="F3575" s="202"/>
      <c r="G3575" s="194"/>
      <c r="H3575" s="198"/>
      <c r="I3575" s="196"/>
      <c r="J3575" s="179" t="str">
        <f>IF(A3575="RAPPI",(VLOOKUP(TRIM(D3575), CATALOGO!F:G, 2, FALSE) * C3575)+I3575,IFERROR(IF(COUNTIF('RESTAURANTESDESCUENTOS 2026'!A:A,TRIM(A3575))&gt;0,((VLOOKUP(TRIM(D3575), CATALOGO!A:B, 2, FALSE) * C3575)*(1-VALUE(SUBSTITUTE(VLOOKUP(TRIM(A3575),'RESTAURANTESDESCUENTOS 2026'!A:B,2,FALSE),"%",""))/100)+I3575),(VLOOKUP(TRIM(D3575), CATALOGO!A:B, 2, FALSE) * C3575+I3575)),""))</f>
        <v/>
      </c>
      <c r="K3575" s="196"/>
      <c r="L3575" s="87"/>
      <c r="M3575" s="245"/>
      <c r="N3575" s="168"/>
    </row>
    <row r="3576" ht="22.5" hidden="1" customHeight="1">
      <c r="A3576" s="137"/>
      <c r="B3576" s="90"/>
      <c r="C3576" s="55"/>
      <c r="D3576" s="193"/>
      <c r="E3576" s="201"/>
      <c r="F3576" s="202"/>
      <c r="G3576" s="194"/>
      <c r="H3576" s="198"/>
      <c r="I3576" s="196"/>
      <c r="J3576" s="179" t="str">
        <f>IF(A3576="RAPPI",(VLOOKUP(TRIM(D3576), CATALOGO!F:G, 2, FALSE) * C3576)+I3576,IFERROR(IF(COUNTIF('RESTAURANTESDESCUENTOS 2026'!A:A,TRIM(A3576))&gt;0,((VLOOKUP(TRIM(D3576), CATALOGO!A:B, 2, FALSE) * C3576)*(1-VALUE(SUBSTITUTE(VLOOKUP(TRIM(A3576),'RESTAURANTESDESCUENTOS 2026'!A:B,2,FALSE),"%",""))/100)+I3576),(VLOOKUP(TRIM(D3576), CATALOGO!A:B, 2, FALSE) * C3576+I3576)),""))</f>
        <v/>
      </c>
      <c r="K3576" s="196"/>
      <c r="L3576" s="87"/>
      <c r="M3576" s="245"/>
      <c r="N3576" s="168"/>
    </row>
    <row r="3577" ht="22.5" hidden="1" customHeight="1">
      <c r="A3577" s="137"/>
      <c r="B3577" s="90"/>
      <c r="C3577" s="55"/>
      <c r="D3577" s="193"/>
      <c r="E3577" s="201"/>
      <c r="F3577" s="202"/>
      <c r="G3577" s="194"/>
      <c r="H3577" s="198"/>
      <c r="I3577" s="196"/>
      <c r="J3577" s="179" t="str">
        <f>IF(A3577="RAPPI",(VLOOKUP(TRIM(D3577), CATALOGO!F:G, 2, FALSE) * C3577)+I3577,IFERROR(IF(COUNTIF('RESTAURANTESDESCUENTOS 2026'!A:A,TRIM(A3577))&gt;0,((VLOOKUP(TRIM(D3577), CATALOGO!A:B, 2, FALSE) * C3577)*(1-VALUE(SUBSTITUTE(VLOOKUP(TRIM(A3577),'RESTAURANTESDESCUENTOS 2026'!A:B,2,FALSE),"%",""))/100)+I3577),(VLOOKUP(TRIM(D3577), CATALOGO!A:B, 2, FALSE) * C3577+I3577)),""))</f>
        <v/>
      </c>
      <c r="K3577" s="196"/>
      <c r="L3577" s="87"/>
      <c r="M3577" s="245"/>
      <c r="N3577" s="168"/>
    </row>
    <row r="3578" ht="22.5" hidden="1" customHeight="1">
      <c r="A3578" s="137"/>
      <c r="B3578" s="90"/>
      <c r="C3578" s="55"/>
      <c r="D3578" s="193"/>
      <c r="E3578" s="201"/>
      <c r="F3578" s="202"/>
      <c r="G3578" s="194"/>
      <c r="H3578" s="198"/>
      <c r="I3578" s="196"/>
      <c r="J3578" s="179" t="str">
        <f>IF(A3578="RAPPI",(VLOOKUP(TRIM(D3578), CATALOGO!F:G, 2, FALSE) * C3578)+I3578,IFERROR(IF(COUNTIF('RESTAURANTESDESCUENTOS 2026'!A:A,TRIM(A3578))&gt;0,((VLOOKUP(TRIM(D3578), CATALOGO!A:B, 2, FALSE) * C3578)*(1-VALUE(SUBSTITUTE(VLOOKUP(TRIM(A3578),'RESTAURANTESDESCUENTOS 2026'!A:B,2,FALSE),"%",""))/100)+I3578),(VLOOKUP(TRIM(D3578), CATALOGO!A:B, 2, FALSE) * C3578+I3578)),""))</f>
        <v/>
      </c>
      <c r="K3578" s="196"/>
      <c r="L3578" s="87"/>
      <c r="M3578" s="245"/>
      <c r="N3578" s="168"/>
    </row>
    <row r="3579" ht="22.5" hidden="1" customHeight="1">
      <c r="A3579" s="137"/>
      <c r="B3579" s="90"/>
      <c r="C3579" s="55"/>
      <c r="D3579" s="193"/>
      <c r="E3579" s="201"/>
      <c r="F3579" s="202"/>
      <c r="G3579" s="194"/>
      <c r="H3579" s="198"/>
      <c r="I3579" s="196"/>
      <c r="J3579" s="179" t="str">
        <f>IF(A3579="RAPPI",(VLOOKUP(TRIM(D3579), CATALOGO!F:G, 2, FALSE) * C3579)+I3579,IFERROR(IF(COUNTIF('RESTAURANTESDESCUENTOS 2026'!A:A,TRIM(A3579))&gt;0,((VLOOKUP(TRIM(D3579), CATALOGO!A:B, 2, FALSE) * C3579)*(1-VALUE(SUBSTITUTE(VLOOKUP(TRIM(A3579),'RESTAURANTESDESCUENTOS 2026'!A:B,2,FALSE),"%",""))/100)+I3579),(VLOOKUP(TRIM(D3579), CATALOGO!A:B, 2, FALSE) * C3579+I3579)),""))</f>
        <v/>
      </c>
      <c r="K3579" s="196"/>
      <c r="L3579" s="87"/>
      <c r="M3579" s="245"/>
      <c r="N3579" s="168"/>
    </row>
    <row r="3580" ht="22.5" hidden="1" customHeight="1">
      <c r="A3580" s="137"/>
      <c r="B3580" s="90"/>
      <c r="C3580" s="55"/>
      <c r="D3580" s="193"/>
      <c r="E3580" s="201"/>
      <c r="F3580" s="202"/>
      <c r="G3580" s="194"/>
      <c r="H3580" s="198"/>
      <c r="I3580" s="196"/>
      <c r="J3580" s="179" t="str">
        <f>IF(A3580="RAPPI",(VLOOKUP(TRIM(D3580), CATALOGO!F:G, 2, FALSE) * C3580)+I3580,IFERROR(IF(COUNTIF('RESTAURANTESDESCUENTOS 2026'!A:A,TRIM(A3580))&gt;0,((VLOOKUP(TRIM(D3580), CATALOGO!A:B, 2, FALSE) * C3580)*(1-VALUE(SUBSTITUTE(VLOOKUP(TRIM(A3580),'RESTAURANTESDESCUENTOS 2026'!A:B,2,FALSE),"%",""))/100)+I3580),(VLOOKUP(TRIM(D3580), CATALOGO!A:B, 2, FALSE) * C3580+I3580)),""))</f>
        <v/>
      </c>
      <c r="K3580" s="196"/>
      <c r="L3580" s="87"/>
      <c r="M3580" s="245"/>
      <c r="N3580" s="168"/>
    </row>
    <row r="3581" ht="22.5" hidden="1" customHeight="1">
      <c r="A3581" s="137"/>
      <c r="B3581" s="90"/>
      <c r="C3581" s="55"/>
      <c r="D3581" s="193"/>
      <c r="E3581" s="201"/>
      <c r="F3581" s="202"/>
      <c r="G3581" s="194"/>
      <c r="H3581" s="198"/>
      <c r="I3581" s="196"/>
      <c r="J3581" s="179" t="str">
        <f>IF(A3581="RAPPI",(VLOOKUP(TRIM(D3581), CATALOGO!F:G, 2, FALSE) * C3581)+I3581,IFERROR(IF(COUNTIF('RESTAURANTESDESCUENTOS 2026'!A:A,TRIM(A3581))&gt;0,((VLOOKUP(TRIM(D3581), CATALOGO!A:B, 2, FALSE) * C3581)*(1-VALUE(SUBSTITUTE(VLOOKUP(TRIM(A3581),'RESTAURANTESDESCUENTOS 2026'!A:B,2,FALSE),"%",""))/100)+I3581),(VLOOKUP(TRIM(D3581), CATALOGO!A:B, 2, FALSE) * C3581+I3581)),""))</f>
        <v/>
      </c>
      <c r="K3581" s="196"/>
      <c r="L3581" s="87"/>
      <c r="M3581" s="245"/>
      <c r="N3581" s="168"/>
    </row>
    <row r="3582" ht="22.5" hidden="1" customHeight="1">
      <c r="A3582" s="137"/>
      <c r="B3582" s="90"/>
      <c r="C3582" s="55"/>
      <c r="D3582" s="193"/>
      <c r="E3582" s="201"/>
      <c r="F3582" s="202"/>
      <c r="G3582" s="194"/>
      <c r="H3582" s="198"/>
      <c r="I3582" s="196"/>
      <c r="J3582" s="179" t="str">
        <f>IF(A3582="RAPPI",(VLOOKUP(TRIM(D3582), CATALOGO!F:G, 2, FALSE) * C3582)+I3582,IFERROR(IF(COUNTIF('RESTAURANTESDESCUENTOS 2026'!A:A,TRIM(A3582))&gt;0,((VLOOKUP(TRIM(D3582), CATALOGO!A:B, 2, FALSE) * C3582)*(1-VALUE(SUBSTITUTE(VLOOKUP(TRIM(A3582),'RESTAURANTESDESCUENTOS 2026'!A:B,2,FALSE),"%",""))/100)+I3582),(VLOOKUP(TRIM(D3582), CATALOGO!A:B, 2, FALSE) * C3582+I3582)),""))</f>
        <v/>
      </c>
      <c r="K3582" s="196"/>
      <c r="L3582" s="87"/>
      <c r="M3582" s="245"/>
      <c r="N3582" s="168"/>
    </row>
    <row r="3583" ht="22.5" hidden="1" customHeight="1">
      <c r="A3583" s="137"/>
      <c r="B3583" s="90"/>
      <c r="C3583" s="55"/>
      <c r="D3583" s="193"/>
      <c r="E3583" s="201"/>
      <c r="F3583" s="202"/>
      <c r="G3583" s="194"/>
      <c r="H3583" s="198"/>
      <c r="I3583" s="196"/>
      <c r="J3583" s="179" t="str">
        <f>IF(A3583="RAPPI",(VLOOKUP(TRIM(D3583), CATALOGO!F:G, 2, FALSE) * C3583)+I3583,IFERROR(IF(COUNTIF('RESTAURANTESDESCUENTOS 2026'!A:A,TRIM(A3583))&gt;0,((VLOOKUP(TRIM(D3583), CATALOGO!A:B, 2, FALSE) * C3583)*(1-VALUE(SUBSTITUTE(VLOOKUP(TRIM(A3583),'RESTAURANTESDESCUENTOS 2026'!A:B,2,FALSE),"%",""))/100)+I3583),(VLOOKUP(TRIM(D3583), CATALOGO!A:B, 2, FALSE) * C3583+I3583)),""))</f>
        <v/>
      </c>
      <c r="K3583" s="196"/>
      <c r="L3583" s="87"/>
      <c r="M3583" s="245"/>
      <c r="N3583" s="168"/>
    </row>
    <row r="3584" ht="22.5" hidden="1" customHeight="1">
      <c r="A3584" s="137"/>
      <c r="B3584" s="90"/>
      <c r="C3584" s="55"/>
      <c r="D3584" s="193"/>
      <c r="E3584" s="201"/>
      <c r="F3584" s="202"/>
      <c r="G3584" s="194"/>
      <c r="H3584" s="198"/>
      <c r="I3584" s="196"/>
      <c r="J3584" s="179" t="str">
        <f>IF(A3584="RAPPI",(VLOOKUP(TRIM(D3584), CATALOGO!F:G, 2, FALSE) * C3584)+I3584,IFERROR(IF(COUNTIF('RESTAURANTESDESCUENTOS 2026'!A:A,TRIM(A3584))&gt;0,((VLOOKUP(TRIM(D3584), CATALOGO!A:B, 2, FALSE) * C3584)*(1-VALUE(SUBSTITUTE(VLOOKUP(TRIM(A3584),'RESTAURANTESDESCUENTOS 2026'!A:B,2,FALSE),"%",""))/100)+I3584),(VLOOKUP(TRIM(D3584), CATALOGO!A:B, 2, FALSE) * C3584+I3584)),""))</f>
        <v/>
      </c>
      <c r="K3584" s="196"/>
      <c r="L3584" s="87"/>
      <c r="M3584" s="245"/>
      <c r="N3584" s="168"/>
    </row>
    <row r="3585" ht="22.5" hidden="1" customHeight="1">
      <c r="A3585" s="137"/>
      <c r="B3585" s="90"/>
      <c r="C3585" s="55"/>
      <c r="D3585" s="193"/>
      <c r="E3585" s="201"/>
      <c r="F3585" s="202"/>
      <c r="G3585" s="194"/>
      <c r="H3585" s="198"/>
      <c r="I3585" s="196"/>
      <c r="J3585" s="179" t="str">
        <f>IF(A3585="RAPPI",(VLOOKUP(TRIM(D3585), CATALOGO!F:G, 2, FALSE) * C3585)+I3585,IFERROR(IF(COUNTIF('RESTAURANTESDESCUENTOS 2026'!A:A,TRIM(A3585))&gt;0,((VLOOKUP(TRIM(D3585), CATALOGO!A:B, 2, FALSE) * C3585)*(1-VALUE(SUBSTITUTE(VLOOKUP(TRIM(A3585),'RESTAURANTESDESCUENTOS 2026'!A:B,2,FALSE),"%",""))/100)+I3585),(VLOOKUP(TRIM(D3585), CATALOGO!A:B, 2, FALSE) * C3585+I3585)),""))</f>
        <v/>
      </c>
      <c r="K3585" s="196"/>
      <c r="L3585" s="87"/>
      <c r="M3585" s="245"/>
      <c r="N3585" s="168"/>
    </row>
    <row r="3586" ht="22.5" hidden="1" customHeight="1">
      <c r="A3586" s="137"/>
      <c r="B3586" s="90"/>
      <c r="C3586" s="55"/>
      <c r="D3586" s="193"/>
      <c r="E3586" s="201"/>
      <c r="F3586" s="202"/>
      <c r="G3586" s="194"/>
      <c r="H3586" s="198"/>
      <c r="I3586" s="196"/>
      <c r="J3586" s="179" t="str">
        <f>IF(A3586="RAPPI",(VLOOKUP(TRIM(D3586), CATALOGO!F:G, 2, FALSE) * C3586)+I3586,IFERROR(IF(COUNTIF('RESTAURANTESDESCUENTOS 2026'!A:A,TRIM(A3586))&gt;0,((VLOOKUP(TRIM(D3586), CATALOGO!A:B, 2, FALSE) * C3586)*(1-VALUE(SUBSTITUTE(VLOOKUP(TRIM(A3586),'RESTAURANTESDESCUENTOS 2026'!A:B,2,FALSE),"%",""))/100)+I3586),(VLOOKUP(TRIM(D3586), CATALOGO!A:B, 2, FALSE) * C3586+I3586)),""))</f>
        <v/>
      </c>
      <c r="K3586" s="196"/>
      <c r="L3586" s="87"/>
      <c r="M3586" s="245"/>
      <c r="N3586" s="168"/>
    </row>
    <row r="3587" ht="22.5" hidden="1" customHeight="1">
      <c r="A3587" s="137"/>
      <c r="B3587" s="90"/>
      <c r="C3587" s="55"/>
      <c r="D3587" s="193"/>
      <c r="E3587" s="201"/>
      <c r="F3587" s="202"/>
      <c r="G3587" s="194"/>
      <c r="H3587" s="198"/>
      <c r="I3587" s="196"/>
      <c r="J3587" s="179" t="str">
        <f>IF(A3587="RAPPI",(VLOOKUP(TRIM(D3587), CATALOGO!F:G, 2, FALSE) * C3587)+I3587,IFERROR(IF(COUNTIF('RESTAURANTESDESCUENTOS 2026'!A:A,TRIM(A3587))&gt;0,((VLOOKUP(TRIM(D3587), CATALOGO!A:B, 2, FALSE) * C3587)*(1-VALUE(SUBSTITUTE(VLOOKUP(TRIM(A3587),'RESTAURANTESDESCUENTOS 2026'!A:B,2,FALSE),"%",""))/100)+I3587),(VLOOKUP(TRIM(D3587), CATALOGO!A:B, 2, FALSE) * C3587+I3587)),""))</f>
        <v/>
      </c>
      <c r="K3587" s="196"/>
      <c r="L3587" s="87"/>
      <c r="M3587" s="245"/>
      <c r="N3587" s="168"/>
    </row>
    <row r="3588" ht="22.5" hidden="1" customHeight="1">
      <c r="A3588" s="137"/>
      <c r="B3588" s="90"/>
      <c r="C3588" s="55"/>
      <c r="D3588" s="193"/>
      <c r="E3588" s="201"/>
      <c r="F3588" s="202"/>
      <c r="G3588" s="194"/>
      <c r="H3588" s="198"/>
      <c r="I3588" s="196"/>
      <c r="J3588" s="179" t="str">
        <f>IF(A3588="RAPPI",(VLOOKUP(TRIM(D3588), CATALOGO!F:G, 2, FALSE) * C3588)+I3588,IFERROR(IF(COUNTIF('RESTAURANTESDESCUENTOS 2026'!A:A,TRIM(A3588))&gt;0,((VLOOKUP(TRIM(D3588), CATALOGO!A:B, 2, FALSE) * C3588)*(1-VALUE(SUBSTITUTE(VLOOKUP(TRIM(A3588),'RESTAURANTESDESCUENTOS 2026'!A:B,2,FALSE),"%",""))/100)+I3588),(VLOOKUP(TRIM(D3588), CATALOGO!A:B, 2, FALSE) * C3588+I3588)),""))</f>
        <v/>
      </c>
      <c r="K3588" s="196"/>
      <c r="L3588" s="87"/>
      <c r="M3588" s="245"/>
      <c r="N3588" s="168"/>
    </row>
    <row r="3589" ht="22.5" hidden="1" customHeight="1">
      <c r="A3589" s="137"/>
      <c r="B3589" s="90"/>
      <c r="C3589" s="55"/>
      <c r="D3589" s="193"/>
      <c r="E3589" s="201"/>
      <c r="F3589" s="202"/>
      <c r="G3589" s="194"/>
      <c r="H3589" s="198"/>
      <c r="I3589" s="196"/>
      <c r="J3589" s="179" t="str">
        <f>IF(A3589="RAPPI",(VLOOKUP(TRIM(D3589), CATALOGO!F:G, 2, FALSE) * C3589)+I3589,IFERROR(IF(COUNTIF('RESTAURANTESDESCUENTOS 2026'!A:A,TRIM(A3589))&gt;0,((VLOOKUP(TRIM(D3589), CATALOGO!A:B, 2, FALSE) * C3589)*(1-VALUE(SUBSTITUTE(VLOOKUP(TRIM(A3589),'RESTAURANTESDESCUENTOS 2026'!A:B,2,FALSE),"%",""))/100)+I3589),(VLOOKUP(TRIM(D3589), CATALOGO!A:B, 2, FALSE) * C3589+I3589)),""))</f>
        <v/>
      </c>
      <c r="K3589" s="196"/>
      <c r="L3589" s="87"/>
      <c r="M3589" s="245"/>
      <c r="N3589" s="168"/>
    </row>
    <row r="3590" ht="22.5" hidden="1" customHeight="1">
      <c r="A3590" s="137"/>
      <c r="B3590" s="90"/>
      <c r="C3590" s="55"/>
      <c r="D3590" s="193"/>
      <c r="E3590" s="201"/>
      <c r="F3590" s="202"/>
      <c r="G3590" s="194"/>
      <c r="H3590" s="198"/>
      <c r="I3590" s="196"/>
      <c r="J3590" s="179" t="str">
        <f>IF(A3590="RAPPI",(VLOOKUP(TRIM(D3590), CATALOGO!F:G, 2, FALSE) * C3590)+I3590,IFERROR(IF(COUNTIF('RESTAURANTESDESCUENTOS 2026'!A:A,TRIM(A3590))&gt;0,((VLOOKUP(TRIM(D3590), CATALOGO!A:B, 2, FALSE) * C3590)*(1-VALUE(SUBSTITUTE(VLOOKUP(TRIM(A3590),'RESTAURANTESDESCUENTOS 2026'!A:B,2,FALSE),"%",""))/100)+I3590),(VLOOKUP(TRIM(D3590), CATALOGO!A:B, 2, FALSE) * C3590+I3590)),""))</f>
        <v/>
      </c>
      <c r="K3590" s="196"/>
      <c r="L3590" s="87"/>
      <c r="M3590" s="245"/>
      <c r="N3590" s="168"/>
    </row>
    <row r="3591" ht="22.5" hidden="1" customHeight="1">
      <c r="A3591" s="137"/>
      <c r="B3591" s="90"/>
      <c r="C3591" s="55"/>
      <c r="D3591" s="193"/>
      <c r="E3591" s="201"/>
      <c r="F3591" s="202"/>
      <c r="G3591" s="194"/>
      <c r="H3591" s="198"/>
      <c r="I3591" s="196"/>
      <c r="J3591" s="179" t="str">
        <f>IF(A3591="RAPPI",(VLOOKUP(TRIM(D3591), CATALOGO!F:G, 2, FALSE) * C3591)+I3591,IFERROR(IF(COUNTIF('RESTAURANTESDESCUENTOS 2026'!A:A,TRIM(A3591))&gt;0,((VLOOKUP(TRIM(D3591), CATALOGO!A:B, 2, FALSE) * C3591)*(1-VALUE(SUBSTITUTE(VLOOKUP(TRIM(A3591),'RESTAURANTESDESCUENTOS 2026'!A:B,2,FALSE),"%",""))/100)+I3591),(VLOOKUP(TRIM(D3591), CATALOGO!A:B, 2, FALSE) * C3591+I3591)),""))</f>
        <v/>
      </c>
      <c r="K3591" s="196"/>
      <c r="L3591" s="87"/>
      <c r="M3591" s="245"/>
      <c r="N3591" s="168"/>
    </row>
    <row r="3592" ht="22.5" hidden="1" customHeight="1">
      <c r="A3592" s="137"/>
      <c r="B3592" s="90"/>
      <c r="C3592" s="55"/>
      <c r="D3592" s="193"/>
      <c r="E3592" s="201"/>
      <c r="F3592" s="202"/>
      <c r="G3592" s="194"/>
      <c r="H3592" s="198"/>
      <c r="I3592" s="196"/>
      <c r="J3592" s="179" t="str">
        <f>IF(A3592="RAPPI",(VLOOKUP(TRIM(D3592), CATALOGO!F:G, 2, FALSE) * C3592)+I3592,IFERROR(IF(COUNTIF('RESTAURANTESDESCUENTOS 2026'!A:A,TRIM(A3592))&gt;0,((VLOOKUP(TRIM(D3592), CATALOGO!A:B, 2, FALSE) * C3592)*(1-VALUE(SUBSTITUTE(VLOOKUP(TRIM(A3592),'RESTAURANTESDESCUENTOS 2026'!A:B,2,FALSE),"%",""))/100)+I3592),(VLOOKUP(TRIM(D3592), CATALOGO!A:B, 2, FALSE) * C3592+I3592)),""))</f>
        <v/>
      </c>
      <c r="K3592" s="196"/>
      <c r="L3592" s="87"/>
      <c r="M3592" s="245"/>
      <c r="N3592" s="168"/>
    </row>
    <row r="3593" ht="22.5" hidden="1" customHeight="1">
      <c r="A3593" s="137"/>
      <c r="B3593" s="90"/>
      <c r="C3593" s="55"/>
      <c r="D3593" s="193"/>
      <c r="E3593" s="201"/>
      <c r="F3593" s="202"/>
      <c r="G3593" s="194"/>
      <c r="H3593" s="198"/>
      <c r="I3593" s="196"/>
      <c r="J3593" s="179" t="str">
        <f>IF(A3593="RAPPI",(VLOOKUP(TRIM(D3593), CATALOGO!F:G, 2, FALSE) * C3593)+I3593,IFERROR(IF(COUNTIF('RESTAURANTESDESCUENTOS 2026'!A:A,TRIM(A3593))&gt;0,((VLOOKUP(TRIM(D3593), CATALOGO!A:B, 2, FALSE) * C3593)*(1-VALUE(SUBSTITUTE(VLOOKUP(TRIM(A3593),'RESTAURANTESDESCUENTOS 2026'!A:B,2,FALSE),"%",""))/100)+I3593),(VLOOKUP(TRIM(D3593), CATALOGO!A:B, 2, FALSE) * C3593+I3593)),""))</f>
        <v/>
      </c>
      <c r="K3593" s="196"/>
      <c r="L3593" s="87"/>
      <c r="M3593" s="245"/>
      <c r="N3593" s="168"/>
    </row>
    <row r="3594" ht="22.5" hidden="1" customHeight="1">
      <c r="A3594" s="137"/>
      <c r="B3594" s="90"/>
      <c r="C3594" s="55"/>
      <c r="D3594" s="193"/>
      <c r="E3594" s="201"/>
      <c r="F3594" s="202"/>
      <c r="G3594" s="194"/>
      <c r="H3594" s="198"/>
      <c r="I3594" s="196"/>
      <c r="J3594" s="179" t="str">
        <f>IF(A3594="RAPPI",(VLOOKUP(TRIM(D3594), CATALOGO!F:G, 2, FALSE) * C3594)+I3594,IFERROR(IF(COUNTIF('RESTAURANTESDESCUENTOS 2026'!A:A,TRIM(A3594))&gt;0,((VLOOKUP(TRIM(D3594), CATALOGO!A:B, 2, FALSE) * C3594)*(1-VALUE(SUBSTITUTE(VLOOKUP(TRIM(A3594),'RESTAURANTESDESCUENTOS 2026'!A:B,2,FALSE),"%",""))/100)+I3594),(VLOOKUP(TRIM(D3594), CATALOGO!A:B, 2, FALSE) * C3594+I3594)),""))</f>
        <v/>
      </c>
      <c r="K3594" s="196"/>
      <c r="L3594" s="87"/>
      <c r="M3594" s="245"/>
      <c r="N3594" s="168"/>
    </row>
    <row r="3595" ht="22.5" hidden="1" customHeight="1">
      <c r="A3595" s="137"/>
      <c r="B3595" s="90"/>
      <c r="C3595" s="55"/>
      <c r="D3595" s="193"/>
      <c r="E3595" s="201"/>
      <c r="F3595" s="202"/>
      <c r="G3595" s="194"/>
      <c r="H3595" s="198"/>
      <c r="I3595" s="196"/>
      <c r="J3595" s="179" t="str">
        <f>IF(A3595="RAPPI",(VLOOKUP(TRIM(D3595), CATALOGO!F:G, 2, FALSE) * C3595)+I3595,IFERROR(IF(COUNTIF('RESTAURANTESDESCUENTOS 2026'!A:A,TRIM(A3595))&gt;0,((VLOOKUP(TRIM(D3595), CATALOGO!A:B, 2, FALSE) * C3595)*(1-VALUE(SUBSTITUTE(VLOOKUP(TRIM(A3595),'RESTAURANTESDESCUENTOS 2026'!A:B,2,FALSE),"%",""))/100)+I3595),(VLOOKUP(TRIM(D3595), CATALOGO!A:B, 2, FALSE) * C3595+I3595)),""))</f>
        <v/>
      </c>
      <c r="K3595" s="196"/>
      <c r="L3595" s="87"/>
      <c r="M3595" s="245"/>
      <c r="N3595" s="168"/>
    </row>
    <row r="3596" ht="22.5" hidden="1" customHeight="1">
      <c r="A3596" s="137"/>
      <c r="B3596" s="90"/>
      <c r="C3596" s="55"/>
      <c r="D3596" s="193"/>
      <c r="E3596" s="201"/>
      <c r="F3596" s="202"/>
      <c r="G3596" s="194"/>
      <c r="H3596" s="198"/>
      <c r="I3596" s="196"/>
      <c r="J3596" s="179" t="str">
        <f>IF(A3596="RAPPI",(VLOOKUP(TRIM(D3596), CATALOGO!F:G, 2, FALSE) * C3596)+I3596,IFERROR(IF(COUNTIF('RESTAURANTESDESCUENTOS 2026'!A:A,TRIM(A3596))&gt;0,((VLOOKUP(TRIM(D3596), CATALOGO!A:B, 2, FALSE) * C3596)*(1-VALUE(SUBSTITUTE(VLOOKUP(TRIM(A3596),'RESTAURANTESDESCUENTOS 2026'!A:B,2,FALSE),"%",""))/100)+I3596),(VLOOKUP(TRIM(D3596), CATALOGO!A:B, 2, FALSE) * C3596+I3596)),""))</f>
        <v/>
      </c>
      <c r="K3596" s="196"/>
      <c r="L3596" s="87"/>
      <c r="M3596" s="245"/>
      <c r="N3596" s="168"/>
    </row>
    <row r="3597" ht="22.5" hidden="1" customHeight="1">
      <c r="A3597" s="137"/>
      <c r="B3597" s="90"/>
      <c r="C3597" s="55"/>
      <c r="D3597" s="193"/>
      <c r="E3597" s="201"/>
      <c r="F3597" s="202"/>
      <c r="G3597" s="194"/>
      <c r="H3597" s="198"/>
      <c r="I3597" s="196"/>
      <c r="J3597" s="179" t="str">
        <f>IF(A3597="RAPPI",(VLOOKUP(TRIM(D3597), CATALOGO!F:G, 2, FALSE) * C3597)+I3597,IFERROR(IF(COUNTIF('RESTAURANTESDESCUENTOS 2026'!A:A,TRIM(A3597))&gt;0,((VLOOKUP(TRIM(D3597), CATALOGO!A:B, 2, FALSE) * C3597)*(1-VALUE(SUBSTITUTE(VLOOKUP(TRIM(A3597),'RESTAURANTESDESCUENTOS 2026'!A:B,2,FALSE),"%",""))/100)+I3597),(VLOOKUP(TRIM(D3597), CATALOGO!A:B, 2, FALSE) * C3597+I3597)),""))</f>
        <v/>
      </c>
      <c r="K3597" s="196"/>
      <c r="L3597" s="87"/>
      <c r="M3597" s="245"/>
      <c r="N3597" s="168"/>
    </row>
    <row r="3598" ht="22.5" hidden="1" customHeight="1">
      <c r="A3598" s="137"/>
      <c r="B3598" s="90"/>
      <c r="C3598" s="55"/>
      <c r="D3598" s="193"/>
      <c r="E3598" s="201"/>
      <c r="F3598" s="202"/>
      <c r="G3598" s="194"/>
      <c r="H3598" s="198"/>
      <c r="I3598" s="196"/>
      <c r="J3598" s="179" t="str">
        <f>IF(A3598="RAPPI",(VLOOKUP(TRIM(D3598), CATALOGO!F:G, 2, FALSE) * C3598)+I3598,IFERROR(IF(COUNTIF('RESTAURANTESDESCUENTOS 2026'!A:A,TRIM(A3598))&gt;0,((VLOOKUP(TRIM(D3598), CATALOGO!A:B, 2, FALSE) * C3598)*(1-VALUE(SUBSTITUTE(VLOOKUP(TRIM(A3598),'RESTAURANTESDESCUENTOS 2026'!A:B,2,FALSE),"%",""))/100)+I3598),(VLOOKUP(TRIM(D3598), CATALOGO!A:B, 2, FALSE) * C3598+I3598)),""))</f>
        <v/>
      </c>
      <c r="K3598" s="196"/>
      <c r="L3598" s="87"/>
      <c r="M3598" s="245"/>
      <c r="N3598" s="168"/>
    </row>
    <row r="3599" ht="22.5" hidden="1" customHeight="1">
      <c r="A3599" s="137"/>
      <c r="B3599" s="90"/>
      <c r="C3599" s="55"/>
      <c r="D3599" s="193"/>
      <c r="E3599" s="201"/>
      <c r="F3599" s="202"/>
      <c r="G3599" s="194"/>
      <c r="H3599" s="198"/>
      <c r="I3599" s="196"/>
      <c r="J3599" s="179" t="str">
        <f>IF(A3599="RAPPI",(VLOOKUP(TRIM(D3599), CATALOGO!F:G, 2, FALSE) * C3599)+I3599,IFERROR(IF(COUNTIF('RESTAURANTESDESCUENTOS 2026'!A:A,TRIM(A3599))&gt;0,((VLOOKUP(TRIM(D3599), CATALOGO!A:B, 2, FALSE) * C3599)*(1-VALUE(SUBSTITUTE(VLOOKUP(TRIM(A3599),'RESTAURANTESDESCUENTOS 2026'!A:B,2,FALSE),"%",""))/100)+I3599),(VLOOKUP(TRIM(D3599), CATALOGO!A:B, 2, FALSE) * C3599+I3599)),""))</f>
        <v/>
      </c>
      <c r="K3599" s="196"/>
      <c r="L3599" s="87"/>
      <c r="M3599" s="245"/>
      <c r="N3599" s="168"/>
    </row>
    <row r="3600" ht="22.5" hidden="1" customHeight="1">
      <c r="A3600" s="137"/>
      <c r="B3600" s="90"/>
      <c r="C3600" s="55"/>
      <c r="D3600" s="193"/>
      <c r="E3600" s="201"/>
      <c r="F3600" s="202"/>
      <c r="G3600" s="194"/>
      <c r="H3600" s="198"/>
      <c r="I3600" s="196"/>
      <c r="J3600" s="179" t="str">
        <f>IF(A3600="RAPPI",(VLOOKUP(TRIM(D3600), CATALOGO!F:G, 2, FALSE) * C3600)+I3600,IFERROR(IF(COUNTIF('RESTAURANTESDESCUENTOS 2026'!A:A,TRIM(A3600))&gt;0,((VLOOKUP(TRIM(D3600), CATALOGO!A:B, 2, FALSE) * C3600)*(1-VALUE(SUBSTITUTE(VLOOKUP(TRIM(A3600),'RESTAURANTESDESCUENTOS 2026'!A:B,2,FALSE),"%",""))/100)+I3600),(VLOOKUP(TRIM(D3600), CATALOGO!A:B, 2, FALSE) * C3600+I3600)),""))</f>
        <v/>
      </c>
      <c r="K3600" s="196"/>
      <c r="L3600" s="87"/>
      <c r="M3600" s="245"/>
      <c r="N3600" s="168"/>
    </row>
    <row r="3601" ht="22.5" hidden="1" customHeight="1">
      <c r="A3601" s="137"/>
      <c r="B3601" s="90"/>
      <c r="C3601" s="55"/>
      <c r="D3601" s="193"/>
      <c r="E3601" s="201"/>
      <c r="F3601" s="202"/>
      <c r="G3601" s="194"/>
      <c r="H3601" s="198"/>
      <c r="I3601" s="196"/>
      <c r="J3601" s="179" t="str">
        <f>IF(A3601="RAPPI",(VLOOKUP(TRIM(D3601), CATALOGO!F:G, 2, FALSE) * C3601)+I3601,IFERROR(IF(COUNTIF('RESTAURANTESDESCUENTOS 2026'!A:A,TRIM(A3601))&gt;0,((VLOOKUP(TRIM(D3601), CATALOGO!A:B, 2, FALSE) * C3601)*(1-VALUE(SUBSTITUTE(VLOOKUP(TRIM(A3601),'RESTAURANTESDESCUENTOS 2026'!A:B,2,FALSE),"%",""))/100)+I3601),(VLOOKUP(TRIM(D3601), CATALOGO!A:B, 2, FALSE) * C3601+I3601)),""))</f>
        <v/>
      </c>
      <c r="K3601" s="196"/>
      <c r="L3601" s="87"/>
      <c r="M3601" s="245"/>
      <c r="N3601" s="168"/>
    </row>
    <row r="3602" ht="22.5" hidden="1" customHeight="1">
      <c r="A3602" s="137"/>
      <c r="B3602" s="90"/>
      <c r="C3602" s="55"/>
      <c r="D3602" s="193"/>
      <c r="E3602" s="201"/>
      <c r="F3602" s="202"/>
      <c r="G3602" s="194"/>
      <c r="H3602" s="198"/>
      <c r="I3602" s="196"/>
      <c r="J3602" s="179" t="str">
        <f>IF(A3602="RAPPI",(VLOOKUP(TRIM(D3602), CATALOGO!F:G, 2, FALSE) * C3602)+I3602,IFERROR(IF(COUNTIF('RESTAURANTESDESCUENTOS 2026'!A:A,TRIM(A3602))&gt;0,((VLOOKUP(TRIM(D3602), CATALOGO!A:B, 2, FALSE) * C3602)*(1-VALUE(SUBSTITUTE(VLOOKUP(TRIM(A3602),'RESTAURANTESDESCUENTOS 2026'!A:B,2,FALSE),"%",""))/100)+I3602),(VLOOKUP(TRIM(D3602), CATALOGO!A:B, 2, FALSE) * C3602+I3602)),""))</f>
        <v/>
      </c>
      <c r="K3602" s="196"/>
      <c r="L3602" s="87"/>
      <c r="M3602" s="245"/>
      <c r="N3602" s="168"/>
    </row>
    <row r="3603" ht="22.5" hidden="1" customHeight="1">
      <c r="A3603" s="137"/>
      <c r="B3603" s="90"/>
      <c r="C3603" s="55"/>
      <c r="D3603" s="193"/>
      <c r="E3603" s="201"/>
      <c r="F3603" s="202"/>
      <c r="G3603" s="194"/>
      <c r="H3603" s="198"/>
      <c r="I3603" s="196"/>
      <c r="J3603" s="179" t="str">
        <f>IF(A3603="RAPPI",(VLOOKUP(TRIM(D3603), CATALOGO!F:G, 2, FALSE) * C3603)+I3603,IFERROR(IF(COUNTIF('RESTAURANTESDESCUENTOS 2026'!A:A,TRIM(A3603))&gt;0,((VLOOKUP(TRIM(D3603), CATALOGO!A:B, 2, FALSE) * C3603)*(1-VALUE(SUBSTITUTE(VLOOKUP(TRIM(A3603),'RESTAURANTESDESCUENTOS 2026'!A:B,2,FALSE),"%",""))/100)+I3603),(VLOOKUP(TRIM(D3603), CATALOGO!A:B, 2, FALSE) * C3603+I3603)),""))</f>
        <v/>
      </c>
      <c r="K3603" s="196"/>
      <c r="L3603" s="87"/>
      <c r="M3603" s="245"/>
      <c r="N3603" s="168"/>
    </row>
    <row r="3604" ht="22.5" hidden="1" customHeight="1">
      <c r="A3604" s="137"/>
      <c r="B3604" s="90"/>
      <c r="C3604" s="55"/>
      <c r="D3604" s="193"/>
      <c r="E3604" s="201"/>
      <c r="F3604" s="202"/>
      <c r="G3604" s="194"/>
      <c r="H3604" s="198"/>
      <c r="I3604" s="196"/>
      <c r="J3604" s="179" t="str">
        <f>IF(A3604="RAPPI",(VLOOKUP(TRIM(D3604), CATALOGO!F:G, 2, FALSE) * C3604)+I3604,IFERROR(IF(COUNTIF('RESTAURANTESDESCUENTOS 2026'!A:A,TRIM(A3604))&gt;0,((VLOOKUP(TRIM(D3604), CATALOGO!A:B, 2, FALSE) * C3604)*(1-VALUE(SUBSTITUTE(VLOOKUP(TRIM(A3604),'RESTAURANTESDESCUENTOS 2026'!A:B,2,FALSE),"%",""))/100)+I3604),(VLOOKUP(TRIM(D3604), CATALOGO!A:B, 2, FALSE) * C3604+I3604)),""))</f>
        <v/>
      </c>
      <c r="K3604" s="196"/>
      <c r="L3604" s="87"/>
      <c r="M3604" s="245"/>
      <c r="N3604" s="168"/>
    </row>
    <row r="3605" ht="22.5" hidden="1" customHeight="1">
      <c r="A3605" s="137"/>
      <c r="B3605" s="90"/>
      <c r="C3605" s="55"/>
      <c r="D3605" s="193"/>
      <c r="E3605" s="201"/>
      <c r="F3605" s="202"/>
      <c r="G3605" s="194"/>
      <c r="H3605" s="198"/>
      <c r="I3605" s="196"/>
      <c r="J3605" s="179" t="str">
        <f>IF(A3605="RAPPI",(VLOOKUP(TRIM(D3605), CATALOGO!F:G, 2, FALSE) * C3605)+I3605,IFERROR(IF(COUNTIF('RESTAURANTESDESCUENTOS 2026'!A:A,TRIM(A3605))&gt;0,((VLOOKUP(TRIM(D3605), CATALOGO!A:B, 2, FALSE) * C3605)*(1-VALUE(SUBSTITUTE(VLOOKUP(TRIM(A3605),'RESTAURANTESDESCUENTOS 2026'!A:B,2,FALSE),"%",""))/100)+I3605),(VLOOKUP(TRIM(D3605), CATALOGO!A:B, 2, FALSE) * C3605+I3605)),""))</f>
        <v/>
      </c>
      <c r="K3605" s="196"/>
      <c r="L3605" s="87"/>
      <c r="M3605" s="245"/>
      <c r="N3605" s="168"/>
    </row>
    <row r="3606" ht="22.5" hidden="1" customHeight="1">
      <c r="A3606" s="137"/>
      <c r="B3606" s="90"/>
      <c r="C3606" s="55"/>
      <c r="D3606" s="193"/>
      <c r="E3606" s="201"/>
      <c r="F3606" s="202"/>
      <c r="G3606" s="194"/>
      <c r="H3606" s="198"/>
      <c r="I3606" s="196"/>
      <c r="J3606" s="179" t="str">
        <f>IF(A3606="RAPPI",(VLOOKUP(TRIM(D3606), CATALOGO!F:G, 2, FALSE) * C3606)+I3606,IFERROR(IF(COUNTIF('RESTAURANTESDESCUENTOS 2026'!A:A,TRIM(A3606))&gt;0,((VLOOKUP(TRIM(D3606), CATALOGO!A:B, 2, FALSE) * C3606)*(1-VALUE(SUBSTITUTE(VLOOKUP(TRIM(A3606),'RESTAURANTESDESCUENTOS 2026'!A:B,2,FALSE),"%",""))/100)+I3606),(VLOOKUP(TRIM(D3606), CATALOGO!A:B, 2, FALSE) * C3606+I3606)),""))</f>
        <v/>
      </c>
      <c r="K3606" s="196"/>
      <c r="L3606" s="87"/>
      <c r="M3606" s="245"/>
      <c r="N3606" s="168"/>
    </row>
    <row r="3607" ht="22.5" hidden="1" customHeight="1">
      <c r="A3607" s="137"/>
      <c r="B3607" s="90"/>
      <c r="C3607" s="55"/>
      <c r="D3607" s="193"/>
      <c r="E3607" s="201"/>
      <c r="F3607" s="202"/>
      <c r="G3607" s="194"/>
      <c r="H3607" s="198"/>
      <c r="I3607" s="196"/>
      <c r="J3607" s="179" t="str">
        <f>IF(A3607="RAPPI",(VLOOKUP(TRIM(D3607), CATALOGO!F:G, 2, FALSE) * C3607)+I3607,IFERROR(IF(COUNTIF('RESTAURANTESDESCUENTOS 2026'!A:A,TRIM(A3607))&gt;0,((VLOOKUP(TRIM(D3607), CATALOGO!A:B, 2, FALSE) * C3607)*(1-VALUE(SUBSTITUTE(VLOOKUP(TRIM(A3607),'RESTAURANTESDESCUENTOS 2026'!A:B,2,FALSE),"%",""))/100)+I3607),(VLOOKUP(TRIM(D3607), CATALOGO!A:B, 2, FALSE) * C3607+I3607)),""))</f>
        <v/>
      </c>
      <c r="K3607" s="196"/>
      <c r="L3607" s="87"/>
      <c r="M3607" s="245"/>
      <c r="N3607" s="168"/>
    </row>
    <row r="3608" ht="22.5" hidden="1" customHeight="1">
      <c r="A3608" s="137"/>
      <c r="B3608" s="90"/>
      <c r="C3608" s="55"/>
      <c r="D3608" s="193"/>
      <c r="E3608" s="201"/>
      <c r="F3608" s="202"/>
      <c r="G3608" s="194"/>
      <c r="H3608" s="198"/>
      <c r="I3608" s="196"/>
      <c r="J3608" s="179" t="str">
        <f>IF(A3608="RAPPI",(VLOOKUP(TRIM(D3608), CATALOGO!F:G, 2, FALSE) * C3608)+I3608,IFERROR(IF(COUNTIF('RESTAURANTESDESCUENTOS 2026'!A:A,TRIM(A3608))&gt;0,((VLOOKUP(TRIM(D3608), CATALOGO!A:B, 2, FALSE) * C3608)*(1-VALUE(SUBSTITUTE(VLOOKUP(TRIM(A3608),'RESTAURANTESDESCUENTOS 2026'!A:B,2,FALSE),"%",""))/100)+I3608),(VLOOKUP(TRIM(D3608), CATALOGO!A:B, 2, FALSE) * C3608+I3608)),""))</f>
        <v/>
      </c>
      <c r="K3608" s="196"/>
      <c r="L3608" s="87"/>
      <c r="M3608" s="245"/>
      <c r="N3608" s="168"/>
    </row>
    <row r="3609" ht="22.5" hidden="1" customHeight="1">
      <c r="A3609" s="137"/>
      <c r="B3609" s="90"/>
      <c r="C3609" s="55"/>
      <c r="D3609" s="193"/>
      <c r="E3609" s="201"/>
      <c r="F3609" s="202"/>
      <c r="G3609" s="194"/>
      <c r="H3609" s="198"/>
      <c r="I3609" s="196"/>
      <c r="J3609" s="179" t="str">
        <f>IF(A3609="RAPPI",(VLOOKUP(TRIM(D3609), CATALOGO!F:G, 2, FALSE) * C3609)+I3609,IFERROR(IF(COUNTIF('RESTAURANTESDESCUENTOS 2026'!A:A,TRIM(A3609))&gt;0,((VLOOKUP(TRIM(D3609), CATALOGO!A:B, 2, FALSE) * C3609)*(1-VALUE(SUBSTITUTE(VLOOKUP(TRIM(A3609),'RESTAURANTESDESCUENTOS 2026'!A:B,2,FALSE),"%",""))/100)+I3609),(VLOOKUP(TRIM(D3609), CATALOGO!A:B, 2, FALSE) * C3609+I3609)),""))</f>
        <v/>
      </c>
      <c r="K3609" s="196"/>
      <c r="L3609" s="87"/>
      <c r="M3609" s="245"/>
      <c r="N3609" s="168"/>
    </row>
    <row r="3610" ht="22.5" hidden="1" customHeight="1">
      <c r="A3610" s="137"/>
      <c r="B3610" s="90"/>
      <c r="C3610" s="55"/>
      <c r="D3610" s="193"/>
      <c r="E3610" s="201"/>
      <c r="F3610" s="202"/>
      <c r="G3610" s="194"/>
      <c r="H3610" s="198"/>
      <c r="I3610" s="196"/>
      <c r="J3610" s="179" t="str">
        <f>IF(A3610="RAPPI",(VLOOKUP(TRIM(D3610), CATALOGO!F:G, 2, FALSE) * C3610)+I3610,IFERROR(IF(COUNTIF('RESTAURANTESDESCUENTOS 2026'!A:A,TRIM(A3610))&gt;0,((VLOOKUP(TRIM(D3610), CATALOGO!A:B, 2, FALSE) * C3610)*(1-VALUE(SUBSTITUTE(VLOOKUP(TRIM(A3610),'RESTAURANTESDESCUENTOS 2026'!A:B,2,FALSE),"%",""))/100)+I3610),(VLOOKUP(TRIM(D3610), CATALOGO!A:B, 2, FALSE) * C3610+I3610)),""))</f>
        <v/>
      </c>
      <c r="K3610" s="196"/>
      <c r="L3610" s="87"/>
      <c r="M3610" s="245"/>
      <c r="N3610" s="168"/>
    </row>
    <row r="3611" ht="22.5" hidden="1" customHeight="1">
      <c r="A3611" s="137"/>
      <c r="B3611" s="90"/>
      <c r="C3611" s="55"/>
      <c r="D3611" s="193"/>
      <c r="E3611" s="201"/>
      <c r="F3611" s="202"/>
      <c r="G3611" s="194"/>
      <c r="H3611" s="198"/>
      <c r="I3611" s="196"/>
      <c r="J3611" s="179" t="str">
        <f>IF(A3611="RAPPI",(VLOOKUP(TRIM(D3611), CATALOGO!F:G, 2, FALSE) * C3611)+I3611,IFERROR(IF(COUNTIF('RESTAURANTESDESCUENTOS 2026'!A:A,TRIM(A3611))&gt;0,((VLOOKUP(TRIM(D3611), CATALOGO!A:B, 2, FALSE) * C3611)*(1-VALUE(SUBSTITUTE(VLOOKUP(TRIM(A3611),'RESTAURANTESDESCUENTOS 2026'!A:B,2,FALSE),"%",""))/100)+I3611),(VLOOKUP(TRIM(D3611), CATALOGO!A:B, 2, FALSE) * C3611+I3611)),""))</f>
        <v/>
      </c>
      <c r="K3611" s="196"/>
      <c r="L3611" s="87"/>
      <c r="M3611" s="245"/>
      <c r="N3611" s="168"/>
    </row>
    <row r="3612" ht="22.5" hidden="1" customHeight="1">
      <c r="A3612" s="137"/>
      <c r="B3612" s="90"/>
      <c r="C3612" s="55"/>
      <c r="D3612" s="193"/>
      <c r="E3612" s="201"/>
      <c r="F3612" s="202"/>
      <c r="G3612" s="194"/>
      <c r="H3612" s="198"/>
      <c r="I3612" s="196"/>
      <c r="J3612" s="179" t="str">
        <f>IF(A3612="RAPPI",(VLOOKUP(TRIM(D3612), CATALOGO!F:G, 2, FALSE) * C3612)+I3612,IFERROR(IF(COUNTIF('RESTAURANTESDESCUENTOS 2026'!A:A,TRIM(A3612))&gt;0,((VLOOKUP(TRIM(D3612), CATALOGO!A:B, 2, FALSE) * C3612)*(1-VALUE(SUBSTITUTE(VLOOKUP(TRIM(A3612),'RESTAURANTESDESCUENTOS 2026'!A:B,2,FALSE),"%",""))/100)+I3612),(VLOOKUP(TRIM(D3612), CATALOGO!A:B, 2, FALSE) * C3612+I3612)),""))</f>
        <v/>
      </c>
      <c r="K3612" s="196"/>
      <c r="L3612" s="87"/>
      <c r="M3612" s="245"/>
      <c r="N3612" s="168"/>
    </row>
    <row r="3613" ht="22.5" hidden="1" customHeight="1">
      <c r="A3613" s="137"/>
      <c r="B3613" s="90"/>
      <c r="C3613" s="55"/>
      <c r="D3613" s="193"/>
      <c r="E3613" s="201"/>
      <c r="F3613" s="202"/>
      <c r="G3613" s="194"/>
      <c r="H3613" s="198"/>
      <c r="I3613" s="196"/>
      <c r="J3613" s="179" t="str">
        <f>IF(A3613="RAPPI",(VLOOKUP(TRIM(D3613), CATALOGO!F:G, 2, FALSE) * C3613)+I3613,IFERROR(IF(COUNTIF('RESTAURANTESDESCUENTOS 2026'!A:A,TRIM(A3613))&gt;0,((VLOOKUP(TRIM(D3613), CATALOGO!A:B, 2, FALSE) * C3613)*(1-VALUE(SUBSTITUTE(VLOOKUP(TRIM(A3613),'RESTAURANTESDESCUENTOS 2026'!A:B,2,FALSE),"%",""))/100)+I3613),(VLOOKUP(TRIM(D3613), CATALOGO!A:B, 2, FALSE) * C3613+I3613)),""))</f>
        <v/>
      </c>
      <c r="K3613" s="196"/>
      <c r="L3613" s="87"/>
      <c r="M3613" s="245"/>
      <c r="N3613" s="168"/>
    </row>
    <row r="3614" ht="22.5" hidden="1" customHeight="1">
      <c r="A3614" s="137"/>
      <c r="B3614" s="90"/>
      <c r="C3614" s="55"/>
      <c r="D3614" s="193"/>
      <c r="E3614" s="201"/>
      <c r="F3614" s="202"/>
      <c r="G3614" s="194"/>
      <c r="H3614" s="198"/>
      <c r="I3614" s="196"/>
      <c r="J3614" s="179" t="str">
        <f>IF(A3614="RAPPI",(VLOOKUP(TRIM(D3614), CATALOGO!F:G, 2, FALSE) * C3614)+I3614,IFERROR(IF(COUNTIF('RESTAURANTESDESCUENTOS 2026'!A:A,TRIM(A3614))&gt;0,((VLOOKUP(TRIM(D3614), CATALOGO!A:B, 2, FALSE) * C3614)*(1-VALUE(SUBSTITUTE(VLOOKUP(TRIM(A3614),'RESTAURANTESDESCUENTOS 2026'!A:B,2,FALSE),"%",""))/100)+I3614),(VLOOKUP(TRIM(D3614), CATALOGO!A:B, 2, FALSE) * C3614+I3614)),""))</f>
        <v/>
      </c>
      <c r="K3614" s="196"/>
      <c r="L3614" s="87"/>
      <c r="M3614" s="245"/>
      <c r="N3614" s="168"/>
    </row>
    <row r="3615" ht="22.5" hidden="1" customHeight="1">
      <c r="A3615" s="137"/>
      <c r="B3615" s="90"/>
      <c r="C3615" s="55"/>
      <c r="D3615" s="193"/>
      <c r="E3615" s="201"/>
      <c r="F3615" s="202"/>
      <c r="G3615" s="194"/>
      <c r="H3615" s="198"/>
      <c r="I3615" s="196"/>
      <c r="J3615" s="179" t="str">
        <f>IF(A3615="RAPPI",(VLOOKUP(TRIM(D3615), CATALOGO!F:G, 2, FALSE) * C3615)+I3615,IFERROR(IF(COUNTIF('RESTAURANTESDESCUENTOS 2026'!A:A,TRIM(A3615))&gt;0,((VLOOKUP(TRIM(D3615), CATALOGO!A:B, 2, FALSE) * C3615)*(1-VALUE(SUBSTITUTE(VLOOKUP(TRIM(A3615),'RESTAURANTESDESCUENTOS 2026'!A:B,2,FALSE),"%",""))/100)+I3615),(VLOOKUP(TRIM(D3615), CATALOGO!A:B, 2, FALSE) * C3615+I3615)),""))</f>
        <v/>
      </c>
      <c r="K3615" s="196"/>
      <c r="L3615" s="87"/>
      <c r="M3615" s="245"/>
      <c r="N3615" s="168"/>
    </row>
    <row r="3616" ht="22.5" hidden="1" customHeight="1">
      <c r="A3616" s="137"/>
      <c r="B3616" s="90"/>
      <c r="C3616" s="55"/>
      <c r="D3616" s="193"/>
      <c r="E3616" s="201"/>
      <c r="F3616" s="202"/>
      <c r="G3616" s="194"/>
      <c r="H3616" s="198"/>
      <c r="I3616" s="196"/>
      <c r="J3616" s="179" t="str">
        <f>IF(A3616="RAPPI",(VLOOKUP(TRIM(D3616), CATALOGO!F:G, 2, FALSE) * C3616)+I3616,IFERROR(IF(COUNTIF('RESTAURANTESDESCUENTOS 2026'!A:A,TRIM(A3616))&gt;0,((VLOOKUP(TRIM(D3616), CATALOGO!A:B, 2, FALSE) * C3616)*(1-VALUE(SUBSTITUTE(VLOOKUP(TRIM(A3616),'RESTAURANTESDESCUENTOS 2026'!A:B,2,FALSE),"%",""))/100)+I3616),(VLOOKUP(TRIM(D3616), CATALOGO!A:B, 2, FALSE) * C3616+I3616)),""))</f>
        <v/>
      </c>
      <c r="K3616" s="196"/>
      <c r="L3616" s="87"/>
      <c r="M3616" s="245"/>
      <c r="N3616" s="168"/>
    </row>
    <row r="3617" ht="22.5" hidden="1" customHeight="1">
      <c r="A3617" s="137"/>
      <c r="B3617" s="90"/>
      <c r="C3617" s="55"/>
      <c r="D3617" s="193"/>
      <c r="E3617" s="201"/>
      <c r="F3617" s="202"/>
      <c r="G3617" s="194"/>
      <c r="H3617" s="198"/>
      <c r="I3617" s="196"/>
      <c r="J3617" s="179" t="str">
        <f>IF(A3617="RAPPI",(VLOOKUP(TRIM(D3617), CATALOGO!F:G, 2, FALSE) * C3617)+I3617,IFERROR(IF(COUNTIF('RESTAURANTESDESCUENTOS 2026'!A:A,TRIM(A3617))&gt;0,((VLOOKUP(TRIM(D3617), CATALOGO!A:B, 2, FALSE) * C3617)*(1-VALUE(SUBSTITUTE(VLOOKUP(TRIM(A3617),'RESTAURANTESDESCUENTOS 2026'!A:B,2,FALSE),"%",""))/100)+I3617),(VLOOKUP(TRIM(D3617), CATALOGO!A:B, 2, FALSE) * C3617+I3617)),""))</f>
        <v/>
      </c>
      <c r="K3617" s="196"/>
      <c r="L3617" s="87"/>
      <c r="M3617" s="245"/>
      <c r="N3617" s="168"/>
    </row>
    <row r="3618" ht="22.5" hidden="1" customHeight="1">
      <c r="A3618" s="137"/>
      <c r="B3618" s="90"/>
      <c r="C3618" s="55"/>
      <c r="D3618" s="193"/>
      <c r="E3618" s="201"/>
      <c r="F3618" s="202"/>
      <c r="G3618" s="194"/>
      <c r="H3618" s="198"/>
      <c r="I3618" s="196"/>
      <c r="J3618" s="179" t="str">
        <f>IF(A3618="RAPPI",(VLOOKUP(TRIM(D3618), CATALOGO!F:G, 2, FALSE) * C3618)+I3618,IFERROR(IF(COUNTIF('RESTAURANTESDESCUENTOS 2026'!A:A,TRIM(A3618))&gt;0,((VLOOKUP(TRIM(D3618), CATALOGO!A:B, 2, FALSE) * C3618)*(1-VALUE(SUBSTITUTE(VLOOKUP(TRIM(A3618),'RESTAURANTESDESCUENTOS 2026'!A:B,2,FALSE),"%",""))/100)+I3618),(VLOOKUP(TRIM(D3618), CATALOGO!A:B, 2, FALSE) * C3618+I3618)),""))</f>
        <v/>
      </c>
      <c r="K3618" s="196"/>
      <c r="L3618" s="87"/>
      <c r="M3618" s="245"/>
      <c r="N3618" s="168"/>
    </row>
    <row r="3619" ht="22.5" hidden="1" customHeight="1">
      <c r="A3619" s="137"/>
      <c r="B3619" s="90"/>
      <c r="C3619" s="55"/>
      <c r="D3619" s="193"/>
      <c r="E3619" s="201"/>
      <c r="F3619" s="202"/>
      <c r="G3619" s="194"/>
      <c r="H3619" s="198"/>
      <c r="I3619" s="196"/>
      <c r="J3619" s="179" t="str">
        <f>IF(A3619="RAPPI",(VLOOKUP(TRIM(D3619), CATALOGO!F:G, 2, FALSE) * C3619)+I3619,IFERROR(IF(COUNTIF('RESTAURANTESDESCUENTOS 2026'!A:A,TRIM(A3619))&gt;0,((VLOOKUP(TRIM(D3619), CATALOGO!A:B, 2, FALSE) * C3619)*(1-VALUE(SUBSTITUTE(VLOOKUP(TRIM(A3619),'RESTAURANTESDESCUENTOS 2026'!A:B,2,FALSE),"%",""))/100)+I3619),(VLOOKUP(TRIM(D3619), CATALOGO!A:B, 2, FALSE) * C3619+I3619)),""))</f>
        <v/>
      </c>
      <c r="K3619" s="196"/>
      <c r="L3619" s="87"/>
      <c r="M3619" s="245"/>
      <c r="N3619" s="168"/>
    </row>
    <row r="3620" ht="22.5" hidden="1" customHeight="1">
      <c r="A3620" s="137"/>
      <c r="B3620" s="90"/>
      <c r="C3620" s="55"/>
      <c r="D3620" s="193"/>
      <c r="E3620" s="201"/>
      <c r="F3620" s="202"/>
      <c r="G3620" s="194"/>
      <c r="H3620" s="198"/>
      <c r="I3620" s="196"/>
      <c r="J3620" s="179" t="str">
        <f>IF(A3620="RAPPI",(VLOOKUP(TRIM(D3620), CATALOGO!F:G, 2, FALSE) * C3620)+I3620,IFERROR(IF(COUNTIF('RESTAURANTESDESCUENTOS 2026'!A:A,TRIM(A3620))&gt;0,((VLOOKUP(TRIM(D3620), CATALOGO!A:B, 2, FALSE) * C3620)*(1-VALUE(SUBSTITUTE(VLOOKUP(TRIM(A3620),'RESTAURANTESDESCUENTOS 2026'!A:B,2,FALSE),"%",""))/100)+I3620),(VLOOKUP(TRIM(D3620), CATALOGO!A:B, 2, FALSE) * C3620+I3620)),""))</f>
        <v/>
      </c>
      <c r="K3620" s="196"/>
      <c r="L3620" s="87"/>
      <c r="M3620" s="245"/>
      <c r="N3620" s="168"/>
    </row>
    <row r="3621" ht="22.5" hidden="1" customHeight="1">
      <c r="A3621" s="137"/>
      <c r="B3621" s="90"/>
      <c r="C3621" s="55"/>
      <c r="D3621" s="193"/>
      <c r="E3621" s="201"/>
      <c r="F3621" s="202"/>
      <c r="G3621" s="194"/>
      <c r="H3621" s="198"/>
      <c r="I3621" s="196"/>
      <c r="J3621" s="179" t="str">
        <f>IF(A3621="RAPPI",(VLOOKUP(TRIM(D3621), CATALOGO!F:G, 2, FALSE) * C3621)+I3621,IFERROR(IF(COUNTIF('RESTAURANTESDESCUENTOS 2026'!A:A,TRIM(A3621))&gt;0,((VLOOKUP(TRIM(D3621), CATALOGO!A:B, 2, FALSE) * C3621)*(1-VALUE(SUBSTITUTE(VLOOKUP(TRIM(A3621),'RESTAURANTESDESCUENTOS 2026'!A:B,2,FALSE),"%",""))/100)+I3621),(VLOOKUP(TRIM(D3621), CATALOGO!A:B, 2, FALSE) * C3621+I3621)),""))</f>
        <v/>
      </c>
      <c r="K3621" s="196"/>
      <c r="L3621" s="87"/>
      <c r="M3621" s="245"/>
      <c r="N3621" s="168"/>
    </row>
    <row r="3622" ht="22.5" hidden="1" customHeight="1">
      <c r="A3622" s="137"/>
      <c r="B3622" s="90"/>
      <c r="C3622" s="55"/>
      <c r="D3622" s="193"/>
      <c r="E3622" s="201"/>
      <c r="F3622" s="202"/>
      <c r="G3622" s="194"/>
      <c r="H3622" s="198"/>
      <c r="I3622" s="196"/>
      <c r="J3622" s="179" t="str">
        <f>IF(A3622="RAPPI",(VLOOKUP(TRIM(D3622), CATALOGO!F:G, 2, FALSE) * C3622)+I3622,IFERROR(IF(COUNTIF('RESTAURANTESDESCUENTOS 2026'!A:A,TRIM(A3622))&gt;0,((VLOOKUP(TRIM(D3622), CATALOGO!A:B, 2, FALSE) * C3622)*(1-VALUE(SUBSTITUTE(VLOOKUP(TRIM(A3622),'RESTAURANTESDESCUENTOS 2026'!A:B,2,FALSE),"%",""))/100)+I3622),(VLOOKUP(TRIM(D3622), CATALOGO!A:B, 2, FALSE) * C3622+I3622)),""))</f>
        <v/>
      </c>
      <c r="K3622" s="196"/>
      <c r="L3622" s="87"/>
      <c r="M3622" s="245"/>
      <c r="N3622" s="168"/>
    </row>
    <row r="3623" ht="22.5" hidden="1" customHeight="1">
      <c r="A3623" s="137"/>
      <c r="B3623" s="90"/>
      <c r="C3623" s="55"/>
      <c r="D3623" s="193"/>
      <c r="E3623" s="201"/>
      <c r="F3623" s="202"/>
      <c r="G3623" s="194"/>
      <c r="H3623" s="198"/>
      <c r="I3623" s="196"/>
      <c r="J3623" s="179" t="str">
        <f>IF(A3623="RAPPI",(VLOOKUP(TRIM(D3623), CATALOGO!F:G, 2, FALSE) * C3623)+I3623,IFERROR(IF(COUNTIF('RESTAURANTESDESCUENTOS 2026'!A:A,TRIM(A3623))&gt;0,((VLOOKUP(TRIM(D3623), CATALOGO!A:B, 2, FALSE) * C3623)*(1-VALUE(SUBSTITUTE(VLOOKUP(TRIM(A3623),'RESTAURANTESDESCUENTOS 2026'!A:B,2,FALSE),"%",""))/100)+I3623),(VLOOKUP(TRIM(D3623), CATALOGO!A:B, 2, FALSE) * C3623+I3623)),""))</f>
        <v/>
      </c>
      <c r="K3623" s="196"/>
      <c r="L3623" s="87"/>
      <c r="M3623" s="245"/>
      <c r="N3623" s="168"/>
    </row>
    <row r="3624" ht="22.5" hidden="1" customHeight="1">
      <c r="A3624" s="137"/>
      <c r="B3624" s="90"/>
      <c r="C3624" s="55"/>
      <c r="D3624" s="193"/>
      <c r="E3624" s="201"/>
      <c r="F3624" s="202"/>
      <c r="G3624" s="194"/>
      <c r="H3624" s="198"/>
      <c r="I3624" s="196"/>
      <c r="J3624" s="179" t="str">
        <f>IF(A3624="RAPPI",(VLOOKUP(TRIM(D3624), CATALOGO!F:G, 2, FALSE) * C3624)+I3624,IFERROR(IF(COUNTIF('RESTAURANTESDESCUENTOS 2026'!A:A,TRIM(A3624))&gt;0,((VLOOKUP(TRIM(D3624), CATALOGO!A:B, 2, FALSE) * C3624)*(1-VALUE(SUBSTITUTE(VLOOKUP(TRIM(A3624),'RESTAURANTESDESCUENTOS 2026'!A:B,2,FALSE),"%",""))/100)+I3624),(VLOOKUP(TRIM(D3624), CATALOGO!A:B, 2, FALSE) * C3624+I3624)),""))</f>
        <v/>
      </c>
      <c r="K3624" s="196"/>
      <c r="L3624" s="87"/>
      <c r="M3624" s="245"/>
      <c r="N3624" s="168"/>
    </row>
    <row r="3625" ht="22.5" hidden="1" customHeight="1">
      <c r="A3625" s="137"/>
      <c r="B3625" s="90"/>
      <c r="C3625" s="55"/>
      <c r="D3625" s="193"/>
      <c r="E3625" s="201"/>
      <c r="F3625" s="202"/>
      <c r="G3625" s="194"/>
      <c r="H3625" s="198"/>
      <c r="I3625" s="196"/>
      <c r="J3625" s="179" t="str">
        <f>IF(A3625="RAPPI",(VLOOKUP(TRIM(D3625), CATALOGO!F:G, 2, FALSE) * C3625)+I3625,IFERROR(IF(COUNTIF('RESTAURANTESDESCUENTOS 2026'!A:A,TRIM(A3625))&gt;0,((VLOOKUP(TRIM(D3625), CATALOGO!A:B, 2, FALSE) * C3625)*(1-VALUE(SUBSTITUTE(VLOOKUP(TRIM(A3625),'RESTAURANTESDESCUENTOS 2026'!A:B,2,FALSE),"%",""))/100)+I3625),(VLOOKUP(TRIM(D3625), CATALOGO!A:B, 2, FALSE) * C3625+I3625)),""))</f>
        <v/>
      </c>
      <c r="K3625" s="196"/>
      <c r="L3625" s="87"/>
      <c r="M3625" s="245"/>
      <c r="N3625" s="168"/>
    </row>
    <row r="3626" ht="22.5" hidden="1" customHeight="1">
      <c r="A3626" s="137"/>
      <c r="B3626" s="90"/>
      <c r="C3626" s="55"/>
      <c r="D3626" s="193"/>
      <c r="E3626" s="201"/>
      <c r="F3626" s="202"/>
      <c r="G3626" s="194"/>
      <c r="H3626" s="198"/>
      <c r="I3626" s="196"/>
      <c r="J3626" s="179" t="str">
        <f>IF(A3626="RAPPI",(VLOOKUP(TRIM(D3626), CATALOGO!F:G, 2, FALSE) * C3626)+I3626,IFERROR(IF(COUNTIF('RESTAURANTESDESCUENTOS 2026'!A:A,TRIM(A3626))&gt;0,((VLOOKUP(TRIM(D3626), CATALOGO!A:B, 2, FALSE) * C3626)*(1-VALUE(SUBSTITUTE(VLOOKUP(TRIM(A3626),'RESTAURANTESDESCUENTOS 2026'!A:B,2,FALSE),"%",""))/100)+I3626),(VLOOKUP(TRIM(D3626), CATALOGO!A:B, 2, FALSE) * C3626+I3626)),""))</f>
        <v/>
      </c>
      <c r="K3626" s="196"/>
      <c r="L3626" s="87"/>
      <c r="M3626" s="245"/>
      <c r="N3626" s="168"/>
    </row>
    <row r="3627" ht="22.5" hidden="1" customHeight="1">
      <c r="A3627" s="137"/>
      <c r="B3627" s="90"/>
      <c r="C3627" s="55"/>
      <c r="D3627" s="193"/>
      <c r="E3627" s="201"/>
      <c r="F3627" s="202"/>
      <c r="G3627" s="194"/>
      <c r="H3627" s="198"/>
      <c r="I3627" s="196"/>
      <c r="J3627" s="179" t="str">
        <f>IF(A3627="RAPPI",(VLOOKUP(TRIM(D3627), CATALOGO!F:G, 2, FALSE) * C3627)+I3627,IFERROR(IF(COUNTIF('RESTAURANTESDESCUENTOS 2026'!A:A,TRIM(A3627))&gt;0,((VLOOKUP(TRIM(D3627), CATALOGO!A:B, 2, FALSE) * C3627)*(1-VALUE(SUBSTITUTE(VLOOKUP(TRIM(A3627),'RESTAURANTESDESCUENTOS 2026'!A:B,2,FALSE),"%",""))/100)+I3627),(VLOOKUP(TRIM(D3627), CATALOGO!A:B, 2, FALSE) * C3627+I3627)),""))</f>
        <v/>
      </c>
      <c r="K3627" s="196"/>
      <c r="L3627" s="87"/>
      <c r="M3627" s="245"/>
      <c r="N3627" s="168"/>
    </row>
    <row r="3628" ht="22.5" hidden="1" customHeight="1">
      <c r="A3628" s="137"/>
      <c r="B3628" s="90"/>
      <c r="C3628" s="55"/>
      <c r="D3628" s="193"/>
      <c r="E3628" s="201"/>
      <c r="F3628" s="202"/>
      <c r="G3628" s="194"/>
      <c r="H3628" s="198"/>
      <c r="I3628" s="196"/>
      <c r="J3628" s="179" t="str">
        <f>IF(A3628="RAPPI",(VLOOKUP(TRIM(D3628), CATALOGO!F:G, 2, FALSE) * C3628)+I3628,IFERROR(IF(COUNTIF('RESTAURANTESDESCUENTOS 2026'!A:A,TRIM(A3628))&gt;0,((VLOOKUP(TRIM(D3628), CATALOGO!A:B, 2, FALSE) * C3628)*(1-VALUE(SUBSTITUTE(VLOOKUP(TRIM(A3628),'RESTAURANTESDESCUENTOS 2026'!A:B,2,FALSE),"%",""))/100)+I3628),(VLOOKUP(TRIM(D3628), CATALOGO!A:B, 2, FALSE) * C3628+I3628)),""))</f>
        <v/>
      </c>
      <c r="K3628" s="196"/>
      <c r="L3628" s="87"/>
      <c r="M3628" s="245"/>
      <c r="N3628" s="168"/>
    </row>
    <row r="3629" ht="22.5" hidden="1" customHeight="1">
      <c r="A3629" s="137"/>
      <c r="B3629" s="90"/>
      <c r="C3629" s="55"/>
      <c r="D3629" s="193"/>
      <c r="E3629" s="201"/>
      <c r="F3629" s="202"/>
      <c r="G3629" s="194"/>
      <c r="H3629" s="198"/>
      <c r="I3629" s="196"/>
      <c r="J3629" s="179" t="str">
        <f>IF(A3629="RAPPI",(VLOOKUP(TRIM(D3629), CATALOGO!F:G, 2, FALSE) * C3629)+I3629,IFERROR(IF(COUNTIF('RESTAURANTESDESCUENTOS 2026'!A:A,TRIM(A3629))&gt;0,((VLOOKUP(TRIM(D3629), CATALOGO!A:B, 2, FALSE) * C3629)*(1-VALUE(SUBSTITUTE(VLOOKUP(TRIM(A3629),'RESTAURANTESDESCUENTOS 2026'!A:B,2,FALSE),"%",""))/100)+I3629),(VLOOKUP(TRIM(D3629), CATALOGO!A:B, 2, FALSE) * C3629+I3629)),""))</f>
        <v/>
      </c>
      <c r="K3629" s="196"/>
      <c r="L3629" s="87"/>
      <c r="M3629" s="245"/>
      <c r="N3629" s="168"/>
    </row>
    <row r="3630" ht="22.5" hidden="1" customHeight="1">
      <c r="A3630" s="137"/>
      <c r="B3630" s="90"/>
      <c r="C3630" s="55"/>
      <c r="D3630" s="193"/>
      <c r="E3630" s="201"/>
      <c r="F3630" s="202"/>
      <c r="G3630" s="194"/>
      <c r="H3630" s="198"/>
      <c r="I3630" s="196"/>
      <c r="J3630" s="179" t="str">
        <f>IF(A3630="RAPPI",(VLOOKUP(TRIM(D3630), CATALOGO!F:G, 2, FALSE) * C3630)+I3630,IFERROR(IF(COUNTIF('RESTAURANTESDESCUENTOS 2026'!A:A,TRIM(A3630))&gt;0,((VLOOKUP(TRIM(D3630), CATALOGO!A:B, 2, FALSE) * C3630)*(1-VALUE(SUBSTITUTE(VLOOKUP(TRIM(A3630),'RESTAURANTESDESCUENTOS 2026'!A:B,2,FALSE),"%",""))/100)+I3630),(VLOOKUP(TRIM(D3630), CATALOGO!A:B, 2, FALSE) * C3630+I3630)),""))</f>
        <v/>
      </c>
      <c r="K3630" s="196"/>
      <c r="L3630" s="87"/>
      <c r="M3630" s="245"/>
      <c r="N3630" s="168"/>
    </row>
    <row r="3631" ht="22.5" hidden="1" customHeight="1">
      <c r="A3631" s="137"/>
      <c r="B3631" s="90"/>
      <c r="C3631" s="55"/>
      <c r="D3631" s="193"/>
      <c r="E3631" s="201"/>
      <c r="F3631" s="202"/>
      <c r="G3631" s="194"/>
      <c r="H3631" s="198"/>
      <c r="I3631" s="196"/>
      <c r="J3631" s="179" t="str">
        <f>IF(A3631="RAPPI",(VLOOKUP(TRIM(D3631), CATALOGO!F:G, 2, FALSE) * C3631)+I3631,IFERROR(IF(COUNTIF('RESTAURANTESDESCUENTOS 2026'!A:A,TRIM(A3631))&gt;0,((VLOOKUP(TRIM(D3631), CATALOGO!A:B, 2, FALSE) * C3631)*(1-VALUE(SUBSTITUTE(VLOOKUP(TRIM(A3631),'RESTAURANTESDESCUENTOS 2026'!A:B,2,FALSE),"%",""))/100)+I3631),(VLOOKUP(TRIM(D3631), CATALOGO!A:B, 2, FALSE) * C3631+I3631)),""))</f>
        <v/>
      </c>
      <c r="K3631" s="196"/>
      <c r="L3631" s="87"/>
      <c r="M3631" s="245"/>
      <c r="N3631" s="168"/>
    </row>
    <row r="3632" ht="22.5" hidden="1" customHeight="1">
      <c r="A3632" s="137"/>
      <c r="B3632" s="90"/>
      <c r="C3632" s="55"/>
      <c r="D3632" s="193"/>
      <c r="E3632" s="201"/>
      <c r="F3632" s="202"/>
      <c r="G3632" s="194"/>
      <c r="H3632" s="198"/>
      <c r="I3632" s="196"/>
      <c r="J3632" s="179" t="str">
        <f>IF(A3632="RAPPI",(VLOOKUP(TRIM(D3632), CATALOGO!F:G, 2, FALSE) * C3632)+I3632,IFERROR(IF(COUNTIF('RESTAURANTESDESCUENTOS 2026'!A:A,TRIM(A3632))&gt;0,((VLOOKUP(TRIM(D3632), CATALOGO!A:B, 2, FALSE) * C3632)*(1-VALUE(SUBSTITUTE(VLOOKUP(TRIM(A3632),'RESTAURANTESDESCUENTOS 2026'!A:B,2,FALSE),"%",""))/100)+I3632),(VLOOKUP(TRIM(D3632), CATALOGO!A:B, 2, FALSE) * C3632+I3632)),""))</f>
        <v/>
      </c>
      <c r="K3632" s="196"/>
      <c r="L3632" s="87"/>
      <c r="M3632" s="245"/>
      <c r="N3632" s="168"/>
    </row>
    <row r="3633" ht="22.5" hidden="1" customHeight="1">
      <c r="A3633" s="137"/>
      <c r="B3633" s="90"/>
      <c r="C3633" s="55"/>
      <c r="D3633" s="193"/>
      <c r="E3633" s="201"/>
      <c r="F3633" s="202"/>
      <c r="G3633" s="194"/>
      <c r="H3633" s="198"/>
      <c r="I3633" s="196"/>
      <c r="J3633" s="179" t="str">
        <f>IF(A3633="RAPPI",(VLOOKUP(TRIM(D3633), CATALOGO!F:G, 2, FALSE) * C3633)+I3633,IFERROR(IF(COUNTIF('RESTAURANTESDESCUENTOS 2026'!A:A,TRIM(A3633))&gt;0,((VLOOKUP(TRIM(D3633), CATALOGO!A:B, 2, FALSE) * C3633)*(1-VALUE(SUBSTITUTE(VLOOKUP(TRIM(A3633),'RESTAURANTESDESCUENTOS 2026'!A:B,2,FALSE),"%",""))/100)+I3633),(VLOOKUP(TRIM(D3633), CATALOGO!A:B, 2, FALSE) * C3633+I3633)),""))</f>
        <v/>
      </c>
      <c r="K3633" s="196"/>
      <c r="L3633" s="87"/>
      <c r="M3633" s="245"/>
      <c r="N3633" s="168"/>
    </row>
    <row r="3634" ht="22.5" hidden="1" customHeight="1">
      <c r="A3634" s="137"/>
      <c r="B3634" s="90"/>
      <c r="C3634" s="55"/>
      <c r="D3634" s="193"/>
      <c r="E3634" s="201"/>
      <c r="F3634" s="202"/>
      <c r="G3634" s="194"/>
      <c r="H3634" s="198"/>
      <c r="I3634" s="196"/>
      <c r="J3634" s="179" t="str">
        <f>IF(A3634="RAPPI",(VLOOKUP(TRIM(D3634), CATALOGO!F:G, 2, FALSE) * C3634)+I3634,IFERROR(IF(COUNTIF('RESTAURANTESDESCUENTOS 2026'!A:A,TRIM(A3634))&gt;0,((VLOOKUP(TRIM(D3634), CATALOGO!A:B, 2, FALSE) * C3634)*(1-VALUE(SUBSTITUTE(VLOOKUP(TRIM(A3634),'RESTAURANTESDESCUENTOS 2026'!A:B,2,FALSE),"%",""))/100)+I3634),(VLOOKUP(TRIM(D3634), CATALOGO!A:B, 2, FALSE) * C3634+I3634)),""))</f>
        <v/>
      </c>
      <c r="K3634" s="196"/>
      <c r="L3634" s="87"/>
      <c r="M3634" s="245"/>
      <c r="N3634" s="168"/>
    </row>
    <row r="3635" ht="22.5" hidden="1" customHeight="1">
      <c r="A3635" s="137"/>
      <c r="B3635" s="90"/>
      <c r="C3635" s="55"/>
      <c r="D3635" s="193"/>
      <c r="E3635" s="201"/>
      <c r="F3635" s="202"/>
      <c r="G3635" s="194"/>
      <c r="H3635" s="198"/>
      <c r="I3635" s="196"/>
      <c r="J3635" s="179" t="str">
        <f>IF(A3635="RAPPI",(VLOOKUP(TRIM(D3635), CATALOGO!F:G, 2, FALSE) * C3635)+I3635,IFERROR(IF(COUNTIF('RESTAURANTESDESCUENTOS 2026'!A:A,TRIM(A3635))&gt;0,((VLOOKUP(TRIM(D3635), CATALOGO!A:B, 2, FALSE) * C3635)*(1-VALUE(SUBSTITUTE(VLOOKUP(TRIM(A3635),'RESTAURANTESDESCUENTOS 2026'!A:B,2,FALSE),"%",""))/100)+I3635),(VLOOKUP(TRIM(D3635), CATALOGO!A:B, 2, FALSE) * C3635+I3635)),""))</f>
        <v/>
      </c>
      <c r="K3635" s="196"/>
      <c r="L3635" s="87"/>
      <c r="M3635" s="245"/>
      <c r="N3635" s="168"/>
    </row>
    <row r="3636" ht="22.5" hidden="1" customHeight="1">
      <c r="A3636" s="137"/>
      <c r="B3636" s="90"/>
      <c r="C3636" s="55"/>
      <c r="D3636" s="193"/>
      <c r="E3636" s="201"/>
      <c r="F3636" s="202"/>
      <c r="G3636" s="194"/>
      <c r="H3636" s="198"/>
      <c r="I3636" s="196"/>
      <c r="J3636" s="179" t="str">
        <f>IF(A3636="RAPPI",(VLOOKUP(TRIM(D3636), CATALOGO!F:G, 2, FALSE) * C3636)+I3636,IFERROR(IF(COUNTIF('RESTAURANTESDESCUENTOS 2026'!A:A,TRIM(A3636))&gt;0,((VLOOKUP(TRIM(D3636), CATALOGO!A:B, 2, FALSE) * C3636)*(1-VALUE(SUBSTITUTE(VLOOKUP(TRIM(A3636),'RESTAURANTESDESCUENTOS 2026'!A:B,2,FALSE),"%",""))/100)+I3636),(VLOOKUP(TRIM(D3636), CATALOGO!A:B, 2, FALSE) * C3636+I3636)),""))</f>
        <v/>
      </c>
      <c r="K3636" s="196"/>
      <c r="L3636" s="87"/>
      <c r="M3636" s="245"/>
      <c r="N3636" s="168"/>
    </row>
    <row r="3637" ht="22.5" hidden="1" customHeight="1">
      <c r="A3637" s="137"/>
      <c r="B3637" s="90"/>
      <c r="C3637" s="55"/>
      <c r="D3637" s="193"/>
      <c r="E3637" s="201"/>
      <c r="F3637" s="202"/>
      <c r="G3637" s="194"/>
      <c r="H3637" s="198"/>
      <c r="I3637" s="196"/>
      <c r="J3637" s="179" t="str">
        <f>IF(A3637="RAPPI",(VLOOKUP(TRIM(D3637), CATALOGO!F:G, 2, FALSE) * C3637)+I3637,IFERROR(IF(COUNTIF('RESTAURANTESDESCUENTOS 2026'!A:A,TRIM(A3637))&gt;0,((VLOOKUP(TRIM(D3637), CATALOGO!A:B, 2, FALSE) * C3637)*(1-VALUE(SUBSTITUTE(VLOOKUP(TRIM(A3637),'RESTAURANTESDESCUENTOS 2026'!A:B,2,FALSE),"%",""))/100)+I3637),(VLOOKUP(TRIM(D3637), CATALOGO!A:B, 2, FALSE) * C3637+I3637)),""))</f>
        <v/>
      </c>
      <c r="K3637" s="196"/>
      <c r="L3637" s="87"/>
      <c r="M3637" s="245"/>
      <c r="N3637" s="168"/>
    </row>
    <row r="3638" ht="22.5" hidden="1" customHeight="1">
      <c r="A3638" s="137"/>
      <c r="B3638" s="90"/>
      <c r="C3638" s="55"/>
      <c r="D3638" s="193"/>
      <c r="E3638" s="201"/>
      <c r="F3638" s="202"/>
      <c r="G3638" s="194"/>
      <c r="H3638" s="198"/>
      <c r="I3638" s="196"/>
      <c r="J3638" s="179" t="str">
        <f>IF(A3638="RAPPI",(VLOOKUP(TRIM(D3638), CATALOGO!F:G, 2, FALSE) * C3638)+I3638,IFERROR(IF(COUNTIF('RESTAURANTESDESCUENTOS 2026'!A:A,TRIM(A3638))&gt;0,((VLOOKUP(TRIM(D3638), CATALOGO!A:B, 2, FALSE) * C3638)*(1-VALUE(SUBSTITUTE(VLOOKUP(TRIM(A3638),'RESTAURANTESDESCUENTOS 2026'!A:B,2,FALSE),"%",""))/100)+I3638),(VLOOKUP(TRIM(D3638), CATALOGO!A:B, 2, FALSE) * C3638+I3638)),""))</f>
        <v/>
      </c>
      <c r="K3638" s="196"/>
      <c r="L3638" s="87"/>
      <c r="M3638" s="245"/>
      <c r="N3638" s="168"/>
    </row>
    <row r="3639" ht="22.5" hidden="1" customHeight="1">
      <c r="A3639" s="137"/>
      <c r="B3639" s="90"/>
      <c r="C3639" s="55"/>
      <c r="D3639" s="193"/>
      <c r="E3639" s="201"/>
      <c r="F3639" s="202"/>
      <c r="G3639" s="194"/>
      <c r="H3639" s="198"/>
      <c r="I3639" s="196"/>
      <c r="J3639" s="179" t="str">
        <f>IF(A3639="RAPPI",(VLOOKUP(TRIM(D3639), CATALOGO!F:G, 2, FALSE) * C3639)+I3639,IFERROR(IF(COUNTIF('RESTAURANTESDESCUENTOS 2026'!A:A,TRIM(A3639))&gt;0,((VLOOKUP(TRIM(D3639), CATALOGO!A:B, 2, FALSE) * C3639)*(1-VALUE(SUBSTITUTE(VLOOKUP(TRIM(A3639),'RESTAURANTESDESCUENTOS 2026'!A:B,2,FALSE),"%",""))/100)+I3639),(VLOOKUP(TRIM(D3639), CATALOGO!A:B, 2, FALSE) * C3639+I3639)),""))</f>
        <v/>
      </c>
      <c r="K3639" s="196"/>
      <c r="L3639" s="87"/>
      <c r="M3639" s="245"/>
      <c r="N3639" s="168"/>
    </row>
    <row r="3640" ht="22.5" hidden="1" customHeight="1">
      <c r="A3640" s="137"/>
      <c r="B3640" s="90"/>
      <c r="C3640" s="55"/>
      <c r="D3640" s="193"/>
      <c r="E3640" s="201"/>
      <c r="F3640" s="202"/>
      <c r="G3640" s="194"/>
      <c r="H3640" s="198"/>
      <c r="I3640" s="196"/>
      <c r="J3640" s="179" t="str">
        <f>IF(A3640="RAPPI",(VLOOKUP(TRIM(D3640), CATALOGO!F:G, 2, FALSE) * C3640)+I3640,IFERROR(IF(COUNTIF('RESTAURANTESDESCUENTOS 2026'!A:A,TRIM(A3640))&gt;0,((VLOOKUP(TRIM(D3640), CATALOGO!A:B, 2, FALSE) * C3640)*(1-VALUE(SUBSTITUTE(VLOOKUP(TRIM(A3640),'RESTAURANTESDESCUENTOS 2026'!A:B,2,FALSE),"%",""))/100)+I3640),(VLOOKUP(TRIM(D3640), CATALOGO!A:B, 2, FALSE) * C3640+I3640)),""))</f>
        <v/>
      </c>
      <c r="K3640" s="196"/>
      <c r="L3640" s="87"/>
      <c r="M3640" s="245"/>
      <c r="N3640" s="168"/>
    </row>
    <row r="3641" ht="22.5" hidden="1" customHeight="1">
      <c r="A3641" s="137"/>
      <c r="B3641" s="90"/>
      <c r="C3641" s="55"/>
      <c r="D3641" s="193"/>
      <c r="E3641" s="201"/>
      <c r="F3641" s="202"/>
      <c r="G3641" s="194"/>
      <c r="H3641" s="198"/>
      <c r="I3641" s="196"/>
      <c r="J3641" s="179" t="str">
        <f>IF(A3641="RAPPI",(VLOOKUP(TRIM(D3641), CATALOGO!F:G, 2, FALSE) * C3641)+I3641,IFERROR(IF(COUNTIF('RESTAURANTESDESCUENTOS 2026'!A:A,TRIM(A3641))&gt;0,((VLOOKUP(TRIM(D3641), CATALOGO!A:B, 2, FALSE) * C3641)*(1-VALUE(SUBSTITUTE(VLOOKUP(TRIM(A3641),'RESTAURANTESDESCUENTOS 2026'!A:B,2,FALSE),"%",""))/100)+I3641),(VLOOKUP(TRIM(D3641), CATALOGO!A:B, 2, FALSE) * C3641+I3641)),""))</f>
        <v/>
      </c>
      <c r="K3641" s="196"/>
      <c r="L3641" s="87"/>
      <c r="M3641" s="245"/>
      <c r="N3641" s="168"/>
    </row>
    <row r="3642" ht="22.5" hidden="1" customHeight="1">
      <c r="A3642" s="137"/>
      <c r="B3642" s="90"/>
      <c r="C3642" s="55"/>
      <c r="D3642" s="193"/>
      <c r="E3642" s="201"/>
      <c r="F3642" s="202"/>
      <c r="G3642" s="194"/>
      <c r="H3642" s="198"/>
      <c r="I3642" s="196"/>
      <c r="J3642" s="179" t="str">
        <f>IF(A3642="RAPPI",(VLOOKUP(TRIM(D3642), CATALOGO!F:G, 2, FALSE) * C3642)+I3642,IFERROR(IF(COUNTIF('RESTAURANTESDESCUENTOS 2026'!A:A,TRIM(A3642))&gt;0,((VLOOKUP(TRIM(D3642), CATALOGO!A:B, 2, FALSE) * C3642)*(1-VALUE(SUBSTITUTE(VLOOKUP(TRIM(A3642),'RESTAURANTESDESCUENTOS 2026'!A:B,2,FALSE),"%",""))/100)+I3642),(VLOOKUP(TRIM(D3642), CATALOGO!A:B, 2, FALSE) * C3642+I3642)),""))</f>
        <v/>
      </c>
      <c r="K3642" s="196"/>
      <c r="L3642" s="87"/>
      <c r="M3642" s="245"/>
      <c r="N3642" s="168"/>
    </row>
    <row r="3643" ht="22.5" hidden="1" customHeight="1">
      <c r="A3643" s="137"/>
      <c r="B3643" s="90"/>
      <c r="C3643" s="55"/>
      <c r="D3643" s="193"/>
      <c r="E3643" s="201"/>
      <c r="F3643" s="202"/>
      <c r="G3643" s="194"/>
      <c r="H3643" s="198"/>
      <c r="I3643" s="196"/>
      <c r="J3643" s="179" t="str">
        <f>IF(A3643="RAPPI",(VLOOKUP(TRIM(D3643), CATALOGO!F:G, 2, FALSE) * C3643)+I3643,IFERROR(IF(COUNTIF('RESTAURANTESDESCUENTOS 2026'!A:A,TRIM(A3643))&gt;0,((VLOOKUP(TRIM(D3643), CATALOGO!A:B, 2, FALSE) * C3643)*(1-VALUE(SUBSTITUTE(VLOOKUP(TRIM(A3643),'RESTAURANTESDESCUENTOS 2026'!A:B,2,FALSE),"%",""))/100)+I3643),(VLOOKUP(TRIM(D3643), CATALOGO!A:B, 2, FALSE) * C3643+I3643)),""))</f>
        <v/>
      </c>
      <c r="K3643" s="196"/>
      <c r="L3643" s="87"/>
      <c r="M3643" s="245"/>
      <c r="N3643" s="168"/>
    </row>
    <row r="3644" ht="22.5" hidden="1" customHeight="1">
      <c r="A3644" s="137"/>
      <c r="B3644" s="90"/>
      <c r="C3644" s="55"/>
      <c r="D3644" s="193"/>
      <c r="E3644" s="201"/>
      <c r="F3644" s="202"/>
      <c r="G3644" s="194"/>
      <c r="H3644" s="198"/>
      <c r="I3644" s="196"/>
      <c r="J3644" s="179" t="str">
        <f>IF(A3644="RAPPI",(VLOOKUP(TRIM(D3644), CATALOGO!F:G, 2, FALSE) * C3644)+I3644,IFERROR(IF(COUNTIF('RESTAURANTESDESCUENTOS 2026'!A:A,TRIM(A3644))&gt;0,((VLOOKUP(TRIM(D3644), CATALOGO!A:B, 2, FALSE) * C3644)*(1-VALUE(SUBSTITUTE(VLOOKUP(TRIM(A3644),'RESTAURANTESDESCUENTOS 2026'!A:B,2,FALSE),"%",""))/100)+I3644),(VLOOKUP(TRIM(D3644), CATALOGO!A:B, 2, FALSE) * C3644+I3644)),""))</f>
        <v/>
      </c>
      <c r="K3644" s="196"/>
      <c r="L3644" s="87"/>
      <c r="M3644" s="245"/>
      <c r="N3644" s="168"/>
    </row>
    <row r="3645" ht="22.5" hidden="1" customHeight="1">
      <c r="A3645" s="137"/>
      <c r="B3645" s="90"/>
      <c r="C3645" s="55"/>
      <c r="D3645" s="193"/>
      <c r="E3645" s="201"/>
      <c r="F3645" s="202"/>
      <c r="G3645" s="194"/>
      <c r="H3645" s="198"/>
      <c r="I3645" s="196"/>
      <c r="J3645" s="179" t="str">
        <f>IF(A3645="RAPPI",(VLOOKUP(TRIM(D3645), CATALOGO!F:G, 2, FALSE) * C3645)+I3645,IFERROR(IF(COUNTIF('RESTAURANTESDESCUENTOS 2026'!A:A,TRIM(A3645))&gt;0,((VLOOKUP(TRIM(D3645), CATALOGO!A:B, 2, FALSE) * C3645)*(1-VALUE(SUBSTITUTE(VLOOKUP(TRIM(A3645),'RESTAURANTESDESCUENTOS 2026'!A:B,2,FALSE),"%",""))/100)+I3645),(VLOOKUP(TRIM(D3645), CATALOGO!A:B, 2, FALSE) * C3645+I3645)),""))</f>
        <v/>
      </c>
      <c r="K3645" s="196"/>
      <c r="L3645" s="87"/>
      <c r="M3645" s="245"/>
      <c r="N3645" s="168"/>
    </row>
    <row r="3646" ht="22.5" hidden="1" customHeight="1">
      <c r="A3646" s="137"/>
      <c r="B3646" s="90"/>
      <c r="C3646" s="55"/>
      <c r="D3646" s="193"/>
      <c r="E3646" s="201"/>
      <c r="F3646" s="202"/>
      <c r="G3646" s="194"/>
      <c r="H3646" s="198"/>
      <c r="I3646" s="196"/>
      <c r="J3646" s="179" t="str">
        <f>IF(A3646="RAPPI",(VLOOKUP(TRIM(D3646), CATALOGO!F:G, 2, FALSE) * C3646)+I3646,IFERROR(IF(COUNTIF('RESTAURANTESDESCUENTOS 2026'!A:A,TRIM(A3646))&gt;0,((VLOOKUP(TRIM(D3646), CATALOGO!A:B, 2, FALSE) * C3646)*(1-VALUE(SUBSTITUTE(VLOOKUP(TRIM(A3646),'RESTAURANTESDESCUENTOS 2026'!A:B,2,FALSE),"%",""))/100)+I3646),(VLOOKUP(TRIM(D3646), CATALOGO!A:B, 2, FALSE) * C3646+I3646)),""))</f>
        <v/>
      </c>
      <c r="K3646" s="196"/>
      <c r="L3646" s="87"/>
      <c r="M3646" s="245"/>
      <c r="N3646" s="168"/>
    </row>
    <row r="3647" ht="22.5" hidden="1" customHeight="1">
      <c r="A3647" s="137"/>
      <c r="B3647" s="90"/>
      <c r="C3647" s="55"/>
      <c r="D3647" s="193"/>
      <c r="E3647" s="201"/>
      <c r="F3647" s="202"/>
      <c r="G3647" s="194"/>
      <c r="H3647" s="198"/>
      <c r="I3647" s="196"/>
      <c r="J3647" s="179" t="str">
        <f>IF(A3647="RAPPI",(VLOOKUP(TRIM(D3647), CATALOGO!F:G, 2, FALSE) * C3647)+I3647,IFERROR(IF(COUNTIF('RESTAURANTESDESCUENTOS 2026'!A:A,TRIM(A3647))&gt;0,((VLOOKUP(TRIM(D3647), CATALOGO!A:B, 2, FALSE) * C3647)*(1-VALUE(SUBSTITUTE(VLOOKUP(TRIM(A3647),'RESTAURANTESDESCUENTOS 2026'!A:B,2,FALSE),"%",""))/100)+I3647),(VLOOKUP(TRIM(D3647), CATALOGO!A:B, 2, FALSE) * C3647+I3647)),""))</f>
        <v/>
      </c>
      <c r="K3647" s="196"/>
      <c r="L3647" s="87"/>
      <c r="M3647" s="245"/>
      <c r="N3647" s="168"/>
    </row>
    <row r="3648" ht="22.5" hidden="1" customHeight="1">
      <c r="A3648" s="137"/>
      <c r="B3648" s="90"/>
      <c r="C3648" s="55"/>
      <c r="D3648" s="193"/>
      <c r="E3648" s="201"/>
      <c r="F3648" s="202"/>
      <c r="G3648" s="194"/>
      <c r="H3648" s="198"/>
      <c r="I3648" s="196"/>
      <c r="J3648" s="179" t="str">
        <f>IF(A3648="RAPPI",(VLOOKUP(TRIM(D3648), CATALOGO!F:G, 2, FALSE) * C3648)+I3648,IFERROR(IF(COUNTIF('RESTAURANTESDESCUENTOS 2026'!A:A,TRIM(A3648))&gt;0,((VLOOKUP(TRIM(D3648), CATALOGO!A:B, 2, FALSE) * C3648)*(1-VALUE(SUBSTITUTE(VLOOKUP(TRIM(A3648),'RESTAURANTESDESCUENTOS 2026'!A:B,2,FALSE),"%",""))/100)+I3648),(VLOOKUP(TRIM(D3648), CATALOGO!A:B, 2, FALSE) * C3648+I3648)),""))</f>
        <v/>
      </c>
      <c r="K3648" s="196"/>
      <c r="L3648" s="87"/>
      <c r="M3648" s="245"/>
      <c r="N3648" s="168"/>
    </row>
    <row r="3649" ht="22.5" hidden="1" customHeight="1">
      <c r="A3649" s="137"/>
      <c r="B3649" s="90"/>
      <c r="C3649" s="55"/>
      <c r="D3649" s="193"/>
      <c r="E3649" s="201"/>
      <c r="F3649" s="202"/>
      <c r="G3649" s="194"/>
      <c r="H3649" s="198"/>
      <c r="I3649" s="196"/>
      <c r="J3649" s="179" t="str">
        <f>IF(A3649="RAPPI",(VLOOKUP(TRIM(D3649), CATALOGO!F:G, 2, FALSE) * C3649)+I3649,IFERROR(IF(COUNTIF('RESTAURANTESDESCUENTOS 2026'!A:A,TRIM(A3649))&gt;0,((VLOOKUP(TRIM(D3649), CATALOGO!A:B, 2, FALSE) * C3649)*(1-VALUE(SUBSTITUTE(VLOOKUP(TRIM(A3649),'RESTAURANTESDESCUENTOS 2026'!A:B,2,FALSE),"%",""))/100)+I3649),(VLOOKUP(TRIM(D3649), CATALOGO!A:B, 2, FALSE) * C3649+I3649)),""))</f>
        <v/>
      </c>
      <c r="K3649" s="196"/>
      <c r="L3649" s="87"/>
      <c r="M3649" s="245"/>
      <c r="N3649" s="168"/>
    </row>
    <row r="3650" ht="22.5" hidden="1" customHeight="1">
      <c r="A3650" s="137"/>
      <c r="B3650" s="90"/>
      <c r="C3650" s="55"/>
      <c r="D3650" s="193"/>
      <c r="E3650" s="201"/>
      <c r="F3650" s="202"/>
      <c r="G3650" s="194"/>
      <c r="H3650" s="198"/>
      <c r="I3650" s="196"/>
      <c r="J3650" s="179" t="str">
        <f>IF(A3650="RAPPI",(VLOOKUP(TRIM(D3650), CATALOGO!F:G, 2, FALSE) * C3650)+I3650,IFERROR(IF(COUNTIF('RESTAURANTESDESCUENTOS 2026'!A:A,TRIM(A3650))&gt;0,((VLOOKUP(TRIM(D3650), CATALOGO!A:B, 2, FALSE) * C3650)*(1-VALUE(SUBSTITUTE(VLOOKUP(TRIM(A3650),'RESTAURANTESDESCUENTOS 2026'!A:B,2,FALSE),"%",""))/100)+I3650),(VLOOKUP(TRIM(D3650), CATALOGO!A:B, 2, FALSE) * C3650+I3650)),""))</f>
        <v/>
      </c>
      <c r="K3650" s="196"/>
      <c r="L3650" s="87"/>
      <c r="M3650" s="245"/>
      <c r="N3650" s="168"/>
    </row>
    <row r="3651" ht="22.5" hidden="1" customHeight="1">
      <c r="A3651" s="137"/>
      <c r="B3651" s="90"/>
      <c r="C3651" s="55"/>
      <c r="D3651" s="193"/>
      <c r="E3651" s="201"/>
      <c r="F3651" s="202"/>
      <c r="G3651" s="194"/>
      <c r="H3651" s="198"/>
      <c r="I3651" s="196"/>
      <c r="J3651" s="179" t="str">
        <f>IF(A3651="RAPPI",(VLOOKUP(TRIM(D3651), CATALOGO!F:G, 2, FALSE) * C3651)+I3651,IFERROR(IF(COUNTIF('RESTAURANTESDESCUENTOS 2026'!A:A,TRIM(A3651))&gt;0,((VLOOKUP(TRIM(D3651), CATALOGO!A:B, 2, FALSE) * C3651)*(1-VALUE(SUBSTITUTE(VLOOKUP(TRIM(A3651),'RESTAURANTESDESCUENTOS 2026'!A:B,2,FALSE),"%",""))/100)+I3651),(VLOOKUP(TRIM(D3651), CATALOGO!A:B, 2, FALSE) * C3651+I3651)),""))</f>
        <v/>
      </c>
      <c r="K3651" s="196"/>
      <c r="L3651" s="87"/>
      <c r="M3651" s="245"/>
      <c r="N3651" s="168"/>
    </row>
    <row r="3652" ht="22.5" hidden="1" customHeight="1">
      <c r="A3652" s="137"/>
      <c r="B3652" s="90"/>
      <c r="C3652" s="55"/>
      <c r="D3652" s="193"/>
      <c r="E3652" s="201"/>
      <c r="F3652" s="202"/>
      <c r="G3652" s="194"/>
      <c r="H3652" s="198"/>
      <c r="I3652" s="196"/>
      <c r="J3652" s="179" t="str">
        <f>IF(A3652="RAPPI",(VLOOKUP(TRIM(D3652), CATALOGO!F:G, 2, FALSE) * C3652)+I3652,IFERROR(IF(COUNTIF('RESTAURANTESDESCUENTOS 2026'!A:A,TRIM(A3652))&gt;0,((VLOOKUP(TRIM(D3652), CATALOGO!A:B, 2, FALSE) * C3652)*(1-VALUE(SUBSTITUTE(VLOOKUP(TRIM(A3652),'RESTAURANTESDESCUENTOS 2026'!A:B,2,FALSE),"%",""))/100)+I3652),(VLOOKUP(TRIM(D3652), CATALOGO!A:B, 2, FALSE) * C3652+I3652)),""))</f>
        <v/>
      </c>
      <c r="K3652" s="196"/>
      <c r="L3652" s="87"/>
      <c r="M3652" s="245"/>
      <c r="N3652" s="168"/>
    </row>
    <row r="3653" ht="22.5" hidden="1" customHeight="1">
      <c r="A3653" s="137"/>
      <c r="B3653" s="90"/>
      <c r="C3653" s="55"/>
      <c r="D3653" s="193"/>
      <c r="E3653" s="201"/>
      <c r="F3653" s="202"/>
      <c r="G3653" s="194"/>
      <c r="H3653" s="198"/>
      <c r="I3653" s="196"/>
      <c r="J3653" s="179" t="str">
        <f>IF(A3653="RAPPI",(VLOOKUP(TRIM(D3653), CATALOGO!F:G, 2, FALSE) * C3653)+I3653,IFERROR(IF(COUNTIF('RESTAURANTESDESCUENTOS 2026'!A:A,TRIM(A3653))&gt;0,((VLOOKUP(TRIM(D3653), CATALOGO!A:B, 2, FALSE) * C3653)*(1-VALUE(SUBSTITUTE(VLOOKUP(TRIM(A3653),'RESTAURANTESDESCUENTOS 2026'!A:B,2,FALSE),"%",""))/100)+I3653),(VLOOKUP(TRIM(D3653), CATALOGO!A:B, 2, FALSE) * C3653+I3653)),""))</f>
        <v/>
      </c>
      <c r="K3653" s="196"/>
      <c r="L3653" s="87"/>
      <c r="M3653" s="245"/>
      <c r="N3653" s="168"/>
    </row>
    <row r="3654" ht="22.5" hidden="1" customHeight="1">
      <c r="A3654" s="137"/>
      <c r="B3654" s="90"/>
      <c r="C3654" s="55"/>
      <c r="D3654" s="193"/>
      <c r="E3654" s="201"/>
      <c r="F3654" s="202"/>
      <c r="G3654" s="194"/>
      <c r="H3654" s="198"/>
      <c r="I3654" s="196"/>
      <c r="J3654" s="179" t="str">
        <f>IF(A3654="RAPPI",(VLOOKUP(TRIM(D3654), CATALOGO!F:G, 2, FALSE) * C3654)+I3654,IFERROR(IF(COUNTIF('RESTAURANTESDESCUENTOS 2026'!A:A,TRIM(A3654))&gt;0,((VLOOKUP(TRIM(D3654), CATALOGO!A:B, 2, FALSE) * C3654)*(1-VALUE(SUBSTITUTE(VLOOKUP(TRIM(A3654),'RESTAURANTESDESCUENTOS 2026'!A:B,2,FALSE),"%",""))/100)+I3654),(VLOOKUP(TRIM(D3654), CATALOGO!A:B, 2, FALSE) * C3654+I3654)),""))</f>
        <v/>
      </c>
      <c r="K3654" s="196"/>
      <c r="L3654" s="87"/>
      <c r="M3654" s="245"/>
      <c r="N3654" s="168"/>
    </row>
    <row r="3655" ht="22.5" hidden="1" customHeight="1">
      <c r="A3655" s="137"/>
      <c r="B3655" s="90"/>
      <c r="C3655" s="55"/>
      <c r="D3655" s="193"/>
      <c r="E3655" s="201"/>
      <c r="F3655" s="202"/>
      <c r="G3655" s="194"/>
      <c r="H3655" s="198"/>
      <c r="I3655" s="196"/>
      <c r="J3655" s="179" t="str">
        <f>IF(A3655="RAPPI",(VLOOKUP(TRIM(D3655), CATALOGO!F:G, 2, FALSE) * C3655)+I3655,IFERROR(IF(COUNTIF('RESTAURANTESDESCUENTOS 2026'!A:A,TRIM(A3655))&gt;0,((VLOOKUP(TRIM(D3655), CATALOGO!A:B, 2, FALSE) * C3655)*(1-VALUE(SUBSTITUTE(VLOOKUP(TRIM(A3655),'RESTAURANTESDESCUENTOS 2026'!A:B,2,FALSE),"%",""))/100)+I3655),(VLOOKUP(TRIM(D3655), CATALOGO!A:B, 2, FALSE) * C3655+I3655)),""))</f>
        <v/>
      </c>
      <c r="K3655" s="196"/>
      <c r="L3655" s="87"/>
      <c r="M3655" s="245"/>
      <c r="N3655" s="168"/>
    </row>
    <row r="3656" ht="22.5" hidden="1" customHeight="1">
      <c r="A3656" s="137"/>
      <c r="B3656" s="90"/>
      <c r="C3656" s="55"/>
      <c r="D3656" s="193"/>
      <c r="E3656" s="201"/>
      <c r="F3656" s="202"/>
      <c r="G3656" s="194"/>
      <c r="H3656" s="198"/>
      <c r="I3656" s="196"/>
      <c r="J3656" s="179" t="str">
        <f>IF(A3656="RAPPI",(VLOOKUP(TRIM(D3656), CATALOGO!F:G, 2, FALSE) * C3656)+I3656,IFERROR(IF(COUNTIF('RESTAURANTESDESCUENTOS 2026'!A:A,TRIM(A3656))&gt;0,((VLOOKUP(TRIM(D3656), CATALOGO!A:B, 2, FALSE) * C3656)*(1-VALUE(SUBSTITUTE(VLOOKUP(TRIM(A3656),'RESTAURANTESDESCUENTOS 2026'!A:B,2,FALSE),"%",""))/100)+I3656),(VLOOKUP(TRIM(D3656), CATALOGO!A:B, 2, FALSE) * C3656+I3656)),""))</f>
        <v/>
      </c>
      <c r="K3656" s="196"/>
      <c r="L3656" s="87"/>
      <c r="M3656" s="245"/>
      <c r="N3656" s="168"/>
    </row>
    <row r="3657" ht="22.5" hidden="1" customHeight="1">
      <c r="A3657" s="137"/>
      <c r="B3657" s="90"/>
      <c r="C3657" s="55"/>
      <c r="D3657" s="193"/>
      <c r="E3657" s="201"/>
      <c r="F3657" s="202"/>
      <c r="G3657" s="194"/>
      <c r="H3657" s="198"/>
      <c r="I3657" s="196"/>
      <c r="J3657" s="179" t="str">
        <f>IF(A3657="RAPPI",(VLOOKUP(TRIM(D3657), CATALOGO!F:G, 2, FALSE) * C3657)+I3657,IFERROR(IF(COUNTIF('RESTAURANTESDESCUENTOS 2026'!A:A,TRIM(A3657))&gt;0,((VLOOKUP(TRIM(D3657), CATALOGO!A:B, 2, FALSE) * C3657)*(1-VALUE(SUBSTITUTE(VLOOKUP(TRIM(A3657),'RESTAURANTESDESCUENTOS 2026'!A:B,2,FALSE),"%",""))/100)+I3657),(VLOOKUP(TRIM(D3657), CATALOGO!A:B, 2, FALSE) * C3657+I3657)),""))</f>
        <v/>
      </c>
      <c r="K3657" s="196"/>
      <c r="L3657" s="87"/>
      <c r="M3657" s="245"/>
      <c r="N3657" s="168"/>
    </row>
    <row r="3658" ht="22.5" hidden="1" customHeight="1">
      <c r="A3658" s="137"/>
      <c r="B3658" s="90"/>
      <c r="C3658" s="55"/>
      <c r="D3658" s="193"/>
      <c r="E3658" s="201"/>
      <c r="F3658" s="202"/>
      <c r="G3658" s="194"/>
      <c r="H3658" s="198"/>
      <c r="I3658" s="196"/>
      <c r="J3658" s="179" t="str">
        <f>IF(A3658="RAPPI",(VLOOKUP(TRIM(D3658), CATALOGO!F:G, 2, FALSE) * C3658)+I3658,IFERROR(IF(COUNTIF('RESTAURANTESDESCUENTOS 2026'!A:A,TRIM(A3658))&gt;0,((VLOOKUP(TRIM(D3658), CATALOGO!A:B, 2, FALSE) * C3658)*(1-VALUE(SUBSTITUTE(VLOOKUP(TRIM(A3658),'RESTAURANTESDESCUENTOS 2026'!A:B,2,FALSE),"%",""))/100)+I3658),(VLOOKUP(TRIM(D3658), CATALOGO!A:B, 2, FALSE) * C3658+I3658)),""))</f>
        <v/>
      </c>
      <c r="K3658" s="196"/>
      <c r="L3658" s="87"/>
      <c r="M3658" s="245"/>
      <c r="N3658" s="168"/>
    </row>
    <row r="3659" ht="22.5" hidden="1" customHeight="1">
      <c r="A3659" s="137"/>
      <c r="B3659" s="90"/>
      <c r="C3659" s="55"/>
      <c r="D3659" s="193"/>
      <c r="E3659" s="201"/>
      <c r="F3659" s="202"/>
      <c r="G3659" s="194"/>
      <c r="H3659" s="198"/>
      <c r="I3659" s="196"/>
      <c r="J3659" s="179" t="str">
        <f>IF(A3659="RAPPI",(VLOOKUP(TRIM(D3659), CATALOGO!F:G, 2, FALSE) * C3659)+I3659,IFERROR(IF(COUNTIF('RESTAURANTESDESCUENTOS 2026'!A:A,TRIM(A3659))&gt;0,((VLOOKUP(TRIM(D3659), CATALOGO!A:B, 2, FALSE) * C3659)*(1-VALUE(SUBSTITUTE(VLOOKUP(TRIM(A3659),'RESTAURANTESDESCUENTOS 2026'!A:B,2,FALSE),"%",""))/100)+I3659),(VLOOKUP(TRIM(D3659), CATALOGO!A:B, 2, FALSE) * C3659+I3659)),""))</f>
        <v/>
      </c>
      <c r="K3659" s="196"/>
      <c r="L3659" s="87"/>
      <c r="M3659" s="245"/>
      <c r="N3659" s="168"/>
    </row>
    <row r="3660" ht="22.5" hidden="1" customHeight="1">
      <c r="A3660" s="137"/>
      <c r="B3660" s="90"/>
      <c r="C3660" s="55"/>
      <c r="D3660" s="193"/>
      <c r="E3660" s="201"/>
      <c r="F3660" s="202"/>
      <c r="G3660" s="194"/>
      <c r="H3660" s="198"/>
      <c r="I3660" s="196"/>
      <c r="J3660" s="179" t="str">
        <f>IF(A3660="RAPPI",(VLOOKUP(TRIM(D3660), CATALOGO!F:G, 2, FALSE) * C3660)+I3660,IFERROR(IF(COUNTIF('RESTAURANTESDESCUENTOS 2026'!A:A,TRIM(A3660))&gt;0,((VLOOKUP(TRIM(D3660), CATALOGO!A:B, 2, FALSE) * C3660)*(1-VALUE(SUBSTITUTE(VLOOKUP(TRIM(A3660),'RESTAURANTESDESCUENTOS 2026'!A:B,2,FALSE),"%",""))/100)+I3660),(VLOOKUP(TRIM(D3660), CATALOGO!A:B, 2, FALSE) * C3660+I3660)),""))</f>
        <v/>
      </c>
      <c r="K3660" s="196"/>
      <c r="L3660" s="87"/>
      <c r="M3660" s="245"/>
      <c r="N3660" s="168"/>
    </row>
    <row r="3661" ht="22.5" hidden="1" customHeight="1">
      <c r="A3661" s="137"/>
      <c r="B3661" s="90"/>
      <c r="C3661" s="55"/>
      <c r="D3661" s="193"/>
      <c r="E3661" s="201"/>
      <c r="F3661" s="202"/>
      <c r="G3661" s="194"/>
      <c r="H3661" s="198"/>
      <c r="I3661" s="196"/>
      <c r="J3661" s="179" t="str">
        <f>IF(A3661="RAPPI",(VLOOKUP(TRIM(D3661), CATALOGO!F:G, 2, FALSE) * C3661)+I3661,IFERROR(IF(COUNTIF('RESTAURANTESDESCUENTOS 2026'!A:A,TRIM(A3661))&gt;0,((VLOOKUP(TRIM(D3661), CATALOGO!A:B, 2, FALSE) * C3661)*(1-VALUE(SUBSTITUTE(VLOOKUP(TRIM(A3661),'RESTAURANTESDESCUENTOS 2026'!A:B,2,FALSE),"%",""))/100)+I3661),(VLOOKUP(TRIM(D3661), CATALOGO!A:B, 2, FALSE) * C3661+I3661)),""))</f>
        <v/>
      </c>
      <c r="K3661" s="196"/>
      <c r="L3661" s="87"/>
      <c r="M3661" s="245"/>
      <c r="N3661" s="168"/>
    </row>
    <row r="3662" ht="22.5" hidden="1" customHeight="1">
      <c r="A3662" s="137"/>
      <c r="B3662" s="90"/>
      <c r="C3662" s="55"/>
      <c r="D3662" s="193"/>
      <c r="E3662" s="201"/>
      <c r="F3662" s="202"/>
      <c r="G3662" s="194"/>
      <c r="H3662" s="198"/>
      <c r="I3662" s="196"/>
      <c r="J3662" s="179" t="str">
        <f>IF(A3662="RAPPI",(VLOOKUP(TRIM(D3662), CATALOGO!F:G, 2, FALSE) * C3662)+I3662,IFERROR(IF(COUNTIF('RESTAURANTESDESCUENTOS 2026'!A:A,TRIM(A3662))&gt;0,((VLOOKUP(TRIM(D3662), CATALOGO!A:B, 2, FALSE) * C3662)*(1-VALUE(SUBSTITUTE(VLOOKUP(TRIM(A3662),'RESTAURANTESDESCUENTOS 2026'!A:B,2,FALSE),"%",""))/100)+I3662),(VLOOKUP(TRIM(D3662), CATALOGO!A:B, 2, FALSE) * C3662+I3662)),""))</f>
        <v/>
      </c>
      <c r="K3662" s="196"/>
      <c r="L3662" s="87"/>
      <c r="M3662" s="245"/>
      <c r="N3662" s="168"/>
    </row>
    <row r="3663" ht="22.5" hidden="1" customHeight="1">
      <c r="A3663" s="137"/>
      <c r="B3663" s="90"/>
      <c r="C3663" s="55"/>
      <c r="D3663" s="193"/>
      <c r="E3663" s="201"/>
      <c r="F3663" s="202"/>
      <c r="G3663" s="194"/>
      <c r="H3663" s="198"/>
      <c r="I3663" s="196"/>
      <c r="J3663" s="179" t="str">
        <f>IF(A3663="RAPPI",(VLOOKUP(TRIM(D3663), CATALOGO!F:G, 2, FALSE) * C3663)+I3663,IFERROR(IF(COUNTIF('RESTAURANTESDESCUENTOS 2026'!A:A,TRIM(A3663))&gt;0,((VLOOKUP(TRIM(D3663), CATALOGO!A:B, 2, FALSE) * C3663)*(1-VALUE(SUBSTITUTE(VLOOKUP(TRIM(A3663),'RESTAURANTESDESCUENTOS 2026'!A:B,2,FALSE),"%",""))/100)+I3663),(VLOOKUP(TRIM(D3663), CATALOGO!A:B, 2, FALSE) * C3663+I3663)),""))</f>
        <v/>
      </c>
      <c r="K3663" s="196"/>
      <c r="L3663" s="87"/>
      <c r="M3663" s="245"/>
      <c r="N3663" s="168"/>
    </row>
    <row r="3664" ht="22.5" hidden="1" customHeight="1">
      <c r="A3664" s="137"/>
      <c r="B3664" s="90"/>
      <c r="C3664" s="55"/>
      <c r="D3664" s="193"/>
      <c r="E3664" s="201"/>
      <c r="F3664" s="202"/>
      <c r="G3664" s="194"/>
      <c r="H3664" s="198"/>
      <c r="I3664" s="196"/>
      <c r="J3664" s="179" t="str">
        <f>IF(A3664="RAPPI",(VLOOKUP(TRIM(D3664), CATALOGO!F:G, 2, FALSE) * C3664)+I3664,IFERROR(IF(COUNTIF('RESTAURANTESDESCUENTOS 2026'!A:A,TRIM(A3664))&gt;0,((VLOOKUP(TRIM(D3664), CATALOGO!A:B, 2, FALSE) * C3664)*(1-VALUE(SUBSTITUTE(VLOOKUP(TRIM(A3664),'RESTAURANTESDESCUENTOS 2026'!A:B,2,FALSE),"%",""))/100)+I3664),(VLOOKUP(TRIM(D3664), CATALOGO!A:B, 2, FALSE) * C3664+I3664)),""))</f>
        <v/>
      </c>
      <c r="K3664" s="196"/>
      <c r="L3664" s="87"/>
      <c r="M3664" s="245"/>
      <c r="N3664" s="168"/>
    </row>
    <row r="3665" ht="22.5" hidden="1" customHeight="1">
      <c r="A3665" s="137"/>
      <c r="B3665" s="90"/>
      <c r="C3665" s="55"/>
      <c r="D3665" s="193"/>
      <c r="E3665" s="201"/>
      <c r="F3665" s="202"/>
      <c r="G3665" s="194"/>
      <c r="H3665" s="198"/>
      <c r="I3665" s="196"/>
      <c r="J3665" s="179" t="str">
        <f>IF(A3665="RAPPI",(VLOOKUP(TRIM(D3665), CATALOGO!F:G, 2, FALSE) * C3665)+I3665,IFERROR(IF(COUNTIF('RESTAURANTESDESCUENTOS 2026'!A:A,TRIM(A3665))&gt;0,((VLOOKUP(TRIM(D3665), CATALOGO!A:B, 2, FALSE) * C3665)*(1-VALUE(SUBSTITUTE(VLOOKUP(TRIM(A3665),'RESTAURANTESDESCUENTOS 2026'!A:B,2,FALSE),"%",""))/100)+I3665),(VLOOKUP(TRIM(D3665), CATALOGO!A:B, 2, FALSE) * C3665+I3665)),""))</f>
        <v/>
      </c>
      <c r="K3665" s="196"/>
      <c r="L3665" s="87"/>
      <c r="M3665" s="245"/>
      <c r="N3665" s="168"/>
    </row>
    <row r="3666" ht="22.5" hidden="1" customHeight="1">
      <c r="A3666" s="137"/>
      <c r="B3666" s="90"/>
      <c r="C3666" s="55"/>
      <c r="D3666" s="193"/>
      <c r="E3666" s="201"/>
      <c r="F3666" s="202"/>
      <c r="G3666" s="194"/>
      <c r="H3666" s="198"/>
      <c r="I3666" s="196"/>
      <c r="J3666" s="179" t="str">
        <f>IF(A3666="RAPPI",(VLOOKUP(TRIM(D3666), CATALOGO!F:G, 2, FALSE) * C3666)+I3666,IFERROR(IF(COUNTIF('RESTAURANTESDESCUENTOS 2026'!A:A,TRIM(A3666))&gt;0,((VLOOKUP(TRIM(D3666), CATALOGO!A:B, 2, FALSE) * C3666)*(1-VALUE(SUBSTITUTE(VLOOKUP(TRIM(A3666),'RESTAURANTESDESCUENTOS 2026'!A:B,2,FALSE),"%",""))/100)+I3666),(VLOOKUP(TRIM(D3666), CATALOGO!A:B, 2, FALSE) * C3666+I3666)),""))</f>
        <v/>
      </c>
      <c r="K3666" s="196"/>
      <c r="L3666" s="87"/>
      <c r="M3666" s="245"/>
      <c r="N3666" s="168"/>
    </row>
    <row r="3667" ht="22.5" hidden="1" customHeight="1">
      <c r="A3667" s="137"/>
      <c r="B3667" s="90"/>
      <c r="C3667" s="55"/>
      <c r="D3667" s="193"/>
      <c r="E3667" s="201"/>
      <c r="F3667" s="202"/>
      <c r="G3667" s="194"/>
      <c r="H3667" s="198"/>
      <c r="I3667" s="196"/>
      <c r="J3667" s="179" t="str">
        <f>IF(A3667="RAPPI",(VLOOKUP(TRIM(D3667), CATALOGO!F:G, 2, FALSE) * C3667)+I3667,IFERROR(IF(COUNTIF('RESTAURANTESDESCUENTOS 2026'!A:A,TRIM(A3667))&gt;0,((VLOOKUP(TRIM(D3667), CATALOGO!A:B, 2, FALSE) * C3667)*(1-VALUE(SUBSTITUTE(VLOOKUP(TRIM(A3667),'RESTAURANTESDESCUENTOS 2026'!A:B,2,FALSE),"%",""))/100)+I3667),(VLOOKUP(TRIM(D3667), CATALOGO!A:B, 2, FALSE) * C3667+I3667)),""))</f>
        <v/>
      </c>
      <c r="K3667" s="196"/>
      <c r="L3667" s="87"/>
      <c r="M3667" s="245"/>
      <c r="N3667" s="168"/>
    </row>
    <row r="3668" ht="22.5" hidden="1" customHeight="1">
      <c r="A3668" s="137"/>
      <c r="B3668" s="90"/>
      <c r="C3668" s="55"/>
      <c r="D3668" s="193"/>
      <c r="E3668" s="201"/>
      <c r="F3668" s="202"/>
      <c r="G3668" s="194"/>
      <c r="H3668" s="198"/>
      <c r="I3668" s="196"/>
      <c r="J3668" s="179" t="str">
        <f>IF(A3668="RAPPI",(VLOOKUP(TRIM(D3668), CATALOGO!F:G, 2, FALSE) * C3668)+I3668,IFERROR(IF(COUNTIF('RESTAURANTESDESCUENTOS 2026'!A:A,TRIM(A3668))&gt;0,((VLOOKUP(TRIM(D3668), CATALOGO!A:B, 2, FALSE) * C3668)*(1-VALUE(SUBSTITUTE(VLOOKUP(TRIM(A3668),'RESTAURANTESDESCUENTOS 2026'!A:B,2,FALSE),"%",""))/100)+I3668),(VLOOKUP(TRIM(D3668), CATALOGO!A:B, 2, FALSE) * C3668+I3668)),""))</f>
        <v/>
      </c>
      <c r="K3668" s="196"/>
      <c r="L3668" s="87"/>
      <c r="M3668" s="245"/>
      <c r="N3668" s="168"/>
    </row>
    <row r="3669" ht="22.5" hidden="1" customHeight="1">
      <c r="A3669" s="137"/>
      <c r="B3669" s="90"/>
      <c r="C3669" s="55"/>
      <c r="D3669" s="193"/>
      <c r="E3669" s="201"/>
      <c r="F3669" s="202"/>
      <c r="G3669" s="194"/>
      <c r="H3669" s="198"/>
      <c r="I3669" s="196"/>
      <c r="J3669" s="179" t="str">
        <f>IF(A3669="RAPPI",(VLOOKUP(TRIM(D3669), CATALOGO!F:G, 2, FALSE) * C3669)+I3669,IFERROR(IF(COUNTIF('RESTAURANTESDESCUENTOS 2026'!A:A,TRIM(A3669))&gt;0,((VLOOKUP(TRIM(D3669), CATALOGO!A:B, 2, FALSE) * C3669)*(1-VALUE(SUBSTITUTE(VLOOKUP(TRIM(A3669),'RESTAURANTESDESCUENTOS 2026'!A:B,2,FALSE),"%",""))/100)+I3669),(VLOOKUP(TRIM(D3669), CATALOGO!A:B, 2, FALSE) * C3669+I3669)),""))</f>
        <v/>
      </c>
      <c r="K3669" s="196"/>
      <c r="L3669" s="87"/>
      <c r="M3669" s="245"/>
      <c r="N3669" s="168"/>
    </row>
    <row r="3670" ht="22.5" hidden="1" customHeight="1">
      <c r="A3670" s="137"/>
      <c r="B3670" s="90"/>
      <c r="C3670" s="55"/>
      <c r="D3670" s="193"/>
      <c r="E3670" s="201"/>
      <c r="F3670" s="202"/>
      <c r="G3670" s="194"/>
      <c r="H3670" s="198"/>
      <c r="I3670" s="196"/>
      <c r="J3670" s="179" t="str">
        <f>IF(A3670="RAPPI",(VLOOKUP(TRIM(D3670), CATALOGO!F:G, 2, FALSE) * C3670)+I3670,IFERROR(IF(COUNTIF('RESTAURANTESDESCUENTOS 2026'!A:A,TRIM(A3670))&gt;0,((VLOOKUP(TRIM(D3670), CATALOGO!A:B, 2, FALSE) * C3670)*(1-VALUE(SUBSTITUTE(VLOOKUP(TRIM(A3670),'RESTAURANTESDESCUENTOS 2026'!A:B,2,FALSE),"%",""))/100)+I3670),(VLOOKUP(TRIM(D3670), CATALOGO!A:B, 2, FALSE) * C3670+I3670)),""))</f>
        <v/>
      </c>
      <c r="K3670" s="196"/>
      <c r="L3670" s="87"/>
      <c r="M3670" s="245"/>
      <c r="N3670" s="168"/>
    </row>
    <row r="3671" ht="22.5" hidden="1" customHeight="1">
      <c r="A3671" s="137"/>
      <c r="B3671" s="90"/>
      <c r="C3671" s="55"/>
      <c r="D3671" s="193"/>
      <c r="E3671" s="201"/>
      <c r="F3671" s="202"/>
      <c r="G3671" s="194"/>
      <c r="H3671" s="198"/>
      <c r="I3671" s="196"/>
      <c r="J3671" s="179" t="str">
        <f>IF(A3671="RAPPI",(VLOOKUP(TRIM(D3671), CATALOGO!F:G, 2, FALSE) * C3671)+I3671,IFERROR(IF(COUNTIF('RESTAURANTESDESCUENTOS 2026'!A:A,TRIM(A3671))&gt;0,((VLOOKUP(TRIM(D3671), CATALOGO!A:B, 2, FALSE) * C3671)*(1-VALUE(SUBSTITUTE(VLOOKUP(TRIM(A3671),'RESTAURANTESDESCUENTOS 2026'!A:B,2,FALSE),"%",""))/100)+I3671),(VLOOKUP(TRIM(D3671), CATALOGO!A:B, 2, FALSE) * C3671+I3671)),""))</f>
        <v/>
      </c>
      <c r="K3671" s="196"/>
      <c r="L3671" s="87"/>
      <c r="M3671" s="245"/>
      <c r="N3671" s="168"/>
    </row>
    <row r="3672" ht="22.5" hidden="1" customHeight="1">
      <c r="A3672" s="137"/>
      <c r="B3672" s="90"/>
      <c r="C3672" s="55"/>
      <c r="D3672" s="193"/>
      <c r="E3672" s="201"/>
      <c r="F3672" s="202"/>
      <c r="G3672" s="194"/>
      <c r="H3672" s="198"/>
      <c r="I3672" s="196"/>
      <c r="J3672" s="179" t="str">
        <f>IF(A3672="RAPPI",(VLOOKUP(TRIM(D3672), CATALOGO!F:G, 2, FALSE) * C3672)+I3672,IFERROR(IF(COUNTIF('RESTAURANTESDESCUENTOS 2026'!A:A,TRIM(A3672))&gt;0,((VLOOKUP(TRIM(D3672), CATALOGO!A:B, 2, FALSE) * C3672)*(1-VALUE(SUBSTITUTE(VLOOKUP(TRIM(A3672),'RESTAURANTESDESCUENTOS 2026'!A:B,2,FALSE),"%",""))/100)+I3672),(VLOOKUP(TRIM(D3672), CATALOGO!A:B, 2, FALSE) * C3672+I3672)),""))</f>
        <v/>
      </c>
      <c r="K3672" s="196"/>
      <c r="L3672" s="87"/>
      <c r="M3672" s="245"/>
      <c r="N3672" s="168"/>
    </row>
    <row r="3673" ht="22.5" hidden="1" customHeight="1">
      <c r="A3673" s="137"/>
      <c r="B3673" s="90"/>
      <c r="C3673" s="55"/>
      <c r="D3673" s="193"/>
      <c r="E3673" s="201"/>
      <c r="F3673" s="202"/>
      <c r="G3673" s="194"/>
      <c r="H3673" s="198"/>
      <c r="I3673" s="196"/>
      <c r="J3673" s="179" t="str">
        <f>IF(A3673="RAPPI",(VLOOKUP(TRIM(D3673), CATALOGO!F:G, 2, FALSE) * C3673)+I3673,IFERROR(IF(COUNTIF('RESTAURANTESDESCUENTOS 2026'!A:A,TRIM(A3673))&gt;0,((VLOOKUP(TRIM(D3673), CATALOGO!A:B, 2, FALSE) * C3673)*(1-VALUE(SUBSTITUTE(VLOOKUP(TRIM(A3673),'RESTAURANTESDESCUENTOS 2026'!A:B,2,FALSE),"%",""))/100)+I3673),(VLOOKUP(TRIM(D3673), CATALOGO!A:B, 2, FALSE) * C3673+I3673)),""))</f>
        <v/>
      </c>
      <c r="K3673" s="196"/>
      <c r="L3673" s="87"/>
      <c r="M3673" s="245"/>
      <c r="N3673" s="168"/>
    </row>
    <row r="3674" ht="22.5" hidden="1" customHeight="1">
      <c r="A3674" s="137"/>
      <c r="B3674" s="90"/>
      <c r="C3674" s="55"/>
      <c r="D3674" s="193"/>
      <c r="E3674" s="201"/>
      <c r="F3674" s="202"/>
      <c r="G3674" s="194"/>
      <c r="H3674" s="198"/>
      <c r="I3674" s="196"/>
      <c r="J3674" s="179" t="str">
        <f>IF(A3674="RAPPI",(VLOOKUP(TRIM(D3674), CATALOGO!F:G, 2, FALSE) * C3674)+I3674,IFERROR(IF(COUNTIF('RESTAURANTESDESCUENTOS 2026'!A:A,TRIM(A3674))&gt;0,((VLOOKUP(TRIM(D3674), CATALOGO!A:B, 2, FALSE) * C3674)*(1-VALUE(SUBSTITUTE(VLOOKUP(TRIM(A3674),'RESTAURANTESDESCUENTOS 2026'!A:B,2,FALSE),"%",""))/100)+I3674),(VLOOKUP(TRIM(D3674), CATALOGO!A:B, 2, FALSE) * C3674+I3674)),""))</f>
        <v/>
      </c>
      <c r="K3674" s="196"/>
      <c r="L3674" s="87"/>
      <c r="M3674" s="245"/>
      <c r="N3674" s="168"/>
    </row>
    <row r="3675" ht="22.5" hidden="1" customHeight="1">
      <c r="A3675" s="137"/>
      <c r="B3675" s="90"/>
      <c r="C3675" s="55"/>
      <c r="D3675" s="193"/>
      <c r="E3675" s="201"/>
      <c r="F3675" s="202"/>
      <c r="G3675" s="194"/>
      <c r="H3675" s="198"/>
      <c r="I3675" s="196"/>
      <c r="J3675" s="179" t="str">
        <f>IF(A3675="RAPPI",(VLOOKUP(TRIM(D3675), CATALOGO!F:G, 2, FALSE) * C3675)+I3675,IFERROR(IF(COUNTIF('RESTAURANTESDESCUENTOS 2026'!A:A,TRIM(A3675))&gt;0,((VLOOKUP(TRIM(D3675), CATALOGO!A:B, 2, FALSE) * C3675)*(1-VALUE(SUBSTITUTE(VLOOKUP(TRIM(A3675),'RESTAURANTESDESCUENTOS 2026'!A:B,2,FALSE),"%",""))/100)+I3675),(VLOOKUP(TRIM(D3675), CATALOGO!A:B, 2, FALSE) * C3675+I3675)),""))</f>
        <v/>
      </c>
      <c r="K3675" s="196"/>
      <c r="L3675" s="87"/>
      <c r="M3675" s="245"/>
      <c r="N3675" s="168"/>
    </row>
    <row r="3676" ht="22.5" hidden="1" customHeight="1">
      <c r="A3676" s="137"/>
      <c r="B3676" s="90"/>
      <c r="C3676" s="55"/>
      <c r="D3676" s="193"/>
      <c r="E3676" s="201"/>
      <c r="F3676" s="202"/>
      <c r="G3676" s="194"/>
      <c r="H3676" s="198"/>
      <c r="I3676" s="196"/>
      <c r="J3676" s="179" t="str">
        <f>IF(A3676="RAPPI",(VLOOKUP(TRIM(D3676), CATALOGO!F:G, 2, FALSE) * C3676)+I3676,IFERROR(IF(COUNTIF('RESTAURANTESDESCUENTOS 2026'!A:A,TRIM(A3676))&gt;0,((VLOOKUP(TRIM(D3676), CATALOGO!A:B, 2, FALSE) * C3676)*(1-VALUE(SUBSTITUTE(VLOOKUP(TRIM(A3676),'RESTAURANTESDESCUENTOS 2026'!A:B,2,FALSE),"%",""))/100)+I3676),(VLOOKUP(TRIM(D3676), CATALOGO!A:B, 2, FALSE) * C3676+I3676)),""))</f>
        <v/>
      </c>
      <c r="K3676" s="196"/>
      <c r="L3676" s="87"/>
      <c r="M3676" s="245"/>
      <c r="N3676" s="168"/>
    </row>
    <row r="3677" ht="22.5" hidden="1" customHeight="1">
      <c r="A3677" s="137"/>
      <c r="B3677" s="90"/>
      <c r="C3677" s="55"/>
      <c r="D3677" s="193"/>
      <c r="E3677" s="201"/>
      <c r="F3677" s="202"/>
      <c r="G3677" s="194"/>
      <c r="H3677" s="198"/>
      <c r="I3677" s="196"/>
      <c r="J3677" s="179" t="str">
        <f>IF(A3677="RAPPI",(VLOOKUP(TRIM(D3677), CATALOGO!F:G, 2, FALSE) * C3677)+I3677,IFERROR(IF(COUNTIF('RESTAURANTESDESCUENTOS 2026'!A:A,TRIM(A3677))&gt;0,((VLOOKUP(TRIM(D3677), CATALOGO!A:B, 2, FALSE) * C3677)*(1-VALUE(SUBSTITUTE(VLOOKUP(TRIM(A3677),'RESTAURANTESDESCUENTOS 2026'!A:B,2,FALSE),"%",""))/100)+I3677),(VLOOKUP(TRIM(D3677), CATALOGO!A:B, 2, FALSE) * C3677+I3677)),""))</f>
        <v/>
      </c>
      <c r="K3677" s="196"/>
      <c r="L3677" s="87"/>
      <c r="M3677" s="245"/>
      <c r="N3677" s="168"/>
    </row>
    <row r="3678" ht="22.5" hidden="1" customHeight="1">
      <c r="A3678" s="137"/>
      <c r="B3678" s="90"/>
      <c r="C3678" s="55"/>
      <c r="D3678" s="193"/>
      <c r="E3678" s="201"/>
      <c r="F3678" s="202"/>
      <c r="G3678" s="194"/>
      <c r="H3678" s="198"/>
      <c r="I3678" s="196"/>
      <c r="J3678" s="179" t="str">
        <f>IF(A3678="RAPPI",(VLOOKUP(TRIM(D3678), CATALOGO!F:G, 2, FALSE) * C3678)+I3678,IFERROR(IF(COUNTIF('RESTAURANTESDESCUENTOS 2026'!A:A,TRIM(A3678))&gt;0,((VLOOKUP(TRIM(D3678), CATALOGO!A:B, 2, FALSE) * C3678)*(1-VALUE(SUBSTITUTE(VLOOKUP(TRIM(A3678),'RESTAURANTESDESCUENTOS 2026'!A:B,2,FALSE),"%",""))/100)+I3678),(VLOOKUP(TRIM(D3678), CATALOGO!A:B, 2, FALSE) * C3678+I3678)),""))</f>
        <v/>
      </c>
      <c r="K3678" s="196"/>
      <c r="L3678" s="87"/>
      <c r="M3678" s="245"/>
      <c r="N3678" s="168"/>
    </row>
    <row r="3679" ht="22.5" hidden="1" customHeight="1">
      <c r="A3679" s="137"/>
      <c r="B3679" s="90"/>
      <c r="C3679" s="55"/>
      <c r="D3679" s="193"/>
      <c r="E3679" s="201"/>
      <c r="F3679" s="202"/>
      <c r="G3679" s="194"/>
      <c r="H3679" s="198"/>
      <c r="I3679" s="196"/>
      <c r="J3679" s="179" t="str">
        <f>IF(A3679="RAPPI",(VLOOKUP(TRIM(D3679), CATALOGO!F:G, 2, FALSE) * C3679)+I3679,IFERROR(IF(COUNTIF('RESTAURANTESDESCUENTOS 2026'!A:A,TRIM(A3679))&gt;0,((VLOOKUP(TRIM(D3679), CATALOGO!A:B, 2, FALSE) * C3679)*(1-VALUE(SUBSTITUTE(VLOOKUP(TRIM(A3679),'RESTAURANTESDESCUENTOS 2026'!A:B,2,FALSE),"%",""))/100)+I3679),(VLOOKUP(TRIM(D3679), CATALOGO!A:B, 2, FALSE) * C3679+I3679)),""))</f>
        <v/>
      </c>
      <c r="K3679" s="196"/>
      <c r="L3679" s="87"/>
      <c r="M3679" s="245"/>
      <c r="N3679" s="168"/>
    </row>
    <row r="3680" ht="22.5" hidden="1" customHeight="1">
      <c r="A3680" s="137"/>
      <c r="B3680" s="90"/>
      <c r="C3680" s="55"/>
      <c r="D3680" s="193"/>
      <c r="E3680" s="201"/>
      <c r="F3680" s="202"/>
      <c r="G3680" s="194"/>
      <c r="H3680" s="198"/>
      <c r="I3680" s="196"/>
      <c r="J3680" s="179" t="str">
        <f>IF(A3680="RAPPI",(VLOOKUP(TRIM(D3680), CATALOGO!F:G, 2, FALSE) * C3680)+I3680,IFERROR(IF(COUNTIF('RESTAURANTESDESCUENTOS 2026'!A:A,TRIM(A3680))&gt;0,((VLOOKUP(TRIM(D3680), CATALOGO!A:B, 2, FALSE) * C3680)*(1-VALUE(SUBSTITUTE(VLOOKUP(TRIM(A3680),'RESTAURANTESDESCUENTOS 2026'!A:B,2,FALSE),"%",""))/100)+I3680),(VLOOKUP(TRIM(D3680), CATALOGO!A:B, 2, FALSE) * C3680+I3680)),""))</f>
        <v/>
      </c>
      <c r="K3680" s="196"/>
      <c r="L3680" s="87"/>
      <c r="M3680" s="245"/>
      <c r="N3680" s="168"/>
    </row>
    <row r="3681" ht="22.5" hidden="1" customHeight="1">
      <c r="A3681" s="137"/>
      <c r="B3681" s="90"/>
      <c r="C3681" s="55"/>
      <c r="D3681" s="193"/>
      <c r="E3681" s="201"/>
      <c r="F3681" s="202"/>
      <c r="G3681" s="194"/>
      <c r="H3681" s="198"/>
      <c r="I3681" s="196"/>
      <c r="J3681" s="179" t="str">
        <f>IF(A3681="RAPPI",(VLOOKUP(TRIM(D3681), CATALOGO!F:G, 2, FALSE) * C3681)+I3681,IFERROR(IF(COUNTIF('RESTAURANTESDESCUENTOS 2026'!A:A,TRIM(A3681))&gt;0,((VLOOKUP(TRIM(D3681), CATALOGO!A:B, 2, FALSE) * C3681)*(1-VALUE(SUBSTITUTE(VLOOKUP(TRIM(A3681),'RESTAURANTESDESCUENTOS 2026'!A:B,2,FALSE),"%",""))/100)+I3681),(VLOOKUP(TRIM(D3681), CATALOGO!A:B, 2, FALSE) * C3681+I3681)),""))</f>
        <v/>
      </c>
      <c r="K3681" s="196"/>
      <c r="L3681" s="87"/>
      <c r="M3681" s="245"/>
      <c r="N3681" s="168"/>
    </row>
    <row r="3682" ht="22.5" hidden="1" customHeight="1">
      <c r="A3682" s="137"/>
      <c r="B3682" s="90"/>
      <c r="C3682" s="55"/>
      <c r="D3682" s="193"/>
      <c r="E3682" s="201"/>
      <c r="F3682" s="202"/>
      <c r="G3682" s="194"/>
      <c r="H3682" s="198"/>
      <c r="I3682" s="196"/>
      <c r="J3682" s="179" t="str">
        <f>IF(A3682="RAPPI",(VLOOKUP(TRIM(D3682), CATALOGO!F:G, 2, FALSE) * C3682)+I3682,IFERROR(IF(COUNTIF('RESTAURANTESDESCUENTOS 2026'!A:A,TRIM(A3682))&gt;0,((VLOOKUP(TRIM(D3682), CATALOGO!A:B, 2, FALSE) * C3682)*(1-VALUE(SUBSTITUTE(VLOOKUP(TRIM(A3682),'RESTAURANTESDESCUENTOS 2026'!A:B,2,FALSE),"%",""))/100)+I3682),(VLOOKUP(TRIM(D3682), CATALOGO!A:B, 2, FALSE) * C3682+I3682)),""))</f>
        <v/>
      </c>
      <c r="K3682" s="196"/>
      <c r="L3682" s="87"/>
      <c r="M3682" s="245"/>
      <c r="N3682" s="168"/>
    </row>
    <row r="3683" ht="22.5" hidden="1" customHeight="1">
      <c r="A3683" s="137"/>
      <c r="B3683" s="90"/>
      <c r="C3683" s="55"/>
      <c r="D3683" s="193"/>
      <c r="E3683" s="201"/>
      <c r="F3683" s="202"/>
      <c r="G3683" s="194"/>
      <c r="H3683" s="198"/>
      <c r="I3683" s="196"/>
      <c r="J3683" s="179" t="str">
        <f>IF(A3683="RAPPI",(VLOOKUP(TRIM(D3683), CATALOGO!F:G, 2, FALSE) * C3683)+I3683,IFERROR(IF(COUNTIF('RESTAURANTESDESCUENTOS 2026'!A:A,TRIM(A3683))&gt;0,((VLOOKUP(TRIM(D3683), CATALOGO!A:B, 2, FALSE) * C3683)*(1-VALUE(SUBSTITUTE(VLOOKUP(TRIM(A3683),'RESTAURANTESDESCUENTOS 2026'!A:B,2,FALSE),"%",""))/100)+I3683),(VLOOKUP(TRIM(D3683), CATALOGO!A:B, 2, FALSE) * C3683+I3683)),""))</f>
        <v/>
      </c>
      <c r="K3683" s="196"/>
      <c r="L3683" s="87"/>
      <c r="M3683" s="245"/>
      <c r="N3683" s="168"/>
    </row>
    <row r="3684" ht="22.5" hidden="1" customHeight="1">
      <c r="A3684" s="137"/>
      <c r="B3684" s="90"/>
      <c r="C3684" s="55"/>
      <c r="D3684" s="193"/>
      <c r="E3684" s="201"/>
      <c r="F3684" s="202"/>
      <c r="G3684" s="194"/>
      <c r="H3684" s="198"/>
      <c r="I3684" s="196"/>
      <c r="J3684" s="179" t="str">
        <f>IF(A3684="RAPPI",(VLOOKUP(TRIM(D3684), CATALOGO!F:G, 2, FALSE) * C3684)+I3684,IFERROR(IF(COUNTIF('RESTAURANTESDESCUENTOS 2026'!A:A,TRIM(A3684))&gt;0,((VLOOKUP(TRIM(D3684), CATALOGO!A:B, 2, FALSE) * C3684)*(1-VALUE(SUBSTITUTE(VLOOKUP(TRIM(A3684),'RESTAURANTESDESCUENTOS 2026'!A:B,2,FALSE),"%",""))/100)+I3684),(VLOOKUP(TRIM(D3684), CATALOGO!A:B, 2, FALSE) * C3684+I3684)),""))</f>
        <v/>
      </c>
      <c r="K3684" s="196"/>
      <c r="L3684" s="87"/>
      <c r="M3684" s="245"/>
      <c r="N3684" s="168"/>
    </row>
    <row r="3685" ht="22.5" hidden="1" customHeight="1">
      <c r="A3685" s="137"/>
      <c r="B3685" s="90"/>
      <c r="C3685" s="55"/>
      <c r="D3685" s="193"/>
      <c r="E3685" s="201"/>
      <c r="F3685" s="202"/>
      <c r="G3685" s="194"/>
      <c r="H3685" s="198"/>
      <c r="I3685" s="196"/>
      <c r="J3685" s="179" t="str">
        <f>IF(A3685="RAPPI",(VLOOKUP(TRIM(D3685), CATALOGO!F:G, 2, FALSE) * C3685)+I3685,IFERROR(IF(COUNTIF('RESTAURANTESDESCUENTOS 2026'!A:A,TRIM(A3685))&gt;0,((VLOOKUP(TRIM(D3685), CATALOGO!A:B, 2, FALSE) * C3685)*(1-VALUE(SUBSTITUTE(VLOOKUP(TRIM(A3685),'RESTAURANTESDESCUENTOS 2026'!A:B,2,FALSE),"%",""))/100)+I3685),(VLOOKUP(TRIM(D3685), CATALOGO!A:B, 2, FALSE) * C3685+I3685)),""))</f>
        <v/>
      </c>
      <c r="K3685" s="196"/>
      <c r="L3685" s="87"/>
      <c r="M3685" s="245"/>
      <c r="N3685" s="168"/>
    </row>
    <row r="3686" ht="22.5" hidden="1" customHeight="1">
      <c r="A3686" s="137"/>
      <c r="B3686" s="90"/>
      <c r="C3686" s="55"/>
      <c r="D3686" s="193"/>
      <c r="E3686" s="201"/>
      <c r="F3686" s="202"/>
      <c r="G3686" s="194"/>
      <c r="H3686" s="198"/>
      <c r="I3686" s="196"/>
      <c r="J3686" s="179" t="str">
        <f>IF(A3686="RAPPI",(VLOOKUP(TRIM(D3686), CATALOGO!F:G, 2, FALSE) * C3686)+I3686,IFERROR(IF(COUNTIF('RESTAURANTESDESCUENTOS 2026'!A:A,TRIM(A3686))&gt;0,((VLOOKUP(TRIM(D3686), CATALOGO!A:B, 2, FALSE) * C3686)*(1-VALUE(SUBSTITUTE(VLOOKUP(TRIM(A3686),'RESTAURANTESDESCUENTOS 2026'!A:B,2,FALSE),"%",""))/100)+I3686),(VLOOKUP(TRIM(D3686), CATALOGO!A:B, 2, FALSE) * C3686+I3686)),""))</f>
        <v/>
      </c>
      <c r="K3686" s="196"/>
      <c r="L3686" s="87"/>
      <c r="M3686" s="245"/>
      <c r="N3686" s="168"/>
    </row>
    <row r="3687" ht="22.5" hidden="1" customHeight="1">
      <c r="A3687" s="137"/>
      <c r="B3687" s="90"/>
      <c r="C3687" s="55"/>
      <c r="D3687" s="193"/>
      <c r="E3687" s="201"/>
      <c r="F3687" s="202"/>
      <c r="G3687" s="194"/>
      <c r="H3687" s="198"/>
      <c r="I3687" s="196"/>
      <c r="J3687" s="179" t="str">
        <f>IF(A3687="RAPPI",(VLOOKUP(TRIM(D3687), CATALOGO!F:G, 2, FALSE) * C3687)+I3687,IFERROR(IF(COUNTIF('RESTAURANTESDESCUENTOS 2026'!A:A,TRIM(A3687))&gt;0,((VLOOKUP(TRIM(D3687), CATALOGO!A:B, 2, FALSE) * C3687)*(1-VALUE(SUBSTITUTE(VLOOKUP(TRIM(A3687),'RESTAURANTESDESCUENTOS 2026'!A:B,2,FALSE),"%",""))/100)+I3687),(VLOOKUP(TRIM(D3687), CATALOGO!A:B, 2, FALSE) * C3687+I3687)),""))</f>
        <v/>
      </c>
      <c r="K3687" s="196"/>
      <c r="L3687" s="87"/>
      <c r="M3687" s="245"/>
      <c r="N3687" s="168"/>
    </row>
    <row r="3688" ht="22.5" hidden="1" customHeight="1">
      <c r="A3688" s="137"/>
      <c r="B3688" s="90"/>
      <c r="C3688" s="55"/>
      <c r="D3688" s="193"/>
      <c r="E3688" s="201"/>
      <c r="F3688" s="202"/>
      <c r="G3688" s="194"/>
      <c r="H3688" s="198"/>
      <c r="I3688" s="196"/>
      <c r="J3688" s="179" t="str">
        <f>IF(A3688="RAPPI",(VLOOKUP(TRIM(D3688), CATALOGO!F:G, 2, FALSE) * C3688)+I3688,IFERROR(IF(COUNTIF('RESTAURANTESDESCUENTOS 2026'!A:A,TRIM(A3688))&gt;0,((VLOOKUP(TRIM(D3688), CATALOGO!A:B, 2, FALSE) * C3688)*(1-VALUE(SUBSTITUTE(VLOOKUP(TRIM(A3688),'RESTAURANTESDESCUENTOS 2026'!A:B,2,FALSE),"%",""))/100)+I3688),(VLOOKUP(TRIM(D3688), CATALOGO!A:B, 2, FALSE) * C3688+I3688)),""))</f>
        <v/>
      </c>
      <c r="K3688" s="196"/>
      <c r="L3688" s="87"/>
      <c r="M3688" s="245"/>
      <c r="N3688" s="168"/>
    </row>
    <row r="3689" ht="22.5" hidden="1" customHeight="1">
      <c r="A3689" s="137"/>
      <c r="B3689" s="90"/>
      <c r="C3689" s="55"/>
      <c r="D3689" s="193"/>
      <c r="E3689" s="201"/>
      <c r="F3689" s="202"/>
      <c r="G3689" s="194"/>
      <c r="H3689" s="198"/>
      <c r="I3689" s="196"/>
      <c r="J3689" s="179" t="str">
        <f>IF(A3689="RAPPI",(VLOOKUP(TRIM(D3689), CATALOGO!F:G, 2, FALSE) * C3689)+I3689,IFERROR(IF(COUNTIF('RESTAURANTESDESCUENTOS 2026'!A:A,TRIM(A3689))&gt;0,((VLOOKUP(TRIM(D3689), CATALOGO!A:B, 2, FALSE) * C3689)*(1-VALUE(SUBSTITUTE(VLOOKUP(TRIM(A3689),'RESTAURANTESDESCUENTOS 2026'!A:B,2,FALSE),"%",""))/100)+I3689),(VLOOKUP(TRIM(D3689), CATALOGO!A:B, 2, FALSE) * C3689+I3689)),""))</f>
        <v/>
      </c>
      <c r="K3689" s="196"/>
      <c r="L3689" s="87"/>
      <c r="M3689" s="245"/>
      <c r="N3689" s="168"/>
    </row>
    <row r="3690" ht="22.5" hidden="1" customHeight="1">
      <c r="A3690" s="137"/>
      <c r="B3690" s="90"/>
      <c r="C3690" s="55"/>
      <c r="D3690" s="193"/>
      <c r="E3690" s="201"/>
      <c r="F3690" s="202"/>
      <c r="G3690" s="194"/>
      <c r="H3690" s="198"/>
      <c r="I3690" s="196"/>
      <c r="J3690" s="179" t="str">
        <f>IF(A3690="RAPPI",(VLOOKUP(TRIM(D3690), CATALOGO!F:G, 2, FALSE) * C3690)+I3690,IFERROR(IF(COUNTIF('RESTAURANTESDESCUENTOS 2026'!A:A,TRIM(A3690))&gt;0,((VLOOKUP(TRIM(D3690), CATALOGO!A:B, 2, FALSE) * C3690)*(1-VALUE(SUBSTITUTE(VLOOKUP(TRIM(A3690),'RESTAURANTESDESCUENTOS 2026'!A:B,2,FALSE),"%",""))/100)+I3690),(VLOOKUP(TRIM(D3690), CATALOGO!A:B, 2, FALSE) * C3690+I3690)),""))</f>
        <v/>
      </c>
      <c r="K3690" s="196"/>
      <c r="L3690" s="87"/>
      <c r="M3690" s="245"/>
      <c r="N3690" s="168"/>
    </row>
    <row r="3691" ht="22.5" hidden="1" customHeight="1">
      <c r="A3691" s="137"/>
      <c r="B3691" s="90"/>
      <c r="C3691" s="55"/>
      <c r="D3691" s="193"/>
      <c r="E3691" s="201"/>
      <c r="F3691" s="202"/>
      <c r="G3691" s="194"/>
      <c r="H3691" s="198"/>
      <c r="I3691" s="196"/>
      <c r="J3691" s="179" t="str">
        <f>IF(A3691="RAPPI",(VLOOKUP(TRIM(D3691), CATALOGO!F:G, 2, FALSE) * C3691)+I3691,IFERROR(IF(COUNTIF('RESTAURANTESDESCUENTOS 2026'!A:A,TRIM(A3691))&gt;0,((VLOOKUP(TRIM(D3691), CATALOGO!A:B, 2, FALSE) * C3691)*(1-VALUE(SUBSTITUTE(VLOOKUP(TRIM(A3691),'RESTAURANTESDESCUENTOS 2026'!A:B,2,FALSE),"%",""))/100)+I3691),(VLOOKUP(TRIM(D3691), CATALOGO!A:B, 2, FALSE) * C3691+I3691)),""))</f>
        <v/>
      </c>
      <c r="K3691" s="196"/>
      <c r="L3691" s="87"/>
      <c r="M3691" s="245"/>
      <c r="N3691" s="168"/>
    </row>
    <row r="3692" ht="22.5" hidden="1" customHeight="1">
      <c r="A3692" s="137"/>
      <c r="B3692" s="90"/>
      <c r="C3692" s="55"/>
      <c r="D3692" s="193"/>
      <c r="E3692" s="201"/>
      <c r="F3692" s="202"/>
      <c r="G3692" s="194"/>
      <c r="H3692" s="198"/>
      <c r="I3692" s="196"/>
      <c r="J3692" s="179" t="str">
        <f>IF(A3692="RAPPI",(VLOOKUP(TRIM(D3692), CATALOGO!F:G, 2, FALSE) * C3692)+I3692,IFERROR(IF(COUNTIF('RESTAURANTESDESCUENTOS 2026'!A:A,TRIM(A3692))&gt;0,((VLOOKUP(TRIM(D3692), CATALOGO!A:B, 2, FALSE) * C3692)*(1-VALUE(SUBSTITUTE(VLOOKUP(TRIM(A3692),'RESTAURANTESDESCUENTOS 2026'!A:B,2,FALSE),"%",""))/100)+I3692),(VLOOKUP(TRIM(D3692), CATALOGO!A:B, 2, FALSE) * C3692+I3692)),""))</f>
        <v/>
      </c>
      <c r="K3692" s="196"/>
      <c r="L3692" s="87"/>
      <c r="M3692" s="245"/>
      <c r="N3692" s="168"/>
    </row>
    <row r="3693" ht="22.5" hidden="1" customHeight="1">
      <c r="A3693" s="137"/>
      <c r="B3693" s="90"/>
      <c r="C3693" s="55"/>
      <c r="D3693" s="193"/>
      <c r="E3693" s="201"/>
      <c r="F3693" s="202"/>
      <c r="G3693" s="194"/>
      <c r="H3693" s="198"/>
      <c r="I3693" s="196"/>
      <c r="J3693" s="179" t="str">
        <f>IF(A3693="RAPPI",(VLOOKUP(TRIM(D3693), CATALOGO!F:G, 2, FALSE) * C3693)+I3693,IFERROR(IF(COUNTIF('RESTAURANTESDESCUENTOS 2026'!A:A,TRIM(A3693))&gt;0,((VLOOKUP(TRIM(D3693), CATALOGO!A:B, 2, FALSE) * C3693)*(1-VALUE(SUBSTITUTE(VLOOKUP(TRIM(A3693),'RESTAURANTESDESCUENTOS 2026'!A:B,2,FALSE),"%",""))/100)+I3693),(VLOOKUP(TRIM(D3693), CATALOGO!A:B, 2, FALSE) * C3693+I3693)),""))</f>
        <v/>
      </c>
      <c r="K3693" s="196"/>
      <c r="L3693" s="87"/>
      <c r="M3693" s="245"/>
      <c r="N3693" s="168"/>
    </row>
    <row r="3694" ht="22.5" hidden="1" customHeight="1">
      <c r="A3694" s="137"/>
      <c r="B3694" s="90"/>
      <c r="C3694" s="55"/>
      <c r="D3694" s="193"/>
      <c r="E3694" s="201"/>
      <c r="F3694" s="202"/>
      <c r="G3694" s="194"/>
      <c r="H3694" s="198"/>
      <c r="I3694" s="196"/>
      <c r="J3694" s="179" t="str">
        <f>IF(A3694="RAPPI",(VLOOKUP(TRIM(D3694), CATALOGO!F:G, 2, FALSE) * C3694)+I3694,IFERROR(IF(COUNTIF('RESTAURANTESDESCUENTOS 2026'!A:A,TRIM(A3694))&gt;0,((VLOOKUP(TRIM(D3694), CATALOGO!A:B, 2, FALSE) * C3694)*(1-VALUE(SUBSTITUTE(VLOOKUP(TRIM(A3694),'RESTAURANTESDESCUENTOS 2026'!A:B,2,FALSE),"%",""))/100)+I3694),(VLOOKUP(TRIM(D3694), CATALOGO!A:B, 2, FALSE) * C3694+I3694)),""))</f>
        <v/>
      </c>
      <c r="K3694" s="196"/>
      <c r="L3694" s="87"/>
      <c r="M3694" s="245"/>
      <c r="N3694" s="168"/>
    </row>
    <row r="3695" ht="22.5" hidden="1" customHeight="1">
      <c r="A3695" s="137"/>
      <c r="B3695" s="90"/>
      <c r="C3695" s="55"/>
      <c r="D3695" s="193"/>
      <c r="E3695" s="201"/>
      <c r="F3695" s="202"/>
      <c r="G3695" s="194"/>
      <c r="H3695" s="198"/>
      <c r="I3695" s="196"/>
      <c r="J3695" s="179" t="str">
        <f>IF(A3695="RAPPI",(VLOOKUP(TRIM(D3695), CATALOGO!F:G, 2, FALSE) * C3695)+I3695,IFERROR(IF(COUNTIF('RESTAURANTESDESCUENTOS 2026'!A:A,TRIM(A3695))&gt;0,((VLOOKUP(TRIM(D3695), CATALOGO!A:B, 2, FALSE) * C3695)*(1-VALUE(SUBSTITUTE(VLOOKUP(TRIM(A3695),'RESTAURANTESDESCUENTOS 2026'!A:B,2,FALSE),"%",""))/100)+I3695),(VLOOKUP(TRIM(D3695), CATALOGO!A:B, 2, FALSE) * C3695+I3695)),""))</f>
        <v/>
      </c>
      <c r="K3695" s="196"/>
      <c r="L3695" s="87"/>
      <c r="M3695" s="245"/>
      <c r="N3695" s="168"/>
    </row>
    <row r="3696" ht="22.5" hidden="1" customHeight="1">
      <c r="A3696" s="137"/>
      <c r="B3696" s="90"/>
      <c r="C3696" s="55"/>
      <c r="D3696" s="193"/>
      <c r="E3696" s="201"/>
      <c r="F3696" s="202"/>
      <c r="G3696" s="194"/>
      <c r="H3696" s="198"/>
      <c r="I3696" s="196"/>
      <c r="J3696" s="179" t="str">
        <f>IF(A3696="RAPPI",(VLOOKUP(TRIM(D3696), CATALOGO!F:G, 2, FALSE) * C3696)+I3696,IFERROR(IF(COUNTIF('RESTAURANTESDESCUENTOS 2026'!A:A,TRIM(A3696))&gt;0,((VLOOKUP(TRIM(D3696), CATALOGO!A:B, 2, FALSE) * C3696)*(1-VALUE(SUBSTITUTE(VLOOKUP(TRIM(A3696),'RESTAURANTESDESCUENTOS 2026'!A:B,2,FALSE),"%",""))/100)+I3696),(VLOOKUP(TRIM(D3696), CATALOGO!A:B, 2, FALSE) * C3696+I3696)),""))</f>
        <v/>
      </c>
      <c r="K3696" s="196"/>
      <c r="L3696" s="87"/>
      <c r="M3696" s="245"/>
      <c r="N3696" s="168"/>
    </row>
    <row r="3697" ht="22.5" hidden="1" customHeight="1">
      <c r="A3697" s="137"/>
      <c r="B3697" s="90"/>
      <c r="C3697" s="55"/>
      <c r="D3697" s="193"/>
      <c r="E3697" s="201"/>
      <c r="F3697" s="202"/>
      <c r="G3697" s="194"/>
      <c r="H3697" s="198"/>
      <c r="I3697" s="196"/>
      <c r="J3697" s="179" t="str">
        <f>IF(A3697="RAPPI",(VLOOKUP(TRIM(D3697), CATALOGO!F:G, 2, FALSE) * C3697)+I3697,IFERROR(IF(COUNTIF('RESTAURANTESDESCUENTOS 2026'!A:A,TRIM(A3697))&gt;0,((VLOOKUP(TRIM(D3697), CATALOGO!A:B, 2, FALSE) * C3697)*(1-VALUE(SUBSTITUTE(VLOOKUP(TRIM(A3697),'RESTAURANTESDESCUENTOS 2026'!A:B,2,FALSE),"%",""))/100)+I3697),(VLOOKUP(TRIM(D3697), CATALOGO!A:B, 2, FALSE) * C3697+I3697)),""))</f>
        <v/>
      </c>
      <c r="K3697" s="196"/>
      <c r="L3697" s="87"/>
      <c r="M3697" s="245"/>
      <c r="N3697" s="168"/>
    </row>
    <row r="3698" ht="22.5" hidden="1" customHeight="1">
      <c r="A3698" s="137"/>
      <c r="B3698" s="90"/>
      <c r="C3698" s="55"/>
      <c r="D3698" s="193"/>
      <c r="E3698" s="201"/>
      <c r="F3698" s="202"/>
      <c r="G3698" s="194"/>
      <c r="H3698" s="198"/>
      <c r="I3698" s="196"/>
      <c r="J3698" s="179" t="str">
        <f>IF(A3698="RAPPI",(VLOOKUP(TRIM(D3698), CATALOGO!F:G, 2, FALSE) * C3698)+I3698,IFERROR(IF(COUNTIF('RESTAURANTESDESCUENTOS 2026'!A:A,TRIM(A3698))&gt;0,((VLOOKUP(TRIM(D3698), CATALOGO!A:B, 2, FALSE) * C3698)*(1-VALUE(SUBSTITUTE(VLOOKUP(TRIM(A3698),'RESTAURANTESDESCUENTOS 2026'!A:B,2,FALSE),"%",""))/100)+I3698),(VLOOKUP(TRIM(D3698), CATALOGO!A:B, 2, FALSE) * C3698+I3698)),""))</f>
        <v/>
      </c>
      <c r="K3698" s="196"/>
      <c r="L3698" s="87"/>
      <c r="M3698" s="245"/>
      <c r="N3698" s="168"/>
    </row>
    <row r="3699" ht="22.5" hidden="1" customHeight="1">
      <c r="A3699" s="137"/>
      <c r="B3699" s="90"/>
      <c r="C3699" s="55"/>
      <c r="D3699" s="193"/>
      <c r="E3699" s="201"/>
      <c r="F3699" s="202"/>
      <c r="G3699" s="194"/>
      <c r="H3699" s="198"/>
      <c r="I3699" s="196"/>
      <c r="J3699" s="179" t="str">
        <f>IF(A3699="RAPPI",(VLOOKUP(TRIM(D3699), CATALOGO!F:G, 2, FALSE) * C3699)+I3699,IFERROR(IF(COUNTIF('RESTAURANTESDESCUENTOS 2026'!A:A,TRIM(A3699))&gt;0,((VLOOKUP(TRIM(D3699), CATALOGO!A:B, 2, FALSE) * C3699)*(1-VALUE(SUBSTITUTE(VLOOKUP(TRIM(A3699),'RESTAURANTESDESCUENTOS 2026'!A:B,2,FALSE),"%",""))/100)+I3699),(VLOOKUP(TRIM(D3699), CATALOGO!A:B, 2, FALSE) * C3699+I3699)),""))</f>
        <v/>
      </c>
      <c r="K3699" s="196"/>
      <c r="L3699" s="87"/>
      <c r="M3699" s="245"/>
      <c r="N3699" s="168"/>
    </row>
    <row r="3700" ht="22.5" hidden="1" customHeight="1">
      <c r="A3700" s="137"/>
      <c r="B3700" s="90"/>
      <c r="C3700" s="55"/>
      <c r="D3700" s="193"/>
      <c r="E3700" s="201"/>
      <c r="F3700" s="202"/>
      <c r="G3700" s="194"/>
      <c r="H3700" s="198"/>
      <c r="I3700" s="196"/>
      <c r="J3700" s="179" t="str">
        <f>IF(A3700="RAPPI",(VLOOKUP(TRIM(D3700), CATALOGO!F:G, 2, FALSE) * C3700)+I3700,IFERROR(IF(COUNTIF('RESTAURANTESDESCUENTOS 2026'!A:A,TRIM(A3700))&gt;0,((VLOOKUP(TRIM(D3700), CATALOGO!A:B, 2, FALSE) * C3700)*(1-VALUE(SUBSTITUTE(VLOOKUP(TRIM(A3700),'RESTAURANTESDESCUENTOS 2026'!A:B,2,FALSE),"%",""))/100)+I3700),(VLOOKUP(TRIM(D3700), CATALOGO!A:B, 2, FALSE) * C3700+I3700)),""))</f>
        <v/>
      </c>
      <c r="K3700" s="196"/>
      <c r="L3700" s="87"/>
      <c r="M3700" s="245"/>
      <c r="N3700" s="168"/>
    </row>
    <row r="3701" ht="22.5" hidden="1" customHeight="1">
      <c r="A3701" s="137"/>
      <c r="B3701" s="90"/>
      <c r="C3701" s="55"/>
      <c r="D3701" s="193"/>
      <c r="E3701" s="201"/>
      <c r="F3701" s="202"/>
      <c r="G3701" s="194"/>
      <c r="H3701" s="198"/>
      <c r="I3701" s="196"/>
      <c r="J3701" s="179" t="str">
        <f>IF(A3701="RAPPI",(VLOOKUP(TRIM(D3701), CATALOGO!F:G, 2, FALSE) * C3701)+I3701,IFERROR(IF(COUNTIF('RESTAURANTESDESCUENTOS 2026'!A:A,TRIM(A3701))&gt;0,((VLOOKUP(TRIM(D3701), CATALOGO!A:B, 2, FALSE) * C3701)*(1-VALUE(SUBSTITUTE(VLOOKUP(TRIM(A3701),'RESTAURANTESDESCUENTOS 2026'!A:B,2,FALSE),"%",""))/100)+I3701),(VLOOKUP(TRIM(D3701), CATALOGO!A:B, 2, FALSE) * C3701+I3701)),""))</f>
        <v/>
      </c>
      <c r="K3701" s="196"/>
      <c r="L3701" s="87"/>
      <c r="M3701" s="245"/>
      <c r="N3701" s="168"/>
    </row>
    <row r="3702" ht="22.5" hidden="1" customHeight="1">
      <c r="A3702" s="137"/>
      <c r="B3702" s="90"/>
      <c r="C3702" s="55"/>
      <c r="D3702" s="193"/>
      <c r="E3702" s="201"/>
      <c r="F3702" s="202"/>
      <c r="G3702" s="194"/>
      <c r="H3702" s="198"/>
      <c r="I3702" s="196"/>
      <c r="J3702" s="179" t="str">
        <f>IF(A3702="RAPPI",(VLOOKUP(TRIM(D3702), CATALOGO!F:G, 2, FALSE) * C3702)+I3702,IFERROR(IF(COUNTIF('RESTAURANTESDESCUENTOS 2026'!A:A,TRIM(A3702))&gt;0,((VLOOKUP(TRIM(D3702), CATALOGO!A:B, 2, FALSE) * C3702)*(1-VALUE(SUBSTITUTE(VLOOKUP(TRIM(A3702),'RESTAURANTESDESCUENTOS 2026'!A:B,2,FALSE),"%",""))/100)+I3702),(VLOOKUP(TRIM(D3702), CATALOGO!A:B, 2, FALSE) * C3702+I3702)),""))</f>
        <v/>
      </c>
      <c r="K3702" s="196"/>
      <c r="L3702" s="87"/>
      <c r="M3702" s="245"/>
      <c r="N3702" s="168"/>
    </row>
    <row r="3703" ht="22.5" hidden="1" customHeight="1">
      <c r="A3703" s="137"/>
      <c r="B3703" s="90"/>
      <c r="C3703" s="55"/>
      <c r="D3703" s="193"/>
      <c r="E3703" s="201"/>
      <c r="F3703" s="202"/>
      <c r="G3703" s="194"/>
      <c r="H3703" s="198"/>
      <c r="I3703" s="196"/>
      <c r="J3703" s="179" t="str">
        <f>IF(A3703="RAPPI",(VLOOKUP(TRIM(D3703), CATALOGO!F:G, 2, FALSE) * C3703)+I3703,IFERROR(IF(COUNTIF('RESTAURANTESDESCUENTOS 2026'!A:A,TRIM(A3703))&gt;0,((VLOOKUP(TRIM(D3703), CATALOGO!A:B, 2, FALSE) * C3703)*(1-VALUE(SUBSTITUTE(VLOOKUP(TRIM(A3703),'RESTAURANTESDESCUENTOS 2026'!A:B,2,FALSE),"%",""))/100)+I3703),(VLOOKUP(TRIM(D3703), CATALOGO!A:B, 2, FALSE) * C3703+I3703)),""))</f>
        <v/>
      </c>
      <c r="K3703" s="196"/>
      <c r="L3703" s="87"/>
      <c r="M3703" s="245"/>
      <c r="N3703" s="168"/>
    </row>
    <row r="3704" ht="22.5" hidden="1" customHeight="1">
      <c r="A3704" s="137"/>
      <c r="B3704" s="90"/>
      <c r="C3704" s="55"/>
      <c r="D3704" s="193"/>
      <c r="E3704" s="201"/>
      <c r="F3704" s="202"/>
      <c r="G3704" s="194"/>
      <c r="H3704" s="198"/>
      <c r="I3704" s="196"/>
      <c r="J3704" s="179" t="str">
        <f>IF(A3704="RAPPI",(VLOOKUP(TRIM(D3704), CATALOGO!F:G, 2, FALSE) * C3704)+I3704,IFERROR(IF(COUNTIF('RESTAURANTESDESCUENTOS 2026'!A:A,TRIM(A3704))&gt;0,((VLOOKUP(TRIM(D3704), CATALOGO!A:B, 2, FALSE) * C3704)*(1-VALUE(SUBSTITUTE(VLOOKUP(TRIM(A3704),'RESTAURANTESDESCUENTOS 2026'!A:B,2,FALSE),"%",""))/100)+I3704),(VLOOKUP(TRIM(D3704), CATALOGO!A:B, 2, FALSE) * C3704+I3704)),""))</f>
        <v/>
      </c>
      <c r="K3704" s="196"/>
      <c r="L3704" s="87"/>
      <c r="M3704" s="245"/>
      <c r="N3704" s="168"/>
    </row>
    <row r="3705" ht="22.5" hidden="1" customHeight="1">
      <c r="A3705" s="137"/>
      <c r="B3705" s="90"/>
      <c r="C3705" s="55"/>
      <c r="D3705" s="193"/>
      <c r="E3705" s="201"/>
      <c r="F3705" s="202"/>
      <c r="G3705" s="194"/>
      <c r="H3705" s="198"/>
      <c r="I3705" s="196"/>
      <c r="J3705" s="179" t="str">
        <f>IF(A3705="RAPPI",(VLOOKUP(TRIM(D3705), CATALOGO!F:G, 2, FALSE) * C3705)+I3705,IFERROR(IF(COUNTIF('RESTAURANTESDESCUENTOS 2026'!A:A,TRIM(A3705))&gt;0,((VLOOKUP(TRIM(D3705), CATALOGO!A:B, 2, FALSE) * C3705)*(1-VALUE(SUBSTITUTE(VLOOKUP(TRIM(A3705),'RESTAURANTESDESCUENTOS 2026'!A:B,2,FALSE),"%",""))/100)+I3705),(VLOOKUP(TRIM(D3705), CATALOGO!A:B, 2, FALSE) * C3705+I3705)),""))</f>
        <v/>
      </c>
      <c r="K3705" s="196"/>
      <c r="L3705" s="87"/>
      <c r="M3705" s="245"/>
      <c r="N3705" s="168"/>
    </row>
    <row r="3706" ht="22.5" hidden="1" customHeight="1">
      <c r="A3706" s="137"/>
      <c r="B3706" s="90"/>
      <c r="C3706" s="55"/>
      <c r="D3706" s="193"/>
      <c r="E3706" s="201"/>
      <c r="F3706" s="202"/>
      <c r="G3706" s="194"/>
      <c r="H3706" s="198"/>
      <c r="I3706" s="196"/>
      <c r="J3706" s="179" t="str">
        <f>IF(A3706="RAPPI",(VLOOKUP(TRIM(D3706), CATALOGO!F:G, 2, FALSE) * C3706)+I3706,IFERROR(IF(COUNTIF('RESTAURANTESDESCUENTOS 2026'!A:A,TRIM(A3706))&gt;0,((VLOOKUP(TRIM(D3706), CATALOGO!A:B, 2, FALSE) * C3706)*(1-VALUE(SUBSTITUTE(VLOOKUP(TRIM(A3706),'RESTAURANTESDESCUENTOS 2026'!A:B,2,FALSE),"%",""))/100)+I3706),(VLOOKUP(TRIM(D3706), CATALOGO!A:B, 2, FALSE) * C3706+I3706)),""))</f>
        <v/>
      </c>
      <c r="K3706" s="196"/>
      <c r="L3706" s="87"/>
      <c r="M3706" s="245"/>
      <c r="N3706" s="168"/>
    </row>
    <row r="3707" ht="22.5" hidden="1" customHeight="1">
      <c r="A3707" s="137"/>
      <c r="B3707" s="90"/>
      <c r="C3707" s="55"/>
      <c r="D3707" s="193"/>
      <c r="E3707" s="201"/>
      <c r="F3707" s="202"/>
      <c r="G3707" s="194"/>
      <c r="H3707" s="198"/>
      <c r="I3707" s="196"/>
      <c r="J3707" s="179" t="str">
        <f>IF(A3707="RAPPI",(VLOOKUP(TRIM(D3707), CATALOGO!F:G, 2, FALSE) * C3707)+I3707,IFERROR(IF(COUNTIF('RESTAURANTESDESCUENTOS 2026'!A:A,TRIM(A3707))&gt;0,((VLOOKUP(TRIM(D3707), CATALOGO!A:B, 2, FALSE) * C3707)*(1-VALUE(SUBSTITUTE(VLOOKUP(TRIM(A3707),'RESTAURANTESDESCUENTOS 2026'!A:B,2,FALSE),"%",""))/100)+I3707),(VLOOKUP(TRIM(D3707), CATALOGO!A:B, 2, FALSE) * C3707+I3707)),""))</f>
        <v/>
      </c>
      <c r="K3707" s="196"/>
      <c r="L3707" s="87"/>
      <c r="M3707" s="245"/>
      <c r="N3707" s="168"/>
    </row>
    <row r="3708" ht="22.5" hidden="1" customHeight="1">
      <c r="A3708" s="137"/>
      <c r="B3708" s="90"/>
      <c r="C3708" s="55"/>
      <c r="D3708" s="193"/>
      <c r="E3708" s="201"/>
      <c r="F3708" s="202"/>
      <c r="G3708" s="194"/>
      <c r="H3708" s="198"/>
      <c r="I3708" s="196"/>
      <c r="J3708" s="179" t="str">
        <f>IF(A3708="RAPPI",(VLOOKUP(TRIM(D3708), CATALOGO!F:G, 2, FALSE) * C3708)+I3708,IFERROR(IF(COUNTIF('RESTAURANTESDESCUENTOS 2026'!A:A,TRIM(A3708))&gt;0,((VLOOKUP(TRIM(D3708), CATALOGO!A:B, 2, FALSE) * C3708)*(1-VALUE(SUBSTITUTE(VLOOKUP(TRIM(A3708),'RESTAURANTESDESCUENTOS 2026'!A:B,2,FALSE),"%",""))/100)+I3708),(VLOOKUP(TRIM(D3708), CATALOGO!A:B, 2, FALSE) * C3708+I3708)),""))</f>
        <v/>
      </c>
      <c r="K3708" s="196"/>
      <c r="L3708" s="87"/>
      <c r="M3708" s="245"/>
      <c r="N3708" s="168"/>
    </row>
    <row r="3709" ht="22.5" hidden="1" customHeight="1">
      <c r="A3709" s="137"/>
      <c r="B3709" s="90"/>
      <c r="C3709" s="55"/>
      <c r="D3709" s="193"/>
      <c r="E3709" s="201"/>
      <c r="F3709" s="202"/>
      <c r="G3709" s="194"/>
      <c r="H3709" s="198"/>
      <c r="I3709" s="196"/>
      <c r="J3709" s="179" t="str">
        <f>IF(A3709="RAPPI",(VLOOKUP(TRIM(D3709), CATALOGO!F:G, 2, FALSE) * C3709)+I3709,IFERROR(IF(COUNTIF('RESTAURANTESDESCUENTOS 2026'!A:A,TRIM(A3709))&gt;0,((VLOOKUP(TRIM(D3709), CATALOGO!A:B, 2, FALSE) * C3709)*(1-VALUE(SUBSTITUTE(VLOOKUP(TRIM(A3709),'RESTAURANTESDESCUENTOS 2026'!A:B,2,FALSE),"%",""))/100)+I3709),(VLOOKUP(TRIM(D3709), CATALOGO!A:B, 2, FALSE) * C3709+I3709)),""))</f>
        <v/>
      </c>
      <c r="K3709" s="196"/>
      <c r="L3709" s="87"/>
      <c r="M3709" s="245"/>
      <c r="N3709" s="168"/>
    </row>
    <row r="3710" ht="22.5" hidden="1" customHeight="1">
      <c r="A3710" s="137"/>
      <c r="B3710" s="90"/>
      <c r="C3710" s="55"/>
      <c r="D3710" s="193"/>
      <c r="E3710" s="201"/>
      <c r="F3710" s="202"/>
      <c r="G3710" s="194"/>
      <c r="H3710" s="198"/>
      <c r="I3710" s="196"/>
      <c r="J3710" s="179" t="str">
        <f>IF(A3710="RAPPI",(VLOOKUP(TRIM(D3710), CATALOGO!F:G, 2, FALSE) * C3710)+I3710,IFERROR(IF(COUNTIF('RESTAURANTESDESCUENTOS 2026'!A:A,TRIM(A3710))&gt;0,((VLOOKUP(TRIM(D3710), CATALOGO!A:B, 2, FALSE) * C3710)*(1-VALUE(SUBSTITUTE(VLOOKUP(TRIM(A3710),'RESTAURANTESDESCUENTOS 2026'!A:B,2,FALSE),"%",""))/100)+I3710),(VLOOKUP(TRIM(D3710), CATALOGO!A:B, 2, FALSE) * C3710+I3710)),""))</f>
        <v/>
      </c>
      <c r="K3710" s="196"/>
      <c r="L3710" s="87"/>
      <c r="M3710" s="245"/>
      <c r="N3710" s="168"/>
    </row>
    <row r="3711" ht="22.5" hidden="1" customHeight="1">
      <c r="A3711" s="137"/>
      <c r="B3711" s="90"/>
      <c r="C3711" s="55"/>
      <c r="D3711" s="193"/>
      <c r="E3711" s="201"/>
      <c r="F3711" s="202"/>
      <c r="G3711" s="194"/>
      <c r="H3711" s="198"/>
      <c r="I3711" s="196"/>
      <c r="J3711" s="179" t="str">
        <f>IF(A3711="RAPPI",(VLOOKUP(TRIM(D3711), CATALOGO!F:G, 2, FALSE) * C3711)+I3711,IFERROR(IF(COUNTIF('RESTAURANTESDESCUENTOS 2026'!A:A,TRIM(A3711))&gt;0,((VLOOKUP(TRIM(D3711), CATALOGO!A:B, 2, FALSE) * C3711)*(1-VALUE(SUBSTITUTE(VLOOKUP(TRIM(A3711),'RESTAURANTESDESCUENTOS 2026'!A:B,2,FALSE),"%",""))/100)+I3711),(VLOOKUP(TRIM(D3711), CATALOGO!A:B, 2, FALSE) * C3711+I3711)),""))</f>
        <v/>
      </c>
      <c r="K3711" s="196"/>
      <c r="L3711" s="87"/>
      <c r="M3711" s="245"/>
      <c r="N3711" s="168"/>
    </row>
    <row r="3712" ht="22.5" hidden="1" customHeight="1">
      <c r="A3712" s="137"/>
      <c r="B3712" s="90"/>
      <c r="C3712" s="55"/>
      <c r="D3712" s="193"/>
      <c r="E3712" s="201"/>
      <c r="F3712" s="202"/>
      <c r="G3712" s="194"/>
      <c r="H3712" s="198"/>
      <c r="I3712" s="196"/>
      <c r="J3712" s="179" t="str">
        <f>IF(A3712="RAPPI",(VLOOKUP(TRIM(D3712), CATALOGO!F:G, 2, FALSE) * C3712)+I3712,IFERROR(IF(COUNTIF('RESTAURANTESDESCUENTOS 2026'!A:A,TRIM(A3712))&gt;0,((VLOOKUP(TRIM(D3712), CATALOGO!A:B, 2, FALSE) * C3712)*(1-VALUE(SUBSTITUTE(VLOOKUP(TRIM(A3712),'RESTAURANTESDESCUENTOS 2026'!A:B,2,FALSE),"%",""))/100)+I3712),(VLOOKUP(TRIM(D3712), CATALOGO!A:B, 2, FALSE) * C3712+I3712)),""))</f>
        <v/>
      </c>
      <c r="K3712" s="196"/>
      <c r="L3712" s="87"/>
      <c r="M3712" s="245"/>
      <c r="N3712" s="168"/>
    </row>
    <row r="3713" ht="22.5" hidden="1" customHeight="1">
      <c r="A3713" s="137"/>
      <c r="B3713" s="90"/>
      <c r="C3713" s="55"/>
      <c r="D3713" s="193"/>
      <c r="E3713" s="201"/>
      <c r="F3713" s="202"/>
      <c r="G3713" s="194"/>
      <c r="H3713" s="198"/>
      <c r="I3713" s="196"/>
      <c r="J3713" s="179" t="str">
        <f>IF(A3713="RAPPI",(VLOOKUP(TRIM(D3713), CATALOGO!F:G, 2, FALSE) * C3713)+I3713,IFERROR(IF(COUNTIF('RESTAURANTESDESCUENTOS 2026'!A:A,TRIM(A3713))&gt;0,((VLOOKUP(TRIM(D3713), CATALOGO!A:B, 2, FALSE) * C3713)*(1-VALUE(SUBSTITUTE(VLOOKUP(TRIM(A3713),'RESTAURANTESDESCUENTOS 2026'!A:B,2,FALSE),"%",""))/100)+I3713),(VLOOKUP(TRIM(D3713), CATALOGO!A:B, 2, FALSE) * C3713+I3713)),""))</f>
        <v/>
      </c>
      <c r="K3713" s="196"/>
      <c r="L3713" s="87"/>
      <c r="M3713" s="245"/>
      <c r="N3713" s="168"/>
    </row>
    <row r="3714" ht="22.5" hidden="1" customHeight="1">
      <c r="A3714" s="137"/>
      <c r="B3714" s="90"/>
      <c r="C3714" s="55"/>
      <c r="D3714" s="193"/>
      <c r="E3714" s="201"/>
      <c r="F3714" s="202"/>
      <c r="G3714" s="194"/>
      <c r="H3714" s="198"/>
      <c r="I3714" s="196"/>
      <c r="J3714" s="179" t="str">
        <f>IF(A3714="RAPPI",(VLOOKUP(TRIM(D3714), CATALOGO!F:G, 2, FALSE) * C3714)+I3714,IFERROR(IF(COUNTIF('RESTAURANTESDESCUENTOS 2026'!A:A,TRIM(A3714))&gt;0,((VLOOKUP(TRIM(D3714), CATALOGO!A:B, 2, FALSE) * C3714)*(1-VALUE(SUBSTITUTE(VLOOKUP(TRIM(A3714),'RESTAURANTESDESCUENTOS 2026'!A:B,2,FALSE),"%",""))/100)+I3714),(VLOOKUP(TRIM(D3714), CATALOGO!A:B, 2, FALSE) * C3714+I3714)),""))</f>
        <v/>
      </c>
      <c r="K3714" s="196"/>
      <c r="L3714" s="87"/>
      <c r="M3714" s="245"/>
      <c r="N3714" s="168"/>
    </row>
    <row r="3715" ht="22.5" hidden="1" customHeight="1">
      <c r="A3715" s="137"/>
      <c r="B3715" s="90"/>
      <c r="C3715" s="55"/>
      <c r="D3715" s="193"/>
      <c r="E3715" s="201"/>
      <c r="F3715" s="202"/>
      <c r="G3715" s="194"/>
      <c r="H3715" s="198"/>
      <c r="I3715" s="196"/>
      <c r="J3715" s="179" t="str">
        <f>IF(A3715="RAPPI",(VLOOKUP(TRIM(D3715), CATALOGO!F:G, 2, FALSE) * C3715)+I3715,IFERROR(IF(COUNTIF('RESTAURANTESDESCUENTOS 2026'!A:A,TRIM(A3715))&gt;0,((VLOOKUP(TRIM(D3715), CATALOGO!A:B, 2, FALSE) * C3715)*(1-VALUE(SUBSTITUTE(VLOOKUP(TRIM(A3715),'RESTAURANTESDESCUENTOS 2026'!A:B,2,FALSE),"%",""))/100)+I3715),(VLOOKUP(TRIM(D3715), CATALOGO!A:B, 2, FALSE) * C3715+I3715)),""))</f>
        <v/>
      </c>
      <c r="K3715" s="196"/>
      <c r="L3715" s="87"/>
      <c r="M3715" s="245"/>
      <c r="N3715" s="168"/>
    </row>
    <row r="3716" ht="22.5" hidden="1" customHeight="1">
      <c r="A3716" s="137"/>
      <c r="B3716" s="90"/>
      <c r="C3716" s="55"/>
      <c r="D3716" s="193"/>
      <c r="E3716" s="201"/>
      <c r="F3716" s="202"/>
      <c r="G3716" s="194"/>
      <c r="H3716" s="198"/>
      <c r="I3716" s="196"/>
      <c r="J3716" s="179" t="str">
        <f>IF(A3716="RAPPI",(VLOOKUP(TRIM(D3716), CATALOGO!F:G, 2, FALSE) * C3716)+I3716,IFERROR(IF(COUNTIF('RESTAURANTESDESCUENTOS 2026'!A:A,TRIM(A3716))&gt;0,((VLOOKUP(TRIM(D3716), CATALOGO!A:B, 2, FALSE) * C3716)*(1-VALUE(SUBSTITUTE(VLOOKUP(TRIM(A3716),'RESTAURANTESDESCUENTOS 2026'!A:B,2,FALSE),"%",""))/100)+I3716),(VLOOKUP(TRIM(D3716), CATALOGO!A:B, 2, FALSE) * C3716+I3716)),""))</f>
        <v/>
      </c>
      <c r="K3716" s="196"/>
      <c r="L3716" s="87"/>
      <c r="M3716" s="245"/>
      <c r="N3716" s="168"/>
    </row>
    <row r="3717" ht="22.5" hidden="1" customHeight="1">
      <c r="A3717" s="137"/>
      <c r="B3717" s="90"/>
      <c r="C3717" s="55"/>
      <c r="D3717" s="193"/>
      <c r="E3717" s="201"/>
      <c r="F3717" s="202"/>
      <c r="G3717" s="194"/>
      <c r="H3717" s="198"/>
      <c r="I3717" s="196"/>
      <c r="J3717" s="179" t="str">
        <f>IF(A3717="RAPPI",(VLOOKUP(TRIM(D3717), CATALOGO!F:G, 2, FALSE) * C3717)+I3717,IFERROR(IF(COUNTIF('RESTAURANTESDESCUENTOS 2026'!A:A,TRIM(A3717))&gt;0,((VLOOKUP(TRIM(D3717), CATALOGO!A:B, 2, FALSE) * C3717)*(1-VALUE(SUBSTITUTE(VLOOKUP(TRIM(A3717),'RESTAURANTESDESCUENTOS 2026'!A:B,2,FALSE),"%",""))/100)+I3717),(VLOOKUP(TRIM(D3717), CATALOGO!A:B, 2, FALSE) * C3717+I3717)),""))</f>
        <v/>
      </c>
      <c r="K3717" s="196"/>
      <c r="L3717" s="87"/>
      <c r="M3717" s="245"/>
      <c r="N3717" s="168"/>
    </row>
    <row r="3718" ht="22.5" hidden="1" customHeight="1">
      <c r="A3718" s="137"/>
      <c r="B3718" s="90"/>
      <c r="C3718" s="55"/>
      <c r="D3718" s="193"/>
      <c r="E3718" s="201"/>
      <c r="F3718" s="202"/>
      <c r="G3718" s="194"/>
      <c r="H3718" s="198"/>
      <c r="I3718" s="196"/>
      <c r="J3718" s="179" t="str">
        <f>IF(A3718="RAPPI",(VLOOKUP(TRIM(D3718), CATALOGO!F:G, 2, FALSE) * C3718)+I3718,IFERROR(IF(COUNTIF('RESTAURANTESDESCUENTOS 2026'!A:A,TRIM(A3718))&gt;0,((VLOOKUP(TRIM(D3718), CATALOGO!A:B, 2, FALSE) * C3718)*(1-VALUE(SUBSTITUTE(VLOOKUP(TRIM(A3718),'RESTAURANTESDESCUENTOS 2026'!A:B,2,FALSE),"%",""))/100)+I3718),(VLOOKUP(TRIM(D3718), CATALOGO!A:B, 2, FALSE) * C3718+I3718)),""))</f>
        <v/>
      </c>
      <c r="K3718" s="196"/>
      <c r="L3718" s="87"/>
      <c r="M3718" s="245"/>
      <c r="N3718" s="168"/>
    </row>
    <row r="3719" ht="22.5" hidden="1" customHeight="1">
      <c r="A3719" s="137"/>
      <c r="B3719" s="90"/>
      <c r="C3719" s="55"/>
      <c r="D3719" s="193"/>
      <c r="E3719" s="201"/>
      <c r="F3719" s="202"/>
      <c r="G3719" s="194"/>
      <c r="H3719" s="198"/>
      <c r="I3719" s="196"/>
      <c r="J3719" s="179" t="str">
        <f>IF(A3719="RAPPI",(VLOOKUP(TRIM(D3719), CATALOGO!F:G, 2, FALSE) * C3719)+I3719,IFERROR(IF(COUNTIF('RESTAURANTESDESCUENTOS 2026'!A:A,TRIM(A3719))&gt;0,((VLOOKUP(TRIM(D3719), CATALOGO!A:B, 2, FALSE) * C3719)*(1-VALUE(SUBSTITUTE(VLOOKUP(TRIM(A3719),'RESTAURANTESDESCUENTOS 2026'!A:B,2,FALSE),"%",""))/100)+I3719),(VLOOKUP(TRIM(D3719), CATALOGO!A:B, 2, FALSE) * C3719+I3719)),""))</f>
        <v/>
      </c>
      <c r="K3719" s="196"/>
      <c r="L3719" s="87"/>
      <c r="M3719" s="245"/>
      <c r="N3719" s="168"/>
    </row>
    <row r="3720" ht="22.5" hidden="1" customHeight="1">
      <c r="A3720" s="137"/>
      <c r="B3720" s="90"/>
      <c r="C3720" s="55"/>
      <c r="D3720" s="193"/>
      <c r="E3720" s="201"/>
      <c r="F3720" s="202"/>
      <c r="G3720" s="194"/>
      <c r="H3720" s="198"/>
      <c r="I3720" s="196"/>
      <c r="J3720" s="179" t="str">
        <f>IF(A3720="RAPPI",(VLOOKUP(TRIM(D3720), CATALOGO!F:G, 2, FALSE) * C3720)+I3720,IFERROR(IF(COUNTIF('RESTAURANTESDESCUENTOS 2026'!A:A,TRIM(A3720))&gt;0,((VLOOKUP(TRIM(D3720), CATALOGO!A:B, 2, FALSE) * C3720)*(1-VALUE(SUBSTITUTE(VLOOKUP(TRIM(A3720),'RESTAURANTESDESCUENTOS 2026'!A:B,2,FALSE),"%",""))/100)+I3720),(VLOOKUP(TRIM(D3720), CATALOGO!A:B, 2, FALSE) * C3720+I3720)),""))</f>
        <v/>
      </c>
      <c r="K3720" s="196"/>
      <c r="L3720" s="87"/>
      <c r="M3720" s="245"/>
      <c r="N3720" s="168"/>
    </row>
    <row r="3721" ht="22.5" hidden="1" customHeight="1">
      <c r="A3721" s="137"/>
      <c r="B3721" s="90"/>
      <c r="C3721" s="55"/>
      <c r="D3721" s="193"/>
      <c r="E3721" s="201"/>
      <c r="F3721" s="202"/>
      <c r="G3721" s="194"/>
      <c r="H3721" s="198"/>
      <c r="I3721" s="196"/>
      <c r="J3721" s="179" t="str">
        <f>IF(A3721="RAPPI",(VLOOKUP(TRIM(D3721), CATALOGO!F:G, 2, FALSE) * C3721)+I3721,IFERROR(IF(COUNTIF('RESTAURANTESDESCUENTOS 2026'!A:A,TRIM(A3721))&gt;0,((VLOOKUP(TRIM(D3721), CATALOGO!A:B, 2, FALSE) * C3721)*(1-VALUE(SUBSTITUTE(VLOOKUP(TRIM(A3721),'RESTAURANTESDESCUENTOS 2026'!A:B,2,FALSE),"%",""))/100)+I3721),(VLOOKUP(TRIM(D3721), CATALOGO!A:B, 2, FALSE) * C3721+I3721)),""))</f>
        <v/>
      </c>
      <c r="K3721" s="196"/>
      <c r="L3721" s="87"/>
      <c r="M3721" s="245"/>
      <c r="N3721" s="168"/>
    </row>
    <row r="3722" ht="22.5" hidden="1" customHeight="1">
      <c r="A3722" s="137"/>
      <c r="B3722" s="90"/>
      <c r="C3722" s="55"/>
      <c r="D3722" s="193"/>
      <c r="E3722" s="201"/>
      <c r="F3722" s="202"/>
      <c r="G3722" s="194"/>
      <c r="H3722" s="198"/>
      <c r="I3722" s="196"/>
      <c r="J3722" s="179" t="str">
        <f>IF(A3722="RAPPI",(VLOOKUP(TRIM(D3722), CATALOGO!F:G, 2, FALSE) * C3722)+I3722,IFERROR(IF(COUNTIF('RESTAURANTESDESCUENTOS 2026'!A:A,TRIM(A3722))&gt;0,((VLOOKUP(TRIM(D3722), CATALOGO!A:B, 2, FALSE) * C3722)*(1-VALUE(SUBSTITUTE(VLOOKUP(TRIM(A3722),'RESTAURANTESDESCUENTOS 2026'!A:B,2,FALSE),"%",""))/100)+I3722),(VLOOKUP(TRIM(D3722), CATALOGO!A:B, 2, FALSE) * C3722+I3722)),""))</f>
        <v/>
      </c>
      <c r="K3722" s="196"/>
      <c r="L3722" s="87"/>
      <c r="M3722" s="245"/>
      <c r="N3722" s="168"/>
    </row>
    <row r="3723" ht="22.5" hidden="1" customHeight="1">
      <c r="A3723" s="137"/>
      <c r="B3723" s="90"/>
      <c r="C3723" s="55"/>
      <c r="D3723" s="193"/>
      <c r="E3723" s="201"/>
      <c r="F3723" s="202"/>
      <c r="G3723" s="194"/>
      <c r="H3723" s="198"/>
      <c r="I3723" s="196"/>
      <c r="J3723" s="179" t="str">
        <f>IF(A3723="RAPPI",(VLOOKUP(TRIM(D3723), CATALOGO!F:G, 2, FALSE) * C3723)+I3723,IFERROR(IF(COUNTIF('RESTAURANTESDESCUENTOS 2026'!A:A,TRIM(A3723))&gt;0,((VLOOKUP(TRIM(D3723), CATALOGO!A:B, 2, FALSE) * C3723)*(1-VALUE(SUBSTITUTE(VLOOKUP(TRIM(A3723),'RESTAURANTESDESCUENTOS 2026'!A:B,2,FALSE),"%",""))/100)+I3723),(VLOOKUP(TRIM(D3723), CATALOGO!A:B, 2, FALSE) * C3723+I3723)),""))</f>
        <v/>
      </c>
      <c r="K3723" s="196"/>
      <c r="L3723" s="87"/>
      <c r="M3723" s="245"/>
      <c r="N3723" s="168"/>
    </row>
    <row r="3724" ht="22.5" hidden="1" customHeight="1">
      <c r="A3724" s="137"/>
      <c r="B3724" s="90"/>
      <c r="C3724" s="55"/>
      <c r="D3724" s="193"/>
      <c r="E3724" s="201"/>
      <c r="F3724" s="202"/>
      <c r="G3724" s="194"/>
      <c r="H3724" s="198"/>
      <c r="I3724" s="196"/>
      <c r="J3724" s="179" t="str">
        <f>IF(A3724="RAPPI",(VLOOKUP(TRIM(D3724), CATALOGO!F:G, 2, FALSE) * C3724)+I3724,IFERROR(IF(COUNTIF('RESTAURANTESDESCUENTOS 2026'!A:A,TRIM(A3724))&gt;0,((VLOOKUP(TRIM(D3724), CATALOGO!A:B, 2, FALSE) * C3724)*(1-VALUE(SUBSTITUTE(VLOOKUP(TRIM(A3724),'RESTAURANTESDESCUENTOS 2026'!A:B,2,FALSE),"%",""))/100)+I3724),(VLOOKUP(TRIM(D3724), CATALOGO!A:B, 2, FALSE) * C3724+I3724)),""))</f>
        <v/>
      </c>
      <c r="K3724" s="196"/>
      <c r="L3724" s="87"/>
      <c r="M3724" s="245"/>
      <c r="N3724" s="168"/>
    </row>
    <row r="3725" ht="22.5" hidden="1" customHeight="1">
      <c r="A3725" s="137"/>
      <c r="B3725" s="90"/>
      <c r="C3725" s="55"/>
      <c r="D3725" s="193"/>
      <c r="E3725" s="201"/>
      <c r="F3725" s="202"/>
      <c r="G3725" s="194"/>
      <c r="H3725" s="198"/>
      <c r="I3725" s="196"/>
      <c r="J3725" s="179" t="str">
        <f>IF(A3725="RAPPI",(VLOOKUP(TRIM(D3725), CATALOGO!F:G, 2, FALSE) * C3725)+I3725,IFERROR(IF(COUNTIF('RESTAURANTESDESCUENTOS 2026'!A:A,TRIM(A3725))&gt;0,((VLOOKUP(TRIM(D3725), CATALOGO!A:B, 2, FALSE) * C3725)*(1-VALUE(SUBSTITUTE(VLOOKUP(TRIM(A3725),'RESTAURANTESDESCUENTOS 2026'!A:B,2,FALSE),"%",""))/100)+I3725),(VLOOKUP(TRIM(D3725), CATALOGO!A:B, 2, FALSE) * C3725+I3725)),""))</f>
        <v/>
      </c>
      <c r="K3725" s="196"/>
      <c r="L3725" s="87"/>
      <c r="M3725" s="245"/>
      <c r="N3725" s="168"/>
    </row>
    <row r="3726" ht="22.5" hidden="1" customHeight="1">
      <c r="A3726" s="137"/>
      <c r="B3726" s="90"/>
      <c r="C3726" s="55"/>
      <c r="D3726" s="193"/>
      <c r="E3726" s="201"/>
      <c r="F3726" s="202"/>
      <c r="G3726" s="194"/>
      <c r="H3726" s="198"/>
      <c r="I3726" s="196"/>
      <c r="J3726" s="179" t="str">
        <f>IF(A3726="RAPPI",(VLOOKUP(TRIM(D3726), CATALOGO!F:G, 2, FALSE) * C3726)+I3726,IFERROR(IF(COUNTIF('RESTAURANTESDESCUENTOS 2026'!A:A,TRIM(A3726))&gt;0,((VLOOKUP(TRIM(D3726), CATALOGO!A:B, 2, FALSE) * C3726)*(1-VALUE(SUBSTITUTE(VLOOKUP(TRIM(A3726),'RESTAURANTESDESCUENTOS 2026'!A:B,2,FALSE),"%",""))/100)+I3726),(VLOOKUP(TRIM(D3726), CATALOGO!A:B, 2, FALSE) * C3726+I3726)),""))</f>
        <v/>
      </c>
      <c r="K3726" s="196"/>
      <c r="L3726" s="87"/>
      <c r="M3726" s="245"/>
      <c r="N3726" s="168"/>
    </row>
    <row r="3727" ht="22.5" hidden="1" customHeight="1">
      <c r="A3727" s="137"/>
      <c r="B3727" s="90"/>
      <c r="C3727" s="55"/>
      <c r="D3727" s="193"/>
      <c r="E3727" s="201"/>
      <c r="F3727" s="202"/>
      <c r="G3727" s="194"/>
      <c r="H3727" s="198"/>
      <c r="I3727" s="196"/>
      <c r="J3727" s="179" t="str">
        <f>IF(A3727="RAPPI",(VLOOKUP(TRIM(D3727), CATALOGO!F:G, 2, FALSE) * C3727)+I3727,IFERROR(IF(COUNTIF('RESTAURANTESDESCUENTOS 2026'!A:A,TRIM(A3727))&gt;0,((VLOOKUP(TRIM(D3727), CATALOGO!A:B, 2, FALSE) * C3727)*(1-VALUE(SUBSTITUTE(VLOOKUP(TRIM(A3727),'RESTAURANTESDESCUENTOS 2026'!A:B,2,FALSE),"%",""))/100)+I3727),(VLOOKUP(TRIM(D3727), CATALOGO!A:B, 2, FALSE) * C3727+I3727)),""))</f>
        <v/>
      </c>
      <c r="K3727" s="196"/>
      <c r="L3727" s="87"/>
      <c r="M3727" s="245"/>
      <c r="N3727" s="168"/>
    </row>
    <row r="3728" ht="22.5" hidden="1" customHeight="1">
      <c r="A3728" s="137"/>
      <c r="B3728" s="90"/>
      <c r="C3728" s="55"/>
      <c r="D3728" s="193"/>
      <c r="E3728" s="201"/>
      <c r="F3728" s="202"/>
      <c r="G3728" s="194"/>
      <c r="H3728" s="198"/>
      <c r="I3728" s="196"/>
      <c r="J3728" s="179" t="str">
        <f>IF(A3728="RAPPI",(VLOOKUP(TRIM(D3728), CATALOGO!F:G, 2, FALSE) * C3728)+I3728,IFERROR(IF(COUNTIF('RESTAURANTESDESCUENTOS 2026'!A:A,TRIM(A3728))&gt;0,((VLOOKUP(TRIM(D3728), CATALOGO!A:B, 2, FALSE) * C3728)*(1-VALUE(SUBSTITUTE(VLOOKUP(TRIM(A3728),'RESTAURANTESDESCUENTOS 2026'!A:B,2,FALSE),"%",""))/100)+I3728),(VLOOKUP(TRIM(D3728), CATALOGO!A:B, 2, FALSE) * C3728+I3728)),""))</f>
        <v/>
      </c>
      <c r="K3728" s="196"/>
      <c r="L3728" s="87"/>
      <c r="M3728" s="245"/>
      <c r="N3728" s="168"/>
    </row>
    <row r="3729" ht="22.5" hidden="1" customHeight="1">
      <c r="A3729" s="137"/>
      <c r="B3729" s="90"/>
      <c r="C3729" s="55"/>
      <c r="D3729" s="193"/>
      <c r="E3729" s="201"/>
      <c r="F3729" s="202"/>
      <c r="G3729" s="194"/>
      <c r="H3729" s="198"/>
      <c r="I3729" s="196"/>
      <c r="J3729" s="179" t="str">
        <f>IF(A3729="RAPPI",(VLOOKUP(TRIM(D3729), CATALOGO!F:G, 2, FALSE) * C3729)+I3729,IFERROR(IF(COUNTIF('RESTAURANTESDESCUENTOS 2026'!A:A,TRIM(A3729))&gt;0,((VLOOKUP(TRIM(D3729), CATALOGO!A:B, 2, FALSE) * C3729)*(1-VALUE(SUBSTITUTE(VLOOKUP(TRIM(A3729),'RESTAURANTESDESCUENTOS 2026'!A:B,2,FALSE),"%",""))/100)+I3729),(VLOOKUP(TRIM(D3729), CATALOGO!A:B, 2, FALSE) * C3729+I3729)),""))</f>
        <v/>
      </c>
      <c r="K3729" s="196"/>
      <c r="L3729" s="87"/>
      <c r="M3729" s="245"/>
      <c r="N3729" s="168"/>
    </row>
    <row r="3730" ht="22.5" hidden="1" customHeight="1">
      <c r="A3730" s="137"/>
      <c r="B3730" s="90"/>
      <c r="C3730" s="55"/>
      <c r="D3730" s="193"/>
      <c r="E3730" s="201"/>
      <c r="F3730" s="202"/>
      <c r="G3730" s="194"/>
      <c r="H3730" s="198"/>
      <c r="I3730" s="196"/>
      <c r="J3730" s="179" t="str">
        <f>IF(A3730="RAPPI",(VLOOKUP(TRIM(D3730), CATALOGO!F:G, 2, FALSE) * C3730)+I3730,IFERROR(IF(COUNTIF('RESTAURANTESDESCUENTOS 2026'!A:A,TRIM(A3730))&gt;0,((VLOOKUP(TRIM(D3730), CATALOGO!A:B, 2, FALSE) * C3730)*(1-VALUE(SUBSTITUTE(VLOOKUP(TRIM(A3730),'RESTAURANTESDESCUENTOS 2026'!A:B,2,FALSE),"%",""))/100)+I3730),(VLOOKUP(TRIM(D3730), CATALOGO!A:B, 2, FALSE) * C3730+I3730)),""))</f>
        <v/>
      </c>
      <c r="K3730" s="196"/>
      <c r="L3730" s="87"/>
      <c r="M3730" s="245"/>
      <c r="N3730" s="168"/>
    </row>
    <row r="3731" ht="22.5" hidden="1" customHeight="1">
      <c r="A3731" s="137"/>
      <c r="B3731" s="90"/>
      <c r="C3731" s="55"/>
      <c r="D3731" s="193"/>
      <c r="E3731" s="201"/>
      <c r="F3731" s="202"/>
      <c r="G3731" s="194"/>
      <c r="H3731" s="198"/>
      <c r="I3731" s="196"/>
      <c r="J3731" s="179" t="str">
        <f>IF(A3731="RAPPI",(VLOOKUP(TRIM(D3731), CATALOGO!F:G, 2, FALSE) * C3731)+I3731,IFERROR(IF(COUNTIF('RESTAURANTESDESCUENTOS 2026'!A:A,TRIM(A3731))&gt;0,((VLOOKUP(TRIM(D3731), CATALOGO!A:B, 2, FALSE) * C3731)*(1-VALUE(SUBSTITUTE(VLOOKUP(TRIM(A3731),'RESTAURANTESDESCUENTOS 2026'!A:B,2,FALSE),"%",""))/100)+I3731),(VLOOKUP(TRIM(D3731), CATALOGO!A:B, 2, FALSE) * C3731+I3731)),""))</f>
        <v/>
      </c>
      <c r="K3731" s="196"/>
      <c r="L3731" s="87"/>
      <c r="M3731" s="245"/>
      <c r="N3731" s="168"/>
    </row>
    <row r="3732" ht="22.5" hidden="1" customHeight="1">
      <c r="A3732" s="137"/>
      <c r="B3732" s="90"/>
      <c r="C3732" s="55"/>
      <c r="D3732" s="193"/>
      <c r="E3732" s="201"/>
      <c r="F3732" s="202"/>
      <c r="G3732" s="194"/>
      <c r="H3732" s="198"/>
      <c r="I3732" s="196"/>
      <c r="J3732" s="179" t="str">
        <f>IF(A3732="RAPPI",(VLOOKUP(TRIM(D3732), CATALOGO!F:G, 2, FALSE) * C3732)+I3732,IFERROR(IF(COUNTIF('RESTAURANTESDESCUENTOS 2026'!A:A,TRIM(A3732))&gt;0,((VLOOKUP(TRIM(D3732), CATALOGO!A:B, 2, FALSE) * C3732)*(1-VALUE(SUBSTITUTE(VLOOKUP(TRIM(A3732),'RESTAURANTESDESCUENTOS 2026'!A:B,2,FALSE),"%",""))/100)+I3732),(VLOOKUP(TRIM(D3732), CATALOGO!A:B, 2, FALSE) * C3732+I3732)),""))</f>
        <v/>
      </c>
      <c r="K3732" s="196"/>
      <c r="L3732" s="87"/>
      <c r="M3732" s="245"/>
      <c r="N3732" s="168"/>
    </row>
    <row r="3733" ht="22.5" hidden="1" customHeight="1">
      <c r="A3733" s="137"/>
      <c r="B3733" s="90"/>
      <c r="C3733" s="55"/>
      <c r="D3733" s="193"/>
      <c r="E3733" s="201"/>
      <c r="F3733" s="202"/>
      <c r="G3733" s="194"/>
      <c r="H3733" s="198"/>
      <c r="I3733" s="196"/>
      <c r="J3733" s="179" t="str">
        <f>IF(A3733="RAPPI",(VLOOKUP(TRIM(D3733), CATALOGO!F:G, 2, FALSE) * C3733)+I3733,IFERROR(IF(COUNTIF('RESTAURANTESDESCUENTOS 2026'!A:A,TRIM(A3733))&gt;0,((VLOOKUP(TRIM(D3733), CATALOGO!A:B, 2, FALSE) * C3733)*(1-VALUE(SUBSTITUTE(VLOOKUP(TRIM(A3733),'RESTAURANTESDESCUENTOS 2026'!A:B,2,FALSE),"%",""))/100)+I3733),(VLOOKUP(TRIM(D3733), CATALOGO!A:B, 2, FALSE) * C3733+I3733)),""))</f>
        <v/>
      </c>
      <c r="K3733" s="196"/>
      <c r="L3733" s="87"/>
      <c r="M3733" s="245"/>
      <c r="N3733" s="168"/>
    </row>
    <row r="3734" ht="22.5" hidden="1" customHeight="1">
      <c r="A3734" s="137"/>
      <c r="B3734" s="90"/>
      <c r="C3734" s="55"/>
      <c r="D3734" s="193"/>
      <c r="E3734" s="201"/>
      <c r="F3734" s="202"/>
      <c r="G3734" s="194"/>
      <c r="H3734" s="198"/>
      <c r="I3734" s="196"/>
      <c r="J3734" s="179" t="str">
        <f>IF(A3734="RAPPI",(VLOOKUP(TRIM(D3734), CATALOGO!F:G, 2, FALSE) * C3734)+I3734,IFERROR(IF(COUNTIF('RESTAURANTESDESCUENTOS 2026'!A:A,TRIM(A3734))&gt;0,((VLOOKUP(TRIM(D3734), CATALOGO!A:B, 2, FALSE) * C3734)*(1-VALUE(SUBSTITUTE(VLOOKUP(TRIM(A3734),'RESTAURANTESDESCUENTOS 2026'!A:B,2,FALSE),"%",""))/100)+I3734),(VLOOKUP(TRIM(D3734), CATALOGO!A:B, 2, FALSE) * C3734+I3734)),""))</f>
        <v/>
      </c>
      <c r="K3734" s="196"/>
      <c r="L3734" s="87"/>
      <c r="M3734" s="245"/>
      <c r="N3734" s="168"/>
    </row>
    <row r="3735" ht="22.5" hidden="1" customHeight="1">
      <c r="A3735" s="137"/>
      <c r="B3735" s="90"/>
      <c r="C3735" s="55"/>
      <c r="D3735" s="193"/>
      <c r="E3735" s="201"/>
      <c r="F3735" s="202"/>
      <c r="G3735" s="194"/>
      <c r="H3735" s="198"/>
      <c r="I3735" s="196"/>
      <c r="J3735" s="179" t="str">
        <f>IF(A3735="RAPPI",(VLOOKUP(TRIM(D3735), CATALOGO!F:G, 2, FALSE) * C3735)+I3735,IFERROR(IF(COUNTIF('RESTAURANTESDESCUENTOS 2026'!A:A,TRIM(A3735))&gt;0,((VLOOKUP(TRIM(D3735), CATALOGO!A:B, 2, FALSE) * C3735)*(1-VALUE(SUBSTITUTE(VLOOKUP(TRIM(A3735),'RESTAURANTESDESCUENTOS 2026'!A:B,2,FALSE),"%",""))/100)+I3735),(VLOOKUP(TRIM(D3735), CATALOGO!A:B, 2, FALSE) * C3735+I3735)),""))</f>
        <v/>
      </c>
      <c r="K3735" s="196"/>
      <c r="L3735" s="87"/>
      <c r="M3735" s="245"/>
      <c r="N3735" s="168"/>
    </row>
    <row r="3736" ht="22.5" hidden="1" customHeight="1">
      <c r="A3736" s="137"/>
      <c r="B3736" s="90"/>
      <c r="C3736" s="55"/>
      <c r="D3736" s="193"/>
      <c r="E3736" s="201"/>
      <c r="F3736" s="202"/>
      <c r="G3736" s="194"/>
      <c r="H3736" s="198"/>
      <c r="I3736" s="196"/>
      <c r="J3736" s="179" t="str">
        <f>IF(A3736="RAPPI",(VLOOKUP(TRIM(D3736), CATALOGO!F:G, 2, FALSE) * C3736)+I3736,IFERROR(IF(COUNTIF('RESTAURANTESDESCUENTOS 2026'!A:A,TRIM(A3736))&gt;0,((VLOOKUP(TRIM(D3736), CATALOGO!A:B, 2, FALSE) * C3736)*(1-VALUE(SUBSTITUTE(VLOOKUP(TRIM(A3736),'RESTAURANTESDESCUENTOS 2026'!A:B,2,FALSE),"%",""))/100)+I3736),(VLOOKUP(TRIM(D3736), CATALOGO!A:B, 2, FALSE) * C3736+I3736)),""))</f>
        <v/>
      </c>
      <c r="K3736" s="196"/>
      <c r="L3736" s="87"/>
      <c r="M3736" s="245"/>
      <c r="N3736" s="168"/>
    </row>
    <row r="3737" ht="22.5" hidden="1" customHeight="1">
      <c r="A3737" s="137"/>
      <c r="B3737" s="90"/>
      <c r="C3737" s="55"/>
      <c r="D3737" s="193"/>
      <c r="E3737" s="201"/>
      <c r="F3737" s="202"/>
      <c r="G3737" s="194"/>
      <c r="H3737" s="198"/>
      <c r="I3737" s="196"/>
      <c r="J3737" s="179" t="str">
        <f>IF(A3737="RAPPI",(VLOOKUP(TRIM(D3737), CATALOGO!F:G, 2, FALSE) * C3737)+I3737,IFERROR(IF(COUNTIF('RESTAURANTESDESCUENTOS 2026'!A:A,TRIM(A3737))&gt;0,((VLOOKUP(TRIM(D3737), CATALOGO!A:B, 2, FALSE) * C3737)*(1-VALUE(SUBSTITUTE(VLOOKUP(TRIM(A3737),'RESTAURANTESDESCUENTOS 2026'!A:B,2,FALSE),"%",""))/100)+I3737),(VLOOKUP(TRIM(D3737), CATALOGO!A:B, 2, FALSE) * C3737+I3737)),""))</f>
        <v/>
      </c>
      <c r="K3737" s="196"/>
      <c r="L3737" s="87"/>
      <c r="M3737" s="245"/>
      <c r="N3737" s="168"/>
    </row>
    <row r="3738" ht="22.5" hidden="1" customHeight="1">
      <c r="A3738" s="137"/>
      <c r="B3738" s="90"/>
      <c r="C3738" s="55"/>
      <c r="D3738" s="193"/>
      <c r="E3738" s="201"/>
      <c r="F3738" s="202"/>
      <c r="G3738" s="194"/>
      <c r="H3738" s="198"/>
      <c r="I3738" s="196"/>
      <c r="J3738" s="179" t="str">
        <f>IF(A3738="RAPPI",(VLOOKUP(TRIM(D3738), CATALOGO!F:G, 2, FALSE) * C3738)+I3738,IFERROR(IF(COUNTIF('RESTAURANTESDESCUENTOS 2026'!A:A,TRIM(A3738))&gt;0,((VLOOKUP(TRIM(D3738), CATALOGO!A:B, 2, FALSE) * C3738)*(1-VALUE(SUBSTITUTE(VLOOKUP(TRIM(A3738),'RESTAURANTESDESCUENTOS 2026'!A:B,2,FALSE),"%",""))/100)+I3738),(VLOOKUP(TRIM(D3738), CATALOGO!A:B, 2, FALSE) * C3738+I3738)),""))</f>
        <v/>
      </c>
      <c r="K3738" s="196"/>
      <c r="L3738" s="87"/>
      <c r="M3738" s="245"/>
      <c r="N3738" s="168"/>
    </row>
    <row r="3739" ht="22.5" hidden="1" customHeight="1">
      <c r="A3739" s="137"/>
      <c r="B3739" s="90"/>
      <c r="C3739" s="55"/>
      <c r="D3739" s="193"/>
      <c r="E3739" s="201"/>
      <c r="F3739" s="202"/>
      <c r="G3739" s="194"/>
      <c r="H3739" s="198"/>
      <c r="I3739" s="196"/>
      <c r="J3739" s="179" t="str">
        <f>IF(A3739="RAPPI",(VLOOKUP(TRIM(D3739), CATALOGO!F:G, 2, FALSE) * C3739)+I3739,IFERROR(IF(COUNTIF('RESTAURANTESDESCUENTOS 2026'!A:A,TRIM(A3739))&gt;0,((VLOOKUP(TRIM(D3739), CATALOGO!A:B, 2, FALSE) * C3739)*(1-VALUE(SUBSTITUTE(VLOOKUP(TRIM(A3739),'RESTAURANTESDESCUENTOS 2026'!A:B,2,FALSE),"%",""))/100)+I3739),(VLOOKUP(TRIM(D3739), CATALOGO!A:B, 2, FALSE) * C3739+I3739)),""))</f>
        <v/>
      </c>
      <c r="K3739" s="196"/>
      <c r="L3739" s="87"/>
      <c r="M3739" s="245"/>
      <c r="N3739" s="168"/>
    </row>
    <row r="3740" ht="22.5" hidden="1" customHeight="1">
      <c r="A3740" s="137"/>
      <c r="B3740" s="90"/>
      <c r="C3740" s="55"/>
      <c r="D3740" s="193"/>
      <c r="E3740" s="201"/>
      <c r="F3740" s="202"/>
      <c r="G3740" s="194"/>
      <c r="H3740" s="198"/>
      <c r="I3740" s="196"/>
      <c r="J3740" s="179" t="str">
        <f>IF(A3740="RAPPI",(VLOOKUP(TRIM(D3740), CATALOGO!F:G, 2, FALSE) * C3740)+I3740,IFERROR(IF(COUNTIF('RESTAURANTESDESCUENTOS 2026'!A:A,TRIM(A3740))&gt;0,((VLOOKUP(TRIM(D3740), CATALOGO!A:B, 2, FALSE) * C3740)*(1-VALUE(SUBSTITUTE(VLOOKUP(TRIM(A3740),'RESTAURANTESDESCUENTOS 2026'!A:B,2,FALSE),"%",""))/100)+I3740),(VLOOKUP(TRIM(D3740), CATALOGO!A:B, 2, FALSE) * C3740+I3740)),""))</f>
        <v/>
      </c>
      <c r="K3740" s="196"/>
      <c r="L3740" s="87"/>
      <c r="M3740" s="245"/>
      <c r="N3740" s="168"/>
    </row>
    <row r="3741" ht="22.5" hidden="1" customHeight="1">
      <c r="A3741" s="137"/>
      <c r="B3741" s="90"/>
      <c r="C3741" s="55"/>
      <c r="D3741" s="193"/>
      <c r="E3741" s="201"/>
      <c r="F3741" s="202"/>
      <c r="G3741" s="194"/>
      <c r="H3741" s="198"/>
      <c r="I3741" s="196"/>
      <c r="J3741" s="179" t="str">
        <f>IF(A3741="RAPPI",(VLOOKUP(TRIM(D3741), CATALOGO!F:G, 2, FALSE) * C3741)+I3741,IFERROR(IF(COUNTIF('RESTAURANTESDESCUENTOS 2026'!A:A,TRIM(A3741))&gt;0,((VLOOKUP(TRIM(D3741), CATALOGO!A:B, 2, FALSE) * C3741)*(1-VALUE(SUBSTITUTE(VLOOKUP(TRIM(A3741),'RESTAURANTESDESCUENTOS 2026'!A:B,2,FALSE),"%",""))/100)+I3741),(VLOOKUP(TRIM(D3741), CATALOGO!A:B, 2, FALSE) * C3741+I3741)),""))</f>
        <v/>
      </c>
      <c r="K3741" s="196"/>
      <c r="L3741" s="87"/>
      <c r="M3741" s="245"/>
      <c r="N3741" s="168"/>
    </row>
    <row r="3742" ht="22.5" hidden="1" customHeight="1">
      <c r="A3742" s="137"/>
      <c r="B3742" s="90"/>
      <c r="C3742" s="55"/>
      <c r="D3742" s="193"/>
      <c r="E3742" s="201"/>
      <c r="F3742" s="202"/>
      <c r="G3742" s="194"/>
      <c r="H3742" s="198"/>
      <c r="I3742" s="196"/>
      <c r="J3742" s="179" t="str">
        <f>IF(A3742="RAPPI",(VLOOKUP(TRIM(D3742), CATALOGO!F:G, 2, FALSE) * C3742)+I3742,IFERROR(IF(COUNTIF('RESTAURANTESDESCUENTOS 2026'!A:A,TRIM(A3742))&gt;0,((VLOOKUP(TRIM(D3742), CATALOGO!A:B, 2, FALSE) * C3742)*(1-VALUE(SUBSTITUTE(VLOOKUP(TRIM(A3742),'RESTAURANTESDESCUENTOS 2026'!A:B,2,FALSE),"%",""))/100)+I3742),(VLOOKUP(TRIM(D3742), CATALOGO!A:B, 2, FALSE) * C3742+I3742)),""))</f>
        <v/>
      </c>
      <c r="K3742" s="196"/>
      <c r="L3742" s="87"/>
      <c r="M3742" s="245"/>
      <c r="N3742" s="168"/>
    </row>
    <row r="3743" ht="22.5" hidden="1" customHeight="1">
      <c r="A3743" s="137"/>
      <c r="B3743" s="90"/>
      <c r="C3743" s="55"/>
      <c r="D3743" s="193"/>
      <c r="E3743" s="201"/>
      <c r="F3743" s="202"/>
      <c r="G3743" s="194"/>
      <c r="H3743" s="198"/>
      <c r="I3743" s="196"/>
      <c r="J3743" s="179" t="str">
        <f>IF(A3743="RAPPI",(VLOOKUP(TRIM(D3743), CATALOGO!F:G, 2, FALSE) * C3743)+I3743,IFERROR(IF(COUNTIF('RESTAURANTESDESCUENTOS 2026'!A:A,TRIM(A3743))&gt;0,((VLOOKUP(TRIM(D3743), CATALOGO!A:B, 2, FALSE) * C3743)*(1-VALUE(SUBSTITUTE(VLOOKUP(TRIM(A3743),'RESTAURANTESDESCUENTOS 2026'!A:B,2,FALSE),"%",""))/100)+I3743),(VLOOKUP(TRIM(D3743), CATALOGO!A:B, 2, FALSE) * C3743+I3743)),""))</f>
        <v/>
      </c>
      <c r="K3743" s="196"/>
      <c r="L3743" s="87"/>
      <c r="M3743" s="245"/>
      <c r="N3743" s="168"/>
    </row>
    <row r="3744" ht="22.5" hidden="1" customHeight="1">
      <c r="A3744" s="137"/>
      <c r="B3744" s="90"/>
      <c r="C3744" s="55"/>
      <c r="D3744" s="193"/>
      <c r="E3744" s="201"/>
      <c r="F3744" s="202"/>
      <c r="G3744" s="194"/>
      <c r="H3744" s="198"/>
      <c r="I3744" s="196"/>
      <c r="J3744" s="179" t="str">
        <f>IF(A3744="RAPPI",(VLOOKUP(TRIM(D3744), CATALOGO!F:G, 2, FALSE) * C3744)+I3744,IFERROR(IF(COUNTIF('RESTAURANTESDESCUENTOS 2026'!A:A,TRIM(A3744))&gt;0,((VLOOKUP(TRIM(D3744), CATALOGO!A:B, 2, FALSE) * C3744)*(1-VALUE(SUBSTITUTE(VLOOKUP(TRIM(A3744),'RESTAURANTESDESCUENTOS 2026'!A:B,2,FALSE),"%",""))/100)+I3744),(VLOOKUP(TRIM(D3744), CATALOGO!A:B, 2, FALSE) * C3744+I3744)),""))</f>
        <v/>
      </c>
      <c r="K3744" s="196"/>
      <c r="L3744" s="87"/>
      <c r="M3744" s="245"/>
      <c r="N3744" s="168"/>
    </row>
    <row r="3745" ht="22.5" hidden="1" customHeight="1">
      <c r="A3745" s="137"/>
      <c r="B3745" s="90"/>
      <c r="C3745" s="55"/>
      <c r="D3745" s="193"/>
      <c r="E3745" s="201"/>
      <c r="F3745" s="202"/>
      <c r="G3745" s="194"/>
      <c r="H3745" s="198"/>
      <c r="I3745" s="196"/>
      <c r="J3745" s="179" t="str">
        <f>IF(A3745="RAPPI",(VLOOKUP(TRIM(D3745), CATALOGO!F:G, 2, FALSE) * C3745)+I3745,IFERROR(IF(COUNTIF('RESTAURANTESDESCUENTOS 2026'!A:A,TRIM(A3745))&gt;0,((VLOOKUP(TRIM(D3745), CATALOGO!A:B, 2, FALSE) * C3745)*(1-VALUE(SUBSTITUTE(VLOOKUP(TRIM(A3745),'RESTAURANTESDESCUENTOS 2026'!A:B,2,FALSE),"%",""))/100)+I3745),(VLOOKUP(TRIM(D3745), CATALOGO!A:B, 2, FALSE) * C3745+I3745)),""))</f>
        <v/>
      </c>
      <c r="K3745" s="196"/>
      <c r="L3745" s="87"/>
      <c r="M3745" s="245"/>
      <c r="N3745" s="168"/>
    </row>
    <row r="3746" ht="22.5" hidden="1" customHeight="1">
      <c r="A3746" s="137"/>
      <c r="B3746" s="90"/>
      <c r="C3746" s="55"/>
      <c r="D3746" s="193"/>
      <c r="E3746" s="201"/>
      <c r="F3746" s="202"/>
      <c r="G3746" s="194"/>
      <c r="H3746" s="198"/>
      <c r="I3746" s="196"/>
      <c r="J3746" s="179" t="str">
        <f>IF(A3746="RAPPI",(VLOOKUP(TRIM(D3746), CATALOGO!F:G, 2, FALSE) * C3746)+I3746,IFERROR(IF(COUNTIF('RESTAURANTESDESCUENTOS 2026'!A:A,TRIM(A3746))&gt;0,((VLOOKUP(TRIM(D3746), CATALOGO!A:B, 2, FALSE) * C3746)*(1-VALUE(SUBSTITUTE(VLOOKUP(TRIM(A3746),'RESTAURANTESDESCUENTOS 2026'!A:B,2,FALSE),"%",""))/100)+I3746),(VLOOKUP(TRIM(D3746), CATALOGO!A:B, 2, FALSE) * C3746+I3746)),""))</f>
        <v/>
      </c>
      <c r="K3746" s="196"/>
      <c r="L3746" s="87"/>
      <c r="M3746" s="245"/>
      <c r="N3746" s="168"/>
    </row>
    <row r="3747" ht="22.5" hidden="1" customHeight="1">
      <c r="A3747" s="137"/>
      <c r="B3747" s="90"/>
      <c r="C3747" s="55"/>
      <c r="D3747" s="193"/>
      <c r="E3747" s="201"/>
      <c r="F3747" s="202"/>
      <c r="G3747" s="194"/>
      <c r="H3747" s="198"/>
      <c r="I3747" s="196"/>
      <c r="J3747" s="179" t="str">
        <f>IF(A3747="RAPPI",(VLOOKUP(TRIM(D3747), CATALOGO!F:G, 2, FALSE) * C3747)+I3747,IFERROR(IF(COUNTIF('RESTAURANTESDESCUENTOS 2026'!A:A,TRIM(A3747))&gt;0,((VLOOKUP(TRIM(D3747), CATALOGO!A:B, 2, FALSE) * C3747)*(1-VALUE(SUBSTITUTE(VLOOKUP(TRIM(A3747),'RESTAURANTESDESCUENTOS 2026'!A:B,2,FALSE),"%",""))/100)+I3747),(VLOOKUP(TRIM(D3747), CATALOGO!A:B, 2, FALSE) * C3747+I3747)),""))</f>
        <v/>
      </c>
      <c r="K3747" s="196"/>
      <c r="L3747" s="87"/>
      <c r="M3747" s="245"/>
      <c r="N3747" s="168"/>
    </row>
    <row r="3748" ht="22.5" hidden="1" customHeight="1">
      <c r="A3748" s="137"/>
      <c r="B3748" s="90"/>
      <c r="C3748" s="55"/>
      <c r="D3748" s="193"/>
      <c r="E3748" s="201"/>
      <c r="F3748" s="202"/>
      <c r="G3748" s="194"/>
      <c r="H3748" s="198"/>
      <c r="I3748" s="196"/>
      <c r="J3748" s="179" t="str">
        <f>IF(A3748="RAPPI",(VLOOKUP(TRIM(D3748), CATALOGO!F:G, 2, FALSE) * C3748)+I3748,IFERROR(IF(COUNTIF('RESTAURANTESDESCUENTOS 2026'!A:A,TRIM(A3748))&gt;0,((VLOOKUP(TRIM(D3748), CATALOGO!A:B, 2, FALSE) * C3748)*(1-VALUE(SUBSTITUTE(VLOOKUP(TRIM(A3748),'RESTAURANTESDESCUENTOS 2026'!A:B,2,FALSE),"%",""))/100)+I3748),(VLOOKUP(TRIM(D3748), CATALOGO!A:B, 2, FALSE) * C3748+I3748)),""))</f>
        <v/>
      </c>
      <c r="K3748" s="196"/>
      <c r="L3748" s="87"/>
      <c r="M3748" s="245"/>
      <c r="N3748" s="168"/>
    </row>
    <row r="3749" ht="22.5" hidden="1" customHeight="1">
      <c r="A3749" s="137"/>
      <c r="B3749" s="90"/>
      <c r="C3749" s="55"/>
      <c r="D3749" s="193"/>
      <c r="E3749" s="201"/>
      <c r="F3749" s="202"/>
      <c r="G3749" s="194"/>
      <c r="H3749" s="198"/>
      <c r="I3749" s="196"/>
      <c r="J3749" s="179" t="str">
        <f>IF(A3749="RAPPI",(VLOOKUP(TRIM(D3749), CATALOGO!F:G, 2, FALSE) * C3749)+I3749,IFERROR(IF(COUNTIF('RESTAURANTESDESCUENTOS 2026'!A:A,TRIM(A3749))&gt;0,((VLOOKUP(TRIM(D3749), CATALOGO!A:B, 2, FALSE) * C3749)*(1-VALUE(SUBSTITUTE(VLOOKUP(TRIM(A3749),'RESTAURANTESDESCUENTOS 2026'!A:B,2,FALSE),"%",""))/100)+I3749),(VLOOKUP(TRIM(D3749), CATALOGO!A:B, 2, FALSE) * C3749+I3749)),""))</f>
        <v/>
      </c>
      <c r="K3749" s="196"/>
      <c r="L3749" s="87"/>
      <c r="M3749" s="245"/>
      <c r="N3749" s="168"/>
    </row>
    <row r="3750" ht="22.5" hidden="1" customHeight="1">
      <c r="A3750" s="137"/>
      <c r="B3750" s="90"/>
      <c r="C3750" s="55"/>
      <c r="D3750" s="193"/>
      <c r="E3750" s="201"/>
      <c r="F3750" s="202"/>
      <c r="G3750" s="194"/>
      <c r="H3750" s="198"/>
      <c r="I3750" s="196"/>
      <c r="J3750" s="179" t="str">
        <f>IF(A3750="RAPPI",(VLOOKUP(TRIM(D3750), CATALOGO!F:G, 2, FALSE) * C3750)+I3750,IFERROR(IF(COUNTIF('RESTAURANTESDESCUENTOS 2026'!A:A,TRIM(A3750))&gt;0,((VLOOKUP(TRIM(D3750), CATALOGO!A:B, 2, FALSE) * C3750)*(1-VALUE(SUBSTITUTE(VLOOKUP(TRIM(A3750),'RESTAURANTESDESCUENTOS 2026'!A:B,2,FALSE),"%",""))/100)+I3750),(VLOOKUP(TRIM(D3750), CATALOGO!A:B, 2, FALSE) * C3750+I3750)),""))</f>
        <v/>
      </c>
      <c r="K3750" s="196"/>
      <c r="L3750" s="87"/>
      <c r="M3750" s="245"/>
      <c r="N3750" s="168"/>
    </row>
    <row r="3751" ht="22.5" hidden="1" customHeight="1">
      <c r="A3751" s="137"/>
      <c r="B3751" s="90"/>
      <c r="C3751" s="55"/>
      <c r="D3751" s="193"/>
      <c r="E3751" s="201"/>
      <c r="F3751" s="202"/>
      <c r="G3751" s="194"/>
      <c r="H3751" s="198"/>
      <c r="I3751" s="196"/>
      <c r="J3751" s="179" t="str">
        <f>IF(A3751="RAPPI",(VLOOKUP(TRIM(D3751), CATALOGO!F:G, 2, FALSE) * C3751)+I3751,IFERROR(IF(COUNTIF('RESTAURANTESDESCUENTOS 2026'!A:A,TRIM(A3751))&gt;0,((VLOOKUP(TRIM(D3751), CATALOGO!A:B, 2, FALSE) * C3751)*(1-VALUE(SUBSTITUTE(VLOOKUP(TRIM(A3751),'RESTAURANTESDESCUENTOS 2026'!A:B,2,FALSE),"%",""))/100)+I3751),(VLOOKUP(TRIM(D3751), CATALOGO!A:B, 2, FALSE) * C3751+I3751)),""))</f>
        <v/>
      </c>
      <c r="K3751" s="196"/>
      <c r="L3751" s="87"/>
      <c r="M3751" s="245"/>
      <c r="N3751" s="168"/>
    </row>
    <row r="3752" ht="22.5" hidden="1" customHeight="1">
      <c r="A3752" s="137"/>
      <c r="B3752" s="90"/>
      <c r="C3752" s="55"/>
      <c r="D3752" s="193"/>
      <c r="E3752" s="201"/>
      <c r="F3752" s="202"/>
      <c r="G3752" s="194"/>
      <c r="H3752" s="198"/>
      <c r="I3752" s="196"/>
      <c r="J3752" s="179" t="str">
        <f>IF(A3752="RAPPI",(VLOOKUP(TRIM(D3752), CATALOGO!F:G, 2, FALSE) * C3752)+I3752,IFERROR(IF(COUNTIF('RESTAURANTESDESCUENTOS 2026'!A:A,TRIM(A3752))&gt;0,((VLOOKUP(TRIM(D3752), CATALOGO!A:B, 2, FALSE) * C3752)*(1-VALUE(SUBSTITUTE(VLOOKUP(TRIM(A3752),'RESTAURANTESDESCUENTOS 2026'!A:B,2,FALSE),"%",""))/100)+I3752),(VLOOKUP(TRIM(D3752), CATALOGO!A:B, 2, FALSE) * C3752+I3752)),""))</f>
        <v/>
      </c>
      <c r="K3752" s="196"/>
      <c r="L3752" s="87"/>
      <c r="M3752" s="245"/>
      <c r="N3752" s="168"/>
    </row>
    <row r="3753" ht="22.5" hidden="1" customHeight="1">
      <c r="A3753" s="137"/>
      <c r="B3753" s="90"/>
      <c r="C3753" s="55"/>
      <c r="D3753" s="193"/>
      <c r="E3753" s="201"/>
      <c r="F3753" s="202"/>
      <c r="G3753" s="194"/>
      <c r="H3753" s="198"/>
      <c r="I3753" s="196"/>
      <c r="J3753" s="179" t="str">
        <f>IF(A3753="RAPPI",(VLOOKUP(TRIM(D3753), CATALOGO!F:G, 2, FALSE) * C3753)+I3753,IFERROR(IF(COUNTIF('RESTAURANTESDESCUENTOS 2026'!A:A,TRIM(A3753))&gt;0,((VLOOKUP(TRIM(D3753), CATALOGO!A:B, 2, FALSE) * C3753)*(1-VALUE(SUBSTITUTE(VLOOKUP(TRIM(A3753),'RESTAURANTESDESCUENTOS 2026'!A:B,2,FALSE),"%",""))/100)+I3753),(VLOOKUP(TRIM(D3753), CATALOGO!A:B, 2, FALSE) * C3753+I3753)),""))</f>
        <v/>
      </c>
      <c r="K3753" s="196"/>
      <c r="L3753" s="87"/>
      <c r="M3753" s="245"/>
      <c r="N3753" s="168"/>
    </row>
    <row r="3754" ht="22.5" hidden="1" customHeight="1">
      <c r="A3754" s="137"/>
      <c r="B3754" s="90"/>
      <c r="C3754" s="55"/>
      <c r="D3754" s="193"/>
      <c r="E3754" s="201"/>
      <c r="F3754" s="202"/>
      <c r="G3754" s="194"/>
      <c r="H3754" s="198"/>
      <c r="I3754" s="196"/>
      <c r="J3754" s="179" t="str">
        <f>IF(A3754="RAPPI",(VLOOKUP(TRIM(D3754), CATALOGO!F:G, 2, FALSE) * C3754)+I3754,IFERROR(IF(COUNTIF('RESTAURANTESDESCUENTOS 2026'!A:A,TRIM(A3754))&gt;0,((VLOOKUP(TRIM(D3754), CATALOGO!A:B, 2, FALSE) * C3754)*(1-VALUE(SUBSTITUTE(VLOOKUP(TRIM(A3754),'RESTAURANTESDESCUENTOS 2026'!A:B,2,FALSE),"%",""))/100)+I3754),(VLOOKUP(TRIM(D3754), CATALOGO!A:B, 2, FALSE) * C3754+I3754)),""))</f>
        <v/>
      </c>
      <c r="K3754" s="196"/>
      <c r="L3754" s="87"/>
      <c r="M3754" s="245"/>
      <c r="N3754" s="168"/>
    </row>
    <row r="3755" ht="22.5" hidden="1" customHeight="1">
      <c r="A3755" s="137"/>
      <c r="B3755" s="90"/>
      <c r="C3755" s="55"/>
      <c r="D3755" s="193"/>
      <c r="E3755" s="201"/>
      <c r="F3755" s="202"/>
      <c r="G3755" s="194"/>
      <c r="H3755" s="198"/>
      <c r="I3755" s="196"/>
      <c r="J3755" s="179" t="str">
        <f>IF(A3755="RAPPI",(VLOOKUP(TRIM(D3755), CATALOGO!F:G, 2, FALSE) * C3755)+I3755,IFERROR(IF(COUNTIF('RESTAURANTESDESCUENTOS 2026'!A:A,TRIM(A3755))&gt;0,((VLOOKUP(TRIM(D3755), CATALOGO!A:B, 2, FALSE) * C3755)*(1-VALUE(SUBSTITUTE(VLOOKUP(TRIM(A3755),'RESTAURANTESDESCUENTOS 2026'!A:B,2,FALSE),"%",""))/100)+I3755),(VLOOKUP(TRIM(D3755), CATALOGO!A:B, 2, FALSE) * C3755+I3755)),""))</f>
        <v/>
      </c>
      <c r="K3755" s="196"/>
      <c r="L3755" s="87"/>
      <c r="M3755" s="245"/>
      <c r="N3755" s="168"/>
    </row>
    <row r="3756" ht="22.5" hidden="1" customHeight="1">
      <c r="A3756" s="137"/>
      <c r="B3756" s="90"/>
      <c r="C3756" s="55"/>
      <c r="D3756" s="193"/>
      <c r="E3756" s="201"/>
      <c r="F3756" s="202"/>
      <c r="G3756" s="194"/>
      <c r="H3756" s="198"/>
      <c r="I3756" s="196"/>
      <c r="J3756" s="179" t="str">
        <f>IF(A3756="RAPPI",(VLOOKUP(TRIM(D3756), CATALOGO!F:G, 2, FALSE) * C3756)+I3756,IFERROR(IF(COUNTIF('RESTAURANTESDESCUENTOS 2026'!A:A,TRIM(A3756))&gt;0,((VLOOKUP(TRIM(D3756), CATALOGO!A:B, 2, FALSE) * C3756)*(1-VALUE(SUBSTITUTE(VLOOKUP(TRIM(A3756),'RESTAURANTESDESCUENTOS 2026'!A:B,2,FALSE),"%",""))/100)+I3756),(VLOOKUP(TRIM(D3756), CATALOGO!A:B, 2, FALSE) * C3756+I3756)),""))</f>
        <v/>
      </c>
      <c r="K3756" s="196"/>
      <c r="L3756" s="87"/>
      <c r="M3756" s="245"/>
      <c r="N3756" s="168"/>
    </row>
    <row r="3757" ht="22.5" hidden="1" customHeight="1">
      <c r="A3757" s="137"/>
      <c r="B3757" s="90"/>
      <c r="C3757" s="55"/>
      <c r="D3757" s="193"/>
      <c r="E3757" s="201"/>
      <c r="F3757" s="202"/>
      <c r="G3757" s="194"/>
      <c r="H3757" s="198"/>
      <c r="I3757" s="196"/>
      <c r="J3757" s="179" t="str">
        <f>IF(A3757="RAPPI",(VLOOKUP(TRIM(D3757), CATALOGO!F:G, 2, FALSE) * C3757)+I3757,IFERROR(IF(COUNTIF('RESTAURANTESDESCUENTOS 2026'!A:A,TRIM(A3757))&gt;0,((VLOOKUP(TRIM(D3757), CATALOGO!A:B, 2, FALSE) * C3757)*(1-VALUE(SUBSTITUTE(VLOOKUP(TRIM(A3757),'RESTAURANTESDESCUENTOS 2026'!A:B,2,FALSE),"%",""))/100)+I3757),(VLOOKUP(TRIM(D3757), CATALOGO!A:B, 2, FALSE) * C3757+I3757)),""))</f>
        <v/>
      </c>
      <c r="K3757" s="196"/>
      <c r="L3757" s="87"/>
      <c r="M3757" s="245"/>
      <c r="N3757" s="168"/>
    </row>
    <row r="3758" ht="22.5" hidden="1" customHeight="1">
      <c r="A3758" s="137"/>
      <c r="B3758" s="90"/>
      <c r="C3758" s="55"/>
      <c r="D3758" s="193"/>
      <c r="E3758" s="201"/>
      <c r="F3758" s="202"/>
      <c r="G3758" s="194"/>
      <c r="H3758" s="198"/>
      <c r="I3758" s="196"/>
      <c r="J3758" s="179" t="str">
        <f>IF(A3758="RAPPI",(VLOOKUP(TRIM(D3758), CATALOGO!F:G, 2, FALSE) * C3758)+I3758,IFERROR(IF(COUNTIF('RESTAURANTESDESCUENTOS 2026'!A:A,TRIM(A3758))&gt;0,((VLOOKUP(TRIM(D3758), CATALOGO!A:B, 2, FALSE) * C3758)*(1-VALUE(SUBSTITUTE(VLOOKUP(TRIM(A3758),'RESTAURANTESDESCUENTOS 2026'!A:B,2,FALSE),"%",""))/100)+I3758),(VLOOKUP(TRIM(D3758), CATALOGO!A:B, 2, FALSE) * C3758+I3758)),""))</f>
        <v/>
      </c>
      <c r="K3758" s="196"/>
      <c r="L3758" s="87"/>
      <c r="M3758" s="245"/>
      <c r="N3758" s="168"/>
    </row>
    <row r="3759" ht="22.5" hidden="1" customHeight="1">
      <c r="A3759" s="137"/>
      <c r="B3759" s="90"/>
      <c r="C3759" s="55"/>
      <c r="D3759" s="193"/>
      <c r="E3759" s="201"/>
      <c r="F3759" s="202"/>
      <c r="G3759" s="194"/>
      <c r="H3759" s="198"/>
      <c r="I3759" s="196"/>
      <c r="J3759" s="179" t="str">
        <f>IF(A3759="RAPPI",(VLOOKUP(TRIM(D3759), CATALOGO!F:G, 2, FALSE) * C3759)+I3759,IFERROR(IF(COUNTIF('RESTAURANTESDESCUENTOS 2026'!A:A,TRIM(A3759))&gt;0,((VLOOKUP(TRIM(D3759), CATALOGO!A:B, 2, FALSE) * C3759)*(1-VALUE(SUBSTITUTE(VLOOKUP(TRIM(A3759),'RESTAURANTESDESCUENTOS 2026'!A:B,2,FALSE),"%",""))/100)+I3759),(VLOOKUP(TRIM(D3759), CATALOGO!A:B, 2, FALSE) * C3759+I3759)),""))</f>
        <v/>
      </c>
      <c r="K3759" s="196"/>
      <c r="L3759" s="87"/>
      <c r="M3759" s="245"/>
      <c r="N3759" s="168"/>
    </row>
    <row r="3760" ht="22.5" hidden="1" customHeight="1">
      <c r="A3760" s="137"/>
      <c r="B3760" s="90"/>
      <c r="C3760" s="55"/>
      <c r="D3760" s="193"/>
      <c r="E3760" s="201"/>
      <c r="F3760" s="202"/>
      <c r="G3760" s="194"/>
      <c r="H3760" s="198"/>
      <c r="I3760" s="196"/>
      <c r="J3760" s="179" t="str">
        <f>IF(A3760="RAPPI",(VLOOKUP(TRIM(D3760), CATALOGO!F:G, 2, FALSE) * C3760)+I3760,IFERROR(IF(COUNTIF('RESTAURANTESDESCUENTOS 2026'!A:A,TRIM(A3760))&gt;0,((VLOOKUP(TRIM(D3760), CATALOGO!A:B, 2, FALSE) * C3760)*(1-VALUE(SUBSTITUTE(VLOOKUP(TRIM(A3760),'RESTAURANTESDESCUENTOS 2026'!A:B,2,FALSE),"%",""))/100)+I3760),(VLOOKUP(TRIM(D3760), CATALOGO!A:B, 2, FALSE) * C3760+I3760)),""))</f>
        <v/>
      </c>
      <c r="K3760" s="196"/>
      <c r="L3760" s="87"/>
      <c r="M3760" s="245"/>
      <c r="N3760" s="168"/>
    </row>
    <row r="3761" ht="22.5" hidden="1" customHeight="1">
      <c r="A3761" s="137"/>
      <c r="B3761" s="90"/>
      <c r="C3761" s="55"/>
      <c r="D3761" s="193"/>
      <c r="E3761" s="201"/>
      <c r="F3761" s="202"/>
      <c r="G3761" s="194"/>
      <c r="H3761" s="198"/>
      <c r="I3761" s="196"/>
      <c r="J3761" s="179" t="str">
        <f>IF(A3761="RAPPI",(VLOOKUP(TRIM(D3761), CATALOGO!F:G, 2, FALSE) * C3761)+I3761,IFERROR(IF(COUNTIF('RESTAURANTESDESCUENTOS 2026'!A:A,TRIM(A3761))&gt;0,((VLOOKUP(TRIM(D3761), CATALOGO!A:B, 2, FALSE) * C3761)*(1-VALUE(SUBSTITUTE(VLOOKUP(TRIM(A3761),'RESTAURANTESDESCUENTOS 2026'!A:B,2,FALSE),"%",""))/100)+I3761),(VLOOKUP(TRIM(D3761), CATALOGO!A:B, 2, FALSE) * C3761+I3761)),""))</f>
        <v/>
      </c>
      <c r="K3761" s="196"/>
      <c r="L3761" s="87"/>
      <c r="M3761" s="245"/>
      <c r="N3761" s="168"/>
    </row>
    <row r="3762" ht="22.5" hidden="1" customHeight="1">
      <c r="A3762" s="137"/>
      <c r="B3762" s="90"/>
      <c r="C3762" s="55"/>
      <c r="D3762" s="193"/>
      <c r="E3762" s="201"/>
      <c r="F3762" s="202"/>
      <c r="G3762" s="194"/>
      <c r="H3762" s="198"/>
      <c r="I3762" s="196"/>
      <c r="J3762" s="179" t="str">
        <f>IF(A3762="RAPPI",(VLOOKUP(TRIM(D3762), CATALOGO!F:G, 2, FALSE) * C3762)+I3762,IFERROR(IF(COUNTIF('RESTAURANTESDESCUENTOS 2026'!A:A,TRIM(A3762))&gt;0,((VLOOKUP(TRIM(D3762), CATALOGO!A:B, 2, FALSE) * C3762)*(1-VALUE(SUBSTITUTE(VLOOKUP(TRIM(A3762),'RESTAURANTESDESCUENTOS 2026'!A:B,2,FALSE),"%",""))/100)+I3762),(VLOOKUP(TRIM(D3762), CATALOGO!A:B, 2, FALSE) * C3762+I3762)),""))</f>
        <v/>
      </c>
      <c r="K3762" s="196"/>
      <c r="L3762" s="87"/>
      <c r="M3762" s="245"/>
      <c r="N3762" s="168"/>
    </row>
    <row r="3763" ht="22.5" hidden="1" customHeight="1">
      <c r="A3763" s="137"/>
      <c r="B3763" s="90"/>
      <c r="C3763" s="55"/>
      <c r="D3763" s="193"/>
      <c r="E3763" s="201"/>
      <c r="F3763" s="202"/>
      <c r="G3763" s="194"/>
      <c r="H3763" s="198"/>
      <c r="I3763" s="196"/>
      <c r="J3763" s="179" t="str">
        <f>IF(A3763="RAPPI",(VLOOKUP(TRIM(D3763), CATALOGO!F:G, 2, FALSE) * C3763)+I3763,IFERROR(IF(COUNTIF('RESTAURANTESDESCUENTOS 2026'!A:A,TRIM(A3763))&gt;0,((VLOOKUP(TRIM(D3763), CATALOGO!A:B, 2, FALSE) * C3763)*(1-VALUE(SUBSTITUTE(VLOOKUP(TRIM(A3763),'RESTAURANTESDESCUENTOS 2026'!A:B,2,FALSE),"%",""))/100)+I3763),(VLOOKUP(TRIM(D3763), CATALOGO!A:B, 2, FALSE) * C3763+I3763)),""))</f>
        <v/>
      </c>
      <c r="K3763" s="196"/>
      <c r="L3763" s="87"/>
      <c r="M3763" s="245"/>
      <c r="N3763" s="168"/>
    </row>
    <row r="3764" ht="22.5" hidden="1" customHeight="1">
      <c r="A3764" s="137"/>
      <c r="B3764" s="90"/>
      <c r="C3764" s="55"/>
      <c r="D3764" s="193"/>
      <c r="E3764" s="201"/>
      <c r="F3764" s="202"/>
      <c r="G3764" s="194"/>
      <c r="H3764" s="198"/>
      <c r="I3764" s="196"/>
      <c r="J3764" s="179" t="str">
        <f>IF(A3764="RAPPI",(VLOOKUP(TRIM(D3764), CATALOGO!F:G, 2, FALSE) * C3764)+I3764,IFERROR(IF(COUNTIF('RESTAURANTESDESCUENTOS 2026'!A:A,TRIM(A3764))&gt;0,((VLOOKUP(TRIM(D3764), CATALOGO!A:B, 2, FALSE) * C3764)*(1-VALUE(SUBSTITUTE(VLOOKUP(TRIM(A3764),'RESTAURANTESDESCUENTOS 2026'!A:B,2,FALSE),"%",""))/100)+I3764),(VLOOKUP(TRIM(D3764), CATALOGO!A:B, 2, FALSE) * C3764+I3764)),""))</f>
        <v/>
      </c>
      <c r="K3764" s="196"/>
      <c r="L3764" s="87"/>
      <c r="M3764" s="245"/>
      <c r="N3764" s="168"/>
    </row>
    <row r="3765" ht="22.5" hidden="1" customHeight="1">
      <c r="A3765" s="137"/>
      <c r="B3765" s="90"/>
      <c r="C3765" s="55"/>
      <c r="D3765" s="193"/>
      <c r="E3765" s="201"/>
      <c r="F3765" s="202"/>
      <c r="G3765" s="194"/>
      <c r="H3765" s="198"/>
      <c r="I3765" s="196"/>
      <c r="J3765" s="179" t="str">
        <f>IF(A3765="RAPPI",(VLOOKUP(TRIM(D3765), CATALOGO!F:G, 2, FALSE) * C3765)+I3765,IFERROR(IF(COUNTIF('RESTAURANTESDESCUENTOS 2026'!A:A,TRIM(A3765))&gt;0,((VLOOKUP(TRIM(D3765), CATALOGO!A:B, 2, FALSE) * C3765)*(1-VALUE(SUBSTITUTE(VLOOKUP(TRIM(A3765),'RESTAURANTESDESCUENTOS 2026'!A:B,2,FALSE),"%",""))/100)+I3765),(VLOOKUP(TRIM(D3765), CATALOGO!A:B, 2, FALSE) * C3765+I3765)),""))</f>
        <v/>
      </c>
      <c r="K3765" s="196"/>
      <c r="L3765" s="87"/>
      <c r="M3765" s="245"/>
      <c r="N3765" s="168"/>
    </row>
    <row r="3766" ht="22.5" hidden="1" customHeight="1">
      <c r="A3766" s="137"/>
      <c r="B3766" s="90"/>
      <c r="C3766" s="55"/>
      <c r="D3766" s="193"/>
      <c r="E3766" s="201"/>
      <c r="F3766" s="202"/>
      <c r="G3766" s="194"/>
      <c r="H3766" s="198"/>
      <c r="I3766" s="196"/>
      <c r="J3766" s="179" t="str">
        <f>IF(A3766="RAPPI",(VLOOKUP(TRIM(D3766), CATALOGO!F:G, 2, FALSE) * C3766)+I3766,IFERROR(IF(COUNTIF('RESTAURANTESDESCUENTOS 2026'!A:A,TRIM(A3766))&gt;0,((VLOOKUP(TRIM(D3766), CATALOGO!A:B, 2, FALSE) * C3766)*(1-VALUE(SUBSTITUTE(VLOOKUP(TRIM(A3766),'RESTAURANTESDESCUENTOS 2026'!A:B,2,FALSE),"%",""))/100)+I3766),(VLOOKUP(TRIM(D3766), CATALOGO!A:B, 2, FALSE) * C3766+I3766)),""))</f>
        <v/>
      </c>
      <c r="K3766" s="196"/>
      <c r="L3766" s="87"/>
      <c r="M3766" s="245"/>
      <c r="N3766" s="168"/>
    </row>
    <row r="3767" ht="22.5" hidden="1" customHeight="1">
      <c r="A3767" s="137"/>
      <c r="B3767" s="90"/>
      <c r="C3767" s="55"/>
      <c r="D3767" s="193"/>
      <c r="E3767" s="201"/>
      <c r="F3767" s="202"/>
      <c r="G3767" s="194"/>
      <c r="H3767" s="198"/>
      <c r="I3767" s="196"/>
      <c r="J3767" s="179" t="str">
        <f>IF(A3767="RAPPI",(VLOOKUP(TRIM(D3767), CATALOGO!F:G, 2, FALSE) * C3767)+I3767,IFERROR(IF(COUNTIF('RESTAURANTESDESCUENTOS 2026'!A:A,TRIM(A3767))&gt;0,((VLOOKUP(TRIM(D3767), CATALOGO!A:B, 2, FALSE) * C3767)*(1-VALUE(SUBSTITUTE(VLOOKUP(TRIM(A3767),'RESTAURANTESDESCUENTOS 2026'!A:B,2,FALSE),"%",""))/100)+I3767),(VLOOKUP(TRIM(D3767), CATALOGO!A:B, 2, FALSE) * C3767+I3767)),""))</f>
        <v/>
      </c>
      <c r="K3767" s="196"/>
      <c r="L3767" s="87"/>
      <c r="M3767" s="245"/>
      <c r="N3767" s="168"/>
    </row>
    <row r="3768" ht="22.5" hidden="1" customHeight="1">
      <c r="A3768" s="137"/>
      <c r="B3768" s="90"/>
      <c r="C3768" s="55"/>
      <c r="D3768" s="193"/>
      <c r="E3768" s="201"/>
      <c r="F3768" s="202"/>
      <c r="G3768" s="194"/>
      <c r="H3768" s="198"/>
      <c r="I3768" s="196"/>
      <c r="J3768" s="179" t="str">
        <f>IF(A3768="RAPPI",(VLOOKUP(TRIM(D3768), CATALOGO!F:G, 2, FALSE) * C3768)+I3768,IFERROR(IF(COUNTIF('RESTAURANTESDESCUENTOS 2026'!A:A,TRIM(A3768))&gt;0,((VLOOKUP(TRIM(D3768), CATALOGO!A:B, 2, FALSE) * C3768)*(1-VALUE(SUBSTITUTE(VLOOKUP(TRIM(A3768),'RESTAURANTESDESCUENTOS 2026'!A:B,2,FALSE),"%",""))/100)+I3768),(VLOOKUP(TRIM(D3768), CATALOGO!A:B, 2, FALSE) * C3768+I3768)),""))</f>
        <v/>
      </c>
      <c r="K3768" s="196"/>
      <c r="L3768" s="87"/>
      <c r="M3768" s="245"/>
      <c r="N3768" s="168"/>
    </row>
    <row r="3769" ht="22.5" hidden="1" customHeight="1">
      <c r="A3769" s="137"/>
      <c r="B3769" s="90"/>
      <c r="C3769" s="55"/>
      <c r="D3769" s="193"/>
      <c r="E3769" s="201"/>
      <c r="F3769" s="202"/>
      <c r="G3769" s="194"/>
      <c r="H3769" s="198"/>
      <c r="I3769" s="196"/>
      <c r="J3769" s="179" t="str">
        <f>IF(A3769="RAPPI",(VLOOKUP(TRIM(D3769), CATALOGO!F:G, 2, FALSE) * C3769)+I3769,IFERROR(IF(COUNTIF('RESTAURANTESDESCUENTOS 2026'!A:A,TRIM(A3769))&gt;0,((VLOOKUP(TRIM(D3769), CATALOGO!A:B, 2, FALSE) * C3769)*(1-VALUE(SUBSTITUTE(VLOOKUP(TRIM(A3769),'RESTAURANTESDESCUENTOS 2026'!A:B,2,FALSE),"%",""))/100)+I3769),(VLOOKUP(TRIM(D3769), CATALOGO!A:B, 2, FALSE) * C3769+I3769)),""))</f>
        <v/>
      </c>
      <c r="K3769" s="196"/>
      <c r="L3769" s="87"/>
      <c r="M3769" s="245"/>
      <c r="N3769" s="168"/>
    </row>
    <row r="3770" ht="22.5" hidden="1" customHeight="1">
      <c r="A3770" s="137"/>
      <c r="B3770" s="90"/>
      <c r="C3770" s="55"/>
      <c r="D3770" s="193"/>
      <c r="E3770" s="201"/>
      <c r="F3770" s="202"/>
      <c r="G3770" s="194"/>
      <c r="H3770" s="198"/>
      <c r="I3770" s="196"/>
      <c r="J3770" s="179" t="str">
        <f>IF(A3770="RAPPI",(VLOOKUP(TRIM(D3770), CATALOGO!F:G, 2, FALSE) * C3770)+I3770,IFERROR(IF(COUNTIF('RESTAURANTESDESCUENTOS 2026'!A:A,TRIM(A3770))&gt;0,((VLOOKUP(TRIM(D3770), CATALOGO!A:B, 2, FALSE) * C3770)*(1-VALUE(SUBSTITUTE(VLOOKUP(TRIM(A3770),'RESTAURANTESDESCUENTOS 2026'!A:B,2,FALSE),"%",""))/100)+I3770),(VLOOKUP(TRIM(D3770), CATALOGO!A:B, 2, FALSE) * C3770+I3770)),""))</f>
        <v/>
      </c>
      <c r="K3770" s="196"/>
      <c r="L3770" s="87"/>
      <c r="M3770" s="245"/>
      <c r="N3770" s="168"/>
    </row>
    <row r="3771" ht="22.5" hidden="1" customHeight="1">
      <c r="A3771" s="137"/>
      <c r="B3771" s="90"/>
      <c r="C3771" s="55"/>
      <c r="D3771" s="193"/>
      <c r="E3771" s="201"/>
      <c r="F3771" s="202"/>
      <c r="G3771" s="194"/>
      <c r="H3771" s="198"/>
      <c r="I3771" s="196"/>
      <c r="J3771" s="179" t="str">
        <f>IF(A3771="RAPPI",(VLOOKUP(TRIM(D3771), CATALOGO!F:G, 2, FALSE) * C3771)+I3771,IFERROR(IF(COUNTIF('RESTAURANTESDESCUENTOS 2026'!A:A,TRIM(A3771))&gt;0,((VLOOKUP(TRIM(D3771), CATALOGO!A:B, 2, FALSE) * C3771)*(1-VALUE(SUBSTITUTE(VLOOKUP(TRIM(A3771),'RESTAURANTESDESCUENTOS 2026'!A:B,2,FALSE),"%",""))/100)+I3771),(VLOOKUP(TRIM(D3771), CATALOGO!A:B, 2, FALSE) * C3771+I3771)),""))</f>
        <v/>
      </c>
      <c r="K3771" s="196"/>
      <c r="L3771" s="87"/>
      <c r="M3771" s="245"/>
      <c r="N3771" s="168"/>
    </row>
    <row r="3772" ht="22.5" hidden="1" customHeight="1">
      <c r="A3772" s="137"/>
      <c r="B3772" s="90"/>
      <c r="C3772" s="55"/>
      <c r="D3772" s="193"/>
      <c r="E3772" s="201"/>
      <c r="F3772" s="202"/>
      <c r="G3772" s="194"/>
      <c r="H3772" s="198"/>
      <c r="I3772" s="196"/>
      <c r="J3772" s="179" t="str">
        <f>IF(A3772="RAPPI",(VLOOKUP(TRIM(D3772), CATALOGO!F:G, 2, FALSE) * C3772)+I3772,IFERROR(IF(COUNTIF('RESTAURANTESDESCUENTOS 2026'!A:A,TRIM(A3772))&gt;0,((VLOOKUP(TRIM(D3772), CATALOGO!A:B, 2, FALSE) * C3772)*(1-VALUE(SUBSTITUTE(VLOOKUP(TRIM(A3772),'RESTAURANTESDESCUENTOS 2026'!A:B,2,FALSE),"%",""))/100)+I3772),(VLOOKUP(TRIM(D3772), CATALOGO!A:B, 2, FALSE) * C3772+I3772)),""))</f>
        <v/>
      </c>
      <c r="K3772" s="196"/>
      <c r="L3772" s="87"/>
      <c r="M3772" s="245"/>
      <c r="N3772" s="168"/>
    </row>
    <row r="3773" ht="22.5" hidden="1" customHeight="1">
      <c r="A3773" s="137"/>
      <c r="B3773" s="90"/>
      <c r="C3773" s="55"/>
      <c r="D3773" s="193"/>
      <c r="E3773" s="201"/>
      <c r="F3773" s="202"/>
      <c r="G3773" s="194"/>
      <c r="H3773" s="198"/>
      <c r="I3773" s="196"/>
      <c r="J3773" s="179" t="str">
        <f>IF(A3773="RAPPI",(VLOOKUP(TRIM(D3773), CATALOGO!F:G, 2, FALSE) * C3773)+I3773,IFERROR(IF(COUNTIF('RESTAURANTESDESCUENTOS 2026'!A:A,TRIM(A3773))&gt;0,((VLOOKUP(TRIM(D3773), CATALOGO!A:B, 2, FALSE) * C3773)*(1-VALUE(SUBSTITUTE(VLOOKUP(TRIM(A3773),'RESTAURANTESDESCUENTOS 2026'!A:B,2,FALSE),"%",""))/100)+I3773),(VLOOKUP(TRIM(D3773), CATALOGO!A:B, 2, FALSE) * C3773+I3773)),""))</f>
        <v/>
      </c>
      <c r="K3773" s="196"/>
      <c r="L3773" s="87"/>
      <c r="M3773" s="245"/>
      <c r="N3773" s="168"/>
    </row>
    <row r="3774" ht="22.5" hidden="1" customHeight="1">
      <c r="A3774" s="137"/>
      <c r="B3774" s="90"/>
      <c r="C3774" s="55"/>
      <c r="D3774" s="193"/>
      <c r="E3774" s="201"/>
      <c r="F3774" s="202"/>
      <c r="G3774" s="194"/>
      <c r="H3774" s="198"/>
      <c r="I3774" s="196"/>
      <c r="J3774" s="179" t="str">
        <f>IF(A3774="RAPPI",(VLOOKUP(TRIM(D3774), CATALOGO!F:G, 2, FALSE) * C3774)+I3774,IFERROR(IF(COUNTIF('RESTAURANTESDESCUENTOS 2026'!A:A,TRIM(A3774))&gt;0,((VLOOKUP(TRIM(D3774), CATALOGO!A:B, 2, FALSE) * C3774)*(1-VALUE(SUBSTITUTE(VLOOKUP(TRIM(A3774),'RESTAURANTESDESCUENTOS 2026'!A:B,2,FALSE),"%",""))/100)+I3774),(VLOOKUP(TRIM(D3774), CATALOGO!A:B, 2, FALSE) * C3774+I3774)),""))</f>
        <v/>
      </c>
      <c r="K3774" s="196"/>
      <c r="L3774" s="87"/>
      <c r="M3774" s="245"/>
      <c r="N3774" s="168"/>
    </row>
    <row r="3775" ht="22.5" hidden="1" customHeight="1">
      <c r="A3775" s="137"/>
      <c r="B3775" s="90"/>
      <c r="C3775" s="55"/>
      <c r="D3775" s="193"/>
      <c r="E3775" s="201"/>
      <c r="F3775" s="202"/>
      <c r="G3775" s="194"/>
      <c r="H3775" s="198"/>
      <c r="I3775" s="196"/>
      <c r="J3775" s="179" t="str">
        <f>IF(A3775="RAPPI",(VLOOKUP(TRIM(D3775), CATALOGO!F:G, 2, FALSE) * C3775)+I3775,IFERROR(IF(COUNTIF('RESTAURANTESDESCUENTOS 2026'!A:A,TRIM(A3775))&gt;0,((VLOOKUP(TRIM(D3775), CATALOGO!A:B, 2, FALSE) * C3775)*(1-VALUE(SUBSTITUTE(VLOOKUP(TRIM(A3775),'RESTAURANTESDESCUENTOS 2026'!A:B,2,FALSE),"%",""))/100)+I3775),(VLOOKUP(TRIM(D3775), CATALOGO!A:B, 2, FALSE) * C3775+I3775)),""))</f>
        <v/>
      </c>
      <c r="K3775" s="196"/>
      <c r="L3775" s="87"/>
      <c r="M3775" s="245"/>
      <c r="N3775" s="168"/>
    </row>
    <row r="3776" ht="22.5" hidden="1" customHeight="1">
      <c r="A3776" s="137"/>
      <c r="B3776" s="90"/>
      <c r="C3776" s="55"/>
      <c r="D3776" s="193"/>
      <c r="E3776" s="201"/>
      <c r="F3776" s="202"/>
      <c r="G3776" s="194"/>
      <c r="H3776" s="198"/>
      <c r="I3776" s="196"/>
      <c r="J3776" s="179" t="str">
        <f>IF(A3776="RAPPI",(VLOOKUP(TRIM(D3776), CATALOGO!F:G, 2, FALSE) * C3776)+I3776,IFERROR(IF(COUNTIF('RESTAURANTESDESCUENTOS 2026'!A:A,TRIM(A3776))&gt;0,((VLOOKUP(TRIM(D3776), CATALOGO!A:B, 2, FALSE) * C3776)*(1-VALUE(SUBSTITUTE(VLOOKUP(TRIM(A3776),'RESTAURANTESDESCUENTOS 2026'!A:B,2,FALSE),"%",""))/100)+I3776),(VLOOKUP(TRIM(D3776), CATALOGO!A:B, 2, FALSE) * C3776+I3776)),""))</f>
        <v/>
      </c>
      <c r="K3776" s="196"/>
      <c r="L3776" s="87"/>
      <c r="M3776" s="245"/>
      <c r="N3776" s="168"/>
    </row>
    <row r="3777" ht="22.5" hidden="1" customHeight="1">
      <c r="A3777" s="137"/>
      <c r="B3777" s="90"/>
      <c r="C3777" s="55"/>
      <c r="D3777" s="193"/>
      <c r="E3777" s="201"/>
      <c r="F3777" s="202"/>
      <c r="G3777" s="194"/>
      <c r="H3777" s="198"/>
      <c r="I3777" s="196"/>
      <c r="J3777" s="179" t="str">
        <f>IF(A3777="RAPPI",(VLOOKUP(TRIM(D3777), CATALOGO!F:G, 2, FALSE) * C3777)+I3777,IFERROR(IF(COUNTIF('RESTAURANTESDESCUENTOS 2026'!A:A,TRIM(A3777))&gt;0,((VLOOKUP(TRIM(D3777), CATALOGO!A:B, 2, FALSE) * C3777)*(1-VALUE(SUBSTITUTE(VLOOKUP(TRIM(A3777),'RESTAURANTESDESCUENTOS 2026'!A:B,2,FALSE),"%",""))/100)+I3777),(VLOOKUP(TRIM(D3777), CATALOGO!A:B, 2, FALSE) * C3777+I3777)),""))</f>
        <v/>
      </c>
      <c r="K3777" s="196"/>
      <c r="L3777" s="87"/>
      <c r="M3777" s="245"/>
      <c r="N3777" s="168"/>
    </row>
    <row r="3778" ht="22.5" hidden="1" customHeight="1">
      <c r="A3778" s="137"/>
      <c r="B3778" s="90"/>
      <c r="C3778" s="55"/>
      <c r="D3778" s="193"/>
      <c r="E3778" s="201"/>
      <c r="F3778" s="202"/>
      <c r="G3778" s="194"/>
      <c r="H3778" s="198"/>
      <c r="I3778" s="196"/>
      <c r="J3778" s="179" t="str">
        <f>IF(A3778="RAPPI",(VLOOKUP(TRIM(D3778), CATALOGO!F:G, 2, FALSE) * C3778)+I3778,IFERROR(IF(COUNTIF('RESTAURANTESDESCUENTOS 2026'!A:A,TRIM(A3778))&gt;0,((VLOOKUP(TRIM(D3778), CATALOGO!A:B, 2, FALSE) * C3778)*(1-VALUE(SUBSTITUTE(VLOOKUP(TRIM(A3778),'RESTAURANTESDESCUENTOS 2026'!A:B,2,FALSE),"%",""))/100)+I3778),(VLOOKUP(TRIM(D3778), CATALOGO!A:B, 2, FALSE) * C3778+I3778)),""))</f>
        <v/>
      </c>
      <c r="K3778" s="196"/>
      <c r="L3778" s="87"/>
      <c r="M3778" s="245"/>
      <c r="N3778" s="168"/>
    </row>
    <row r="3779" ht="22.5" hidden="1" customHeight="1">
      <c r="A3779" s="137"/>
      <c r="B3779" s="90"/>
      <c r="C3779" s="55"/>
      <c r="D3779" s="193"/>
      <c r="E3779" s="201"/>
      <c r="F3779" s="202"/>
      <c r="G3779" s="194"/>
      <c r="H3779" s="198"/>
      <c r="I3779" s="196"/>
      <c r="J3779" s="179" t="str">
        <f>IF(A3779="RAPPI",(VLOOKUP(TRIM(D3779), CATALOGO!F:G, 2, FALSE) * C3779)+I3779,IFERROR(IF(COUNTIF('RESTAURANTESDESCUENTOS 2026'!A:A,TRIM(A3779))&gt;0,((VLOOKUP(TRIM(D3779), CATALOGO!A:B, 2, FALSE) * C3779)*(1-VALUE(SUBSTITUTE(VLOOKUP(TRIM(A3779),'RESTAURANTESDESCUENTOS 2026'!A:B,2,FALSE),"%",""))/100)+I3779),(VLOOKUP(TRIM(D3779), CATALOGO!A:B, 2, FALSE) * C3779+I3779)),""))</f>
        <v/>
      </c>
      <c r="K3779" s="196"/>
      <c r="L3779" s="87"/>
      <c r="M3779" s="245"/>
      <c r="N3779" s="168"/>
    </row>
    <row r="3780" ht="22.5" hidden="1" customHeight="1">
      <c r="A3780" s="137"/>
      <c r="B3780" s="90"/>
      <c r="C3780" s="55"/>
      <c r="D3780" s="193"/>
      <c r="E3780" s="201"/>
      <c r="F3780" s="202"/>
      <c r="G3780" s="194"/>
      <c r="H3780" s="198"/>
      <c r="I3780" s="196"/>
      <c r="J3780" s="179" t="str">
        <f>IF(A3780="RAPPI",(VLOOKUP(TRIM(D3780), CATALOGO!F:G, 2, FALSE) * C3780)+I3780,IFERROR(IF(COUNTIF('RESTAURANTESDESCUENTOS 2026'!A:A,TRIM(A3780))&gt;0,((VLOOKUP(TRIM(D3780), CATALOGO!A:B, 2, FALSE) * C3780)*(1-VALUE(SUBSTITUTE(VLOOKUP(TRIM(A3780),'RESTAURANTESDESCUENTOS 2026'!A:B,2,FALSE),"%",""))/100)+I3780),(VLOOKUP(TRIM(D3780), CATALOGO!A:B, 2, FALSE) * C3780+I3780)),""))</f>
        <v/>
      </c>
      <c r="K3780" s="196"/>
      <c r="L3780" s="87"/>
      <c r="M3780" s="245"/>
      <c r="N3780" s="168"/>
    </row>
    <row r="3781" ht="22.5" hidden="1" customHeight="1">
      <c r="A3781" s="137"/>
      <c r="B3781" s="90"/>
      <c r="C3781" s="55"/>
      <c r="D3781" s="193"/>
      <c r="E3781" s="201"/>
      <c r="F3781" s="202"/>
      <c r="G3781" s="194"/>
      <c r="H3781" s="198"/>
      <c r="I3781" s="196"/>
      <c r="J3781" s="179" t="str">
        <f>IF(A3781="RAPPI",(VLOOKUP(TRIM(D3781), CATALOGO!F:G, 2, FALSE) * C3781)+I3781,IFERROR(IF(COUNTIF('RESTAURANTESDESCUENTOS 2026'!A:A,TRIM(A3781))&gt;0,((VLOOKUP(TRIM(D3781), CATALOGO!A:B, 2, FALSE) * C3781)*(1-VALUE(SUBSTITUTE(VLOOKUP(TRIM(A3781),'RESTAURANTESDESCUENTOS 2026'!A:B,2,FALSE),"%",""))/100)+I3781),(VLOOKUP(TRIM(D3781), CATALOGO!A:B, 2, FALSE) * C3781+I3781)),""))</f>
        <v/>
      </c>
      <c r="K3781" s="196"/>
      <c r="L3781" s="87"/>
      <c r="M3781" s="245"/>
      <c r="N3781" s="168"/>
    </row>
    <row r="3782" ht="22.5" hidden="1" customHeight="1">
      <c r="A3782" s="137"/>
      <c r="B3782" s="90"/>
      <c r="C3782" s="55"/>
      <c r="D3782" s="193"/>
      <c r="E3782" s="201"/>
      <c r="F3782" s="202"/>
      <c r="G3782" s="194"/>
      <c r="H3782" s="198"/>
      <c r="I3782" s="196"/>
      <c r="J3782" s="179" t="str">
        <f>IF(A3782="RAPPI",(VLOOKUP(TRIM(D3782), CATALOGO!F:G, 2, FALSE) * C3782)+I3782,IFERROR(IF(COUNTIF('RESTAURANTESDESCUENTOS 2026'!A:A,TRIM(A3782))&gt;0,((VLOOKUP(TRIM(D3782), CATALOGO!A:B, 2, FALSE) * C3782)*(1-VALUE(SUBSTITUTE(VLOOKUP(TRIM(A3782),'RESTAURANTESDESCUENTOS 2026'!A:B,2,FALSE),"%",""))/100)+I3782),(VLOOKUP(TRIM(D3782), CATALOGO!A:B, 2, FALSE) * C3782+I3782)),""))</f>
        <v/>
      </c>
      <c r="K3782" s="196"/>
      <c r="L3782" s="87"/>
      <c r="M3782" s="245"/>
      <c r="N3782" s="168"/>
    </row>
    <row r="3783" ht="22.5" hidden="1" customHeight="1">
      <c r="A3783" s="137"/>
      <c r="B3783" s="90"/>
      <c r="C3783" s="55"/>
      <c r="D3783" s="193"/>
      <c r="E3783" s="201"/>
      <c r="F3783" s="202"/>
      <c r="G3783" s="194"/>
      <c r="H3783" s="198"/>
      <c r="I3783" s="196"/>
      <c r="J3783" s="179" t="str">
        <f>IF(A3783="RAPPI",(VLOOKUP(TRIM(D3783), CATALOGO!F:G, 2, FALSE) * C3783)+I3783,IFERROR(IF(COUNTIF('RESTAURANTESDESCUENTOS 2026'!A:A,TRIM(A3783))&gt;0,((VLOOKUP(TRIM(D3783), CATALOGO!A:B, 2, FALSE) * C3783)*(1-VALUE(SUBSTITUTE(VLOOKUP(TRIM(A3783),'RESTAURANTESDESCUENTOS 2026'!A:B,2,FALSE),"%",""))/100)+I3783),(VLOOKUP(TRIM(D3783), CATALOGO!A:B, 2, FALSE) * C3783+I3783)),""))</f>
        <v/>
      </c>
      <c r="K3783" s="196"/>
      <c r="L3783" s="87"/>
      <c r="M3783" s="245"/>
      <c r="N3783" s="168"/>
    </row>
    <row r="3784" ht="22.5" hidden="1" customHeight="1">
      <c r="A3784" s="137"/>
      <c r="B3784" s="90"/>
      <c r="C3784" s="55"/>
      <c r="D3784" s="193"/>
      <c r="E3784" s="201"/>
      <c r="F3784" s="202"/>
      <c r="G3784" s="194"/>
      <c r="H3784" s="198"/>
      <c r="I3784" s="196"/>
      <c r="J3784" s="179" t="str">
        <f>IF(A3784="RAPPI",(VLOOKUP(TRIM(D3784), CATALOGO!F:G, 2, FALSE) * C3784)+I3784,IFERROR(IF(COUNTIF('RESTAURANTESDESCUENTOS 2026'!A:A,TRIM(A3784))&gt;0,((VLOOKUP(TRIM(D3784), CATALOGO!A:B, 2, FALSE) * C3784)*(1-VALUE(SUBSTITUTE(VLOOKUP(TRIM(A3784),'RESTAURANTESDESCUENTOS 2026'!A:B,2,FALSE),"%",""))/100)+I3784),(VLOOKUP(TRIM(D3784), CATALOGO!A:B, 2, FALSE) * C3784+I3784)),""))</f>
        <v/>
      </c>
      <c r="K3784" s="196"/>
      <c r="L3784" s="87"/>
      <c r="M3784" s="245"/>
      <c r="N3784" s="168"/>
    </row>
    <row r="3785" ht="22.5" hidden="1" customHeight="1">
      <c r="A3785" s="137"/>
      <c r="B3785" s="90"/>
      <c r="C3785" s="55"/>
      <c r="D3785" s="193"/>
      <c r="E3785" s="201"/>
      <c r="F3785" s="202"/>
      <c r="G3785" s="194"/>
      <c r="H3785" s="198"/>
      <c r="I3785" s="196"/>
      <c r="J3785" s="179" t="str">
        <f>IF(A3785="RAPPI",(VLOOKUP(TRIM(D3785), CATALOGO!F:G, 2, FALSE) * C3785)+I3785,IFERROR(IF(COUNTIF('RESTAURANTESDESCUENTOS 2026'!A:A,TRIM(A3785))&gt;0,((VLOOKUP(TRIM(D3785), CATALOGO!A:B, 2, FALSE) * C3785)*(1-VALUE(SUBSTITUTE(VLOOKUP(TRIM(A3785),'RESTAURANTESDESCUENTOS 2026'!A:B,2,FALSE),"%",""))/100)+I3785),(VLOOKUP(TRIM(D3785), CATALOGO!A:B, 2, FALSE) * C3785+I3785)),""))</f>
        <v/>
      </c>
      <c r="K3785" s="196"/>
      <c r="L3785" s="87"/>
      <c r="M3785" s="245"/>
      <c r="N3785" s="168"/>
    </row>
    <row r="3786" ht="22.5" hidden="1" customHeight="1">
      <c r="A3786" s="137"/>
      <c r="B3786" s="90"/>
      <c r="C3786" s="55"/>
      <c r="D3786" s="193"/>
      <c r="E3786" s="201"/>
      <c r="F3786" s="202"/>
      <c r="G3786" s="194"/>
      <c r="H3786" s="198"/>
      <c r="I3786" s="196"/>
      <c r="J3786" s="179" t="str">
        <f>IF(A3786="RAPPI",(VLOOKUP(TRIM(D3786), CATALOGO!F:G, 2, FALSE) * C3786)+I3786,IFERROR(IF(COUNTIF('RESTAURANTESDESCUENTOS 2026'!A:A,TRIM(A3786))&gt;0,((VLOOKUP(TRIM(D3786), CATALOGO!A:B, 2, FALSE) * C3786)*(1-VALUE(SUBSTITUTE(VLOOKUP(TRIM(A3786),'RESTAURANTESDESCUENTOS 2026'!A:B,2,FALSE),"%",""))/100)+I3786),(VLOOKUP(TRIM(D3786), CATALOGO!A:B, 2, FALSE) * C3786+I3786)),""))</f>
        <v/>
      </c>
      <c r="K3786" s="196"/>
      <c r="L3786" s="87"/>
      <c r="M3786" s="245"/>
      <c r="N3786" s="168"/>
    </row>
    <row r="3787" ht="22.5" hidden="1" customHeight="1">
      <c r="A3787" s="137"/>
      <c r="B3787" s="90"/>
      <c r="C3787" s="55"/>
      <c r="D3787" s="193"/>
      <c r="E3787" s="201"/>
      <c r="F3787" s="202"/>
      <c r="G3787" s="194"/>
      <c r="H3787" s="198"/>
      <c r="I3787" s="196"/>
      <c r="J3787" s="179" t="str">
        <f>IF(A3787="RAPPI",(VLOOKUP(TRIM(D3787), CATALOGO!F:G, 2, FALSE) * C3787)+I3787,IFERROR(IF(COUNTIF('RESTAURANTESDESCUENTOS 2026'!A:A,TRIM(A3787))&gt;0,((VLOOKUP(TRIM(D3787), CATALOGO!A:B, 2, FALSE) * C3787)*(1-VALUE(SUBSTITUTE(VLOOKUP(TRIM(A3787),'RESTAURANTESDESCUENTOS 2026'!A:B,2,FALSE),"%",""))/100)+I3787),(VLOOKUP(TRIM(D3787), CATALOGO!A:B, 2, FALSE) * C3787+I3787)),""))</f>
        <v/>
      </c>
      <c r="K3787" s="196"/>
      <c r="L3787" s="87"/>
      <c r="M3787" s="245"/>
      <c r="N3787" s="168"/>
    </row>
    <row r="3788" ht="22.5" hidden="1" customHeight="1">
      <c r="A3788" s="137"/>
      <c r="B3788" s="90"/>
      <c r="C3788" s="55"/>
      <c r="D3788" s="193"/>
      <c r="E3788" s="201"/>
      <c r="F3788" s="202"/>
      <c r="G3788" s="194"/>
      <c r="H3788" s="198"/>
      <c r="I3788" s="196"/>
      <c r="J3788" s="179" t="str">
        <f>IF(A3788="RAPPI",(VLOOKUP(TRIM(D3788), CATALOGO!F:G, 2, FALSE) * C3788)+I3788,IFERROR(IF(COUNTIF('RESTAURANTESDESCUENTOS 2026'!A:A,TRIM(A3788))&gt;0,((VLOOKUP(TRIM(D3788), CATALOGO!A:B, 2, FALSE) * C3788)*(1-VALUE(SUBSTITUTE(VLOOKUP(TRIM(A3788),'RESTAURANTESDESCUENTOS 2026'!A:B,2,FALSE),"%",""))/100)+I3788),(VLOOKUP(TRIM(D3788), CATALOGO!A:B, 2, FALSE) * C3788+I3788)),""))</f>
        <v/>
      </c>
      <c r="K3788" s="196"/>
      <c r="L3788" s="87"/>
      <c r="M3788" s="245"/>
      <c r="N3788" s="168"/>
    </row>
    <row r="3789" ht="22.5" hidden="1" customHeight="1">
      <c r="A3789" s="137"/>
      <c r="B3789" s="90"/>
      <c r="C3789" s="55"/>
      <c r="D3789" s="193"/>
      <c r="E3789" s="201"/>
      <c r="F3789" s="202"/>
      <c r="G3789" s="194"/>
      <c r="H3789" s="198"/>
      <c r="I3789" s="196"/>
      <c r="J3789" s="179" t="str">
        <f>IF(A3789="RAPPI",(VLOOKUP(TRIM(D3789), CATALOGO!F:G, 2, FALSE) * C3789)+I3789,IFERROR(IF(COUNTIF('RESTAURANTESDESCUENTOS 2026'!A:A,TRIM(A3789))&gt;0,((VLOOKUP(TRIM(D3789), CATALOGO!A:B, 2, FALSE) * C3789)*(1-VALUE(SUBSTITUTE(VLOOKUP(TRIM(A3789),'RESTAURANTESDESCUENTOS 2026'!A:B,2,FALSE),"%",""))/100)+I3789),(VLOOKUP(TRIM(D3789), CATALOGO!A:B, 2, FALSE) * C3789+I3789)),""))</f>
        <v/>
      </c>
      <c r="K3789" s="196"/>
      <c r="L3789" s="87"/>
      <c r="M3789" s="245"/>
      <c r="N3789" s="168"/>
    </row>
    <row r="3790" ht="22.5" hidden="1" customHeight="1">
      <c r="A3790" s="137"/>
      <c r="B3790" s="90"/>
      <c r="C3790" s="55"/>
      <c r="D3790" s="193"/>
      <c r="E3790" s="201"/>
      <c r="F3790" s="202"/>
      <c r="G3790" s="194"/>
      <c r="H3790" s="198"/>
      <c r="I3790" s="196"/>
      <c r="J3790" s="179" t="str">
        <f>IF(A3790="RAPPI",(VLOOKUP(TRIM(D3790), CATALOGO!F:G, 2, FALSE) * C3790)+I3790,IFERROR(IF(COUNTIF('RESTAURANTESDESCUENTOS 2026'!A:A,TRIM(A3790))&gt;0,((VLOOKUP(TRIM(D3790), CATALOGO!A:B, 2, FALSE) * C3790)*(1-VALUE(SUBSTITUTE(VLOOKUP(TRIM(A3790),'RESTAURANTESDESCUENTOS 2026'!A:B,2,FALSE),"%",""))/100)+I3790),(VLOOKUP(TRIM(D3790), CATALOGO!A:B, 2, FALSE) * C3790+I3790)),""))</f>
        <v/>
      </c>
      <c r="K3790" s="196"/>
      <c r="L3790" s="87"/>
      <c r="M3790" s="245"/>
      <c r="N3790" s="168"/>
    </row>
    <row r="3791" ht="22.5" hidden="1" customHeight="1">
      <c r="A3791" s="137"/>
      <c r="B3791" s="90"/>
      <c r="C3791" s="55"/>
      <c r="D3791" s="193"/>
      <c r="E3791" s="201"/>
      <c r="F3791" s="202"/>
      <c r="G3791" s="194"/>
      <c r="H3791" s="198"/>
      <c r="I3791" s="196"/>
      <c r="J3791" s="179" t="str">
        <f>IF(A3791="RAPPI",(VLOOKUP(TRIM(D3791), CATALOGO!F:G, 2, FALSE) * C3791)+I3791,IFERROR(IF(COUNTIF('RESTAURANTESDESCUENTOS 2026'!A:A,TRIM(A3791))&gt;0,((VLOOKUP(TRIM(D3791), CATALOGO!A:B, 2, FALSE) * C3791)*(1-VALUE(SUBSTITUTE(VLOOKUP(TRIM(A3791),'RESTAURANTESDESCUENTOS 2026'!A:B,2,FALSE),"%",""))/100)+I3791),(VLOOKUP(TRIM(D3791), CATALOGO!A:B, 2, FALSE) * C3791+I3791)),""))</f>
        <v/>
      </c>
      <c r="K3791" s="196"/>
      <c r="L3791" s="87"/>
      <c r="M3791" s="245"/>
      <c r="N3791" s="168"/>
    </row>
    <row r="3792" ht="22.5" hidden="1" customHeight="1">
      <c r="A3792" s="137"/>
      <c r="B3792" s="90"/>
      <c r="C3792" s="55"/>
      <c r="D3792" s="193"/>
      <c r="E3792" s="201"/>
      <c r="F3792" s="202"/>
      <c r="G3792" s="194"/>
      <c r="H3792" s="198"/>
      <c r="I3792" s="196"/>
      <c r="J3792" s="179" t="str">
        <f>IF(A3792="RAPPI",(VLOOKUP(TRIM(D3792), CATALOGO!F:G, 2, FALSE) * C3792)+I3792,IFERROR(IF(COUNTIF('RESTAURANTESDESCUENTOS 2026'!A:A,TRIM(A3792))&gt;0,((VLOOKUP(TRIM(D3792), CATALOGO!A:B, 2, FALSE) * C3792)*(1-VALUE(SUBSTITUTE(VLOOKUP(TRIM(A3792),'RESTAURANTESDESCUENTOS 2026'!A:B,2,FALSE),"%",""))/100)+I3792),(VLOOKUP(TRIM(D3792), CATALOGO!A:B, 2, FALSE) * C3792+I3792)),""))</f>
        <v/>
      </c>
      <c r="K3792" s="196"/>
      <c r="L3792" s="87"/>
      <c r="M3792" s="245"/>
      <c r="N3792" s="168"/>
    </row>
    <row r="3793" ht="22.5" hidden="1" customHeight="1">
      <c r="A3793" s="137"/>
      <c r="B3793" s="90"/>
      <c r="C3793" s="55"/>
      <c r="D3793" s="193"/>
      <c r="E3793" s="201"/>
      <c r="F3793" s="202"/>
      <c r="G3793" s="194"/>
      <c r="H3793" s="198"/>
      <c r="I3793" s="196"/>
      <c r="J3793" s="179" t="str">
        <f>IF(A3793="RAPPI",(VLOOKUP(TRIM(D3793), CATALOGO!F:G, 2, FALSE) * C3793)+I3793,IFERROR(IF(COUNTIF('RESTAURANTESDESCUENTOS 2026'!A:A,TRIM(A3793))&gt;0,((VLOOKUP(TRIM(D3793), CATALOGO!A:B, 2, FALSE) * C3793)*(1-VALUE(SUBSTITUTE(VLOOKUP(TRIM(A3793),'RESTAURANTESDESCUENTOS 2026'!A:B,2,FALSE),"%",""))/100)+I3793),(VLOOKUP(TRIM(D3793), CATALOGO!A:B, 2, FALSE) * C3793+I3793)),""))</f>
        <v/>
      </c>
      <c r="K3793" s="196"/>
      <c r="L3793" s="87"/>
      <c r="M3793" s="245"/>
      <c r="N3793" s="168"/>
    </row>
    <row r="3794" ht="22.5" hidden="1" customHeight="1">
      <c r="A3794" s="137"/>
      <c r="B3794" s="90"/>
      <c r="C3794" s="55"/>
      <c r="D3794" s="193"/>
      <c r="E3794" s="201"/>
      <c r="F3794" s="202"/>
      <c r="G3794" s="194"/>
      <c r="H3794" s="198"/>
      <c r="I3794" s="196"/>
      <c r="J3794" s="179" t="str">
        <f>IF(A3794="RAPPI",(VLOOKUP(TRIM(D3794), CATALOGO!F:G, 2, FALSE) * C3794)+I3794,IFERROR(IF(COUNTIF('RESTAURANTESDESCUENTOS 2026'!A:A,TRIM(A3794))&gt;0,((VLOOKUP(TRIM(D3794), CATALOGO!A:B, 2, FALSE) * C3794)*(1-VALUE(SUBSTITUTE(VLOOKUP(TRIM(A3794),'RESTAURANTESDESCUENTOS 2026'!A:B,2,FALSE),"%",""))/100)+I3794),(VLOOKUP(TRIM(D3794), CATALOGO!A:B, 2, FALSE) * C3794+I3794)),""))</f>
        <v/>
      </c>
      <c r="K3794" s="196"/>
      <c r="L3794" s="87"/>
      <c r="M3794" s="245"/>
      <c r="N3794" s="168"/>
    </row>
    <row r="3795" ht="22.5" hidden="1" customHeight="1">
      <c r="A3795" s="137"/>
      <c r="B3795" s="90"/>
      <c r="C3795" s="55"/>
      <c r="D3795" s="193"/>
      <c r="E3795" s="201"/>
      <c r="F3795" s="202"/>
      <c r="G3795" s="194"/>
      <c r="H3795" s="198"/>
      <c r="I3795" s="196"/>
      <c r="J3795" s="179" t="str">
        <f>IF(A3795="RAPPI",(VLOOKUP(TRIM(D3795), CATALOGO!F:G, 2, FALSE) * C3795)+I3795,IFERROR(IF(COUNTIF('RESTAURANTESDESCUENTOS 2026'!A:A,TRIM(A3795))&gt;0,((VLOOKUP(TRIM(D3795), CATALOGO!A:B, 2, FALSE) * C3795)*(1-VALUE(SUBSTITUTE(VLOOKUP(TRIM(A3795),'RESTAURANTESDESCUENTOS 2026'!A:B,2,FALSE),"%",""))/100)+I3795),(VLOOKUP(TRIM(D3795), CATALOGO!A:B, 2, FALSE) * C3795+I3795)),""))</f>
        <v/>
      </c>
      <c r="K3795" s="196"/>
      <c r="L3795" s="87"/>
      <c r="M3795" s="245"/>
      <c r="N3795" s="168"/>
    </row>
    <row r="3796" ht="22.5" hidden="1" customHeight="1">
      <c r="A3796" s="137"/>
      <c r="B3796" s="90"/>
      <c r="C3796" s="55"/>
      <c r="D3796" s="193"/>
      <c r="E3796" s="201"/>
      <c r="F3796" s="202"/>
      <c r="G3796" s="194"/>
      <c r="H3796" s="198"/>
      <c r="I3796" s="196"/>
      <c r="J3796" s="179" t="str">
        <f>IF(A3796="RAPPI",(VLOOKUP(TRIM(D3796), CATALOGO!F:G, 2, FALSE) * C3796)+I3796,IFERROR(IF(COUNTIF('RESTAURANTESDESCUENTOS 2026'!A:A,TRIM(A3796))&gt;0,((VLOOKUP(TRIM(D3796), CATALOGO!A:B, 2, FALSE) * C3796)*(1-VALUE(SUBSTITUTE(VLOOKUP(TRIM(A3796),'RESTAURANTESDESCUENTOS 2026'!A:B,2,FALSE),"%",""))/100)+I3796),(VLOOKUP(TRIM(D3796), CATALOGO!A:B, 2, FALSE) * C3796+I3796)),""))</f>
        <v/>
      </c>
      <c r="K3796" s="196"/>
      <c r="L3796" s="87"/>
      <c r="M3796" s="245"/>
      <c r="N3796" s="168"/>
    </row>
    <row r="3797" ht="22.5" hidden="1" customHeight="1">
      <c r="A3797" s="137"/>
      <c r="B3797" s="90"/>
      <c r="C3797" s="55"/>
      <c r="D3797" s="193"/>
      <c r="E3797" s="201"/>
      <c r="F3797" s="202"/>
      <c r="G3797" s="194"/>
      <c r="H3797" s="198"/>
      <c r="I3797" s="196"/>
      <c r="J3797" s="179" t="str">
        <f>IF(A3797="RAPPI",(VLOOKUP(TRIM(D3797), CATALOGO!F:G, 2, FALSE) * C3797)+I3797,IFERROR(IF(COUNTIF('RESTAURANTESDESCUENTOS 2026'!A:A,TRIM(A3797))&gt;0,((VLOOKUP(TRIM(D3797), CATALOGO!A:B, 2, FALSE) * C3797)*(1-VALUE(SUBSTITUTE(VLOOKUP(TRIM(A3797),'RESTAURANTESDESCUENTOS 2026'!A:B,2,FALSE),"%",""))/100)+I3797),(VLOOKUP(TRIM(D3797), CATALOGO!A:B, 2, FALSE) * C3797+I3797)),""))</f>
        <v/>
      </c>
      <c r="K3797" s="196"/>
      <c r="L3797" s="87"/>
      <c r="M3797" s="245"/>
      <c r="N3797" s="168"/>
    </row>
    <row r="3798" ht="22.5" hidden="1" customHeight="1">
      <c r="A3798" s="137"/>
      <c r="B3798" s="90"/>
      <c r="C3798" s="55"/>
      <c r="D3798" s="193"/>
      <c r="E3798" s="201"/>
      <c r="F3798" s="202"/>
      <c r="G3798" s="194"/>
      <c r="H3798" s="198"/>
      <c r="I3798" s="196"/>
      <c r="J3798" s="179" t="str">
        <f>IF(A3798="RAPPI",(VLOOKUP(TRIM(D3798), CATALOGO!F:G, 2, FALSE) * C3798)+I3798,IFERROR(IF(COUNTIF('RESTAURANTESDESCUENTOS 2026'!A:A,TRIM(A3798))&gt;0,((VLOOKUP(TRIM(D3798), CATALOGO!A:B, 2, FALSE) * C3798)*(1-VALUE(SUBSTITUTE(VLOOKUP(TRIM(A3798),'RESTAURANTESDESCUENTOS 2026'!A:B,2,FALSE),"%",""))/100)+I3798),(VLOOKUP(TRIM(D3798), CATALOGO!A:B, 2, FALSE) * C3798+I3798)),""))</f>
        <v/>
      </c>
      <c r="K3798" s="196"/>
      <c r="L3798" s="87"/>
      <c r="M3798" s="245"/>
      <c r="N3798" s="168"/>
    </row>
    <row r="3799" ht="22.5" hidden="1" customHeight="1">
      <c r="A3799" s="137"/>
      <c r="B3799" s="90"/>
      <c r="C3799" s="55"/>
      <c r="D3799" s="193"/>
      <c r="E3799" s="201"/>
      <c r="F3799" s="202"/>
      <c r="G3799" s="194"/>
      <c r="H3799" s="198"/>
      <c r="I3799" s="196"/>
      <c r="J3799" s="179" t="str">
        <f>IF(A3799="RAPPI",(VLOOKUP(TRIM(D3799), CATALOGO!F:G, 2, FALSE) * C3799)+I3799,IFERROR(IF(COUNTIF('RESTAURANTESDESCUENTOS 2026'!A:A,TRIM(A3799))&gt;0,((VLOOKUP(TRIM(D3799), CATALOGO!A:B, 2, FALSE) * C3799)*(1-VALUE(SUBSTITUTE(VLOOKUP(TRIM(A3799),'RESTAURANTESDESCUENTOS 2026'!A:B,2,FALSE),"%",""))/100)+I3799),(VLOOKUP(TRIM(D3799), CATALOGO!A:B, 2, FALSE) * C3799+I3799)),""))</f>
        <v/>
      </c>
      <c r="K3799" s="196"/>
      <c r="L3799" s="87"/>
      <c r="M3799" s="245"/>
      <c r="N3799" s="168"/>
    </row>
    <row r="3800" ht="22.5" hidden="1" customHeight="1">
      <c r="A3800" s="137"/>
      <c r="B3800" s="90"/>
      <c r="C3800" s="55"/>
      <c r="D3800" s="193"/>
      <c r="E3800" s="201"/>
      <c r="F3800" s="202"/>
      <c r="G3800" s="194"/>
      <c r="H3800" s="198"/>
      <c r="I3800" s="196"/>
      <c r="J3800" s="179" t="str">
        <f>IF(A3800="RAPPI",(VLOOKUP(TRIM(D3800), CATALOGO!F:G, 2, FALSE) * C3800)+I3800,IFERROR(IF(COUNTIF('RESTAURANTESDESCUENTOS 2026'!A:A,TRIM(A3800))&gt;0,((VLOOKUP(TRIM(D3800), CATALOGO!A:B, 2, FALSE) * C3800)*(1-VALUE(SUBSTITUTE(VLOOKUP(TRIM(A3800),'RESTAURANTESDESCUENTOS 2026'!A:B,2,FALSE),"%",""))/100)+I3800),(VLOOKUP(TRIM(D3800), CATALOGO!A:B, 2, FALSE) * C3800+I3800)),""))</f>
        <v/>
      </c>
      <c r="K3800" s="196"/>
      <c r="L3800" s="87"/>
      <c r="M3800" s="245"/>
      <c r="N3800" s="168"/>
    </row>
    <row r="3801" ht="22.5" hidden="1" customHeight="1">
      <c r="A3801" s="137"/>
      <c r="B3801" s="90"/>
      <c r="C3801" s="55"/>
      <c r="D3801" s="193"/>
      <c r="E3801" s="201"/>
      <c r="F3801" s="202"/>
      <c r="G3801" s="194"/>
      <c r="H3801" s="198"/>
      <c r="I3801" s="196"/>
      <c r="J3801" s="179" t="str">
        <f>IF(A3801="RAPPI",(VLOOKUP(TRIM(D3801), CATALOGO!F:G, 2, FALSE) * C3801)+I3801,IFERROR(IF(COUNTIF('RESTAURANTESDESCUENTOS 2026'!A:A,TRIM(A3801))&gt;0,((VLOOKUP(TRIM(D3801), CATALOGO!A:B, 2, FALSE) * C3801)*(1-VALUE(SUBSTITUTE(VLOOKUP(TRIM(A3801),'RESTAURANTESDESCUENTOS 2026'!A:B,2,FALSE),"%",""))/100)+I3801),(VLOOKUP(TRIM(D3801), CATALOGO!A:B, 2, FALSE) * C3801+I3801)),""))</f>
        <v/>
      </c>
      <c r="K3801" s="196"/>
      <c r="L3801" s="87"/>
      <c r="M3801" s="245"/>
      <c r="N3801" s="168"/>
    </row>
    <row r="3802" ht="22.5" hidden="1" customHeight="1">
      <c r="A3802" s="137"/>
      <c r="B3802" s="90"/>
      <c r="C3802" s="55"/>
      <c r="D3802" s="193"/>
      <c r="E3802" s="201"/>
      <c r="F3802" s="202"/>
      <c r="G3802" s="194"/>
      <c r="H3802" s="198"/>
      <c r="I3802" s="196"/>
      <c r="J3802" s="179" t="str">
        <f>IF(A3802="RAPPI",(VLOOKUP(TRIM(D3802), CATALOGO!F:G, 2, FALSE) * C3802)+I3802,IFERROR(IF(COUNTIF('RESTAURANTESDESCUENTOS 2026'!A:A,TRIM(A3802))&gt;0,((VLOOKUP(TRIM(D3802), CATALOGO!A:B, 2, FALSE) * C3802)*(1-VALUE(SUBSTITUTE(VLOOKUP(TRIM(A3802),'RESTAURANTESDESCUENTOS 2026'!A:B,2,FALSE),"%",""))/100)+I3802),(VLOOKUP(TRIM(D3802), CATALOGO!A:B, 2, FALSE) * C3802+I3802)),""))</f>
        <v/>
      </c>
      <c r="K3802" s="196"/>
      <c r="L3802" s="87"/>
      <c r="M3802" s="245"/>
      <c r="N3802" s="168"/>
    </row>
    <row r="3803" ht="22.5" hidden="1" customHeight="1">
      <c r="A3803" s="137"/>
      <c r="B3803" s="90"/>
      <c r="C3803" s="55"/>
      <c r="D3803" s="193"/>
      <c r="E3803" s="201"/>
      <c r="F3803" s="202"/>
      <c r="G3803" s="194"/>
      <c r="H3803" s="198"/>
      <c r="I3803" s="196"/>
      <c r="J3803" s="179" t="str">
        <f>IF(A3803="RAPPI",(VLOOKUP(TRIM(D3803), CATALOGO!F:G, 2, FALSE) * C3803)+I3803,IFERROR(IF(COUNTIF('RESTAURANTESDESCUENTOS 2026'!A:A,TRIM(A3803))&gt;0,((VLOOKUP(TRIM(D3803), CATALOGO!A:B, 2, FALSE) * C3803)*(1-VALUE(SUBSTITUTE(VLOOKUP(TRIM(A3803),'RESTAURANTESDESCUENTOS 2026'!A:B,2,FALSE),"%",""))/100)+I3803),(VLOOKUP(TRIM(D3803), CATALOGO!A:B, 2, FALSE) * C3803+I3803)),""))</f>
        <v/>
      </c>
      <c r="K3803" s="196"/>
      <c r="L3803" s="87"/>
      <c r="M3803" s="245"/>
      <c r="N3803" s="168"/>
    </row>
    <row r="3804" ht="22.5" hidden="1" customHeight="1">
      <c r="A3804" s="137"/>
      <c r="B3804" s="90"/>
      <c r="C3804" s="55"/>
      <c r="D3804" s="193"/>
      <c r="E3804" s="201"/>
      <c r="F3804" s="202"/>
      <c r="G3804" s="194"/>
      <c r="H3804" s="198"/>
      <c r="I3804" s="196"/>
      <c r="J3804" s="179" t="str">
        <f>IF(A3804="RAPPI",(VLOOKUP(TRIM(D3804), CATALOGO!F:G, 2, FALSE) * C3804)+I3804,IFERROR(IF(COUNTIF('RESTAURANTESDESCUENTOS 2026'!A:A,TRIM(A3804))&gt;0,((VLOOKUP(TRIM(D3804), CATALOGO!A:B, 2, FALSE) * C3804)*(1-VALUE(SUBSTITUTE(VLOOKUP(TRIM(A3804),'RESTAURANTESDESCUENTOS 2026'!A:B,2,FALSE),"%",""))/100)+I3804),(VLOOKUP(TRIM(D3804), CATALOGO!A:B, 2, FALSE) * C3804+I3804)),""))</f>
        <v/>
      </c>
      <c r="K3804" s="196"/>
      <c r="L3804" s="87"/>
      <c r="M3804" s="245"/>
      <c r="N3804" s="168"/>
    </row>
    <row r="3805" ht="22.5" hidden="1" customHeight="1">
      <c r="A3805" s="137"/>
      <c r="B3805" s="90"/>
      <c r="C3805" s="55"/>
      <c r="D3805" s="193"/>
      <c r="E3805" s="201"/>
      <c r="F3805" s="202"/>
      <c r="G3805" s="194"/>
      <c r="H3805" s="198"/>
      <c r="I3805" s="196"/>
      <c r="J3805" s="179" t="str">
        <f>IF(A3805="RAPPI",(VLOOKUP(TRIM(D3805), CATALOGO!F:G, 2, FALSE) * C3805)+I3805,IFERROR(IF(COUNTIF('RESTAURANTESDESCUENTOS 2026'!A:A,TRIM(A3805))&gt;0,((VLOOKUP(TRIM(D3805), CATALOGO!A:B, 2, FALSE) * C3805)*(1-VALUE(SUBSTITUTE(VLOOKUP(TRIM(A3805),'RESTAURANTESDESCUENTOS 2026'!A:B,2,FALSE),"%",""))/100)+I3805),(VLOOKUP(TRIM(D3805), CATALOGO!A:B, 2, FALSE) * C3805+I3805)),""))</f>
        <v/>
      </c>
      <c r="K3805" s="196"/>
      <c r="L3805" s="87"/>
      <c r="M3805" s="245"/>
      <c r="N3805" s="168"/>
    </row>
    <row r="3806" ht="22.5" hidden="1" customHeight="1">
      <c r="A3806" s="137"/>
      <c r="B3806" s="90"/>
      <c r="C3806" s="55"/>
      <c r="D3806" s="193"/>
      <c r="E3806" s="201"/>
      <c r="F3806" s="202"/>
      <c r="G3806" s="194"/>
      <c r="H3806" s="198"/>
      <c r="I3806" s="196"/>
      <c r="J3806" s="179" t="str">
        <f>IF(A3806="RAPPI",(VLOOKUP(TRIM(D3806), CATALOGO!F:G, 2, FALSE) * C3806)+I3806,IFERROR(IF(COUNTIF('RESTAURANTESDESCUENTOS 2026'!A:A,TRIM(A3806))&gt;0,((VLOOKUP(TRIM(D3806), CATALOGO!A:B, 2, FALSE) * C3806)*(1-VALUE(SUBSTITUTE(VLOOKUP(TRIM(A3806),'RESTAURANTESDESCUENTOS 2026'!A:B,2,FALSE),"%",""))/100)+I3806),(VLOOKUP(TRIM(D3806), CATALOGO!A:B, 2, FALSE) * C3806+I3806)),""))</f>
        <v/>
      </c>
      <c r="K3806" s="196"/>
      <c r="L3806" s="87"/>
      <c r="M3806" s="245"/>
      <c r="N3806" s="168"/>
    </row>
    <row r="3807" ht="22.5" hidden="1" customHeight="1">
      <c r="A3807" s="137"/>
      <c r="B3807" s="90"/>
      <c r="C3807" s="55"/>
      <c r="D3807" s="193"/>
      <c r="E3807" s="201"/>
      <c r="F3807" s="202"/>
      <c r="G3807" s="194"/>
      <c r="H3807" s="198"/>
      <c r="I3807" s="196"/>
      <c r="J3807" s="179" t="str">
        <f>IF(A3807="RAPPI",(VLOOKUP(TRIM(D3807), CATALOGO!F:G, 2, FALSE) * C3807)+I3807,IFERROR(IF(COUNTIF('RESTAURANTESDESCUENTOS 2026'!A:A,TRIM(A3807))&gt;0,((VLOOKUP(TRIM(D3807), CATALOGO!A:B, 2, FALSE) * C3807)*(1-VALUE(SUBSTITUTE(VLOOKUP(TRIM(A3807),'RESTAURANTESDESCUENTOS 2026'!A:B,2,FALSE),"%",""))/100)+I3807),(VLOOKUP(TRIM(D3807), CATALOGO!A:B, 2, FALSE) * C3807+I3807)),""))</f>
        <v/>
      </c>
      <c r="K3807" s="196"/>
      <c r="L3807" s="87"/>
      <c r="M3807" s="245"/>
      <c r="N3807" s="168"/>
    </row>
    <row r="3808" ht="22.5" hidden="1" customHeight="1">
      <c r="A3808" s="137"/>
      <c r="B3808" s="90"/>
      <c r="C3808" s="55"/>
      <c r="D3808" s="193"/>
      <c r="E3808" s="201"/>
      <c r="F3808" s="202"/>
      <c r="G3808" s="194"/>
      <c r="H3808" s="198"/>
      <c r="I3808" s="196"/>
      <c r="J3808" s="179" t="str">
        <f>IF(A3808="RAPPI",(VLOOKUP(TRIM(D3808), CATALOGO!F:G, 2, FALSE) * C3808)+I3808,IFERROR(IF(COUNTIF('RESTAURANTESDESCUENTOS 2026'!A:A,TRIM(A3808))&gt;0,((VLOOKUP(TRIM(D3808), CATALOGO!A:B, 2, FALSE) * C3808)*(1-VALUE(SUBSTITUTE(VLOOKUP(TRIM(A3808),'RESTAURANTESDESCUENTOS 2026'!A:B,2,FALSE),"%",""))/100)+I3808),(VLOOKUP(TRIM(D3808), CATALOGO!A:B, 2, FALSE) * C3808+I3808)),""))</f>
        <v/>
      </c>
      <c r="K3808" s="196"/>
      <c r="L3808" s="87"/>
      <c r="M3808" s="245"/>
      <c r="N3808" s="168"/>
    </row>
    <row r="3809" ht="22.5" hidden="1" customHeight="1">
      <c r="A3809" s="137"/>
      <c r="B3809" s="90"/>
      <c r="C3809" s="55"/>
      <c r="D3809" s="193"/>
      <c r="E3809" s="201"/>
      <c r="F3809" s="202"/>
      <c r="G3809" s="194"/>
      <c r="H3809" s="198"/>
      <c r="I3809" s="196"/>
      <c r="J3809" s="179" t="str">
        <f>IF(A3809="RAPPI",(VLOOKUP(TRIM(D3809), CATALOGO!F:G, 2, FALSE) * C3809)+I3809,IFERROR(IF(COUNTIF('RESTAURANTESDESCUENTOS 2026'!A:A,TRIM(A3809))&gt;0,((VLOOKUP(TRIM(D3809), CATALOGO!A:B, 2, FALSE) * C3809)*(1-VALUE(SUBSTITUTE(VLOOKUP(TRIM(A3809),'RESTAURANTESDESCUENTOS 2026'!A:B,2,FALSE),"%",""))/100)+I3809),(VLOOKUP(TRIM(D3809), CATALOGO!A:B, 2, FALSE) * C3809+I3809)),""))</f>
        <v/>
      </c>
      <c r="K3809" s="196"/>
      <c r="L3809" s="87"/>
      <c r="M3809" s="245"/>
      <c r="N3809" s="168"/>
    </row>
    <row r="3810" ht="22.5" hidden="1" customHeight="1">
      <c r="A3810" s="137"/>
      <c r="B3810" s="90"/>
      <c r="C3810" s="55"/>
      <c r="D3810" s="193"/>
      <c r="E3810" s="201"/>
      <c r="F3810" s="202"/>
      <c r="G3810" s="194"/>
      <c r="H3810" s="198"/>
      <c r="I3810" s="196"/>
      <c r="J3810" s="179" t="str">
        <f>IF(A3810="RAPPI",(VLOOKUP(TRIM(D3810), CATALOGO!F:G, 2, FALSE) * C3810)+I3810,IFERROR(IF(COUNTIF('RESTAURANTESDESCUENTOS 2026'!A:A,TRIM(A3810))&gt;0,((VLOOKUP(TRIM(D3810), CATALOGO!A:B, 2, FALSE) * C3810)*(1-VALUE(SUBSTITUTE(VLOOKUP(TRIM(A3810),'RESTAURANTESDESCUENTOS 2026'!A:B,2,FALSE),"%",""))/100)+I3810),(VLOOKUP(TRIM(D3810), CATALOGO!A:B, 2, FALSE) * C3810+I3810)),""))</f>
        <v/>
      </c>
      <c r="K3810" s="196"/>
      <c r="L3810" s="87"/>
      <c r="M3810" s="245"/>
      <c r="N3810" s="168"/>
    </row>
    <row r="3811" ht="22.5" hidden="1" customHeight="1">
      <c r="A3811" s="137"/>
      <c r="B3811" s="90"/>
      <c r="C3811" s="55"/>
      <c r="D3811" s="193"/>
      <c r="E3811" s="201"/>
      <c r="F3811" s="202"/>
      <c r="G3811" s="194"/>
      <c r="H3811" s="198"/>
      <c r="I3811" s="196"/>
      <c r="J3811" s="179" t="str">
        <f>IF(A3811="RAPPI",(VLOOKUP(TRIM(D3811), CATALOGO!F:G, 2, FALSE) * C3811)+I3811,IFERROR(IF(COUNTIF('RESTAURANTESDESCUENTOS 2026'!A:A,TRIM(A3811))&gt;0,((VLOOKUP(TRIM(D3811), CATALOGO!A:B, 2, FALSE) * C3811)*(1-VALUE(SUBSTITUTE(VLOOKUP(TRIM(A3811),'RESTAURANTESDESCUENTOS 2026'!A:B,2,FALSE),"%",""))/100)+I3811),(VLOOKUP(TRIM(D3811), CATALOGO!A:B, 2, FALSE) * C3811+I3811)),""))</f>
        <v/>
      </c>
      <c r="K3811" s="196"/>
      <c r="L3811" s="87"/>
      <c r="M3811" s="245"/>
      <c r="N3811" s="168"/>
    </row>
    <row r="3812" ht="22.5" hidden="1" customHeight="1">
      <c r="A3812" s="137"/>
      <c r="B3812" s="90"/>
      <c r="C3812" s="55"/>
      <c r="D3812" s="193"/>
      <c r="E3812" s="201"/>
      <c r="F3812" s="202"/>
      <c r="G3812" s="194"/>
      <c r="H3812" s="198"/>
      <c r="I3812" s="196"/>
      <c r="J3812" s="179" t="str">
        <f>IF(A3812="RAPPI",(VLOOKUP(TRIM(D3812), CATALOGO!F:G, 2, FALSE) * C3812)+I3812,IFERROR(IF(COUNTIF('RESTAURANTESDESCUENTOS 2026'!A:A,TRIM(A3812))&gt;0,((VLOOKUP(TRIM(D3812), CATALOGO!A:B, 2, FALSE) * C3812)*(1-VALUE(SUBSTITUTE(VLOOKUP(TRIM(A3812),'RESTAURANTESDESCUENTOS 2026'!A:B,2,FALSE),"%",""))/100)+I3812),(VLOOKUP(TRIM(D3812), CATALOGO!A:B, 2, FALSE) * C3812+I3812)),""))</f>
        <v/>
      </c>
      <c r="K3812" s="196"/>
      <c r="L3812" s="87"/>
      <c r="M3812" s="245"/>
      <c r="N3812" s="168"/>
    </row>
    <row r="3813" ht="22.5" hidden="1" customHeight="1">
      <c r="A3813" s="137"/>
      <c r="B3813" s="90"/>
      <c r="C3813" s="55"/>
      <c r="D3813" s="193"/>
      <c r="E3813" s="201"/>
      <c r="F3813" s="202"/>
      <c r="G3813" s="194"/>
      <c r="H3813" s="198"/>
      <c r="I3813" s="196"/>
      <c r="J3813" s="179" t="str">
        <f>IF(A3813="RAPPI",(VLOOKUP(TRIM(D3813), CATALOGO!F:G, 2, FALSE) * C3813)+I3813,IFERROR(IF(COUNTIF('RESTAURANTESDESCUENTOS 2026'!A:A,TRIM(A3813))&gt;0,((VLOOKUP(TRIM(D3813), CATALOGO!A:B, 2, FALSE) * C3813)*(1-VALUE(SUBSTITUTE(VLOOKUP(TRIM(A3813),'RESTAURANTESDESCUENTOS 2026'!A:B,2,FALSE),"%",""))/100)+I3813),(VLOOKUP(TRIM(D3813), CATALOGO!A:B, 2, FALSE) * C3813+I3813)),""))</f>
        <v/>
      </c>
      <c r="K3813" s="196"/>
      <c r="L3813" s="87"/>
      <c r="M3813" s="245"/>
      <c r="N3813" s="168"/>
    </row>
    <row r="3814" ht="22.5" hidden="1" customHeight="1">
      <c r="A3814" s="137"/>
      <c r="B3814" s="90"/>
      <c r="C3814" s="55"/>
      <c r="D3814" s="193"/>
      <c r="E3814" s="201"/>
      <c r="F3814" s="202"/>
      <c r="G3814" s="194"/>
      <c r="H3814" s="198"/>
      <c r="I3814" s="196"/>
      <c r="J3814" s="179" t="str">
        <f>IF(A3814="RAPPI",(VLOOKUP(TRIM(D3814), CATALOGO!F:G, 2, FALSE) * C3814)+I3814,IFERROR(IF(COUNTIF('RESTAURANTESDESCUENTOS 2026'!A:A,TRIM(A3814))&gt;0,((VLOOKUP(TRIM(D3814), CATALOGO!A:B, 2, FALSE) * C3814)*(1-VALUE(SUBSTITUTE(VLOOKUP(TRIM(A3814),'RESTAURANTESDESCUENTOS 2026'!A:B,2,FALSE),"%",""))/100)+I3814),(VLOOKUP(TRIM(D3814), CATALOGO!A:B, 2, FALSE) * C3814+I3814)),""))</f>
        <v/>
      </c>
      <c r="K3814" s="196"/>
      <c r="L3814" s="87"/>
      <c r="M3814" s="245"/>
      <c r="N3814" s="168"/>
    </row>
    <row r="3815" ht="22.5" hidden="1" customHeight="1">
      <c r="A3815" s="137"/>
      <c r="B3815" s="90"/>
      <c r="C3815" s="55"/>
      <c r="D3815" s="193"/>
      <c r="E3815" s="201"/>
      <c r="F3815" s="202"/>
      <c r="G3815" s="194"/>
      <c r="H3815" s="198"/>
      <c r="I3815" s="196"/>
      <c r="J3815" s="179" t="str">
        <f>IF(A3815="RAPPI",(VLOOKUP(TRIM(D3815), CATALOGO!F:G, 2, FALSE) * C3815)+I3815,IFERROR(IF(COUNTIF('RESTAURANTESDESCUENTOS 2026'!A:A,TRIM(A3815))&gt;0,((VLOOKUP(TRIM(D3815), CATALOGO!A:B, 2, FALSE) * C3815)*(1-VALUE(SUBSTITUTE(VLOOKUP(TRIM(A3815),'RESTAURANTESDESCUENTOS 2026'!A:B,2,FALSE),"%",""))/100)+I3815),(VLOOKUP(TRIM(D3815), CATALOGO!A:B, 2, FALSE) * C3815+I3815)),""))</f>
        <v/>
      </c>
      <c r="K3815" s="196"/>
      <c r="L3815" s="87"/>
      <c r="M3815" s="245"/>
      <c r="N3815" s="168"/>
    </row>
    <row r="3816" ht="22.5" hidden="1" customHeight="1">
      <c r="A3816" s="137"/>
      <c r="B3816" s="90"/>
      <c r="C3816" s="55"/>
      <c r="D3816" s="193"/>
      <c r="E3816" s="201"/>
      <c r="F3816" s="202"/>
      <c r="G3816" s="194"/>
      <c r="H3816" s="198"/>
      <c r="I3816" s="196"/>
      <c r="J3816" s="179" t="str">
        <f>IF(A3816="RAPPI",(VLOOKUP(TRIM(D3816), CATALOGO!F:G, 2, FALSE) * C3816)+I3816,IFERROR(IF(COUNTIF('RESTAURANTESDESCUENTOS 2026'!A:A,TRIM(A3816))&gt;0,((VLOOKUP(TRIM(D3816), CATALOGO!A:B, 2, FALSE) * C3816)*(1-VALUE(SUBSTITUTE(VLOOKUP(TRIM(A3816),'RESTAURANTESDESCUENTOS 2026'!A:B,2,FALSE),"%",""))/100)+I3816),(VLOOKUP(TRIM(D3816), CATALOGO!A:B, 2, FALSE) * C3816+I3816)),""))</f>
        <v/>
      </c>
      <c r="K3816" s="196"/>
      <c r="L3816" s="87"/>
      <c r="M3816" s="245"/>
      <c r="N3816" s="168"/>
    </row>
    <row r="3817" ht="22.5" hidden="1" customHeight="1">
      <c r="A3817" s="137"/>
      <c r="B3817" s="90"/>
      <c r="C3817" s="55"/>
      <c r="D3817" s="193"/>
      <c r="E3817" s="201"/>
      <c r="F3817" s="202"/>
      <c r="G3817" s="194"/>
      <c r="H3817" s="198"/>
      <c r="I3817" s="196"/>
      <c r="J3817" s="179" t="str">
        <f>IF(A3817="RAPPI",(VLOOKUP(TRIM(D3817), CATALOGO!F:G, 2, FALSE) * C3817)+I3817,IFERROR(IF(COUNTIF('RESTAURANTESDESCUENTOS 2026'!A:A,TRIM(A3817))&gt;0,((VLOOKUP(TRIM(D3817), CATALOGO!A:B, 2, FALSE) * C3817)*(1-VALUE(SUBSTITUTE(VLOOKUP(TRIM(A3817),'RESTAURANTESDESCUENTOS 2026'!A:B,2,FALSE),"%",""))/100)+I3817),(VLOOKUP(TRIM(D3817), CATALOGO!A:B, 2, FALSE) * C3817+I3817)),""))</f>
        <v/>
      </c>
      <c r="K3817" s="196"/>
      <c r="L3817" s="87"/>
      <c r="M3817" s="245"/>
      <c r="N3817" s="168"/>
    </row>
    <row r="3818" ht="22.5" hidden="1" customHeight="1">
      <c r="A3818" s="137"/>
      <c r="B3818" s="90"/>
      <c r="C3818" s="55"/>
      <c r="D3818" s="193"/>
      <c r="E3818" s="201"/>
      <c r="F3818" s="202"/>
      <c r="G3818" s="194"/>
      <c r="H3818" s="198"/>
      <c r="I3818" s="196"/>
      <c r="J3818" s="179" t="str">
        <f>IF(A3818="RAPPI",(VLOOKUP(TRIM(D3818), CATALOGO!F:G, 2, FALSE) * C3818)+I3818,IFERROR(IF(COUNTIF('RESTAURANTESDESCUENTOS 2026'!A:A,TRIM(A3818))&gt;0,((VLOOKUP(TRIM(D3818), CATALOGO!A:B, 2, FALSE) * C3818)*(1-VALUE(SUBSTITUTE(VLOOKUP(TRIM(A3818),'RESTAURANTESDESCUENTOS 2026'!A:B,2,FALSE),"%",""))/100)+I3818),(VLOOKUP(TRIM(D3818), CATALOGO!A:B, 2, FALSE) * C3818+I3818)),""))</f>
        <v/>
      </c>
      <c r="K3818" s="196"/>
      <c r="L3818" s="87"/>
      <c r="M3818" s="245"/>
      <c r="N3818" s="168"/>
    </row>
    <row r="3819" ht="22.5" hidden="1" customHeight="1">
      <c r="A3819" s="137"/>
      <c r="B3819" s="90"/>
      <c r="C3819" s="55"/>
      <c r="D3819" s="193"/>
      <c r="E3819" s="201"/>
      <c r="F3819" s="202"/>
      <c r="G3819" s="194"/>
      <c r="H3819" s="198"/>
      <c r="I3819" s="196"/>
      <c r="J3819" s="179" t="str">
        <f>IF(A3819="RAPPI",(VLOOKUP(TRIM(D3819), CATALOGO!F:G, 2, FALSE) * C3819)+I3819,IFERROR(IF(COUNTIF('RESTAURANTESDESCUENTOS 2026'!A:A,TRIM(A3819))&gt;0,((VLOOKUP(TRIM(D3819), CATALOGO!A:B, 2, FALSE) * C3819)*(1-VALUE(SUBSTITUTE(VLOOKUP(TRIM(A3819),'RESTAURANTESDESCUENTOS 2026'!A:B,2,FALSE),"%",""))/100)+I3819),(VLOOKUP(TRIM(D3819), CATALOGO!A:B, 2, FALSE) * C3819+I3819)),""))</f>
        <v/>
      </c>
      <c r="K3819" s="196"/>
      <c r="L3819" s="87"/>
      <c r="M3819" s="245"/>
      <c r="N3819" s="168"/>
    </row>
    <row r="3820" ht="22.5" hidden="1" customHeight="1">
      <c r="A3820" s="137"/>
      <c r="B3820" s="90"/>
      <c r="C3820" s="55"/>
      <c r="D3820" s="193"/>
      <c r="E3820" s="201"/>
      <c r="F3820" s="202"/>
      <c r="G3820" s="194"/>
      <c r="H3820" s="198"/>
      <c r="I3820" s="196"/>
      <c r="J3820" s="179" t="str">
        <f>IF(A3820="RAPPI",(VLOOKUP(TRIM(D3820), CATALOGO!F:G, 2, FALSE) * C3820)+I3820,IFERROR(IF(COUNTIF('RESTAURANTESDESCUENTOS 2026'!A:A,TRIM(A3820))&gt;0,((VLOOKUP(TRIM(D3820), CATALOGO!A:B, 2, FALSE) * C3820)*(1-VALUE(SUBSTITUTE(VLOOKUP(TRIM(A3820),'RESTAURANTESDESCUENTOS 2026'!A:B,2,FALSE),"%",""))/100)+I3820),(VLOOKUP(TRIM(D3820), CATALOGO!A:B, 2, FALSE) * C3820+I3820)),""))</f>
        <v/>
      </c>
      <c r="K3820" s="196"/>
      <c r="L3820" s="87"/>
      <c r="M3820" s="245"/>
      <c r="N3820" s="168"/>
    </row>
    <row r="3821" ht="22.5" hidden="1" customHeight="1">
      <c r="A3821" s="137"/>
      <c r="B3821" s="90"/>
      <c r="C3821" s="55"/>
      <c r="D3821" s="193"/>
      <c r="E3821" s="201"/>
      <c r="F3821" s="202"/>
      <c r="G3821" s="194"/>
      <c r="H3821" s="198"/>
      <c r="I3821" s="196"/>
      <c r="J3821" s="179" t="str">
        <f>IF(A3821="RAPPI",(VLOOKUP(TRIM(D3821), CATALOGO!F:G, 2, FALSE) * C3821)+I3821,IFERROR(IF(COUNTIF('RESTAURANTESDESCUENTOS 2026'!A:A,TRIM(A3821))&gt;0,((VLOOKUP(TRIM(D3821), CATALOGO!A:B, 2, FALSE) * C3821)*(1-VALUE(SUBSTITUTE(VLOOKUP(TRIM(A3821),'RESTAURANTESDESCUENTOS 2026'!A:B,2,FALSE),"%",""))/100)+I3821),(VLOOKUP(TRIM(D3821), CATALOGO!A:B, 2, FALSE) * C3821+I3821)),""))</f>
        <v/>
      </c>
      <c r="K3821" s="196"/>
      <c r="L3821" s="87"/>
      <c r="M3821" s="245"/>
      <c r="N3821" s="168"/>
    </row>
    <row r="3822" ht="22.5" hidden="1" customHeight="1">
      <c r="A3822" s="137"/>
      <c r="B3822" s="90"/>
      <c r="C3822" s="55"/>
      <c r="D3822" s="193"/>
      <c r="E3822" s="201"/>
      <c r="F3822" s="202"/>
      <c r="G3822" s="194"/>
      <c r="H3822" s="198"/>
      <c r="I3822" s="196"/>
      <c r="J3822" s="179" t="str">
        <f>IF(A3822="RAPPI",(VLOOKUP(TRIM(D3822), CATALOGO!F:G, 2, FALSE) * C3822)+I3822,IFERROR(IF(COUNTIF('RESTAURANTESDESCUENTOS 2026'!A:A,TRIM(A3822))&gt;0,((VLOOKUP(TRIM(D3822), CATALOGO!A:B, 2, FALSE) * C3822)*(1-VALUE(SUBSTITUTE(VLOOKUP(TRIM(A3822),'RESTAURANTESDESCUENTOS 2026'!A:B,2,FALSE),"%",""))/100)+I3822),(VLOOKUP(TRIM(D3822), CATALOGO!A:B, 2, FALSE) * C3822+I3822)),""))</f>
        <v/>
      </c>
      <c r="K3822" s="196"/>
      <c r="L3822" s="87"/>
      <c r="M3822" s="245"/>
      <c r="N3822" s="168"/>
    </row>
    <row r="3823" ht="22.5" hidden="1" customHeight="1">
      <c r="A3823" s="137"/>
      <c r="B3823" s="90"/>
      <c r="C3823" s="55"/>
      <c r="D3823" s="193"/>
      <c r="E3823" s="201"/>
      <c r="F3823" s="202"/>
      <c r="G3823" s="194"/>
      <c r="H3823" s="198"/>
      <c r="I3823" s="196"/>
      <c r="J3823" s="179" t="str">
        <f>IF(A3823="RAPPI",(VLOOKUP(TRIM(D3823), CATALOGO!F:G, 2, FALSE) * C3823)+I3823,IFERROR(IF(COUNTIF('RESTAURANTESDESCUENTOS 2026'!A:A,TRIM(A3823))&gt;0,((VLOOKUP(TRIM(D3823), CATALOGO!A:B, 2, FALSE) * C3823)*(1-VALUE(SUBSTITUTE(VLOOKUP(TRIM(A3823),'RESTAURANTESDESCUENTOS 2026'!A:B,2,FALSE),"%",""))/100)+I3823),(VLOOKUP(TRIM(D3823), CATALOGO!A:B, 2, FALSE) * C3823+I3823)),""))</f>
        <v/>
      </c>
      <c r="K3823" s="196"/>
      <c r="L3823" s="87"/>
      <c r="M3823" s="245"/>
      <c r="N3823" s="168"/>
    </row>
    <row r="3824" ht="22.5" hidden="1" customHeight="1">
      <c r="A3824" s="137"/>
      <c r="B3824" s="90"/>
      <c r="C3824" s="55"/>
      <c r="D3824" s="193"/>
      <c r="E3824" s="201"/>
      <c r="F3824" s="202"/>
      <c r="G3824" s="194"/>
      <c r="H3824" s="198"/>
      <c r="I3824" s="196"/>
      <c r="J3824" s="179" t="str">
        <f>IF(A3824="RAPPI",(VLOOKUP(TRIM(D3824), CATALOGO!F:G, 2, FALSE) * C3824)+I3824,IFERROR(IF(COUNTIF('RESTAURANTESDESCUENTOS 2026'!A:A,TRIM(A3824))&gt;0,((VLOOKUP(TRIM(D3824), CATALOGO!A:B, 2, FALSE) * C3824)*(1-VALUE(SUBSTITUTE(VLOOKUP(TRIM(A3824),'RESTAURANTESDESCUENTOS 2026'!A:B,2,FALSE),"%",""))/100)+I3824),(VLOOKUP(TRIM(D3824), CATALOGO!A:B, 2, FALSE) * C3824+I3824)),""))</f>
        <v/>
      </c>
      <c r="K3824" s="196"/>
      <c r="L3824" s="87"/>
      <c r="M3824" s="245"/>
      <c r="N3824" s="168"/>
    </row>
    <row r="3825" ht="22.5" hidden="1" customHeight="1">
      <c r="A3825" s="137"/>
      <c r="B3825" s="90"/>
      <c r="C3825" s="55"/>
      <c r="D3825" s="193"/>
      <c r="E3825" s="201"/>
      <c r="F3825" s="202"/>
      <c r="G3825" s="194"/>
      <c r="H3825" s="198"/>
      <c r="I3825" s="196"/>
      <c r="J3825" s="179" t="str">
        <f>IF(A3825="RAPPI",(VLOOKUP(TRIM(D3825), CATALOGO!F:G, 2, FALSE) * C3825)+I3825,IFERROR(IF(COUNTIF('RESTAURANTESDESCUENTOS 2026'!A:A,TRIM(A3825))&gt;0,((VLOOKUP(TRIM(D3825), CATALOGO!A:B, 2, FALSE) * C3825)*(1-VALUE(SUBSTITUTE(VLOOKUP(TRIM(A3825),'RESTAURANTESDESCUENTOS 2026'!A:B,2,FALSE),"%",""))/100)+I3825),(VLOOKUP(TRIM(D3825), CATALOGO!A:B, 2, FALSE) * C3825+I3825)),""))</f>
        <v/>
      </c>
      <c r="K3825" s="196"/>
      <c r="L3825" s="87"/>
      <c r="M3825" s="245"/>
      <c r="N3825" s="168"/>
    </row>
    <row r="3826" ht="22.5" hidden="1" customHeight="1">
      <c r="A3826" s="137"/>
      <c r="B3826" s="90"/>
      <c r="C3826" s="55"/>
      <c r="D3826" s="193"/>
      <c r="E3826" s="201"/>
      <c r="F3826" s="202"/>
      <c r="G3826" s="194"/>
      <c r="H3826" s="198"/>
      <c r="I3826" s="196"/>
      <c r="J3826" s="179" t="str">
        <f>IF(A3826="RAPPI",(VLOOKUP(TRIM(D3826), CATALOGO!F:G, 2, FALSE) * C3826)+I3826,IFERROR(IF(COUNTIF('RESTAURANTESDESCUENTOS 2026'!A:A,TRIM(A3826))&gt;0,((VLOOKUP(TRIM(D3826), CATALOGO!A:B, 2, FALSE) * C3826)*(1-VALUE(SUBSTITUTE(VLOOKUP(TRIM(A3826),'RESTAURANTESDESCUENTOS 2026'!A:B,2,FALSE),"%",""))/100)+I3826),(VLOOKUP(TRIM(D3826), CATALOGO!A:B, 2, FALSE) * C3826+I3826)),""))</f>
        <v/>
      </c>
      <c r="K3826" s="196"/>
      <c r="L3826" s="87"/>
      <c r="M3826" s="245"/>
      <c r="N3826" s="168"/>
    </row>
    <row r="3827" ht="22.5" hidden="1" customHeight="1">
      <c r="A3827" s="137"/>
      <c r="B3827" s="90"/>
      <c r="C3827" s="55"/>
      <c r="D3827" s="193"/>
      <c r="E3827" s="201"/>
      <c r="F3827" s="202"/>
      <c r="G3827" s="194"/>
      <c r="H3827" s="198"/>
      <c r="I3827" s="196"/>
      <c r="J3827" s="179" t="str">
        <f>IF(A3827="RAPPI",(VLOOKUP(TRIM(D3827), CATALOGO!F:G, 2, FALSE) * C3827)+I3827,IFERROR(IF(COUNTIF('RESTAURANTESDESCUENTOS 2026'!A:A,TRIM(A3827))&gt;0,((VLOOKUP(TRIM(D3827), CATALOGO!A:B, 2, FALSE) * C3827)*(1-VALUE(SUBSTITUTE(VLOOKUP(TRIM(A3827),'RESTAURANTESDESCUENTOS 2026'!A:B,2,FALSE),"%",""))/100)+I3827),(VLOOKUP(TRIM(D3827), CATALOGO!A:B, 2, FALSE) * C3827+I3827)),""))</f>
        <v/>
      </c>
      <c r="K3827" s="196"/>
      <c r="L3827" s="87"/>
      <c r="M3827" s="245"/>
      <c r="N3827" s="168"/>
    </row>
    <row r="3828" ht="22.5" hidden="1" customHeight="1">
      <c r="A3828" s="137"/>
      <c r="B3828" s="90"/>
      <c r="C3828" s="55"/>
      <c r="D3828" s="193"/>
      <c r="E3828" s="201"/>
      <c r="F3828" s="202"/>
      <c r="G3828" s="194"/>
      <c r="H3828" s="198"/>
      <c r="I3828" s="196"/>
      <c r="J3828" s="179" t="str">
        <f>IF(A3828="RAPPI",(VLOOKUP(TRIM(D3828), CATALOGO!F:G, 2, FALSE) * C3828)+I3828,IFERROR(IF(COUNTIF('RESTAURANTESDESCUENTOS 2026'!A:A,TRIM(A3828))&gt;0,((VLOOKUP(TRIM(D3828), CATALOGO!A:B, 2, FALSE) * C3828)*(1-VALUE(SUBSTITUTE(VLOOKUP(TRIM(A3828),'RESTAURANTESDESCUENTOS 2026'!A:B,2,FALSE),"%",""))/100)+I3828),(VLOOKUP(TRIM(D3828), CATALOGO!A:B, 2, FALSE) * C3828+I3828)),""))</f>
        <v/>
      </c>
      <c r="K3828" s="196"/>
      <c r="L3828" s="87"/>
      <c r="M3828" s="245"/>
      <c r="N3828" s="168"/>
    </row>
    <row r="3829" ht="22.5" hidden="1" customHeight="1">
      <c r="A3829" s="137"/>
      <c r="B3829" s="90"/>
      <c r="C3829" s="55"/>
      <c r="D3829" s="193"/>
      <c r="E3829" s="201"/>
      <c r="F3829" s="202"/>
      <c r="G3829" s="194"/>
      <c r="H3829" s="198"/>
      <c r="I3829" s="196"/>
      <c r="J3829" s="179" t="str">
        <f>IF(A3829="RAPPI",(VLOOKUP(TRIM(D3829), CATALOGO!F:G, 2, FALSE) * C3829)+I3829,IFERROR(IF(COUNTIF('RESTAURANTESDESCUENTOS 2026'!A:A,TRIM(A3829))&gt;0,((VLOOKUP(TRIM(D3829), CATALOGO!A:B, 2, FALSE) * C3829)*(1-VALUE(SUBSTITUTE(VLOOKUP(TRIM(A3829),'RESTAURANTESDESCUENTOS 2026'!A:B,2,FALSE),"%",""))/100)+I3829),(VLOOKUP(TRIM(D3829), CATALOGO!A:B, 2, FALSE) * C3829+I3829)),""))</f>
        <v/>
      </c>
      <c r="K3829" s="196"/>
      <c r="L3829" s="87"/>
      <c r="M3829" s="245"/>
      <c r="N3829" s="168"/>
    </row>
    <row r="3830" ht="22.5" hidden="1" customHeight="1">
      <c r="A3830" s="137"/>
      <c r="B3830" s="90"/>
      <c r="C3830" s="55"/>
      <c r="D3830" s="193"/>
      <c r="E3830" s="201"/>
      <c r="F3830" s="202"/>
      <c r="G3830" s="194"/>
      <c r="H3830" s="198"/>
      <c r="I3830" s="196"/>
      <c r="J3830" s="179" t="str">
        <f>IF(A3830="RAPPI",(VLOOKUP(TRIM(D3830), CATALOGO!F:G, 2, FALSE) * C3830)+I3830,IFERROR(IF(COUNTIF('RESTAURANTESDESCUENTOS 2026'!A:A,TRIM(A3830))&gt;0,((VLOOKUP(TRIM(D3830), CATALOGO!A:B, 2, FALSE) * C3830)*(1-VALUE(SUBSTITUTE(VLOOKUP(TRIM(A3830),'RESTAURANTESDESCUENTOS 2026'!A:B,2,FALSE),"%",""))/100)+I3830),(VLOOKUP(TRIM(D3830), CATALOGO!A:B, 2, FALSE) * C3830+I3830)),""))</f>
        <v/>
      </c>
      <c r="K3830" s="196"/>
      <c r="L3830" s="87"/>
      <c r="M3830" s="245"/>
      <c r="N3830" s="168"/>
    </row>
    <row r="3831" ht="22.5" hidden="1" customHeight="1">
      <c r="A3831" s="137"/>
      <c r="B3831" s="90"/>
      <c r="C3831" s="55"/>
      <c r="D3831" s="193"/>
      <c r="E3831" s="201"/>
      <c r="F3831" s="202"/>
      <c r="G3831" s="194"/>
      <c r="H3831" s="198"/>
      <c r="I3831" s="196"/>
      <c r="J3831" s="179" t="str">
        <f>IF(A3831="RAPPI",(VLOOKUP(TRIM(D3831), CATALOGO!F:G, 2, FALSE) * C3831)+I3831,IFERROR(IF(COUNTIF('RESTAURANTESDESCUENTOS 2026'!A:A,TRIM(A3831))&gt;0,((VLOOKUP(TRIM(D3831), CATALOGO!A:B, 2, FALSE) * C3831)*(1-VALUE(SUBSTITUTE(VLOOKUP(TRIM(A3831),'RESTAURANTESDESCUENTOS 2026'!A:B,2,FALSE),"%",""))/100)+I3831),(VLOOKUP(TRIM(D3831), CATALOGO!A:B, 2, FALSE) * C3831+I3831)),""))</f>
        <v/>
      </c>
      <c r="K3831" s="196"/>
      <c r="L3831" s="87"/>
      <c r="M3831" s="245"/>
      <c r="N3831" s="168"/>
    </row>
    <row r="3832" ht="22.5" hidden="1" customHeight="1">
      <c r="A3832" s="137"/>
      <c r="B3832" s="90"/>
      <c r="C3832" s="55"/>
      <c r="D3832" s="193"/>
      <c r="E3832" s="201"/>
      <c r="F3832" s="202"/>
      <c r="G3832" s="194"/>
      <c r="H3832" s="198"/>
      <c r="I3832" s="196"/>
      <c r="J3832" s="179" t="str">
        <f>IF(A3832="RAPPI",(VLOOKUP(TRIM(D3832), CATALOGO!F:G, 2, FALSE) * C3832)+I3832,IFERROR(IF(COUNTIF('RESTAURANTESDESCUENTOS 2026'!A:A,TRIM(A3832))&gt;0,((VLOOKUP(TRIM(D3832), CATALOGO!A:B, 2, FALSE) * C3832)*(1-VALUE(SUBSTITUTE(VLOOKUP(TRIM(A3832),'RESTAURANTESDESCUENTOS 2026'!A:B,2,FALSE),"%",""))/100)+I3832),(VLOOKUP(TRIM(D3832), CATALOGO!A:B, 2, FALSE) * C3832+I3832)),""))</f>
        <v/>
      </c>
      <c r="K3832" s="196"/>
      <c r="L3832" s="87"/>
      <c r="M3832" s="245"/>
      <c r="N3832" s="168"/>
    </row>
    <row r="3833" ht="22.5" hidden="1" customHeight="1">
      <c r="A3833" s="137"/>
      <c r="B3833" s="90"/>
      <c r="C3833" s="55"/>
      <c r="D3833" s="193"/>
      <c r="E3833" s="201"/>
      <c r="F3833" s="202"/>
      <c r="G3833" s="194"/>
      <c r="H3833" s="198"/>
      <c r="I3833" s="196"/>
      <c r="J3833" s="179" t="str">
        <f>IF(A3833="RAPPI",(VLOOKUP(TRIM(D3833), CATALOGO!F:G, 2, FALSE) * C3833)+I3833,IFERROR(IF(COUNTIF('RESTAURANTESDESCUENTOS 2026'!A:A,TRIM(A3833))&gt;0,((VLOOKUP(TRIM(D3833), CATALOGO!A:B, 2, FALSE) * C3833)*(1-VALUE(SUBSTITUTE(VLOOKUP(TRIM(A3833),'RESTAURANTESDESCUENTOS 2026'!A:B,2,FALSE),"%",""))/100)+I3833),(VLOOKUP(TRIM(D3833), CATALOGO!A:B, 2, FALSE) * C3833+I3833)),""))</f>
        <v/>
      </c>
      <c r="K3833" s="196"/>
      <c r="L3833" s="87"/>
      <c r="M3833" s="245"/>
      <c r="N3833" s="168"/>
    </row>
    <row r="3834" ht="22.5" hidden="1" customHeight="1">
      <c r="A3834" s="137"/>
      <c r="B3834" s="90"/>
      <c r="C3834" s="55"/>
      <c r="D3834" s="193"/>
      <c r="E3834" s="201"/>
      <c r="F3834" s="202"/>
      <c r="G3834" s="194"/>
      <c r="H3834" s="198"/>
      <c r="I3834" s="196"/>
      <c r="J3834" s="179" t="str">
        <f>IF(A3834="RAPPI",(VLOOKUP(TRIM(D3834), CATALOGO!F:G, 2, FALSE) * C3834)+I3834,IFERROR(IF(COUNTIF('RESTAURANTESDESCUENTOS 2026'!A:A,TRIM(A3834))&gt;0,((VLOOKUP(TRIM(D3834), CATALOGO!A:B, 2, FALSE) * C3834)*(1-VALUE(SUBSTITUTE(VLOOKUP(TRIM(A3834),'RESTAURANTESDESCUENTOS 2026'!A:B,2,FALSE),"%",""))/100)+I3834),(VLOOKUP(TRIM(D3834), CATALOGO!A:B, 2, FALSE) * C3834+I3834)),""))</f>
        <v/>
      </c>
      <c r="K3834" s="196"/>
      <c r="L3834" s="87"/>
      <c r="M3834" s="245"/>
      <c r="N3834" s="168"/>
    </row>
    <row r="3835" ht="22.5" hidden="1" customHeight="1">
      <c r="A3835" s="137"/>
      <c r="B3835" s="90"/>
      <c r="C3835" s="55"/>
      <c r="D3835" s="193"/>
      <c r="E3835" s="201"/>
      <c r="F3835" s="202"/>
      <c r="G3835" s="194"/>
      <c r="H3835" s="198"/>
      <c r="I3835" s="196"/>
      <c r="J3835" s="179" t="str">
        <f>IF(A3835="RAPPI",(VLOOKUP(TRIM(D3835), CATALOGO!F:G, 2, FALSE) * C3835)+I3835,IFERROR(IF(COUNTIF('RESTAURANTESDESCUENTOS 2026'!A:A,TRIM(A3835))&gt;0,((VLOOKUP(TRIM(D3835), CATALOGO!A:B, 2, FALSE) * C3835)*(1-VALUE(SUBSTITUTE(VLOOKUP(TRIM(A3835),'RESTAURANTESDESCUENTOS 2026'!A:B,2,FALSE),"%",""))/100)+I3835),(VLOOKUP(TRIM(D3835), CATALOGO!A:B, 2, FALSE) * C3835+I3835)),""))</f>
        <v/>
      </c>
      <c r="K3835" s="196"/>
      <c r="L3835" s="87"/>
      <c r="M3835" s="245"/>
      <c r="N3835" s="168"/>
    </row>
    <row r="3836" ht="22.5" hidden="1" customHeight="1">
      <c r="A3836" s="137"/>
      <c r="B3836" s="90"/>
      <c r="C3836" s="55"/>
      <c r="D3836" s="193"/>
      <c r="E3836" s="201"/>
      <c r="F3836" s="202"/>
      <c r="G3836" s="194"/>
      <c r="H3836" s="198"/>
      <c r="I3836" s="196"/>
      <c r="J3836" s="179" t="str">
        <f>IF(A3836="RAPPI",(VLOOKUP(TRIM(D3836), CATALOGO!F:G, 2, FALSE) * C3836)+I3836,IFERROR(IF(COUNTIF('RESTAURANTESDESCUENTOS 2026'!A:A,TRIM(A3836))&gt;0,((VLOOKUP(TRIM(D3836), CATALOGO!A:B, 2, FALSE) * C3836)*(1-VALUE(SUBSTITUTE(VLOOKUP(TRIM(A3836),'RESTAURANTESDESCUENTOS 2026'!A:B,2,FALSE),"%",""))/100)+I3836),(VLOOKUP(TRIM(D3836), CATALOGO!A:B, 2, FALSE) * C3836+I3836)),""))</f>
        <v/>
      </c>
      <c r="K3836" s="196"/>
      <c r="L3836" s="87"/>
      <c r="M3836" s="245"/>
      <c r="N3836" s="168"/>
    </row>
    <row r="3837" ht="22.5" hidden="1" customHeight="1">
      <c r="A3837" s="137"/>
      <c r="B3837" s="90"/>
      <c r="C3837" s="55"/>
      <c r="D3837" s="193"/>
      <c r="E3837" s="201"/>
      <c r="F3837" s="202"/>
      <c r="G3837" s="194"/>
      <c r="H3837" s="198"/>
      <c r="I3837" s="196"/>
      <c r="J3837" s="179" t="str">
        <f>IF(A3837="RAPPI",(VLOOKUP(TRIM(D3837), CATALOGO!F:G, 2, FALSE) * C3837)+I3837,IFERROR(IF(COUNTIF('RESTAURANTESDESCUENTOS 2026'!A:A,TRIM(A3837))&gt;0,((VLOOKUP(TRIM(D3837), CATALOGO!A:B, 2, FALSE) * C3837)*(1-VALUE(SUBSTITUTE(VLOOKUP(TRIM(A3837),'RESTAURANTESDESCUENTOS 2026'!A:B,2,FALSE),"%",""))/100)+I3837),(VLOOKUP(TRIM(D3837), CATALOGO!A:B, 2, FALSE) * C3837+I3837)),""))</f>
        <v/>
      </c>
      <c r="K3837" s="196"/>
      <c r="L3837" s="87"/>
      <c r="M3837" s="245"/>
      <c r="N3837" s="168"/>
    </row>
    <row r="3838" ht="22.5" hidden="1" customHeight="1">
      <c r="A3838" s="137"/>
      <c r="B3838" s="90"/>
      <c r="C3838" s="55"/>
      <c r="D3838" s="193"/>
      <c r="E3838" s="201"/>
      <c r="F3838" s="202"/>
      <c r="G3838" s="194"/>
      <c r="H3838" s="198"/>
      <c r="I3838" s="196"/>
      <c r="J3838" s="179" t="str">
        <f>IF(A3838="RAPPI",(VLOOKUP(TRIM(D3838), CATALOGO!F:G, 2, FALSE) * C3838)+I3838,IFERROR(IF(COUNTIF('RESTAURANTESDESCUENTOS 2026'!A:A,TRIM(A3838))&gt;0,((VLOOKUP(TRIM(D3838), CATALOGO!A:B, 2, FALSE) * C3838)*(1-VALUE(SUBSTITUTE(VLOOKUP(TRIM(A3838),'RESTAURANTESDESCUENTOS 2026'!A:B,2,FALSE),"%",""))/100)+I3838),(VLOOKUP(TRIM(D3838), CATALOGO!A:B, 2, FALSE) * C3838+I3838)),""))</f>
        <v/>
      </c>
      <c r="K3838" s="196"/>
      <c r="L3838" s="87"/>
      <c r="M3838" s="245"/>
      <c r="N3838" s="168"/>
    </row>
    <row r="3839" ht="22.5" hidden="1" customHeight="1">
      <c r="A3839" s="137"/>
      <c r="B3839" s="90"/>
      <c r="C3839" s="55"/>
      <c r="D3839" s="193"/>
      <c r="E3839" s="201"/>
      <c r="F3839" s="202"/>
      <c r="G3839" s="194"/>
      <c r="H3839" s="198"/>
      <c r="I3839" s="196"/>
      <c r="J3839" s="179" t="str">
        <f>IF(A3839="RAPPI",(VLOOKUP(TRIM(D3839), CATALOGO!F:G, 2, FALSE) * C3839)+I3839,IFERROR(IF(COUNTIF('RESTAURANTESDESCUENTOS 2026'!A:A,TRIM(A3839))&gt;0,((VLOOKUP(TRIM(D3839), CATALOGO!A:B, 2, FALSE) * C3839)*(1-VALUE(SUBSTITUTE(VLOOKUP(TRIM(A3839),'RESTAURANTESDESCUENTOS 2026'!A:B,2,FALSE),"%",""))/100)+I3839),(VLOOKUP(TRIM(D3839), CATALOGO!A:B, 2, FALSE) * C3839+I3839)),""))</f>
        <v/>
      </c>
      <c r="K3839" s="196"/>
      <c r="L3839" s="87"/>
      <c r="M3839" s="245"/>
      <c r="N3839" s="168"/>
    </row>
    <row r="3840" ht="22.5" hidden="1" customHeight="1">
      <c r="A3840" s="137"/>
      <c r="B3840" s="90"/>
      <c r="C3840" s="55"/>
      <c r="D3840" s="193"/>
      <c r="E3840" s="201"/>
      <c r="F3840" s="202"/>
      <c r="G3840" s="194"/>
      <c r="H3840" s="198"/>
      <c r="I3840" s="196"/>
      <c r="J3840" s="179" t="str">
        <f>IF(A3840="RAPPI",(VLOOKUP(TRIM(D3840), CATALOGO!F:G, 2, FALSE) * C3840)+I3840,IFERROR(IF(COUNTIF('RESTAURANTESDESCUENTOS 2026'!A:A,TRIM(A3840))&gt;0,((VLOOKUP(TRIM(D3840), CATALOGO!A:B, 2, FALSE) * C3840)*(1-VALUE(SUBSTITUTE(VLOOKUP(TRIM(A3840),'RESTAURANTESDESCUENTOS 2026'!A:B,2,FALSE),"%",""))/100)+I3840),(VLOOKUP(TRIM(D3840), CATALOGO!A:B, 2, FALSE) * C3840+I3840)),""))</f>
        <v/>
      </c>
      <c r="K3840" s="196"/>
      <c r="L3840" s="87"/>
      <c r="M3840" s="245"/>
      <c r="N3840" s="168"/>
    </row>
    <row r="3841" ht="22.5" hidden="1" customHeight="1">
      <c r="A3841" s="137"/>
      <c r="B3841" s="90"/>
      <c r="C3841" s="55"/>
      <c r="D3841" s="193"/>
      <c r="E3841" s="201"/>
      <c r="F3841" s="202"/>
      <c r="G3841" s="194"/>
      <c r="H3841" s="198"/>
      <c r="I3841" s="196"/>
      <c r="J3841" s="179" t="str">
        <f>IF(A3841="RAPPI",(VLOOKUP(TRIM(D3841), CATALOGO!F:G, 2, FALSE) * C3841)+I3841,IFERROR(IF(COUNTIF('RESTAURANTESDESCUENTOS 2026'!A:A,TRIM(A3841))&gt;0,((VLOOKUP(TRIM(D3841), CATALOGO!A:B, 2, FALSE) * C3841)*(1-VALUE(SUBSTITUTE(VLOOKUP(TRIM(A3841),'RESTAURANTESDESCUENTOS 2026'!A:B,2,FALSE),"%",""))/100)+I3841),(VLOOKUP(TRIM(D3841), CATALOGO!A:B, 2, FALSE) * C3841+I3841)),""))</f>
        <v/>
      </c>
      <c r="K3841" s="196"/>
      <c r="L3841" s="87"/>
      <c r="M3841" s="245"/>
      <c r="N3841" s="168"/>
    </row>
    <row r="3842" ht="22.5" hidden="1" customHeight="1">
      <c r="A3842" s="137"/>
      <c r="B3842" s="90"/>
      <c r="C3842" s="55"/>
      <c r="D3842" s="193"/>
      <c r="E3842" s="201"/>
      <c r="F3842" s="202"/>
      <c r="G3842" s="194"/>
      <c r="H3842" s="198"/>
      <c r="I3842" s="196"/>
      <c r="J3842" s="179" t="str">
        <f>IF(A3842="RAPPI",(VLOOKUP(TRIM(D3842), CATALOGO!F:G, 2, FALSE) * C3842)+I3842,IFERROR(IF(COUNTIF('RESTAURANTESDESCUENTOS 2026'!A:A,TRIM(A3842))&gt;0,((VLOOKUP(TRIM(D3842), CATALOGO!A:B, 2, FALSE) * C3842)*(1-VALUE(SUBSTITUTE(VLOOKUP(TRIM(A3842),'RESTAURANTESDESCUENTOS 2026'!A:B,2,FALSE),"%",""))/100)+I3842),(VLOOKUP(TRIM(D3842), CATALOGO!A:B, 2, FALSE) * C3842+I3842)),""))</f>
        <v/>
      </c>
      <c r="K3842" s="196"/>
      <c r="L3842" s="87"/>
      <c r="M3842" s="245"/>
      <c r="N3842" s="168"/>
    </row>
    <row r="3843" ht="22.5" hidden="1" customHeight="1">
      <c r="A3843" s="137"/>
      <c r="B3843" s="90"/>
      <c r="C3843" s="55"/>
      <c r="D3843" s="193"/>
      <c r="E3843" s="201"/>
      <c r="F3843" s="202"/>
      <c r="G3843" s="194"/>
      <c r="H3843" s="198"/>
      <c r="I3843" s="196"/>
      <c r="J3843" s="179" t="str">
        <f>IF(A3843="RAPPI",(VLOOKUP(TRIM(D3843), CATALOGO!F:G, 2, FALSE) * C3843)+I3843,IFERROR(IF(COUNTIF('RESTAURANTESDESCUENTOS 2026'!A:A,TRIM(A3843))&gt;0,((VLOOKUP(TRIM(D3843), CATALOGO!A:B, 2, FALSE) * C3843)*(1-VALUE(SUBSTITUTE(VLOOKUP(TRIM(A3843),'RESTAURANTESDESCUENTOS 2026'!A:B,2,FALSE),"%",""))/100)+I3843),(VLOOKUP(TRIM(D3843), CATALOGO!A:B, 2, FALSE) * C3843+I3843)),""))</f>
        <v/>
      </c>
      <c r="K3843" s="196"/>
      <c r="L3843" s="87"/>
      <c r="M3843" s="245"/>
      <c r="N3843" s="168"/>
    </row>
    <row r="3844" ht="22.5" hidden="1" customHeight="1">
      <c r="A3844" s="137"/>
      <c r="B3844" s="90"/>
      <c r="C3844" s="55"/>
      <c r="D3844" s="193"/>
      <c r="E3844" s="201"/>
      <c r="F3844" s="202"/>
      <c r="G3844" s="194"/>
      <c r="H3844" s="198"/>
      <c r="I3844" s="196"/>
      <c r="J3844" s="179" t="str">
        <f>IF(A3844="RAPPI",(VLOOKUP(TRIM(D3844), CATALOGO!F:G, 2, FALSE) * C3844)+I3844,IFERROR(IF(COUNTIF('RESTAURANTESDESCUENTOS 2026'!A:A,TRIM(A3844))&gt;0,((VLOOKUP(TRIM(D3844), CATALOGO!A:B, 2, FALSE) * C3844)*(1-VALUE(SUBSTITUTE(VLOOKUP(TRIM(A3844),'RESTAURANTESDESCUENTOS 2026'!A:B,2,FALSE),"%",""))/100)+I3844),(VLOOKUP(TRIM(D3844), CATALOGO!A:B, 2, FALSE) * C3844+I3844)),""))</f>
        <v/>
      </c>
      <c r="K3844" s="196"/>
      <c r="L3844" s="87"/>
      <c r="M3844" s="245"/>
      <c r="N3844" s="168"/>
    </row>
    <row r="3845" ht="22.5" hidden="1" customHeight="1">
      <c r="A3845" s="137"/>
      <c r="B3845" s="90"/>
      <c r="C3845" s="55"/>
      <c r="D3845" s="193"/>
      <c r="E3845" s="201"/>
      <c r="F3845" s="202"/>
      <c r="G3845" s="194"/>
      <c r="H3845" s="198"/>
      <c r="I3845" s="196"/>
      <c r="J3845" s="179" t="str">
        <f>IF(A3845="RAPPI",(VLOOKUP(TRIM(D3845), CATALOGO!F:G, 2, FALSE) * C3845)+I3845,IFERROR(IF(COUNTIF('RESTAURANTESDESCUENTOS 2026'!A:A,TRIM(A3845))&gt;0,((VLOOKUP(TRIM(D3845), CATALOGO!A:B, 2, FALSE) * C3845)*(1-VALUE(SUBSTITUTE(VLOOKUP(TRIM(A3845),'RESTAURANTESDESCUENTOS 2026'!A:B,2,FALSE),"%",""))/100)+I3845),(VLOOKUP(TRIM(D3845), CATALOGO!A:B, 2, FALSE) * C3845+I3845)),""))</f>
        <v/>
      </c>
      <c r="K3845" s="196"/>
      <c r="L3845" s="87"/>
      <c r="M3845" s="245"/>
      <c r="N3845" s="168"/>
    </row>
    <row r="3846" ht="22.5" hidden="1" customHeight="1">
      <c r="A3846" s="137"/>
      <c r="B3846" s="90"/>
      <c r="C3846" s="55"/>
      <c r="D3846" s="193"/>
      <c r="E3846" s="201"/>
      <c r="F3846" s="202"/>
      <c r="G3846" s="194"/>
      <c r="H3846" s="198"/>
      <c r="I3846" s="196"/>
      <c r="J3846" s="179" t="str">
        <f>IF(A3846="RAPPI",(VLOOKUP(TRIM(D3846), CATALOGO!F:G, 2, FALSE) * C3846)+I3846,IFERROR(IF(COUNTIF('RESTAURANTESDESCUENTOS 2026'!A:A,TRIM(A3846))&gt;0,((VLOOKUP(TRIM(D3846), CATALOGO!A:B, 2, FALSE) * C3846)*(1-VALUE(SUBSTITUTE(VLOOKUP(TRIM(A3846),'RESTAURANTESDESCUENTOS 2026'!A:B,2,FALSE),"%",""))/100)+I3846),(VLOOKUP(TRIM(D3846), CATALOGO!A:B, 2, FALSE) * C3846+I3846)),""))</f>
        <v/>
      </c>
      <c r="K3846" s="196"/>
      <c r="L3846" s="87"/>
      <c r="M3846" s="245"/>
      <c r="N3846" s="168"/>
    </row>
    <row r="3847" ht="22.5" hidden="1" customHeight="1">
      <c r="A3847" s="137"/>
      <c r="B3847" s="90"/>
      <c r="C3847" s="55"/>
      <c r="D3847" s="193"/>
      <c r="E3847" s="201"/>
      <c r="F3847" s="202"/>
      <c r="G3847" s="194"/>
      <c r="H3847" s="198"/>
      <c r="I3847" s="196"/>
      <c r="J3847" s="179" t="str">
        <f>IF(A3847="RAPPI",(VLOOKUP(TRIM(D3847), CATALOGO!F:G, 2, FALSE) * C3847)+I3847,IFERROR(IF(COUNTIF('RESTAURANTESDESCUENTOS 2026'!A:A,TRIM(A3847))&gt;0,((VLOOKUP(TRIM(D3847), CATALOGO!A:B, 2, FALSE) * C3847)*(1-VALUE(SUBSTITUTE(VLOOKUP(TRIM(A3847),'RESTAURANTESDESCUENTOS 2026'!A:B,2,FALSE),"%",""))/100)+I3847),(VLOOKUP(TRIM(D3847), CATALOGO!A:B, 2, FALSE) * C3847+I3847)),""))</f>
        <v/>
      </c>
      <c r="K3847" s="196"/>
      <c r="L3847" s="87"/>
      <c r="M3847" s="245"/>
      <c r="N3847" s="168"/>
    </row>
    <row r="3848" ht="22.5" hidden="1" customHeight="1">
      <c r="A3848" s="137"/>
      <c r="B3848" s="90"/>
      <c r="C3848" s="55"/>
      <c r="D3848" s="193"/>
      <c r="E3848" s="201"/>
      <c r="F3848" s="202"/>
      <c r="G3848" s="194"/>
      <c r="H3848" s="198"/>
      <c r="I3848" s="196"/>
      <c r="J3848" s="179" t="str">
        <f>IF(A3848="RAPPI",(VLOOKUP(TRIM(D3848), CATALOGO!F:G, 2, FALSE) * C3848)+I3848,IFERROR(IF(COUNTIF('RESTAURANTESDESCUENTOS 2026'!A:A,TRIM(A3848))&gt;0,((VLOOKUP(TRIM(D3848), CATALOGO!A:B, 2, FALSE) * C3848)*(1-VALUE(SUBSTITUTE(VLOOKUP(TRIM(A3848),'RESTAURANTESDESCUENTOS 2026'!A:B,2,FALSE),"%",""))/100)+I3848),(VLOOKUP(TRIM(D3848), CATALOGO!A:B, 2, FALSE) * C3848+I3848)),""))</f>
        <v/>
      </c>
      <c r="K3848" s="196"/>
      <c r="L3848" s="87"/>
      <c r="M3848" s="245"/>
      <c r="N3848" s="168"/>
    </row>
    <row r="3849" ht="22.5" hidden="1" customHeight="1">
      <c r="A3849" s="137"/>
      <c r="B3849" s="90"/>
      <c r="C3849" s="55"/>
      <c r="D3849" s="193"/>
      <c r="E3849" s="201"/>
      <c r="F3849" s="202"/>
      <c r="G3849" s="194"/>
      <c r="H3849" s="198"/>
      <c r="I3849" s="196"/>
      <c r="J3849" s="179" t="str">
        <f>IF(A3849="RAPPI",(VLOOKUP(TRIM(D3849), CATALOGO!F:G, 2, FALSE) * C3849)+I3849,IFERROR(IF(COUNTIF('RESTAURANTESDESCUENTOS 2026'!A:A,TRIM(A3849))&gt;0,((VLOOKUP(TRIM(D3849), CATALOGO!A:B, 2, FALSE) * C3849)*(1-VALUE(SUBSTITUTE(VLOOKUP(TRIM(A3849),'RESTAURANTESDESCUENTOS 2026'!A:B,2,FALSE),"%",""))/100)+I3849),(VLOOKUP(TRIM(D3849), CATALOGO!A:B, 2, FALSE) * C3849+I3849)),""))</f>
        <v/>
      </c>
      <c r="K3849" s="196"/>
      <c r="L3849" s="87"/>
      <c r="M3849" s="245"/>
      <c r="N3849" s="168"/>
    </row>
    <row r="3850" ht="22.5" hidden="1" customHeight="1">
      <c r="A3850" s="137"/>
      <c r="B3850" s="90"/>
      <c r="C3850" s="55"/>
      <c r="D3850" s="193"/>
      <c r="E3850" s="201"/>
      <c r="F3850" s="202"/>
      <c r="G3850" s="194"/>
      <c r="H3850" s="198"/>
      <c r="I3850" s="196"/>
      <c r="J3850" s="179" t="str">
        <f>IF(A3850="RAPPI",(VLOOKUP(TRIM(D3850), CATALOGO!F:G, 2, FALSE) * C3850)+I3850,IFERROR(IF(COUNTIF('RESTAURANTESDESCUENTOS 2026'!A:A,TRIM(A3850))&gt;0,((VLOOKUP(TRIM(D3850), CATALOGO!A:B, 2, FALSE) * C3850)*(1-VALUE(SUBSTITUTE(VLOOKUP(TRIM(A3850),'RESTAURANTESDESCUENTOS 2026'!A:B,2,FALSE),"%",""))/100)+I3850),(VLOOKUP(TRIM(D3850), CATALOGO!A:B, 2, FALSE) * C3850+I3850)),""))</f>
        <v/>
      </c>
      <c r="K3850" s="196"/>
      <c r="L3850" s="87"/>
      <c r="M3850" s="245"/>
      <c r="N3850" s="168"/>
    </row>
    <row r="3851" ht="22.5" hidden="1" customHeight="1">
      <c r="A3851" s="137"/>
      <c r="B3851" s="90"/>
      <c r="C3851" s="55"/>
      <c r="D3851" s="193"/>
      <c r="E3851" s="201"/>
      <c r="F3851" s="202"/>
      <c r="G3851" s="194"/>
      <c r="H3851" s="198"/>
      <c r="I3851" s="196"/>
      <c r="J3851" s="179" t="str">
        <f>IF(A3851="RAPPI",(VLOOKUP(TRIM(D3851), CATALOGO!F:G, 2, FALSE) * C3851)+I3851,IFERROR(IF(COUNTIF('RESTAURANTESDESCUENTOS 2026'!A:A,TRIM(A3851))&gt;0,((VLOOKUP(TRIM(D3851), CATALOGO!A:B, 2, FALSE) * C3851)*(1-VALUE(SUBSTITUTE(VLOOKUP(TRIM(A3851),'RESTAURANTESDESCUENTOS 2026'!A:B,2,FALSE),"%",""))/100)+I3851),(VLOOKUP(TRIM(D3851), CATALOGO!A:B, 2, FALSE) * C3851+I3851)),""))</f>
        <v/>
      </c>
      <c r="K3851" s="196"/>
      <c r="L3851" s="87"/>
      <c r="M3851" s="245"/>
      <c r="N3851" s="168"/>
    </row>
    <row r="3852" ht="22.5" hidden="1" customHeight="1">
      <c r="A3852" s="137"/>
      <c r="B3852" s="90"/>
      <c r="C3852" s="55"/>
      <c r="D3852" s="193"/>
      <c r="E3852" s="201"/>
      <c r="F3852" s="202"/>
      <c r="G3852" s="194"/>
      <c r="H3852" s="198"/>
      <c r="I3852" s="196"/>
      <c r="J3852" s="179" t="str">
        <f>IF(A3852="RAPPI",(VLOOKUP(TRIM(D3852), CATALOGO!F:G, 2, FALSE) * C3852)+I3852,IFERROR(IF(COUNTIF('RESTAURANTESDESCUENTOS 2026'!A:A,TRIM(A3852))&gt;0,((VLOOKUP(TRIM(D3852), CATALOGO!A:B, 2, FALSE) * C3852)*(1-VALUE(SUBSTITUTE(VLOOKUP(TRIM(A3852),'RESTAURANTESDESCUENTOS 2026'!A:B,2,FALSE),"%",""))/100)+I3852),(VLOOKUP(TRIM(D3852), CATALOGO!A:B, 2, FALSE) * C3852+I3852)),""))</f>
        <v/>
      </c>
      <c r="K3852" s="196"/>
      <c r="L3852" s="87"/>
      <c r="M3852" s="245"/>
      <c r="N3852" s="168"/>
    </row>
    <row r="3853" ht="22.5" hidden="1" customHeight="1">
      <c r="A3853" s="137"/>
      <c r="B3853" s="90"/>
      <c r="C3853" s="55"/>
      <c r="D3853" s="193"/>
      <c r="E3853" s="201"/>
      <c r="F3853" s="202"/>
      <c r="G3853" s="194"/>
      <c r="H3853" s="198"/>
      <c r="I3853" s="196"/>
      <c r="J3853" s="179" t="str">
        <f>IF(A3853="RAPPI",(VLOOKUP(TRIM(D3853), CATALOGO!F:G, 2, FALSE) * C3853)+I3853,IFERROR(IF(COUNTIF('RESTAURANTESDESCUENTOS 2026'!A:A,TRIM(A3853))&gt;0,((VLOOKUP(TRIM(D3853), CATALOGO!A:B, 2, FALSE) * C3853)*(1-VALUE(SUBSTITUTE(VLOOKUP(TRIM(A3853),'RESTAURANTESDESCUENTOS 2026'!A:B,2,FALSE),"%",""))/100)+I3853),(VLOOKUP(TRIM(D3853), CATALOGO!A:B, 2, FALSE) * C3853+I3853)),""))</f>
        <v/>
      </c>
      <c r="K3853" s="196"/>
      <c r="L3853" s="87"/>
      <c r="M3853" s="245"/>
      <c r="N3853" s="168"/>
    </row>
    <row r="3854" ht="22.5" hidden="1" customHeight="1">
      <c r="A3854" s="137"/>
      <c r="B3854" s="90"/>
      <c r="C3854" s="55"/>
      <c r="D3854" s="193"/>
      <c r="E3854" s="201"/>
      <c r="F3854" s="202"/>
      <c r="G3854" s="194"/>
      <c r="H3854" s="198"/>
      <c r="I3854" s="196"/>
      <c r="J3854" s="179" t="str">
        <f>IF(A3854="RAPPI",(VLOOKUP(TRIM(D3854), CATALOGO!F:G, 2, FALSE) * C3854)+I3854,IFERROR(IF(COUNTIF('RESTAURANTESDESCUENTOS 2026'!A:A,TRIM(A3854))&gt;0,((VLOOKUP(TRIM(D3854), CATALOGO!A:B, 2, FALSE) * C3854)*(1-VALUE(SUBSTITUTE(VLOOKUP(TRIM(A3854),'RESTAURANTESDESCUENTOS 2026'!A:B,2,FALSE),"%",""))/100)+I3854),(VLOOKUP(TRIM(D3854), CATALOGO!A:B, 2, FALSE) * C3854+I3854)),""))</f>
        <v/>
      </c>
      <c r="K3854" s="196"/>
      <c r="L3854" s="87"/>
      <c r="M3854" s="245"/>
      <c r="N3854" s="168"/>
    </row>
    <row r="3855" ht="22.5" hidden="1" customHeight="1">
      <c r="A3855" s="137"/>
      <c r="B3855" s="90"/>
      <c r="C3855" s="55"/>
      <c r="D3855" s="193"/>
      <c r="E3855" s="201"/>
      <c r="F3855" s="202"/>
      <c r="G3855" s="194"/>
      <c r="H3855" s="198"/>
      <c r="I3855" s="196"/>
      <c r="J3855" s="179" t="str">
        <f>IF(A3855="RAPPI",(VLOOKUP(TRIM(D3855), CATALOGO!F:G, 2, FALSE) * C3855)+I3855,IFERROR(IF(COUNTIF('RESTAURANTESDESCUENTOS 2026'!A:A,TRIM(A3855))&gt;0,((VLOOKUP(TRIM(D3855), CATALOGO!A:B, 2, FALSE) * C3855)*(1-VALUE(SUBSTITUTE(VLOOKUP(TRIM(A3855),'RESTAURANTESDESCUENTOS 2026'!A:B,2,FALSE),"%",""))/100)+I3855),(VLOOKUP(TRIM(D3855), CATALOGO!A:B, 2, FALSE) * C3855+I3855)),""))</f>
        <v/>
      </c>
      <c r="K3855" s="196"/>
      <c r="L3855" s="87"/>
      <c r="M3855" s="245"/>
      <c r="N3855" s="168"/>
    </row>
    <row r="3856" ht="22.5" hidden="1" customHeight="1">
      <c r="A3856" s="137"/>
      <c r="B3856" s="90"/>
      <c r="C3856" s="55"/>
      <c r="D3856" s="193"/>
      <c r="E3856" s="201"/>
      <c r="F3856" s="202"/>
      <c r="G3856" s="194"/>
      <c r="H3856" s="198"/>
      <c r="I3856" s="196"/>
      <c r="J3856" s="179" t="str">
        <f>IF(A3856="RAPPI",(VLOOKUP(TRIM(D3856), CATALOGO!F:G, 2, FALSE) * C3856)+I3856,IFERROR(IF(COUNTIF('RESTAURANTESDESCUENTOS 2026'!A:A,TRIM(A3856))&gt;0,((VLOOKUP(TRIM(D3856), CATALOGO!A:B, 2, FALSE) * C3856)*(1-VALUE(SUBSTITUTE(VLOOKUP(TRIM(A3856),'RESTAURANTESDESCUENTOS 2026'!A:B,2,FALSE),"%",""))/100)+I3856),(VLOOKUP(TRIM(D3856), CATALOGO!A:B, 2, FALSE) * C3856+I3856)),""))</f>
        <v/>
      </c>
      <c r="K3856" s="196"/>
      <c r="L3856" s="87"/>
      <c r="M3856" s="245"/>
      <c r="N3856" s="168"/>
    </row>
    <row r="3857" ht="22.5" hidden="1" customHeight="1">
      <c r="A3857" s="137"/>
      <c r="B3857" s="90"/>
      <c r="C3857" s="55"/>
      <c r="D3857" s="193"/>
      <c r="E3857" s="201"/>
      <c r="F3857" s="202"/>
      <c r="G3857" s="194"/>
      <c r="H3857" s="198"/>
      <c r="I3857" s="196"/>
      <c r="J3857" s="179" t="str">
        <f>IF(A3857="RAPPI",(VLOOKUP(TRIM(D3857), CATALOGO!F:G, 2, FALSE) * C3857)+I3857,IFERROR(IF(COUNTIF('RESTAURANTESDESCUENTOS 2026'!A:A,TRIM(A3857))&gt;0,((VLOOKUP(TRIM(D3857), CATALOGO!A:B, 2, FALSE) * C3857)*(1-VALUE(SUBSTITUTE(VLOOKUP(TRIM(A3857),'RESTAURANTESDESCUENTOS 2026'!A:B,2,FALSE),"%",""))/100)+I3857),(VLOOKUP(TRIM(D3857), CATALOGO!A:B, 2, FALSE) * C3857+I3857)),""))</f>
        <v/>
      </c>
      <c r="K3857" s="196"/>
      <c r="L3857" s="87"/>
      <c r="M3857" s="245"/>
      <c r="N3857" s="168"/>
    </row>
    <row r="3858" ht="22.5" hidden="1" customHeight="1">
      <c r="A3858" s="137"/>
      <c r="B3858" s="90"/>
      <c r="C3858" s="55"/>
      <c r="D3858" s="193"/>
      <c r="E3858" s="201"/>
      <c r="F3858" s="202"/>
      <c r="G3858" s="194"/>
      <c r="H3858" s="198"/>
      <c r="I3858" s="196"/>
      <c r="J3858" s="179" t="str">
        <f>IF(A3858="RAPPI",(VLOOKUP(TRIM(D3858), CATALOGO!F:G, 2, FALSE) * C3858)+I3858,IFERROR(IF(COUNTIF('RESTAURANTESDESCUENTOS 2026'!A:A,TRIM(A3858))&gt;0,((VLOOKUP(TRIM(D3858), CATALOGO!A:B, 2, FALSE) * C3858)*(1-VALUE(SUBSTITUTE(VLOOKUP(TRIM(A3858),'RESTAURANTESDESCUENTOS 2026'!A:B,2,FALSE),"%",""))/100)+I3858),(VLOOKUP(TRIM(D3858), CATALOGO!A:B, 2, FALSE) * C3858+I3858)),""))</f>
        <v/>
      </c>
      <c r="K3858" s="196"/>
      <c r="L3858" s="87"/>
      <c r="M3858" s="245"/>
      <c r="N3858" s="168"/>
    </row>
    <row r="3859" ht="22.5" hidden="1" customHeight="1">
      <c r="A3859" s="137"/>
      <c r="B3859" s="90"/>
      <c r="C3859" s="55"/>
      <c r="D3859" s="193"/>
      <c r="E3859" s="201"/>
      <c r="F3859" s="202"/>
      <c r="G3859" s="194"/>
      <c r="H3859" s="198"/>
      <c r="I3859" s="196"/>
      <c r="J3859" s="179" t="str">
        <f>IF(A3859="RAPPI",(VLOOKUP(TRIM(D3859), CATALOGO!F:G, 2, FALSE) * C3859)+I3859,IFERROR(IF(COUNTIF('RESTAURANTESDESCUENTOS 2026'!A:A,TRIM(A3859))&gt;0,((VLOOKUP(TRIM(D3859), CATALOGO!A:B, 2, FALSE) * C3859)*(1-VALUE(SUBSTITUTE(VLOOKUP(TRIM(A3859),'RESTAURANTESDESCUENTOS 2026'!A:B,2,FALSE),"%",""))/100)+I3859),(VLOOKUP(TRIM(D3859), CATALOGO!A:B, 2, FALSE) * C3859+I3859)),""))</f>
        <v/>
      </c>
      <c r="K3859" s="196"/>
      <c r="L3859" s="87"/>
      <c r="M3859" s="245"/>
      <c r="N3859" s="168"/>
    </row>
    <row r="3860" ht="22.5" hidden="1" customHeight="1">
      <c r="A3860" s="137"/>
      <c r="B3860" s="90"/>
      <c r="C3860" s="55"/>
      <c r="D3860" s="193"/>
      <c r="E3860" s="201"/>
      <c r="F3860" s="202"/>
      <c r="G3860" s="194"/>
      <c r="H3860" s="198"/>
      <c r="I3860" s="196"/>
      <c r="J3860" s="179" t="str">
        <f>IF(A3860="RAPPI",(VLOOKUP(TRIM(D3860), CATALOGO!F:G, 2, FALSE) * C3860)+I3860,IFERROR(IF(COUNTIF('RESTAURANTESDESCUENTOS 2026'!A:A,TRIM(A3860))&gt;0,((VLOOKUP(TRIM(D3860), CATALOGO!A:B, 2, FALSE) * C3860)*(1-VALUE(SUBSTITUTE(VLOOKUP(TRIM(A3860),'RESTAURANTESDESCUENTOS 2026'!A:B,2,FALSE),"%",""))/100)+I3860),(VLOOKUP(TRIM(D3860), CATALOGO!A:B, 2, FALSE) * C3860+I3860)),""))</f>
        <v/>
      </c>
      <c r="K3860" s="196"/>
      <c r="L3860" s="87"/>
      <c r="M3860" s="245"/>
      <c r="N3860" s="168"/>
    </row>
    <row r="3861" ht="22.5" hidden="1" customHeight="1">
      <c r="A3861" s="137"/>
      <c r="B3861" s="90"/>
      <c r="C3861" s="55"/>
      <c r="D3861" s="193"/>
      <c r="E3861" s="201"/>
      <c r="F3861" s="202"/>
      <c r="G3861" s="194"/>
      <c r="H3861" s="198"/>
      <c r="I3861" s="196"/>
      <c r="J3861" s="179" t="str">
        <f>IF(A3861="RAPPI",(VLOOKUP(TRIM(D3861), CATALOGO!F:G, 2, FALSE) * C3861)+I3861,IFERROR(IF(COUNTIF('RESTAURANTESDESCUENTOS 2026'!A:A,TRIM(A3861))&gt;0,((VLOOKUP(TRIM(D3861), CATALOGO!A:B, 2, FALSE) * C3861)*(1-VALUE(SUBSTITUTE(VLOOKUP(TRIM(A3861),'RESTAURANTESDESCUENTOS 2026'!A:B,2,FALSE),"%",""))/100)+I3861),(VLOOKUP(TRIM(D3861), CATALOGO!A:B, 2, FALSE) * C3861+I3861)),""))</f>
        <v/>
      </c>
      <c r="K3861" s="196"/>
      <c r="L3861" s="87"/>
      <c r="M3861" s="245"/>
      <c r="N3861" s="168"/>
    </row>
    <row r="3862" ht="22.5" hidden="1" customHeight="1">
      <c r="A3862" s="137"/>
      <c r="B3862" s="90"/>
      <c r="C3862" s="55"/>
      <c r="D3862" s="193"/>
      <c r="E3862" s="201"/>
      <c r="F3862" s="202"/>
      <c r="G3862" s="194"/>
      <c r="H3862" s="198"/>
      <c r="I3862" s="196"/>
      <c r="J3862" s="179" t="str">
        <f>IF(A3862="RAPPI",(VLOOKUP(TRIM(D3862), CATALOGO!F:G, 2, FALSE) * C3862)+I3862,IFERROR(IF(COUNTIF('RESTAURANTESDESCUENTOS 2026'!A:A,TRIM(A3862))&gt;0,((VLOOKUP(TRIM(D3862), CATALOGO!A:B, 2, FALSE) * C3862)*(1-VALUE(SUBSTITUTE(VLOOKUP(TRIM(A3862),'RESTAURANTESDESCUENTOS 2026'!A:B,2,FALSE),"%",""))/100)+I3862),(VLOOKUP(TRIM(D3862), CATALOGO!A:B, 2, FALSE) * C3862+I3862)),""))</f>
        <v/>
      </c>
      <c r="K3862" s="196"/>
      <c r="L3862" s="87"/>
      <c r="M3862" s="245"/>
      <c r="N3862" s="168"/>
    </row>
    <row r="3863" ht="22.5" hidden="1" customHeight="1">
      <c r="A3863" s="137"/>
      <c r="B3863" s="90"/>
      <c r="C3863" s="55"/>
      <c r="D3863" s="193"/>
      <c r="E3863" s="201"/>
      <c r="F3863" s="202"/>
      <c r="G3863" s="194"/>
      <c r="H3863" s="198"/>
      <c r="I3863" s="196"/>
      <c r="J3863" s="179" t="str">
        <f>IF(A3863="RAPPI",(VLOOKUP(TRIM(D3863), CATALOGO!F:G, 2, FALSE) * C3863)+I3863,IFERROR(IF(COUNTIF('RESTAURANTESDESCUENTOS 2026'!A:A,TRIM(A3863))&gt;0,((VLOOKUP(TRIM(D3863), CATALOGO!A:B, 2, FALSE) * C3863)*(1-VALUE(SUBSTITUTE(VLOOKUP(TRIM(A3863),'RESTAURANTESDESCUENTOS 2026'!A:B,2,FALSE),"%",""))/100)+I3863),(VLOOKUP(TRIM(D3863), CATALOGO!A:B, 2, FALSE) * C3863+I3863)),""))</f>
        <v/>
      </c>
      <c r="K3863" s="196"/>
      <c r="L3863" s="87"/>
      <c r="M3863" s="245"/>
      <c r="N3863" s="168"/>
    </row>
    <row r="3864" ht="22.5" hidden="1" customHeight="1">
      <c r="A3864" s="137"/>
      <c r="B3864" s="90"/>
      <c r="C3864" s="55"/>
      <c r="D3864" s="193"/>
      <c r="E3864" s="201"/>
      <c r="F3864" s="202"/>
      <c r="G3864" s="194"/>
      <c r="H3864" s="198"/>
      <c r="I3864" s="196"/>
      <c r="J3864" s="179" t="str">
        <f>IF(A3864="RAPPI",(VLOOKUP(TRIM(D3864), CATALOGO!F:G, 2, FALSE) * C3864)+I3864,IFERROR(IF(COUNTIF('RESTAURANTESDESCUENTOS 2026'!A:A,TRIM(A3864))&gt;0,((VLOOKUP(TRIM(D3864), CATALOGO!A:B, 2, FALSE) * C3864)*(1-VALUE(SUBSTITUTE(VLOOKUP(TRIM(A3864),'RESTAURANTESDESCUENTOS 2026'!A:B,2,FALSE),"%",""))/100)+I3864),(VLOOKUP(TRIM(D3864), CATALOGO!A:B, 2, FALSE) * C3864+I3864)),""))</f>
        <v/>
      </c>
      <c r="K3864" s="196"/>
      <c r="L3864" s="87"/>
      <c r="M3864" s="245"/>
      <c r="N3864" s="168"/>
    </row>
    <row r="3865" ht="22.5" hidden="1" customHeight="1">
      <c r="A3865" s="137"/>
      <c r="B3865" s="90"/>
      <c r="C3865" s="55"/>
      <c r="D3865" s="193"/>
      <c r="E3865" s="201"/>
      <c r="F3865" s="202"/>
      <c r="G3865" s="194"/>
      <c r="H3865" s="198"/>
      <c r="I3865" s="196"/>
      <c r="J3865" s="179" t="str">
        <f>IF(A3865="RAPPI",(VLOOKUP(TRIM(D3865), CATALOGO!F:G, 2, FALSE) * C3865)+I3865,IFERROR(IF(COUNTIF('RESTAURANTESDESCUENTOS 2026'!A:A,TRIM(A3865))&gt;0,((VLOOKUP(TRIM(D3865), CATALOGO!A:B, 2, FALSE) * C3865)*(1-VALUE(SUBSTITUTE(VLOOKUP(TRIM(A3865),'RESTAURANTESDESCUENTOS 2026'!A:B,2,FALSE),"%",""))/100)+I3865),(VLOOKUP(TRIM(D3865), CATALOGO!A:B, 2, FALSE) * C3865+I3865)),""))</f>
        <v/>
      </c>
      <c r="K3865" s="196"/>
      <c r="L3865" s="87"/>
      <c r="M3865" s="245"/>
      <c r="N3865" s="168"/>
    </row>
    <row r="3866" ht="22.5" hidden="1" customHeight="1">
      <c r="A3866" s="137"/>
      <c r="B3866" s="90"/>
      <c r="C3866" s="55"/>
      <c r="D3866" s="193"/>
      <c r="E3866" s="201"/>
      <c r="F3866" s="202"/>
      <c r="G3866" s="194"/>
      <c r="H3866" s="198"/>
      <c r="I3866" s="196"/>
      <c r="J3866" s="179" t="str">
        <f>IF(A3866="RAPPI",(VLOOKUP(TRIM(D3866), CATALOGO!F:G, 2, FALSE) * C3866)+I3866,IFERROR(IF(COUNTIF('RESTAURANTESDESCUENTOS 2026'!A:A,TRIM(A3866))&gt;0,((VLOOKUP(TRIM(D3866), CATALOGO!A:B, 2, FALSE) * C3866)*(1-VALUE(SUBSTITUTE(VLOOKUP(TRIM(A3866),'RESTAURANTESDESCUENTOS 2026'!A:B,2,FALSE),"%",""))/100)+I3866),(VLOOKUP(TRIM(D3866), CATALOGO!A:B, 2, FALSE) * C3866+I3866)),""))</f>
        <v/>
      </c>
      <c r="K3866" s="196"/>
      <c r="L3866" s="87"/>
      <c r="M3866" s="245"/>
      <c r="N3866" s="168"/>
    </row>
    <row r="3867" ht="22.5" hidden="1" customHeight="1">
      <c r="A3867" s="137"/>
      <c r="B3867" s="90"/>
      <c r="C3867" s="55"/>
      <c r="D3867" s="193"/>
      <c r="E3867" s="201"/>
      <c r="F3867" s="202"/>
      <c r="G3867" s="194"/>
      <c r="H3867" s="198"/>
      <c r="I3867" s="196"/>
      <c r="J3867" s="179" t="str">
        <f>IF(A3867="RAPPI",(VLOOKUP(TRIM(D3867), CATALOGO!F:G, 2, FALSE) * C3867)+I3867,IFERROR(IF(COUNTIF('RESTAURANTESDESCUENTOS 2026'!A:A,TRIM(A3867))&gt;0,((VLOOKUP(TRIM(D3867), CATALOGO!A:B, 2, FALSE) * C3867)*(1-VALUE(SUBSTITUTE(VLOOKUP(TRIM(A3867),'RESTAURANTESDESCUENTOS 2026'!A:B,2,FALSE),"%",""))/100)+I3867),(VLOOKUP(TRIM(D3867), CATALOGO!A:B, 2, FALSE) * C3867+I3867)),""))</f>
        <v/>
      </c>
      <c r="K3867" s="196"/>
      <c r="L3867" s="87"/>
      <c r="M3867" s="245"/>
      <c r="N3867" s="168"/>
    </row>
    <row r="3868" ht="22.5" hidden="1" customHeight="1">
      <c r="A3868" s="137"/>
      <c r="B3868" s="90"/>
      <c r="C3868" s="55"/>
      <c r="D3868" s="193"/>
      <c r="E3868" s="201"/>
      <c r="F3868" s="202"/>
      <c r="G3868" s="194"/>
      <c r="H3868" s="198"/>
      <c r="I3868" s="196"/>
      <c r="J3868" s="179" t="str">
        <f>IF(A3868="RAPPI",(VLOOKUP(TRIM(D3868), CATALOGO!F:G, 2, FALSE) * C3868)+I3868,IFERROR(IF(COUNTIF('RESTAURANTESDESCUENTOS 2026'!A:A,TRIM(A3868))&gt;0,((VLOOKUP(TRIM(D3868), CATALOGO!A:B, 2, FALSE) * C3868)*(1-VALUE(SUBSTITUTE(VLOOKUP(TRIM(A3868),'RESTAURANTESDESCUENTOS 2026'!A:B,2,FALSE),"%",""))/100)+I3868),(VLOOKUP(TRIM(D3868), CATALOGO!A:B, 2, FALSE) * C3868+I3868)),""))</f>
        <v/>
      </c>
      <c r="K3868" s="196"/>
      <c r="L3868" s="87"/>
      <c r="M3868" s="245"/>
      <c r="N3868" s="168"/>
    </row>
    <row r="3869" ht="22.5" hidden="1" customHeight="1">
      <c r="A3869" s="137"/>
      <c r="B3869" s="90"/>
      <c r="C3869" s="55"/>
      <c r="D3869" s="193"/>
      <c r="E3869" s="201"/>
      <c r="F3869" s="202"/>
      <c r="G3869" s="194"/>
      <c r="H3869" s="198"/>
      <c r="I3869" s="196"/>
      <c r="J3869" s="179" t="str">
        <f>IF(A3869="RAPPI",(VLOOKUP(TRIM(D3869), CATALOGO!F:G, 2, FALSE) * C3869)+I3869,IFERROR(IF(COUNTIF('RESTAURANTESDESCUENTOS 2026'!A:A,TRIM(A3869))&gt;0,((VLOOKUP(TRIM(D3869), CATALOGO!A:B, 2, FALSE) * C3869)*(1-VALUE(SUBSTITUTE(VLOOKUP(TRIM(A3869),'RESTAURANTESDESCUENTOS 2026'!A:B,2,FALSE),"%",""))/100)+I3869),(VLOOKUP(TRIM(D3869), CATALOGO!A:B, 2, FALSE) * C3869+I3869)),""))</f>
        <v/>
      </c>
      <c r="K3869" s="196"/>
      <c r="L3869" s="87"/>
      <c r="M3869" s="245"/>
      <c r="N3869" s="168"/>
    </row>
    <row r="3870" ht="22.5" hidden="1" customHeight="1">
      <c r="A3870" s="137"/>
      <c r="B3870" s="90"/>
      <c r="C3870" s="55"/>
      <c r="D3870" s="193"/>
      <c r="E3870" s="201"/>
      <c r="F3870" s="202"/>
      <c r="G3870" s="194"/>
      <c r="H3870" s="198"/>
      <c r="I3870" s="196"/>
      <c r="J3870" s="179" t="str">
        <f>IF(A3870="RAPPI",(VLOOKUP(TRIM(D3870), CATALOGO!F:G, 2, FALSE) * C3870)+I3870,IFERROR(IF(COUNTIF('RESTAURANTESDESCUENTOS 2026'!A:A,TRIM(A3870))&gt;0,((VLOOKUP(TRIM(D3870), CATALOGO!A:B, 2, FALSE) * C3870)*(1-VALUE(SUBSTITUTE(VLOOKUP(TRIM(A3870),'RESTAURANTESDESCUENTOS 2026'!A:B,2,FALSE),"%",""))/100)+I3870),(VLOOKUP(TRIM(D3870), CATALOGO!A:B, 2, FALSE) * C3870+I3870)),""))</f>
        <v/>
      </c>
      <c r="K3870" s="196"/>
      <c r="L3870" s="87"/>
      <c r="M3870" s="245"/>
      <c r="N3870" s="168"/>
    </row>
    <row r="3871" ht="22.5" hidden="1" customHeight="1">
      <c r="A3871" s="137"/>
      <c r="B3871" s="90"/>
      <c r="C3871" s="55"/>
      <c r="D3871" s="193"/>
      <c r="E3871" s="201"/>
      <c r="F3871" s="202"/>
      <c r="G3871" s="194"/>
      <c r="H3871" s="198"/>
      <c r="I3871" s="196"/>
      <c r="J3871" s="179" t="str">
        <f>IF(A3871="RAPPI",(VLOOKUP(TRIM(D3871), CATALOGO!F:G, 2, FALSE) * C3871)+I3871,IFERROR(IF(COUNTIF('RESTAURANTESDESCUENTOS 2026'!A:A,TRIM(A3871))&gt;0,((VLOOKUP(TRIM(D3871), CATALOGO!A:B, 2, FALSE) * C3871)*(1-VALUE(SUBSTITUTE(VLOOKUP(TRIM(A3871),'RESTAURANTESDESCUENTOS 2026'!A:B,2,FALSE),"%",""))/100)+I3871),(VLOOKUP(TRIM(D3871), CATALOGO!A:B, 2, FALSE) * C3871+I3871)),""))</f>
        <v/>
      </c>
      <c r="K3871" s="196"/>
      <c r="L3871" s="87"/>
      <c r="M3871" s="245"/>
      <c r="N3871" s="168"/>
    </row>
    <row r="3872" ht="22.5" hidden="1" customHeight="1">
      <c r="A3872" s="137"/>
      <c r="B3872" s="90"/>
      <c r="C3872" s="55"/>
      <c r="D3872" s="193"/>
      <c r="E3872" s="201"/>
      <c r="F3872" s="202"/>
      <c r="G3872" s="194"/>
      <c r="H3872" s="198"/>
      <c r="I3872" s="196"/>
      <c r="J3872" s="179" t="str">
        <f>IF(A3872="RAPPI",(VLOOKUP(TRIM(D3872), CATALOGO!F:G, 2, FALSE) * C3872)+I3872,IFERROR(IF(COUNTIF('RESTAURANTESDESCUENTOS 2026'!A:A,TRIM(A3872))&gt;0,((VLOOKUP(TRIM(D3872), CATALOGO!A:B, 2, FALSE) * C3872)*(1-VALUE(SUBSTITUTE(VLOOKUP(TRIM(A3872),'RESTAURANTESDESCUENTOS 2026'!A:B,2,FALSE),"%",""))/100)+I3872),(VLOOKUP(TRIM(D3872), CATALOGO!A:B, 2, FALSE) * C3872+I3872)),""))</f>
        <v/>
      </c>
      <c r="K3872" s="196"/>
      <c r="L3872" s="87"/>
      <c r="M3872" s="245"/>
      <c r="N3872" s="168"/>
    </row>
    <row r="3873" ht="22.5" hidden="1" customHeight="1">
      <c r="A3873" s="137"/>
      <c r="B3873" s="90"/>
      <c r="C3873" s="55"/>
      <c r="D3873" s="193"/>
      <c r="E3873" s="201"/>
      <c r="F3873" s="202"/>
      <c r="G3873" s="194"/>
      <c r="H3873" s="198"/>
      <c r="I3873" s="196"/>
      <c r="J3873" s="179" t="str">
        <f>IF(A3873="RAPPI",(VLOOKUP(TRIM(D3873), CATALOGO!F:G, 2, FALSE) * C3873)+I3873,IFERROR(IF(COUNTIF('RESTAURANTESDESCUENTOS 2026'!A:A,TRIM(A3873))&gt;0,((VLOOKUP(TRIM(D3873), CATALOGO!A:B, 2, FALSE) * C3873)*(1-VALUE(SUBSTITUTE(VLOOKUP(TRIM(A3873),'RESTAURANTESDESCUENTOS 2026'!A:B,2,FALSE),"%",""))/100)+I3873),(VLOOKUP(TRIM(D3873), CATALOGO!A:B, 2, FALSE) * C3873+I3873)),""))</f>
        <v/>
      </c>
      <c r="K3873" s="196"/>
      <c r="L3873" s="87"/>
      <c r="M3873" s="245"/>
      <c r="N3873" s="168"/>
    </row>
    <row r="3874" ht="22.5" hidden="1" customHeight="1">
      <c r="A3874" s="137"/>
      <c r="B3874" s="90"/>
      <c r="C3874" s="55"/>
      <c r="D3874" s="193"/>
      <c r="E3874" s="201"/>
      <c r="F3874" s="202"/>
      <c r="G3874" s="194"/>
      <c r="H3874" s="198"/>
      <c r="I3874" s="196"/>
      <c r="J3874" s="179" t="str">
        <f>IF(A3874="RAPPI",(VLOOKUP(TRIM(D3874), CATALOGO!F:G, 2, FALSE) * C3874)+I3874,IFERROR(IF(COUNTIF('RESTAURANTESDESCUENTOS 2026'!A:A,TRIM(A3874))&gt;0,((VLOOKUP(TRIM(D3874), CATALOGO!A:B, 2, FALSE) * C3874)*(1-VALUE(SUBSTITUTE(VLOOKUP(TRIM(A3874),'RESTAURANTESDESCUENTOS 2026'!A:B,2,FALSE),"%",""))/100)+I3874),(VLOOKUP(TRIM(D3874), CATALOGO!A:B, 2, FALSE) * C3874+I3874)),""))</f>
        <v/>
      </c>
      <c r="K3874" s="196"/>
      <c r="L3874" s="87"/>
      <c r="M3874" s="245"/>
      <c r="N3874" s="168"/>
    </row>
    <row r="3875" ht="22.5" hidden="1" customHeight="1">
      <c r="A3875" s="137"/>
      <c r="B3875" s="90"/>
      <c r="C3875" s="55"/>
      <c r="D3875" s="193"/>
      <c r="E3875" s="201"/>
      <c r="F3875" s="202"/>
      <c r="G3875" s="194"/>
      <c r="H3875" s="198"/>
      <c r="I3875" s="196"/>
      <c r="J3875" s="179" t="str">
        <f>IF(A3875="RAPPI",(VLOOKUP(TRIM(D3875), CATALOGO!F:G, 2, FALSE) * C3875)+I3875,IFERROR(IF(COUNTIF('RESTAURANTESDESCUENTOS 2026'!A:A,TRIM(A3875))&gt;0,((VLOOKUP(TRIM(D3875), CATALOGO!A:B, 2, FALSE) * C3875)*(1-VALUE(SUBSTITUTE(VLOOKUP(TRIM(A3875),'RESTAURANTESDESCUENTOS 2026'!A:B,2,FALSE),"%",""))/100)+I3875),(VLOOKUP(TRIM(D3875), CATALOGO!A:B, 2, FALSE) * C3875+I3875)),""))</f>
        <v/>
      </c>
      <c r="K3875" s="196"/>
      <c r="L3875" s="87"/>
      <c r="M3875" s="245"/>
      <c r="N3875" s="168"/>
    </row>
    <row r="3876" ht="22.5" hidden="1" customHeight="1">
      <c r="A3876" s="137"/>
      <c r="B3876" s="90"/>
      <c r="C3876" s="55"/>
      <c r="D3876" s="193"/>
      <c r="E3876" s="201"/>
      <c r="F3876" s="202"/>
      <c r="G3876" s="194"/>
      <c r="H3876" s="198"/>
      <c r="I3876" s="196"/>
      <c r="J3876" s="179" t="str">
        <f>IF(A3876="RAPPI",(VLOOKUP(TRIM(D3876), CATALOGO!F:G, 2, FALSE) * C3876)+I3876,IFERROR(IF(COUNTIF('RESTAURANTESDESCUENTOS 2026'!A:A,TRIM(A3876))&gt;0,((VLOOKUP(TRIM(D3876), CATALOGO!A:B, 2, FALSE) * C3876)*(1-VALUE(SUBSTITUTE(VLOOKUP(TRIM(A3876),'RESTAURANTESDESCUENTOS 2026'!A:B,2,FALSE),"%",""))/100)+I3876),(VLOOKUP(TRIM(D3876), CATALOGO!A:B, 2, FALSE) * C3876+I3876)),""))</f>
        <v/>
      </c>
      <c r="K3876" s="196"/>
      <c r="L3876" s="87"/>
      <c r="M3876" s="245"/>
      <c r="N3876" s="168"/>
    </row>
    <row r="3877" ht="22.5" hidden="1" customHeight="1">
      <c r="A3877" s="137"/>
      <c r="B3877" s="90"/>
      <c r="C3877" s="55"/>
      <c r="D3877" s="193"/>
      <c r="E3877" s="201"/>
      <c r="F3877" s="202"/>
      <c r="G3877" s="194"/>
      <c r="H3877" s="198"/>
      <c r="I3877" s="196"/>
      <c r="J3877" s="179" t="str">
        <f>IF(A3877="RAPPI",(VLOOKUP(TRIM(D3877), CATALOGO!F:G, 2, FALSE) * C3877)+I3877,IFERROR(IF(COUNTIF('RESTAURANTESDESCUENTOS 2026'!A:A,TRIM(A3877))&gt;0,((VLOOKUP(TRIM(D3877), CATALOGO!A:B, 2, FALSE) * C3877)*(1-VALUE(SUBSTITUTE(VLOOKUP(TRIM(A3877),'RESTAURANTESDESCUENTOS 2026'!A:B,2,FALSE),"%",""))/100)+I3877),(VLOOKUP(TRIM(D3877), CATALOGO!A:B, 2, FALSE) * C3877+I3877)),""))</f>
        <v/>
      </c>
      <c r="K3877" s="196"/>
      <c r="L3877" s="87"/>
      <c r="M3877" s="245"/>
      <c r="N3877" s="168"/>
    </row>
    <row r="3878" ht="22.5" hidden="1" customHeight="1">
      <c r="A3878" s="137"/>
      <c r="B3878" s="90"/>
      <c r="C3878" s="55"/>
      <c r="D3878" s="193"/>
      <c r="E3878" s="201"/>
      <c r="F3878" s="202"/>
      <c r="G3878" s="194"/>
      <c r="H3878" s="198"/>
      <c r="I3878" s="196"/>
      <c r="J3878" s="179" t="str">
        <f>IF(A3878="RAPPI",(VLOOKUP(TRIM(D3878), CATALOGO!F:G, 2, FALSE) * C3878)+I3878,IFERROR(IF(COUNTIF('RESTAURANTESDESCUENTOS 2026'!A:A,TRIM(A3878))&gt;0,((VLOOKUP(TRIM(D3878), CATALOGO!A:B, 2, FALSE) * C3878)*(1-VALUE(SUBSTITUTE(VLOOKUP(TRIM(A3878),'RESTAURANTESDESCUENTOS 2026'!A:B,2,FALSE),"%",""))/100)+I3878),(VLOOKUP(TRIM(D3878), CATALOGO!A:B, 2, FALSE) * C3878+I3878)),""))</f>
        <v/>
      </c>
      <c r="K3878" s="196"/>
      <c r="L3878" s="87"/>
      <c r="M3878" s="245"/>
      <c r="N3878" s="168"/>
    </row>
    <row r="3879" ht="22.5" hidden="1" customHeight="1">
      <c r="A3879" s="137"/>
      <c r="B3879" s="90"/>
      <c r="C3879" s="55"/>
      <c r="D3879" s="193"/>
      <c r="E3879" s="201"/>
      <c r="F3879" s="202"/>
      <c r="G3879" s="194"/>
      <c r="H3879" s="198"/>
      <c r="I3879" s="196"/>
      <c r="J3879" s="179" t="str">
        <f>IF(A3879="RAPPI",(VLOOKUP(TRIM(D3879), CATALOGO!F:G, 2, FALSE) * C3879)+I3879,IFERROR(IF(COUNTIF('RESTAURANTESDESCUENTOS 2026'!A:A,TRIM(A3879))&gt;0,((VLOOKUP(TRIM(D3879), CATALOGO!A:B, 2, FALSE) * C3879)*(1-VALUE(SUBSTITUTE(VLOOKUP(TRIM(A3879),'RESTAURANTESDESCUENTOS 2026'!A:B,2,FALSE),"%",""))/100)+I3879),(VLOOKUP(TRIM(D3879), CATALOGO!A:B, 2, FALSE) * C3879+I3879)),""))</f>
        <v/>
      </c>
      <c r="K3879" s="196"/>
      <c r="L3879" s="87"/>
      <c r="M3879" s="245"/>
      <c r="N3879" s="168"/>
    </row>
    <row r="3880" ht="22.5" hidden="1" customHeight="1">
      <c r="A3880" s="137"/>
      <c r="B3880" s="90"/>
      <c r="C3880" s="55"/>
      <c r="D3880" s="193"/>
      <c r="E3880" s="201"/>
      <c r="F3880" s="202"/>
      <c r="G3880" s="194"/>
      <c r="H3880" s="198"/>
      <c r="I3880" s="196"/>
      <c r="J3880" s="179" t="str">
        <f>IF(A3880="RAPPI",(VLOOKUP(TRIM(D3880), CATALOGO!F:G, 2, FALSE) * C3880)+I3880,IFERROR(IF(COUNTIF('RESTAURANTESDESCUENTOS 2026'!A:A,TRIM(A3880))&gt;0,((VLOOKUP(TRIM(D3880), CATALOGO!A:B, 2, FALSE) * C3880)*(1-VALUE(SUBSTITUTE(VLOOKUP(TRIM(A3880),'RESTAURANTESDESCUENTOS 2026'!A:B,2,FALSE),"%",""))/100)+I3880),(VLOOKUP(TRIM(D3880), CATALOGO!A:B, 2, FALSE) * C3880+I3880)),""))</f>
        <v/>
      </c>
      <c r="K3880" s="196"/>
      <c r="L3880" s="87"/>
      <c r="M3880" s="245"/>
      <c r="N3880" s="168"/>
    </row>
    <row r="3881" ht="22.5" hidden="1" customHeight="1">
      <c r="A3881" s="137"/>
      <c r="B3881" s="90"/>
      <c r="C3881" s="55"/>
      <c r="D3881" s="193"/>
      <c r="E3881" s="201"/>
      <c r="F3881" s="202"/>
      <c r="G3881" s="194"/>
      <c r="H3881" s="198"/>
      <c r="I3881" s="196"/>
      <c r="J3881" s="179" t="str">
        <f>IF(A3881="RAPPI",(VLOOKUP(TRIM(D3881), CATALOGO!F:G, 2, FALSE) * C3881)+I3881,IFERROR(IF(COUNTIF('RESTAURANTESDESCUENTOS 2026'!A:A,TRIM(A3881))&gt;0,((VLOOKUP(TRIM(D3881), CATALOGO!A:B, 2, FALSE) * C3881)*(1-VALUE(SUBSTITUTE(VLOOKUP(TRIM(A3881),'RESTAURANTESDESCUENTOS 2026'!A:B,2,FALSE),"%",""))/100)+I3881),(VLOOKUP(TRIM(D3881), CATALOGO!A:B, 2, FALSE) * C3881+I3881)),""))</f>
        <v/>
      </c>
      <c r="K3881" s="196"/>
      <c r="L3881" s="87"/>
      <c r="M3881" s="245"/>
      <c r="N3881" s="168"/>
    </row>
    <row r="3882" ht="22.5" hidden="1" customHeight="1">
      <c r="A3882" s="137"/>
      <c r="B3882" s="90"/>
      <c r="C3882" s="55"/>
      <c r="D3882" s="193"/>
      <c r="E3882" s="201"/>
      <c r="F3882" s="202"/>
      <c r="G3882" s="194"/>
      <c r="H3882" s="198"/>
      <c r="I3882" s="196"/>
      <c r="J3882" s="179" t="str">
        <f>IF(A3882="RAPPI",(VLOOKUP(TRIM(D3882), CATALOGO!F:G, 2, FALSE) * C3882)+I3882,IFERROR(IF(COUNTIF('RESTAURANTESDESCUENTOS 2026'!A:A,TRIM(A3882))&gt;0,((VLOOKUP(TRIM(D3882), CATALOGO!A:B, 2, FALSE) * C3882)*(1-VALUE(SUBSTITUTE(VLOOKUP(TRIM(A3882),'RESTAURANTESDESCUENTOS 2026'!A:B,2,FALSE),"%",""))/100)+I3882),(VLOOKUP(TRIM(D3882), CATALOGO!A:B, 2, FALSE) * C3882+I3882)),""))</f>
        <v/>
      </c>
      <c r="K3882" s="196"/>
      <c r="L3882" s="87"/>
      <c r="M3882" s="245"/>
      <c r="N3882" s="168"/>
    </row>
    <row r="3883" ht="22.5" hidden="1" customHeight="1">
      <c r="A3883" s="137"/>
      <c r="B3883" s="90"/>
      <c r="C3883" s="55"/>
      <c r="D3883" s="193"/>
      <c r="E3883" s="201"/>
      <c r="F3883" s="202"/>
      <c r="G3883" s="194"/>
      <c r="H3883" s="198"/>
      <c r="I3883" s="196"/>
      <c r="J3883" s="179" t="str">
        <f>IF(A3883="RAPPI",(VLOOKUP(TRIM(D3883), CATALOGO!F:G, 2, FALSE) * C3883)+I3883,IFERROR(IF(COUNTIF('RESTAURANTESDESCUENTOS 2026'!A:A,TRIM(A3883))&gt;0,((VLOOKUP(TRIM(D3883), CATALOGO!A:B, 2, FALSE) * C3883)*(1-VALUE(SUBSTITUTE(VLOOKUP(TRIM(A3883),'RESTAURANTESDESCUENTOS 2026'!A:B,2,FALSE),"%",""))/100)+I3883),(VLOOKUP(TRIM(D3883), CATALOGO!A:B, 2, FALSE) * C3883+I3883)),""))</f>
        <v/>
      </c>
      <c r="K3883" s="196"/>
      <c r="L3883" s="87"/>
      <c r="M3883" s="245"/>
      <c r="N3883" s="168"/>
    </row>
    <row r="3884" ht="22.5" hidden="1" customHeight="1">
      <c r="A3884" s="137"/>
      <c r="B3884" s="90"/>
      <c r="C3884" s="55"/>
      <c r="D3884" s="193"/>
      <c r="E3884" s="201"/>
      <c r="F3884" s="202"/>
      <c r="G3884" s="194"/>
      <c r="H3884" s="198"/>
      <c r="I3884" s="196"/>
      <c r="J3884" s="179" t="str">
        <f>IF(A3884="RAPPI",(VLOOKUP(TRIM(D3884), CATALOGO!F:G, 2, FALSE) * C3884)+I3884,IFERROR(IF(COUNTIF('RESTAURANTESDESCUENTOS 2026'!A:A,TRIM(A3884))&gt;0,((VLOOKUP(TRIM(D3884), CATALOGO!A:B, 2, FALSE) * C3884)*(1-VALUE(SUBSTITUTE(VLOOKUP(TRIM(A3884),'RESTAURANTESDESCUENTOS 2026'!A:B,2,FALSE),"%",""))/100)+I3884),(VLOOKUP(TRIM(D3884), CATALOGO!A:B, 2, FALSE) * C3884+I3884)),""))</f>
        <v/>
      </c>
      <c r="K3884" s="196"/>
      <c r="L3884" s="87"/>
      <c r="M3884" s="245"/>
      <c r="N3884" s="168"/>
    </row>
    <row r="3885" ht="22.5" hidden="1" customHeight="1">
      <c r="A3885" s="137"/>
      <c r="B3885" s="90"/>
      <c r="C3885" s="55"/>
      <c r="D3885" s="193"/>
      <c r="E3885" s="201"/>
      <c r="F3885" s="202"/>
      <c r="G3885" s="194"/>
      <c r="H3885" s="198"/>
      <c r="I3885" s="196"/>
      <c r="J3885" s="179" t="str">
        <f>IF(A3885="RAPPI",(VLOOKUP(TRIM(D3885), CATALOGO!F:G, 2, FALSE) * C3885)+I3885,IFERROR(IF(COUNTIF('RESTAURANTESDESCUENTOS 2026'!A:A,TRIM(A3885))&gt;0,((VLOOKUP(TRIM(D3885), CATALOGO!A:B, 2, FALSE) * C3885)*(1-VALUE(SUBSTITUTE(VLOOKUP(TRIM(A3885),'RESTAURANTESDESCUENTOS 2026'!A:B,2,FALSE),"%",""))/100)+I3885),(VLOOKUP(TRIM(D3885), CATALOGO!A:B, 2, FALSE) * C3885+I3885)),""))</f>
        <v/>
      </c>
      <c r="K3885" s="196"/>
      <c r="L3885" s="87"/>
      <c r="M3885" s="245"/>
      <c r="N3885" s="168"/>
    </row>
    <row r="3886" ht="22.5" hidden="1" customHeight="1">
      <c r="A3886" s="137"/>
      <c r="B3886" s="90"/>
      <c r="C3886" s="55"/>
      <c r="D3886" s="193"/>
      <c r="E3886" s="201"/>
      <c r="F3886" s="202"/>
      <c r="G3886" s="194"/>
      <c r="H3886" s="198"/>
      <c r="I3886" s="196"/>
      <c r="J3886" s="179" t="str">
        <f>IF(A3886="RAPPI",(VLOOKUP(TRIM(D3886), CATALOGO!F:G, 2, FALSE) * C3886)+I3886,IFERROR(IF(COUNTIF('RESTAURANTESDESCUENTOS 2026'!A:A,TRIM(A3886))&gt;0,((VLOOKUP(TRIM(D3886), CATALOGO!A:B, 2, FALSE) * C3886)*(1-VALUE(SUBSTITUTE(VLOOKUP(TRIM(A3886),'RESTAURANTESDESCUENTOS 2026'!A:B,2,FALSE),"%",""))/100)+I3886),(VLOOKUP(TRIM(D3886), CATALOGO!A:B, 2, FALSE) * C3886+I3886)),""))</f>
        <v/>
      </c>
      <c r="K3886" s="196"/>
      <c r="L3886" s="87"/>
      <c r="M3886" s="245"/>
      <c r="N3886" s="168"/>
    </row>
    <row r="3887" ht="22.5" hidden="1" customHeight="1">
      <c r="A3887" s="137"/>
      <c r="B3887" s="90"/>
      <c r="C3887" s="55"/>
      <c r="D3887" s="193"/>
      <c r="E3887" s="201"/>
      <c r="F3887" s="202"/>
      <c r="G3887" s="194"/>
      <c r="H3887" s="198"/>
      <c r="I3887" s="196"/>
      <c r="J3887" s="179" t="str">
        <f>IF(A3887="RAPPI",(VLOOKUP(TRIM(D3887), CATALOGO!F:G, 2, FALSE) * C3887)+I3887,IFERROR(IF(COUNTIF('RESTAURANTESDESCUENTOS 2026'!A:A,TRIM(A3887))&gt;0,((VLOOKUP(TRIM(D3887), CATALOGO!A:B, 2, FALSE) * C3887)*(1-VALUE(SUBSTITUTE(VLOOKUP(TRIM(A3887),'RESTAURANTESDESCUENTOS 2026'!A:B,2,FALSE),"%",""))/100)+I3887),(VLOOKUP(TRIM(D3887), CATALOGO!A:B, 2, FALSE) * C3887+I3887)),""))</f>
        <v/>
      </c>
      <c r="K3887" s="196"/>
      <c r="L3887" s="87"/>
      <c r="M3887" s="245"/>
      <c r="N3887" s="168"/>
    </row>
    <row r="3888" ht="22.5" hidden="1" customHeight="1">
      <c r="A3888" s="137"/>
      <c r="B3888" s="90"/>
      <c r="C3888" s="55"/>
      <c r="D3888" s="193"/>
      <c r="E3888" s="201"/>
      <c r="F3888" s="202"/>
      <c r="G3888" s="194"/>
      <c r="H3888" s="198"/>
      <c r="I3888" s="196"/>
      <c r="J3888" s="179" t="str">
        <f>IF(A3888="RAPPI",(VLOOKUP(TRIM(D3888), CATALOGO!F:G, 2, FALSE) * C3888)+I3888,IFERROR(IF(COUNTIF('RESTAURANTESDESCUENTOS 2026'!A:A,TRIM(A3888))&gt;0,((VLOOKUP(TRIM(D3888), CATALOGO!A:B, 2, FALSE) * C3888)*(1-VALUE(SUBSTITUTE(VLOOKUP(TRIM(A3888),'RESTAURANTESDESCUENTOS 2026'!A:B,2,FALSE),"%",""))/100)+I3888),(VLOOKUP(TRIM(D3888), CATALOGO!A:B, 2, FALSE) * C3888+I3888)),""))</f>
        <v/>
      </c>
      <c r="K3888" s="196"/>
      <c r="L3888" s="87"/>
      <c r="M3888" s="245"/>
      <c r="N3888" s="168"/>
    </row>
    <row r="3889" ht="22.5" hidden="1" customHeight="1">
      <c r="A3889" s="137"/>
      <c r="B3889" s="90"/>
      <c r="C3889" s="55"/>
      <c r="D3889" s="193"/>
      <c r="E3889" s="201"/>
      <c r="F3889" s="202"/>
      <c r="G3889" s="194"/>
      <c r="H3889" s="198"/>
      <c r="I3889" s="196"/>
      <c r="J3889" s="179" t="str">
        <f>IF(A3889="RAPPI",(VLOOKUP(TRIM(D3889), CATALOGO!F:G, 2, FALSE) * C3889)+I3889,IFERROR(IF(COUNTIF('RESTAURANTESDESCUENTOS 2026'!A:A,TRIM(A3889))&gt;0,((VLOOKUP(TRIM(D3889), CATALOGO!A:B, 2, FALSE) * C3889)*(1-VALUE(SUBSTITUTE(VLOOKUP(TRIM(A3889),'RESTAURANTESDESCUENTOS 2026'!A:B,2,FALSE),"%",""))/100)+I3889),(VLOOKUP(TRIM(D3889), CATALOGO!A:B, 2, FALSE) * C3889+I3889)),""))</f>
        <v/>
      </c>
      <c r="K3889" s="196"/>
      <c r="L3889" s="87"/>
      <c r="M3889" s="245"/>
      <c r="N3889" s="168"/>
    </row>
    <row r="3890" ht="22.5" hidden="1" customHeight="1">
      <c r="A3890" s="137"/>
      <c r="B3890" s="90"/>
      <c r="C3890" s="55"/>
      <c r="D3890" s="193"/>
      <c r="E3890" s="201"/>
      <c r="F3890" s="202"/>
      <c r="G3890" s="194"/>
      <c r="H3890" s="198"/>
      <c r="I3890" s="196"/>
      <c r="J3890" s="179" t="str">
        <f>IF(A3890="RAPPI",(VLOOKUP(TRIM(D3890), CATALOGO!F:G, 2, FALSE) * C3890)+I3890,IFERROR(IF(COUNTIF('RESTAURANTESDESCUENTOS 2026'!A:A,TRIM(A3890))&gt;0,((VLOOKUP(TRIM(D3890), CATALOGO!A:B, 2, FALSE) * C3890)*(1-VALUE(SUBSTITUTE(VLOOKUP(TRIM(A3890),'RESTAURANTESDESCUENTOS 2026'!A:B,2,FALSE),"%",""))/100)+I3890),(VLOOKUP(TRIM(D3890), CATALOGO!A:B, 2, FALSE) * C3890+I3890)),""))</f>
        <v/>
      </c>
      <c r="K3890" s="196"/>
      <c r="L3890" s="87"/>
      <c r="M3890" s="245"/>
      <c r="N3890" s="168"/>
    </row>
    <row r="3891" ht="22.5" hidden="1" customHeight="1">
      <c r="A3891" s="137"/>
      <c r="B3891" s="90"/>
      <c r="C3891" s="55"/>
      <c r="D3891" s="193"/>
      <c r="E3891" s="201"/>
      <c r="F3891" s="202"/>
      <c r="G3891" s="194"/>
      <c r="H3891" s="198"/>
      <c r="I3891" s="196"/>
      <c r="J3891" s="179" t="str">
        <f>IF(A3891="RAPPI",(VLOOKUP(TRIM(D3891), CATALOGO!F:G, 2, FALSE) * C3891)+I3891,IFERROR(IF(COUNTIF('RESTAURANTESDESCUENTOS 2026'!A:A,TRIM(A3891))&gt;0,((VLOOKUP(TRIM(D3891), CATALOGO!A:B, 2, FALSE) * C3891)*(1-VALUE(SUBSTITUTE(VLOOKUP(TRIM(A3891),'RESTAURANTESDESCUENTOS 2026'!A:B,2,FALSE),"%",""))/100)+I3891),(VLOOKUP(TRIM(D3891), CATALOGO!A:B, 2, FALSE) * C3891+I3891)),""))</f>
        <v/>
      </c>
      <c r="K3891" s="196"/>
      <c r="L3891" s="87"/>
      <c r="M3891" s="245"/>
      <c r="N3891" s="168"/>
    </row>
    <row r="3892" ht="22.5" hidden="1" customHeight="1">
      <c r="A3892" s="137"/>
      <c r="B3892" s="90"/>
      <c r="C3892" s="55"/>
      <c r="D3892" s="193"/>
      <c r="E3892" s="201"/>
      <c r="F3892" s="202"/>
      <c r="G3892" s="194"/>
      <c r="H3892" s="198"/>
      <c r="I3892" s="196"/>
      <c r="J3892" s="179" t="str">
        <f>IF(A3892="RAPPI",(VLOOKUP(TRIM(D3892), CATALOGO!F:G, 2, FALSE) * C3892)+I3892,IFERROR(IF(COUNTIF('RESTAURANTESDESCUENTOS 2026'!A:A,TRIM(A3892))&gt;0,((VLOOKUP(TRIM(D3892), CATALOGO!A:B, 2, FALSE) * C3892)*(1-VALUE(SUBSTITUTE(VLOOKUP(TRIM(A3892),'RESTAURANTESDESCUENTOS 2026'!A:B,2,FALSE),"%",""))/100)+I3892),(VLOOKUP(TRIM(D3892), CATALOGO!A:B, 2, FALSE) * C3892+I3892)),""))</f>
        <v/>
      </c>
      <c r="K3892" s="196"/>
      <c r="L3892" s="87"/>
      <c r="M3892" s="245"/>
      <c r="N3892" s="168"/>
    </row>
    <row r="3893" ht="22.5" hidden="1" customHeight="1">
      <c r="A3893" s="137"/>
      <c r="B3893" s="90"/>
      <c r="C3893" s="55"/>
      <c r="D3893" s="193"/>
      <c r="E3893" s="201"/>
      <c r="F3893" s="202"/>
      <c r="G3893" s="194"/>
      <c r="H3893" s="198"/>
      <c r="I3893" s="196"/>
      <c r="J3893" s="179" t="str">
        <f>IF(A3893="RAPPI",(VLOOKUP(TRIM(D3893), CATALOGO!F:G, 2, FALSE) * C3893)+I3893,IFERROR(IF(COUNTIF('RESTAURANTESDESCUENTOS 2026'!A:A,TRIM(A3893))&gt;0,((VLOOKUP(TRIM(D3893), CATALOGO!A:B, 2, FALSE) * C3893)*(1-VALUE(SUBSTITUTE(VLOOKUP(TRIM(A3893),'RESTAURANTESDESCUENTOS 2026'!A:B,2,FALSE),"%",""))/100)+I3893),(VLOOKUP(TRIM(D3893), CATALOGO!A:B, 2, FALSE) * C3893+I3893)),""))</f>
        <v/>
      </c>
      <c r="K3893" s="196"/>
      <c r="L3893" s="87"/>
      <c r="M3893" s="245"/>
      <c r="N3893" s="168"/>
    </row>
    <row r="3894" ht="22.5" hidden="1" customHeight="1">
      <c r="A3894" s="137"/>
      <c r="B3894" s="90"/>
      <c r="C3894" s="55"/>
      <c r="D3894" s="193"/>
      <c r="E3894" s="201"/>
      <c r="F3894" s="202"/>
      <c r="G3894" s="194"/>
      <c r="H3894" s="198"/>
      <c r="I3894" s="196"/>
      <c r="J3894" s="179" t="str">
        <f>IF(A3894="RAPPI",(VLOOKUP(TRIM(D3894), CATALOGO!F:G, 2, FALSE) * C3894)+I3894,IFERROR(IF(COUNTIF('RESTAURANTESDESCUENTOS 2026'!A:A,TRIM(A3894))&gt;0,((VLOOKUP(TRIM(D3894), CATALOGO!A:B, 2, FALSE) * C3894)*(1-VALUE(SUBSTITUTE(VLOOKUP(TRIM(A3894),'RESTAURANTESDESCUENTOS 2026'!A:B,2,FALSE),"%",""))/100)+I3894),(VLOOKUP(TRIM(D3894), CATALOGO!A:B, 2, FALSE) * C3894+I3894)),""))</f>
        <v/>
      </c>
      <c r="K3894" s="196"/>
      <c r="L3894" s="87"/>
      <c r="M3894" s="245"/>
      <c r="N3894" s="168"/>
    </row>
    <row r="3895" ht="22.5" hidden="1" customHeight="1">
      <c r="A3895" s="137"/>
      <c r="B3895" s="90"/>
      <c r="C3895" s="55"/>
      <c r="D3895" s="193"/>
      <c r="E3895" s="201"/>
      <c r="F3895" s="202"/>
      <c r="G3895" s="194"/>
      <c r="H3895" s="198"/>
      <c r="I3895" s="196"/>
      <c r="J3895" s="179" t="str">
        <f>IF(A3895="RAPPI",(VLOOKUP(TRIM(D3895), CATALOGO!F:G, 2, FALSE) * C3895)+I3895,IFERROR(IF(COUNTIF('RESTAURANTESDESCUENTOS 2026'!A:A,TRIM(A3895))&gt;0,((VLOOKUP(TRIM(D3895), CATALOGO!A:B, 2, FALSE) * C3895)*(1-VALUE(SUBSTITUTE(VLOOKUP(TRIM(A3895),'RESTAURANTESDESCUENTOS 2026'!A:B,2,FALSE),"%",""))/100)+I3895),(VLOOKUP(TRIM(D3895), CATALOGO!A:B, 2, FALSE) * C3895+I3895)),""))</f>
        <v/>
      </c>
      <c r="K3895" s="196"/>
      <c r="L3895" s="87"/>
      <c r="M3895" s="245"/>
      <c r="N3895" s="168"/>
    </row>
    <row r="3896" ht="22.5" hidden="1" customHeight="1">
      <c r="A3896" s="137"/>
      <c r="B3896" s="90"/>
      <c r="C3896" s="55"/>
      <c r="D3896" s="193"/>
      <c r="E3896" s="201"/>
      <c r="F3896" s="202"/>
      <c r="G3896" s="194"/>
      <c r="H3896" s="198"/>
      <c r="I3896" s="196"/>
      <c r="J3896" s="179" t="str">
        <f>IF(A3896="RAPPI",(VLOOKUP(TRIM(D3896), CATALOGO!F:G, 2, FALSE) * C3896)+I3896,IFERROR(IF(COUNTIF('RESTAURANTESDESCUENTOS 2026'!A:A,TRIM(A3896))&gt;0,((VLOOKUP(TRIM(D3896), CATALOGO!A:B, 2, FALSE) * C3896)*(1-VALUE(SUBSTITUTE(VLOOKUP(TRIM(A3896),'RESTAURANTESDESCUENTOS 2026'!A:B,2,FALSE),"%",""))/100)+I3896),(VLOOKUP(TRIM(D3896), CATALOGO!A:B, 2, FALSE) * C3896+I3896)),""))</f>
        <v/>
      </c>
      <c r="K3896" s="196"/>
      <c r="L3896" s="87"/>
      <c r="M3896" s="245"/>
      <c r="N3896" s="168"/>
    </row>
    <row r="3897" ht="22.5" hidden="1" customHeight="1">
      <c r="A3897" s="137"/>
      <c r="B3897" s="90"/>
      <c r="C3897" s="55"/>
      <c r="D3897" s="193"/>
      <c r="E3897" s="201"/>
      <c r="F3897" s="202"/>
      <c r="G3897" s="194"/>
      <c r="H3897" s="198"/>
      <c r="I3897" s="196"/>
      <c r="J3897" s="179" t="str">
        <f>IF(A3897="RAPPI",(VLOOKUP(TRIM(D3897), CATALOGO!F:G, 2, FALSE) * C3897)+I3897,IFERROR(IF(COUNTIF('RESTAURANTESDESCUENTOS 2026'!A:A,TRIM(A3897))&gt;0,((VLOOKUP(TRIM(D3897), CATALOGO!A:B, 2, FALSE) * C3897)*(1-VALUE(SUBSTITUTE(VLOOKUP(TRIM(A3897),'RESTAURANTESDESCUENTOS 2026'!A:B,2,FALSE),"%",""))/100)+I3897),(VLOOKUP(TRIM(D3897), CATALOGO!A:B, 2, FALSE) * C3897+I3897)),""))</f>
        <v/>
      </c>
      <c r="K3897" s="196"/>
      <c r="L3897" s="87"/>
      <c r="M3897" s="245"/>
      <c r="N3897" s="168"/>
    </row>
    <row r="3898" ht="22.5" hidden="1" customHeight="1">
      <c r="A3898" s="137"/>
      <c r="B3898" s="90"/>
      <c r="C3898" s="55"/>
      <c r="D3898" s="193"/>
      <c r="E3898" s="201"/>
      <c r="F3898" s="202"/>
      <c r="G3898" s="194"/>
      <c r="H3898" s="198"/>
      <c r="I3898" s="196"/>
      <c r="J3898" s="179" t="str">
        <f>IF(A3898="RAPPI",(VLOOKUP(TRIM(D3898), CATALOGO!F:G, 2, FALSE) * C3898)+I3898,IFERROR(IF(COUNTIF('RESTAURANTESDESCUENTOS 2026'!A:A,TRIM(A3898))&gt;0,((VLOOKUP(TRIM(D3898), CATALOGO!A:B, 2, FALSE) * C3898)*(1-VALUE(SUBSTITUTE(VLOOKUP(TRIM(A3898),'RESTAURANTESDESCUENTOS 2026'!A:B,2,FALSE),"%",""))/100)+I3898),(VLOOKUP(TRIM(D3898), CATALOGO!A:B, 2, FALSE) * C3898+I3898)),""))</f>
        <v/>
      </c>
      <c r="K3898" s="196"/>
      <c r="L3898" s="87"/>
      <c r="M3898" s="245"/>
      <c r="N3898" s="168"/>
    </row>
    <row r="3899" ht="22.5" hidden="1" customHeight="1">
      <c r="A3899" s="137"/>
      <c r="B3899" s="90"/>
      <c r="C3899" s="55"/>
      <c r="D3899" s="193"/>
      <c r="E3899" s="201"/>
      <c r="F3899" s="202"/>
      <c r="G3899" s="194"/>
      <c r="H3899" s="198"/>
      <c r="I3899" s="196"/>
      <c r="J3899" s="179" t="str">
        <f>IF(A3899="RAPPI",(VLOOKUP(TRIM(D3899), CATALOGO!F:G, 2, FALSE) * C3899)+I3899,IFERROR(IF(COUNTIF('RESTAURANTESDESCUENTOS 2026'!A:A,TRIM(A3899))&gt;0,((VLOOKUP(TRIM(D3899), CATALOGO!A:B, 2, FALSE) * C3899)*(1-VALUE(SUBSTITUTE(VLOOKUP(TRIM(A3899),'RESTAURANTESDESCUENTOS 2026'!A:B,2,FALSE),"%",""))/100)+I3899),(VLOOKUP(TRIM(D3899), CATALOGO!A:B, 2, FALSE) * C3899+I3899)),""))</f>
        <v/>
      </c>
      <c r="K3899" s="196"/>
      <c r="L3899" s="87"/>
      <c r="M3899" s="245"/>
      <c r="N3899" s="168"/>
    </row>
    <row r="3900" ht="22.5" hidden="1" customHeight="1">
      <c r="A3900" s="137"/>
      <c r="B3900" s="90"/>
      <c r="C3900" s="55"/>
      <c r="D3900" s="193"/>
      <c r="E3900" s="201"/>
      <c r="F3900" s="202"/>
      <c r="G3900" s="194"/>
      <c r="H3900" s="198"/>
      <c r="I3900" s="196"/>
      <c r="J3900" s="179" t="str">
        <f>IF(A3900="RAPPI",(VLOOKUP(TRIM(D3900), CATALOGO!F:G, 2, FALSE) * C3900)+I3900,IFERROR(IF(COUNTIF('RESTAURANTESDESCUENTOS 2026'!A:A,TRIM(A3900))&gt;0,((VLOOKUP(TRIM(D3900), CATALOGO!A:B, 2, FALSE) * C3900)*(1-VALUE(SUBSTITUTE(VLOOKUP(TRIM(A3900),'RESTAURANTESDESCUENTOS 2026'!A:B,2,FALSE),"%",""))/100)+I3900),(VLOOKUP(TRIM(D3900), CATALOGO!A:B, 2, FALSE) * C3900+I3900)),""))</f>
        <v/>
      </c>
      <c r="K3900" s="196"/>
      <c r="L3900" s="87"/>
      <c r="M3900" s="245"/>
      <c r="N3900" s="168"/>
    </row>
    <row r="3901" ht="22.5" hidden="1" customHeight="1">
      <c r="A3901" s="137"/>
      <c r="B3901" s="90"/>
      <c r="C3901" s="55"/>
      <c r="D3901" s="193"/>
      <c r="E3901" s="201"/>
      <c r="F3901" s="202"/>
      <c r="G3901" s="194"/>
      <c r="H3901" s="198"/>
      <c r="I3901" s="196"/>
      <c r="J3901" s="179" t="str">
        <f>IF(A3901="RAPPI",(VLOOKUP(TRIM(D3901), CATALOGO!F:G, 2, FALSE) * C3901)+I3901,IFERROR(IF(COUNTIF('RESTAURANTESDESCUENTOS 2026'!A:A,TRIM(A3901))&gt;0,((VLOOKUP(TRIM(D3901), CATALOGO!A:B, 2, FALSE) * C3901)*(1-VALUE(SUBSTITUTE(VLOOKUP(TRIM(A3901),'RESTAURANTESDESCUENTOS 2026'!A:B,2,FALSE),"%",""))/100)+I3901),(VLOOKUP(TRIM(D3901), CATALOGO!A:B, 2, FALSE) * C3901+I3901)),""))</f>
        <v/>
      </c>
      <c r="K3901" s="196"/>
      <c r="L3901" s="87"/>
      <c r="M3901" s="245"/>
      <c r="N3901" s="168"/>
    </row>
    <row r="3902" ht="22.5" hidden="1" customHeight="1">
      <c r="A3902" s="137"/>
      <c r="B3902" s="90"/>
      <c r="C3902" s="55"/>
      <c r="D3902" s="193"/>
      <c r="E3902" s="201"/>
      <c r="F3902" s="202"/>
      <c r="G3902" s="194"/>
      <c r="H3902" s="198"/>
      <c r="I3902" s="196"/>
      <c r="J3902" s="179" t="str">
        <f>IF(A3902="RAPPI",(VLOOKUP(TRIM(D3902), CATALOGO!F:G, 2, FALSE) * C3902)+I3902,IFERROR(IF(COUNTIF('RESTAURANTESDESCUENTOS 2026'!A:A,TRIM(A3902))&gt;0,((VLOOKUP(TRIM(D3902), CATALOGO!A:B, 2, FALSE) * C3902)*(1-VALUE(SUBSTITUTE(VLOOKUP(TRIM(A3902),'RESTAURANTESDESCUENTOS 2026'!A:B,2,FALSE),"%",""))/100)+I3902),(VLOOKUP(TRIM(D3902), CATALOGO!A:B, 2, FALSE) * C3902+I3902)),""))</f>
        <v/>
      </c>
      <c r="K3902" s="196"/>
      <c r="L3902" s="87"/>
      <c r="M3902" s="245"/>
      <c r="N3902" s="168"/>
    </row>
    <row r="3903" ht="22.5" hidden="1" customHeight="1">
      <c r="A3903" s="137"/>
      <c r="B3903" s="90"/>
      <c r="C3903" s="55"/>
      <c r="D3903" s="193"/>
      <c r="E3903" s="201"/>
      <c r="F3903" s="202"/>
      <c r="G3903" s="194"/>
      <c r="H3903" s="198"/>
      <c r="I3903" s="196"/>
      <c r="J3903" s="179" t="str">
        <f>IF(A3903="RAPPI",(VLOOKUP(TRIM(D3903), CATALOGO!F:G, 2, FALSE) * C3903)+I3903,IFERROR(IF(COUNTIF('RESTAURANTESDESCUENTOS 2026'!A:A,TRIM(A3903))&gt;0,((VLOOKUP(TRIM(D3903), CATALOGO!A:B, 2, FALSE) * C3903)*(1-VALUE(SUBSTITUTE(VLOOKUP(TRIM(A3903),'RESTAURANTESDESCUENTOS 2026'!A:B,2,FALSE),"%",""))/100)+I3903),(VLOOKUP(TRIM(D3903), CATALOGO!A:B, 2, FALSE) * C3903+I3903)),""))</f>
        <v/>
      </c>
      <c r="K3903" s="196"/>
      <c r="L3903" s="87"/>
      <c r="M3903" s="245"/>
      <c r="N3903" s="168"/>
    </row>
    <row r="3904" ht="22.5" hidden="1" customHeight="1">
      <c r="A3904" s="137"/>
      <c r="B3904" s="90"/>
      <c r="C3904" s="55"/>
      <c r="D3904" s="193"/>
      <c r="E3904" s="201"/>
      <c r="F3904" s="202"/>
      <c r="G3904" s="194"/>
      <c r="H3904" s="198"/>
      <c r="I3904" s="196"/>
      <c r="J3904" s="179" t="str">
        <f>IF(A3904="RAPPI",(VLOOKUP(TRIM(D3904), CATALOGO!F:G, 2, FALSE) * C3904)+I3904,IFERROR(IF(COUNTIF('RESTAURANTESDESCUENTOS 2026'!A:A,TRIM(A3904))&gt;0,((VLOOKUP(TRIM(D3904), CATALOGO!A:B, 2, FALSE) * C3904)*(1-VALUE(SUBSTITUTE(VLOOKUP(TRIM(A3904),'RESTAURANTESDESCUENTOS 2026'!A:B,2,FALSE),"%",""))/100)+I3904),(VLOOKUP(TRIM(D3904), CATALOGO!A:B, 2, FALSE) * C3904+I3904)),""))</f>
        <v/>
      </c>
      <c r="K3904" s="196"/>
      <c r="L3904" s="87"/>
      <c r="M3904" s="245"/>
      <c r="N3904" s="168"/>
    </row>
    <row r="3905" ht="22.5" hidden="1" customHeight="1">
      <c r="A3905" s="137"/>
      <c r="B3905" s="90"/>
      <c r="C3905" s="55"/>
      <c r="D3905" s="193"/>
      <c r="E3905" s="201"/>
      <c r="F3905" s="202"/>
      <c r="G3905" s="194"/>
      <c r="H3905" s="198"/>
      <c r="I3905" s="196"/>
      <c r="J3905" s="179" t="str">
        <f>IF(A3905="RAPPI",(VLOOKUP(TRIM(D3905), CATALOGO!F:G, 2, FALSE) * C3905)+I3905,IFERROR(IF(COUNTIF('RESTAURANTESDESCUENTOS 2026'!A:A,TRIM(A3905))&gt;0,((VLOOKUP(TRIM(D3905), CATALOGO!A:B, 2, FALSE) * C3905)*(1-VALUE(SUBSTITUTE(VLOOKUP(TRIM(A3905),'RESTAURANTESDESCUENTOS 2026'!A:B,2,FALSE),"%",""))/100)+I3905),(VLOOKUP(TRIM(D3905), CATALOGO!A:B, 2, FALSE) * C3905+I3905)),""))</f>
        <v/>
      </c>
      <c r="K3905" s="196"/>
      <c r="L3905" s="87"/>
      <c r="M3905" s="245"/>
      <c r="N3905" s="168"/>
    </row>
    <row r="3906" ht="22.5" hidden="1" customHeight="1">
      <c r="A3906" s="137"/>
      <c r="B3906" s="90"/>
      <c r="C3906" s="55"/>
      <c r="D3906" s="193"/>
      <c r="E3906" s="201"/>
      <c r="F3906" s="202"/>
      <c r="G3906" s="194"/>
      <c r="H3906" s="198"/>
      <c r="I3906" s="196"/>
      <c r="J3906" s="179" t="str">
        <f>IF(A3906="RAPPI",(VLOOKUP(TRIM(D3906), CATALOGO!F:G, 2, FALSE) * C3906)+I3906,IFERROR(IF(COUNTIF('RESTAURANTESDESCUENTOS 2026'!A:A,TRIM(A3906))&gt;0,((VLOOKUP(TRIM(D3906), CATALOGO!A:B, 2, FALSE) * C3906)*(1-VALUE(SUBSTITUTE(VLOOKUP(TRIM(A3906),'RESTAURANTESDESCUENTOS 2026'!A:B,2,FALSE),"%",""))/100)+I3906),(VLOOKUP(TRIM(D3906), CATALOGO!A:B, 2, FALSE) * C3906+I3906)),""))</f>
        <v/>
      </c>
      <c r="K3906" s="196"/>
      <c r="L3906" s="87"/>
      <c r="M3906" s="245"/>
      <c r="N3906" s="168"/>
    </row>
    <row r="3907" ht="22.5" hidden="1" customHeight="1">
      <c r="A3907" s="137"/>
      <c r="B3907" s="90"/>
      <c r="C3907" s="55"/>
      <c r="D3907" s="193"/>
      <c r="E3907" s="201"/>
      <c r="F3907" s="202"/>
      <c r="G3907" s="194"/>
      <c r="H3907" s="198"/>
      <c r="I3907" s="196"/>
      <c r="J3907" s="179" t="str">
        <f>IF(A3907="RAPPI",(VLOOKUP(TRIM(D3907), CATALOGO!F:G, 2, FALSE) * C3907)+I3907,IFERROR(IF(COUNTIF('RESTAURANTESDESCUENTOS 2026'!A:A,TRIM(A3907))&gt;0,((VLOOKUP(TRIM(D3907), CATALOGO!A:B, 2, FALSE) * C3907)*(1-VALUE(SUBSTITUTE(VLOOKUP(TRIM(A3907),'RESTAURANTESDESCUENTOS 2026'!A:B,2,FALSE),"%",""))/100)+I3907),(VLOOKUP(TRIM(D3907), CATALOGO!A:B, 2, FALSE) * C3907+I3907)),""))</f>
        <v/>
      </c>
      <c r="K3907" s="196"/>
      <c r="L3907" s="87"/>
      <c r="M3907" s="245"/>
      <c r="N3907" s="168"/>
    </row>
    <row r="3908" ht="22.5" hidden="1" customHeight="1">
      <c r="A3908" s="137"/>
      <c r="B3908" s="90"/>
      <c r="C3908" s="55"/>
      <c r="D3908" s="193"/>
      <c r="E3908" s="201"/>
      <c r="F3908" s="202"/>
      <c r="G3908" s="194"/>
      <c r="H3908" s="198"/>
      <c r="I3908" s="196"/>
      <c r="J3908" s="179" t="str">
        <f>IF(A3908="RAPPI",(VLOOKUP(TRIM(D3908), CATALOGO!F:G, 2, FALSE) * C3908)+I3908,IFERROR(IF(COUNTIF('RESTAURANTESDESCUENTOS 2026'!A:A,TRIM(A3908))&gt;0,((VLOOKUP(TRIM(D3908), CATALOGO!A:B, 2, FALSE) * C3908)*(1-VALUE(SUBSTITUTE(VLOOKUP(TRIM(A3908),'RESTAURANTESDESCUENTOS 2026'!A:B,2,FALSE),"%",""))/100)+I3908),(VLOOKUP(TRIM(D3908), CATALOGO!A:B, 2, FALSE) * C3908+I3908)),""))</f>
        <v/>
      </c>
      <c r="K3908" s="196"/>
      <c r="L3908" s="87"/>
      <c r="M3908" s="245"/>
      <c r="N3908" s="168"/>
    </row>
    <row r="3909" ht="22.5" hidden="1" customHeight="1">
      <c r="A3909" s="137"/>
      <c r="B3909" s="90"/>
      <c r="C3909" s="55"/>
      <c r="D3909" s="193"/>
      <c r="E3909" s="201"/>
      <c r="F3909" s="202"/>
      <c r="G3909" s="194"/>
      <c r="H3909" s="198"/>
      <c r="I3909" s="196"/>
      <c r="J3909" s="179" t="str">
        <f>IF(A3909="RAPPI",(VLOOKUP(TRIM(D3909), CATALOGO!F:G, 2, FALSE) * C3909)+I3909,IFERROR(IF(COUNTIF('RESTAURANTESDESCUENTOS 2026'!A:A,TRIM(A3909))&gt;0,((VLOOKUP(TRIM(D3909), CATALOGO!A:B, 2, FALSE) * C3909)*(1-VALUE(SUBSTITUTE(VLOOKUP(TRIM(A3909),'RESTAURANTESDESCUENTOS 2026'!A:B,2,FALSE),"%",""))/100)+I3909),(VLOOKUP(TRIM(D3909), CATALOGO!A:B, 2, FALSE) * C3909+I3909)),""))</f>
        <v/>
      </c>
      <c r="K3909" s="196"/>
      <c r="L3909" s="87"/>
      <c r="M3909" s="245"/>
      <c r="N3909" s="168"/>
    </row>
    <row r="3910" ht="22.5" hidden="1" customHeight="1">
      <c r="A3910" s="137"/>
      <c r="B3910" s="90"/>
      <c r="C3910" s="55"/>
      <c r="D3910" s="193"/>
      <c r="E3910" s="201"/>
      <c r="F3910" s="202"/>
      <c r="G3910" s="194"/>
      <c r="H3910" s="198"/>
      <c r="I3910" s="196"/>
      <c r="J3910" s="179" t="str">
        <f>IF(A3910="RAPPI",(VLOOKUP(TRIM(D3910), CATALOGO!F:G, 2, FALSE) * C3910)+I3910,IFERROR(IF(COUNTIF('RESTAURANTESDESCUENTOS 2026'!A:A,TRIM(A3910))&gt;0,((VLOOKUP(TRIM(D3910), CATALOGO!A:B, 2, FALSE) * C3910)*(1-VALUE(SUBSTITUTE(VLOOKUP(TRIM(A3910),'RESTAURANTESDESCUENTOS 2026'!A:B,2,FALSE),"%",""))/100)+I3910),(VLOOKUP(TRIM(D3910), CATALOGO!A:B, 2, FALSE) * C3910+I3910)),""))</f>
        <v/>
      </c>
      <c r="K3910" s="196"/>
      <c r="L3910" s="87"/>
      <c r="M3910" s="245"/>
      <c r="N3910" s="168"/>
    </row>
    <row r="3911" ht="22.5" hidden="1" customHeight="1">
      <c r="A3911" s="137"/>
      <c r="B3911" s="90"/>
      <c r="C3911" s="55"/>
      <c r="D3911" s="193"/>
      <c r="E3911" s="201"/>
      <c r="F3911" s="202"/>
      <c r="G3911" s="194"/>
      <c r="H3911" s="198"/>
      <c r="I3911" s="196"/>
      <c r="J3911" s="179" t="str">
        <f>IF(A3911="RAPPI",(VLOOKUP(TRIM(D3911), CATALOGO!F:G, 2, FALSE) * C3911)+I3911,IFERROR(IF(COUNTIF('RESTAURANTESDESCUENTOS 2026'!A:A,TRIM(A3911))&gt;0,((VLOOKUP(TRIM(D3911), CATALOGO!A:B, 2, FALSE) * C3911)*(1-VALUE(SUBSTITUTE(VLOOKUP(TRIM(A3911),'RESTAURANTESDESCUENTOS 2026'!A:B,2,FALSE),"%",""))/100)+I3911),(VLOOKUP(TRIM(D3911), CATALOGO!A:B, 2, FALSE) * C3911+I3911)),""))</f>
        <v/>
      </c>
      <c r="K3911" s="196"/>
      <c r="L3911" s="87"/>
      <c r="M3911" s="245"/>
      <c r="N3911" s="168"/>
    </row>
    <row r="3912" ht="22.5" hidden="1" customHeight="1">
      <c r="A3912" s="137"/>
      <c r="B3912" s="90"/>
      <c r="C3912" s="55"/>
      <c r="D3912" s="193"/>
      <c r="E3912" s="201"/>
      <c r="F3912" s="202"/>
      <c r="G3912" s="194"/>
      <c r="H3912" s="198"/>
      <c r="I3912" s="196"/>
      <c r="J3912" s="179" t="str">
        <f>IF(A3912="RAPPI",(VLOOKUP(TRIM(D3912), CATALOGO!F:G, 2, FALSE) * C3912)+I3912,IFERROR(IF(COUNTIF('RESTAURANTESDESCUENTOS 2026'!A:A,TRIM(A3912))&gt;0,((VLOOKUP(TRIM(D3912), CATALOGO!A:B, 2, FALSE) * C3912)*(1-VALUE(SUBSTITUTE(VLOOKUP(TRIM(A3912),'RESTAURANTESDESCUENTOS 2026'!A:B,2,FALSE),"%",""))/100)+I3912),(VLOOKUP(TRIM(D3912), CATALOGO!A:B, 2, FALSE) * C3912+I3912)),""))</f>
        <v/>
      </c>
      <c r="K3912" s="196"/>
      <c r="L3912" s="87"/>
      <c r="M3912" s="245"/>
      <c r="N3912" s="168"/>
    </row>
    <row r="3913" ht="22.5" hidden="1" customHeight="1">
      <c r="A3913" s="137"/>
      <c r="B3913" s="90"/>
      <c r="C3913" s="55"/>
      <c r="D3913" s="193"/>
      <c r="E3913" s="201"/>
      <c r="F3913" s="202"/>
      <c r="G3913" s="194"/>
      <c r="H3913" s="198"/>
      <c r="I3913" s="196"/>
      <c r="J3913" s="179" t="str">
        <f>IF(A3913="RAPPI",(VLOOKUP(TRIM(D3913), CATALOGO!F:G, 2, FALSE) * C3913)+I3913,IFERROR(IF(COUNTIF('RESTAURANTESDESCUENTOS 2026'!A:A,TRIM(A3913))&gt;0,((VLOOKUP(TRIM(D3913), CATALOGO!A:B, 2, FALSE) * C3913)*(1-VALUE(SUBSTITUTE(VLOOKUP(TRIM(A3913),'RESTAURANTESDESCUENTOS 2026'!A:B,2,FALSE),"%",""))/100)+I3913),(VLOOKUP(TRIM(D3913), CATALOGO!A:B, 2, FALSE) * C3913+I3913)),""))</f>
        <v/>
      </c>
      <c r="K3913" s="196"/>
      <c r="L3913" s="87"/>
      <c r="M3913" s="245"/>
      <c r="N3913" s="168"/>
    </row>
    <row r="3914" ht="22.5" hidden="1" customHeight="1">
      <c r="A3914" s="137"/>
      <c r="B3914" s="90"/>
      <c r="C3914" s="55"/>
      <c r="D3914" s="193"/>
      <c r="E3914" s="201"/>
      <c r="F3914" s="202"/>
      <c r="G3914" s="194"/>
      <c r="H3914" s="198"/>
      <c r="I3914" s="196"/>
      <c r="J3914" s="179" t="str">
        <f>IF(A3914="RAPPI",(VLOOKUP(TRIM(D3914), CATALOGO!F:G, 2, FALSE) * C3914)+I3914,IFERROR(IF(COUNTIF('RESTAURANTESDESCUENTOS 2026'!A:A,TRIM(A3914))&gt;0,((VLOOKUP(TRIM(D3914), CATALOGO!A:B, 2, FALSE) * C3914)*(1-VALUE(SUBSTITUTE(VLOOKUP(TRIM(A3914),'RESTAURANTESDESCUENTOS 2026'!A:B,2,FALSE),"%",""))/100)+I3914),(VLOOKUP(TRIM(D3914), CATALOGO!A:B, 2, FALSE) * C3914+I3914)),""))</f>
        <v/>
      </c>
      <c r="K3914" s="196"/>
      <c r="L3914" s="87"/>
      <c r="M3914" s="245"/>
      <c r="N3914" s="168"/>
    </row>
    <row r="3915" ht="22.5" hidden="1" customHeight="1">
      <c r="A3915" s="137"/>
      <c r="B3915" s="90"/>
      <c r="C3915" s="55"/>
      <c r="D3915" s="193"/>
      <c r="E3915" s="201"/>
      <c r="F3915" s="202"/>
      <c r="G3915" s="194"/>
      <c r="H3915" s="198"/>
      <c r="I3915" s="196"/>
      <c r="J3915" s="179" t="str">
        <f>IF(A3915="RAPPI",(VLOOKUP(TRIM(D3915), CATALOGO!F:G, 2, FALSE) * C3915)+I3915,IFERROR(IF(COUNTIF('RESTAURANTESDESCUENTOS 2026'!A:A,TRIM(A3915))&gt;0,((VLOOKUP(TRIM(D3915), CATALOGO!A:B, 2, FALSE) * C3915)*(1-VALUE(SUBSTITUTE(VLOOKUP(TRIM(A3915),'RESTAURANTESDESCUENTOS 2026'!A:B,2,FALSE),"%",""))/100)+I3915),(VLOOKUP(TRIM(D3915), CATALOGO!A:B, 2, FALSE) * C3915+I3915)),""))</f>
        <v/>
      </c>
      <c r="K3915" s="196"/>
      <c r="L3915" s="87"/>
      <c r="M3915" s="245"/>
      <c r="N3915" s="168"/>
    </row>
    <row r="3916" ht="22.5" hidden="1" customHeight="1">
      <c r="A3916" s="137"/>
      <c r="B3916" s="90"/>
      <c r="C3916" s="55"/>
      <c r="D3916" s="193"/>
      <c r="E3916" s="201"/>
      <c r="F3916" s="202"/>
      <c r="G3916" s="194"/>
      <c r="H3916" s="198"/>
      <c r="I3916" s="196"/>
      <c r="J3916" s="179" t="str">
        <f>IF(A3916="RAPPI",(VLOOKUP(TRIM(D3916), CATALOGO!F:G, 2, FALSE) * C3916)+I3916,IFERROR(IF(COUNTIF('RESTAURANTESDESCUENTOS 2026'!A:A,TRIM(A3916))&gt;0,((VLOOKUP(TRIM(D3916), CATALOGO!A:B, 2, FALSE) * C3916)*(1-VALUE(SUBSTITUTE(VLOOKUP(TRIM(A3916),'RESTAURANTESDESCUENTOS 2026'!A:B,2,FALSE),"%",""))/100)+I3916),(VLOOKUP(TRIM(D3916), CATALOGO!A:B, 2, FALSE) * C3916+I3916)),""))</f>
        <v/>
      </c>
      <c r="K3916" s="196"/>
      <c r="L3916" s="87"/>
      <c r="M3916" s="245"/>
      <c r="N3916" s="168"/>
    </row>
    <row r="3917" ht="22.5" hidden="1" customHeight="1">
      <c r="A3917" s="137"/>
      <c r="B3917" s="90"/>
      <c r="C3917" s="55"/>
      <c r="D3917" s="193"/>
      <c r="E3917" s="201"/>
      <c r="F3917" s="202"/>
      <c r="G3917" s="194"/>
      <c r="H3917" s="198"/>
      <c r="I3917" s="196"/>
      <c r="J3917" s="179" t="str">
        <f>IF(A3917="RAPPI",(VLOOKUP(TRIM(D3917), CATALOGO!F:G, 2, FALSE) * C3917)+I3917,IFERROR(IF(COUNTIF('RESTAURANTESDESCUENTOS 2026'!A:A,TRIM(A3917))&gt;0,((VLOOKUP(TRIM(D3917), CATALOGO!A:B, 2, FALSE) * C3917)*(1-VALUE(SUBSTITUTE(VLOOKUP(TRIM(A3917),'RESTAURANTESDESCUENTOS 2026'!A:B,2,FALSE),"%",""))/100)+I3917),(VLOOKUP(TRIM(D3917), CATALOGO!A:B, 2, FALSE) * C3917+I3917)),""))</f>
        <v/>
      </c>
      <c r="K3917" s="196"/>
      <c r="L3917" s="87"/>
      <c r="M3917" s="245"/>
      <c r="N3917" s="168"/>
    </row>
    <row r="3918" ht="22.5" hidden="1" customHeight="1">
      <c r="A3918" s="137"/>
      <c r="B3918" s="90"/>
      <c r="C3918" s="55"/>
      <c r="D3918" s="193"/>
      <c r="E3918" s="201"/>
      <c r="F3918" s="202"/>
      <c r="G3918" s="194"/>
      <c r="H3918" s="198"/>
      <c r="I3918" s="196"/>
      <c r="J3918" s="179" t="str">
        <f>IF(A3918="RAPPI",(VLOOKUP(TRIM(D3918), CATALOGO!F:G, 2, FALSE) * C3918)+I3918,IFERROR(IF(COUNTIF('RESTAURANTESDESCUENTOS 2026'!A:A,TRIM(A3918))&gt;0,((VLOOKUP(TRIM(D3918), CATALOGO!A:B, 2, FALSE) * C3918)*(1-VALUE(SUBSTITUTE(VLOOKUP(TRIM(A3918),'RESTAURANTESDESCUENTOS 2026'!A:B,2,FALSE),"%",""))/100)+I3918),(VLOOKUP(TRIM(D3918), CATALOGO!A:B, 2, FALSE) * C3918+I3918)),""))</f>
        <v/>
      </c>
      <c r="K3918" s="196"/>
      <c r="L3918" s="87"/>
      <c r="M3918" s="245"/>
      <c r="N3918" s="168"/>
    </row>
    <row r="3919" ht="22.5" hidden="1" customHeight="1">
      <c r="A3919" s="137"/>
      <c r="B3919" s="90"/>
      <c r="C3919" s="55"/>
      <c r="D3919" s="193"/>
      <c r="E3919" s="201"/>
      <c r="F3919" s="202"/>
      <c r="G3919" s="194"/>
      <c r="H3919" s="198"/>
      <c r="I3919" s="196"/>
      <c r="J3919" s="179" t="str">
        <f>IF(A3919="RAPPI",(VLOOKUP(TRIM(D3919), CATALOGO!F:G, 2, FALSE) * C3919)+I3919,IFERROR(IF(COUNTIF('RESTAURANTESDESCUENTOS 2026'!A:A,TRIM(A3919))&gt;0,((VLOOKUP(TRIM(D3919), CATALOGO!A:B, 2, FALSE) * C3919)*(1-VALUE(SUBSTITUTE(VLOOKUP(TRIM(A3919),'RESTAURANTESDESCUENTOS 2026'!A:B,2,FALSE),"%",""))/100)+I3919),(VLOOKUP(TRIM(D3919), CATALOGO!A:B, 2, FALSE) * C3919+I3919)),""))</f>
        <v/>
      </c>
      <c r="K3919" s="196"/>
      <c r="L3919" s="87"/>
      <c r="M3919" s="245"/>
      <c r="N3919" s="168"/>
    </row>
    <row r="3920" ht="22.5" hidden="1" customHeight="1">
      <c r="A3920" s="137"/>
      <c r="B3920" s="90"/>
      <c r="C3920" s="55"/>
      <c r="D3920" s="193"/>
      <c r="E3920" s="201"/>
      <c r="F3920" s="202"/>
      <c r="G3920" s="194"/>
      <c r="H3920" s="198"/>
      <c r="I3920" s="196"/>
      <c r="J3920" s="179" t="str">
        <f>IF(A3920="RAPPI",(VLOOKUP(TRIM(D3920), CATALOGO!F:G, 2, FALSE) * C3920)+I3920,IFERROR(IF(COUNTIF('RESTAURANTESDESCUENTOS 2026'!A:A,TRIM(A3920))&gt;0,((VLOOKUP(TRIM(D3920), CATALOGO!A:B, 2, FALSE) * C3920)*(1-VALUE(SUBSTITUTE(VLOOKUP(TRIM(A3920),'RESTAURANTESDESCUENTOS 2026'!A:B,2,FALSE),"%",""))/100)+I3920),(VLOOKUP(TRIM(D3920), CATALOGO!A:B, 2, FALSE) * C3920+I3920)),""))</f>
        <v/>
      </c>
      <c r="K3920" s="196"/>
      <c r="L3920" s="87"/>
      <c r="M3920" s="245"/>
      <c r="N3920" s="168"/>
    </row>
    <row r="3921" ht="22.5" hidden="1" customHeight="1">
      <c r="A3921" s="137"/>
      <c r="B3921" s="90"/>
      <c r="C3921" s="55"/>
      <c r="D3921" s="193"/>
      <c r="E3921" s="201"/>
      <c r="F3921" s="202"/>
      <c r="G3921" s="194"/>
      <c r="H3921" s="198"/>
      <c r="I3921" s="196"/>
      <c r="J3921" s="179" t="str">
        <f>IF(A3921="RAPPI",(VLOOKUP(TRIM(D3921), CATALOGO!F:G, 2, FALSE) * C3921)+I3921,IFERROR(IF(COUNTIF('RESTAURANTESDESCUENTOS 2026'!A:A,TRIM(A3921))&gt;0,((VLOOKUP(TRIM(D3921), CATALOGO!A:B, 2, FALSE) * C3921)*(1-VALUE(SUBSTITUTE(VLOOKUP(TRIM(A3921),'RESTAURANTESDESCUENTOS 2026'!A:B,2,FALSE),"%",""))/100)+I3921),(VLOOKUP(TRIM(D3921), CATALOGO!A:B, 2, FALSE) * C3921+I3921)),""))</f>
        <v/>
      </c>
      <c r="K3921" s="196"/>
      <c r="L3921" s="87"/>
      <c r="M3921" s="245"/>
      <c r="N3921" s="168"/>
    </row>
    <row r="3922" ht="22.5" hidden="1" customHeight="1">
      <c r="A3922" s="137"/>
      <c r="B3922" s="90"/>
      <c r="C3922" s="55"/>
      <c r="D3922" s="193"/>
      <c r="E3922" s="201"/>
      <c r="F3922" s="202"/>
      <c r="G3922" s="194"/>
      <c r="H3922" s="198"/>
      <c r="I3922" s="196"/>
      <c r="J3922" s="179" t="str">
        <f>IF(A3922="RAPPI",(VLOOKUP(TRIM(D3922), CATALOGO!F:G, 2, FALSE) * C3922)+I3922,IFERROR(IF(COUNTIF('RESTAURANTESDESCUENTOS 2026'!A:A,TRIM(A3922))&gt;0,((VLOOKUP(TRIM(D3922), CATALOGO!A:B, 2, FALSE) * C3922)*(1-VALUE(SUBSTITUTE(VLOOKUP(TRIM(A3922),'RESTAURANTESDESCUENTOS 2026'!A:B,2,FALSE),"%",""))/100)+I3922),(VLOOKUP(TRIM(D3922), CATALOGO!A:B, 2, FALSE) * C3922+I3922)),""))</f>
        <v/>
      </c>
      <c r="K3922" s="196"/>
      <c r="L3922" s="87"/>
      <c r="M3922" s="245"/>
      <c r="N3922" s="168"/>
    </row>
    <row r="3923" ht="22.5" hidden="1" customHeight="1">
      <c r="A3923" s="137"/>
      <c r="B3923" s="90"/>
      <c r="C3923" s="55"/>
      <c r="D3923" s="193"/>
      <c r="E3923" s="201"/>
      <c r="F3923" s="202"/>
      <c r="G3923" s="194"/>
      <c r="H3923" s="198"/>
      <c r="I3923" s="196"/>
      <c r="J3923" s="179" t="str">
        <f>IF(A3923="RAPPI",(VLOOKUP(TRIM(D3923), CATALOGO!F:G, 2, FALSE) * C3923)+I3923,IFERROR(IF(COUNTIF('RESTAURANTESDESCUENTOS 2026'!A:A,TRIM(A3923))&gt;0,((VLOOKUP(TRIM(D3923), CATALOGO!A:B, 2, FALSE) * C3923)*(1-VALUE(SUBSTITUTE(VLOOKUP(TRIM(A3923),'RESTAURANTESDESCUENTOS 2026'!A:B,2,FALSE),"%",""))/100)+I3923),(VLOOKUP(TRIM(D3923), CATALOGO!A:B, 2, FALSE) * C3923+I3923)),""))</f>
        <v/>
      </c>
      <c r="K3923" s="196"/>
      <c r="L3923" s="87"/>
      <c r="M3923" s="245"/>
      <c r="N3923" s="168"/>
    </row>
    <row r="3924" ht="22.5" hidden="1" customHeight="1">
      <c r="A3924" s="137"/>
      <c r="B3924" s="90"/>
      <c r="C3924" s="55"/>
      <c r="D3924" s="193"/>
      <c r="E3924" s="201"/>
      <c r="F3924" s="202"/>
      <c r="G3924" s="194"/>
      <c r="H3924" s="198"/>
      <c r="I3924" s="196"/>
      <c r="J3924" s="179" t="str">
        <f>IF(A3924="RAPPI",(VLOOKUP(TRIM(D3924), CATALOGO!F:G, 2, FALSE) * C3924)+I3924,IFERROR(IF(COUNTIF('RESTAURANTESDESCUENTOS 2026'!A:A,TRIM(A3924))&gt;0,((VLOOKUP(TRIM(D3924), CATALOGO!A:B, 2, FALSE) * C3924)*(1-VALUE(SUBSTITUTE(VLOOKUP(TRIM(A3924),'RESTAURANTESDESCUENTOS 2026'!A:B,2,FALSE),"%",""))/100)+I3924),(VLOOKUP(TRIM(D3924), CATALOGO!A:B, 2, FALSE) * C3924+I3924)),""))</f>
        <v/>
      </c>
      <c r="K3924" s="196"/>
      <c r="L3924" s="87"/>
      <c r="M3924" s="245"/>
      <c r="N3924" s="168"/>
    </row>
    <row r="3925" ht="22.5" hidden="1" customHeight="1">
      <c r="A3925" s="137"/>
      <c r="B3925" s="90"/>
      <c r="C3925" s="55"/>
      <c r="D3925" s="193"/>
      <c r="E3925" s="201"/>
      <c r="F3925" s="202"/>
      <c r="G3925" s="194"/>
      <c r="H3925" s="198"/>
      <c r="I3925" s="196"/>
      <c r="J3925" s="179" t="str">
        <f>IF(A3925="RAPPI",(VLOOKUP(TRIM(D3925), CATALOGO!F:G, 2, FALSE) * C3925)+I3925,IFERROR(IF(COUNTIF('RESTAURANTESDESCUENTOS 2026'!A:A,TRIM(A3925))&gt;0,((VLOOKUP(TRIM(D3925), CATALOGO!A:B, 2, FALSE) * C3925)*(1-VALUE(SUBSTITUTE(VLOOKUP(TRIM(A3925),'RESTAURANTESDESCUENTOS 2026'!A:B,2,FALSE),"%",""))/100)+I3925),(VLOOKUP(TRIM(D3925), CATALOGO!A:B, 2, FALSE) * C3925+I3925)),""))</f>
        <v/>
      </c>
      <c r="K3925" s="196"/>
      <c r="L3925" s="87"/>
      <c r="M3925" s="245"/>
      <c r="N3925" s="168"/>
    </row>
    <row r="3926" ht="22.5" hidden="1" customHeight="1">
      <c r="A3926" s="137"/>
      <c r="B3926" s="90"/>
      <c r="C3926" s="55"/>
      <c r="D3926" s="193"/>
      <c r="E3926" s="201"/>
      <c r="F3926" s="202"/>
      <c r="G3926" s="194"/>
      <c r="H3926" s="198"/>
      <c r="I3926" s="196"/>
      <c r="J3926" s="179" t="str">
        <f>IF(A3926="RAPPI",(VLOOKUP(TRIM(D3926), CATALOGO!F:G, 2, FALSE) * C3926)+I3926,IFERROR(IF(COUNTIF('RESTAURANTESDESCUENTOS 2026'!A:A,TRIM(A3926))&gt;0,((VLOOKUP(TRIM(D3926), CATALOGO!A:B, 2, FALSE) * C3926)*(1-VALUE(SUBSTITUTE(VLOOKUP(TRIM(A3926),'RESTAURANTESDESCUENTOS 2026'!A:B,2,FALSE),"%",""))/100)+I3926),(VLOOKUP(TRIM(D3926), CATALOGO!A:B, 2, FALSE) * C3926+I3926)),""))</f>
        <v/>
      </c>
      <c r="K3926" s="196"/>
      <c r="L3926" s="87"/>
      <c r="M3926" s="245"/>
      <c r="N3926" s="168"/>
    </row>
    <row r="3927" ht="22.5" hidden="1" customHeight="1">
      <c r="A3927" s="137"/>
      <c r="B3927" s="90"/>
      <c r="C3927" s="55"/>
      <c r="D3927" s="193"/>
      <c r="E3927" s="201"/>
      <c r="F3927" s="202"/>
      <c r="G3927" s="194"/>
      <c r="H3927" s="198"/>
      <c r="I3927" s="196"/>
      <c r="J3927" s="179" t="str">
        <f>IF(A3927="RAPPI",(VLOOKUP(TRIM(D3927), CATALOGO!F:G, 2, FALSE) * C3927)+I3927,IFERROR(IF(COUNTIF('RESTAURANTESDESCUENTOS 2026'!A:A,TRIM(A3927))&gt;0,((VLOOKUP(TRIM(D3927), CATALOGO!A:B, 2, FALSE) * C3927)*(1-VALUE(SUBSTITUTE(VLOOKUP(TRIM(A3927),'RESTAURANTESDESCUENTOS 2026'!A:B,2,FALSE),"%",""))/100)+I3927),(VLOOKUP(TRIM(D3927), CATALOGO!A:B, 2, FALSE) * C3927+I3927)),""))</f>
        <v/>
      </c>
      <c r="K3927" s="196"/>
      <c r="L3927" s="87"/>
      <c r="M3927" s="245"/>
      <c r="N3927" s="168"/>
    </row>
    <row r="3928" ht="22.5" hidden="1" customHeight="1">
      <c r="A3928" s="137"/>
      <c r="B3928" s="90"/>
      <c r="C3928" s="55"/>
      <c r="D3928" s="193"/>
      <c r="E3928" s="201"/>
      <c r="F3928" s="202"/>
      <c r="G3928" s="194"/>
      <c r="H3928" s="198"/>
      <c r="I3928" s="196"/>
      <c r="J3928" s="179" t="str">
        <f>IF(A3928="RAPPI",(VLOOKUP(TRIM(D3928), CATALOGO!F:G, 2, FALSE) * C3928)+I3928,IFERROR(IF(COUNTIF('RESTAURANTESDESCUENTOS 2026'!A:A,TRIM(A3928))&gt;0,((VLOOKUP(TRIM(D3928), CATALOGO!A:B, 2, FALSE) * C3928)*(1-VALUE(SUBSTITUTE(VLOOKUP(TRIM(A3928),'RESTAURANTESDESCUENTOS 2026'!A:B,2,FALSE),"%",""))/100)+I3928),(VLOOKUP(TRIM(D3928), CATALOGO!A:B, 2, FALSE) * C3928+I3928)),""))</f>
        <v/>
      </c>
      <c r="K3928" s="196"/>
      <c r="L3928" s="87"/>
      <c r="M3928" s="245"/>
      <c r="N3928" s="168"/>
    </row>
    <row r="3929" ht="22.5" hidden="1" customHeight="1">
      <c r="A3929" s="137"/>
      <c r="B3929" s="90"/>
      <c r="C3929" s="55"/>
      <c r="D3929" s="193"/>
      <c r="E3929" s="201"/>
      <c r="F3929" s="202"/>
      <c r="G3929" s="194"/>
      <c r="H3929" s="198"/>
      <c r="I3929" s="196"/>
      <c r="J3929" s="179" t="str">
        <f>IF(A3929="RAPPI",(VLOOKUP(TRIM(D3929), CATALOGO!F:G, 2, FALSE) * C3929)+I3929,IFERROR(IF(COUNTIF('RESTAURANTESDESCUENTOS 2026'!A:A,TRIM(A3929))&gt;0,((VLOOKUP(TRIM(D3929), CATALOGO!A:B, 2, FALSE) * C3929)*(1-VALUE(SUBSTITUTE(VLOOKUP(TRIM(A3929),'RESTAURANTESDESCUENTOS 2026'!A:B,2,FALSE),"%",""))/100)+I3929),(VLOOKUP(TRIM(D3929), CATALOGO!A:B, 2, FALSE) * C3929+I3929)),""))</f>
        <v/>
      </c>
      <c r="K3929" s="196"/>
      <c r="L3929" s="87"/>
      <c r="M3929" s="245"/>
      <c r="N3929" s="168"/>
    </row>
    <row r="3930" ht="22.5" hidden="1" customHeight="1">
      <c r="A3930" s="137"/>
      <c r="B3930" s="90"/>
      <c r="C3930" s="55"/>
      <c r="D3930" s="193"/>
      <c r="E3930" s="201"/>
      <c r="F3930" s="202"/>
      <c r="G3930" s="194"/>
      <c r="H3930" s="198"/>
      <c r="I3930" s="196"/>
      <c r="J3930" s="179" t="str">
        <f>IF(A3930="RAPPI",(VLOOKUP(TRIM(D3930), CATALOGO!F:G, 2, FALSE) * C3930)+I3930,IFERROR(IF(COUNTIF('RESTAURANTESDESCUENTOS 2026'!A:A,TRIM(A3930))&gt;0,((VLOOKUP(TRIM(D3930), CATALOGO!A:B, 2, FALSE) * C3930)*(1-VALUE(SUBSTITUTE(VLOOKUP(TRIM(A3930),'RESTAURANTESDESCUENTOS 2026'!A:B,2,FALSE),"%",""))/100)+I3930),(VLOOKUP(TRIM(D3930), CATALOGO!A:B, 2, FALSE) * C3930+I3930)),""))</f>
        <v/>
      </c>
      <c r="K3930" s="196"/>
      <c r="L3930" s="87"/>
      <c r="M3930" s="245"/>
      <c r="N3930" s="168"/>
    </row>
    <row r="3931" ht="22.5" hidden="1" customHeight="1">
      <c r="A3931" s="137"/>
      <c r="B3931" s="90"/>
      <c r="C3931" s="55"/>
      <c r="D3931" s="193"/>
      <c r="E3931" s="201"/>
      <c r="F3931" s="202"/>
      <c r="G3931" s="194"/>
      <c r="H3931" s="198"/>
      <c r="I3931" s="196"/>
      <c r="J3931" s="179" t="str">
        <f>IF(A3931="RAPPI",(VLOOKUP(TRIM(D3931), CATALOGO!F:G, 2, FALSE) * C3931)+I3931,IFERROR(IF(COUNTIF('RESTAURANTESDESCUENTOS 2026'!A:A,TRIM(A3931))&gt;0,((VLOOKUP(TRIM(D3931), CATALOGO!A:B, 2, FALSE) * C3931)*(1-VALUE(SUBSTITUTE(VLOOKUP(TRIM(A3931),'RESTAURANTESDESCUENTOS 2026'!A:B,2,FALSE),"%",""))/100)+I3931),(VLOOKUP(TRIM(D3931), CATALOGO!A:B, 2, FALSE) * C3931+I3931)),""))</f>
        <v/>
      </c>
      <c r="K3931" s="196"/>
      <c r="L3931" s="87"/>
      <c r="M3931" s="245"/>
      <c r="N3931" s="168"/>
    </row>
    <row r="3932" ht="22.5" hidden="1" customHeight="1">
      <c r="A3932" s="137"/>
      <c r="B3932" s="90"/>
      <c r="C3932" s="55"/>
      <c r="D3932" s="193"/>
      <c r="E3932" s="201"/>
      <c r="F3932" s="202"/>
      <c r="G3932" s="194"/>
      <c r="H3932" s="198"/>
      <c r="I3932" s="196"/>
      <c r="J3932" s="179" t="str">
        <f>IF(A3932="RAPPI",(VLOOKUP(TRIM(D3932), CATALOGO!F:G, 2, FALSE) * C3932)+I3932,IFERROR(IF(COUNTIF('RESTAURANTESDESCUENTOS 2026'!A:A,TRIM(A3932))&gt;0,((VLOOKUP(TRIM(D3932), CATALOGO!A:B, 2, FALSE) * C3932)*(1-VALUE(SUBSTITUTE(VLOOKUP(TRIM(A3932),'RESTAURANTESDESCUENTOS 2026'!A:B,2,FALSE),"%",""))/100)+I3932),(VLOOKUP(TRIM(D3932), CATALOGO!A:B, 2, FALSE) * C3932+I3932)),""))</f>
        <v/>
      </c>
      <c r="K3932" s="196"/>
      <c r="L3932" s="87"/>
      <c r="M3932" s="245"/>
      <c r="N3932" s="168"/>
    </row>
    <row r="3933" ht="22.5" hidden="1" customHeight="1">
      <c r="A3933" s="137"/>
      <c r="B3933" s="90"/>
      <c r="C3933" s="55"/>
      <c r="D3933" s="193"/>
      <c r="E3933" s="201"/>
      <c r="F3933" s="202"/>
      <c r="G3933" s="194"/>
      <c r="H3933" s="198"/>
      <c r="I3933" s="196"/>
      <c r="J3933" s="179" t="str">
        <f>IF(A3933="RAPPI",(VLOOKUP(TRIM(D3933), CATALOGO!F:G, 2, FALSE) * C3933)+I3933,IFERROR(IF(COUNTIF('RESTAURANTESDESCUENTOS 2026'!A:A,TRIM(A3933))&gt;0,((VLOOKUP(TRIM(D3933), CATALOGO!A:B, 2, FALSE) * C3933)*(1-VALUE(SUBSTITUTE(VLOOKUP(TRIM(A3933),'RESTAURANTESDESCUENTOS 2026'!A:B,2,FALSE),"%",""))/100)+I3933),(VLOOKUP(TRIM(D3933), CATALOGO!A:B, 2, FALSE) * C3933+I3933)),""))</f>
        <v/>
      </c>
      <c r="K3933" s="196"/>
      <c r="L3933" s="87"/>
      <c r="M3933" s="245"/>
      <c r="N3933" s="168"/>
    </row>
    <row r="3934" ht="22.5" hidden="1" customHeight="1">
      <c r="A3934" s="137"/>
      <c r="B3934" s="90"/>
      <c r="C3934" s="55"/>
      <c r="D3934" s="193"/>
      <c r="E3934" s="201"/>
      <c r="F3934" s="202"/>
      <c r="G3934" s="194"/>
      <c r="H3934" s="198"/>
      <c r="I3934" s="196"/>
      <c r="J3934" s="179" t="str">
        <f>IF(A3934="RAPPI",(VLOOKUP(TRIM(D3934), CATALOGO!F:G, 2, FALSE) * C3934)+I3934,IFERROR(IF(COUNTIF('RESTAURANTESDESCUENTOS 2026'!A:A,TRIM(A3934))&gt;0,((VLOOKUP(TRIM(D3934), CATALOGO!A:B, 2, FALSE) * C3934)*(1-VALUE(SUBSTITUTE(VLOOKUP(TRIM(A3934),'RESTAURANTESDESCUENTOS 2026'!A:B,2,FALSE),"%",""))/100)+I3934),(VLOOKUP(TRIM(D3934), CATALOGO!A:B, 2, FALSE) * C3934+I3934)),""))</f>
        <v/>
      </c>
      <c r="K3934" s="196"/>
      <c r="L3934" s="87"/>
      <c r="M3934" s="245"/>
      <c r="N3934" s="168"/>
    </row>
    <row r="3935" ht="22.5" hidden="1" customHeight="1">
      <c r="A3935" s="137"/>
      <c r="B3935" s="90"/>
      <c r="C3935" s="55"/>
      <c r="D3935" s="193"/>
      <c r="E3935" s="201"/>
      <c r="F3935" s="202"/>
      <c r="G3935" s="194"/>
      <c r="H3935" s="198"/>
      <c r="I3935" s="196"/>
      <c r="J3935" s="179" t="str">
        <f>IF(A3935="RAPPI",(VLOOKUP(TRIM(D3935), CATALOGO!F:G, 2, FALSE) * C3935)+I3935,IFERROR(IF(COUNTIF('RESTAURANTESDESCUENTOS 2026'!A:A,TRIM(A3935))&gt;0,((VLOOKUP(TRIM(D3935), CATALOGO!A:B, 2, FALSE) * C3935)*(1-VALUE(SUBSTITUTE(VLOOKUP(TRIM(A3935),'RESTAURANTESDESCUENTOS 2026'!A:B,2,FALSE),"%",""))/100)+I3935),(VLOOKUP(TRIM(D3935), CATALOGO!A:B, 2, FALSE) * C3935+I3935)),""))</f>
        <v/>
      </c>
      <c r="K3935" s="196"/>
      <c r="L3935" s="87"/>
      <c r="M3935" s="245"/>
      <c r="N3935" s="168"/>
    </row>
    <row r="3936" ht="22.5" hidden="1" customHeight="1">
      <c r="A3936" s="137"/>
      <c r="B3936" s="90"/>
      <c r="C3936" s="55"/>
      <c r="D3936" s="193"/>
      <c r="E3936" s="201"/>
      <c r="F3936" s="202"/>
      <c r="G3936" s="194"/>
      <c r="H3936" s="198"/>
      <c r="I3936" s="196"/>
      <c r="J3936" s="179" t="str">
        <f>IF(A3936="RAPPI",(VLOOKUP(TRIM(D3936), CATALOGO!F:G, 2, FALSE) * C3936)+I3936,IFERROR(IF(COUNTIF('RESTAURANTESDESCUENTOS 2026'!A:A,TRIM(A3936))&gt;0,((VLOOKUP(TRIM(D3936), CATALOGO!A:B, 2, FALSE) * C3936)*(1-VALUE(SUBSTITUTE(VLOOKUP(TRIM(A3936),'RESTAURANTESDESCUENTOS 2026'!A:B,2,FALSE),"%",""))/100)+I3936),(VLOOKUP(TRIM(D3936), CATALOGO!A:B, 2, FALSE) * C3936+I3936)),""))</f>
        <v/>
      </c>
      <c r="K3936" s="196"/>
      <c r="L3936" s="87"/>
      <c r="M3936" s="245"/>
      <c r="N3936" s="168"/>
    </row>
    <row r="3937" ht="22.5" hidden="1" customHeight="1">
      <c r="A3937" s="137"/>
      <c r="B3937" s="90"/>
      <c r="C3937" s="55"/>
      <c r="D3937" s="193"/>
      <c r="E3937" s="201"/>
      <c r="F3937" s="202"/>
      <c r="G3937" s="194"/>
      <c r="H3937" s="198"/>
      <c r="I3937" s="196"/>
      <c r="J3937" s="179" t="str">
        <f>IF(A3937="RAPPI",(VLOOKUP(TRIM(D3937), CATALOGO!F:G, 2, FALSE) * C3937)+I3937,IFERROR(IF(COUNTIF('RESTAURANTESDESCUENTOS 2026'!A:A,TRIM(A3937))&gt;0,((VLOOKUP(TRIM(D3937), CATALOGO!A:B, 2, FALSE) * C3937)*(1-VALUE(SUBSTITUTE(VLOOKUP(TRIM(A3937),'RESTAURANTESDESCUENTOS 2026'!A:B,2,FALSE),"%",""))/100)+I3937),(VLOOKUP(TRIM(D3937), CATALOGO!A:B, 2, FALSE) * C3937+I3937)),""))</f>
        <v/>
      </c>
      <c r="K3937" s="196"/>
      <c r="L3937" s="87"/>
      <c r="M3937" s="245"/>
      <c r="N3937" s="168"/>
    </row>
    <row r="3938" ht="22.5" hidden="1" customHeight="1">
      <c r="A3938" s="137"/>
      <c r="B3938" s="90"/>
      <c r="C3938" s="55"/>
      <c r="D3938" s="193"/>
      <c r="E3938" s="201"/>
      <c r="F3938" s="202"/>
      <c r="G3938" s="194"/>
      <c r="H3938" s="198"/>
      <c r="I3938" s="196"/>
      <c r="J3938" s="179" t="str">
        <f>IF(A3938="RAPPI",(VLOOKUP(TRIM(D3938), CATALOGO!F:G, 2, FALSE) * C3938)+I3938,IFERROR(IF(COUNTIF('RESTAURANTESDESCUENTOS 2026'!A:A,TRIM(A3938))&gt;0,((VLOOKUP(TRIM(D3938), CATALOGO!A:B, 2, FALSE) * C3938)*(1-VALUE(SUBSTITUTE(VLOOKUP(TRIM(A3938),'RESTAURANTESDESCUENTOS 2026'!A:B,2,FALSE),"%",""))/100)+I3938),(VLOOKUP(TRIM(D3938), CATALOGO!A:B, 2, FALSE) * C3938+I3938)),""))</f>
        <v/>
      </c>
      <c r="K3938" s="196"/>
      <c r="L3938" s="87"/>
      <c r="M3938" s="245"/>
      <c r="N3938" s="168"/>
    </row>
    <row r="3939" ht="22.5" hidden="1" customHeight="1">
      <c r="A3939" s="137"/>
      <c r="B3939" s="90"/>
      <c r="C3939" s="55"/>
      <c r="D3939" s="193"/>
      <c r="E3939" s="201"/>
      <c r="F3939" s="202"/>
      <c r="G3939" s="194"/>
      <c r="H3939" s="198"/>
      <c r="I3939" s="196"/>
      <c r="J3939" s="179" t="str">
        <f>IF(A3939="RAPPI",(VLOOKUP(TRIM(D3939), CATALOGO!F:G, 2, FALSE) * C3939)+I3939,IFERROR(IF(COUNTIF('RESTAURANTESDESCUENTOS 2026'!A:A,TRIM(A3939))&gt;0,((VLOOKUP(TRIM(D3939), CATALOGO!A:B, 2, FALSE) * C3939)*(1-VALUE(SUBSTITUTE(VLOOKUP(TRIM(A3939),'RESTAURANTESDESCUENTOS 2026'!A:B,2,FALSE),"%",""))/100)+I3939),(VLOOKUP(TRIM(D3939), CATALOGO!A:B, 2, FALSE) * C3939+I3939)),""))</f>
        <v/>
      </c>
      <c r="K3939" s="196"/>
      <c r="L3939" s="87"/>
      <c r="M3939" s="245"/>
      <c r="N3939" s="168"/>
    </row>
    <row r="3940" ht="22.5" hidden="1" customHeight="1">
      <c r="A3940" s="137"/>
      <c r="B3940" s="90"/>
      <c r="C3940" s="55"/>
      <c r="D3940" s="193"/>
      <c r="E3940" s="201"/>
      <c r="F3940" s="202"/>
      <c r="G3940" s="194"/>
      <c r="H3940" s="198"/>
      <c r="I3940" s="196"/>
      <c r="J3940" s="179" t="str">
        <f>IF(A3940="RAPPI",(VLOOKUP(TRIM(D3940), CATALOGO!F:G, 2, FALSE) * C3940)+I3940,IFERROR(IF(COUNTIF('RESTAURANTESDESCUENTOS 2026'!A:A,TRIM(A3940))&gt;0,((VLOOKUP(TRIM(D3940), CATALOGO!A:B, 2, FALSE) * C3940)*(1-VALUE(SUBSTITUTE(VLOOKUP(TRIM(A3940),'RESTAURANTESDESCUENTOS 2026'!A:B,2,FALSE),"%",""))/100)+I3940),(VLOOKUP(TRIM(D3940), CATALOGO!A:B, 2, FALSE) * C3940+I3940)),""))</f>
        <v/>
      </c>
      <c r="K3940" s="196"/>
      <c r="L3940" s="87"/>
      <c r="M3940" s="245"/>
      <c r="N3940" s="168"/>
    </row>
    <row r="3941" ht="22.5" hidden="1" customHeight="1">
      <c r="A3941" s="137"/>
      <c r="B3941" s="90"/>
      <c r="C3941" s="55"/>
      <c r="D3941" s="193"/>
      <c r="E3941" s="201"/>
      <c r="F3941" s="202"/>
      <c r="G3941" s="194"/>
      <c r="H3941" s="198"/>
      <c r="I3941" s="196"/>
      <c r="J3941" s="179" t="str">
        <f>IF(A3941="RAPPI",(VLOOKUP(TRIM(D3941), CATALOGO!F:G, 2, FALSE) * C3941)+I3941,IFERROR(IF(COUNTIF('RESTAURANTESDESCUENTOS 2026'!A:A,TRIM(A3941))&gt;0,((VLOOKUP(TRIM(D3941), CATALOGO!A:B, 2, FALSE) * C3941)*(1-VALUE(SUBSTITUTE(VLOOKUP(TRIM(A3941),'RESTAURANTESDESCUENTOS 2026'!A:B,2,FALSE),"%",""))/100)+I3941),(VLOOKUP(TRIM(D3941), CATALOGO!A:B, 2, FALSE) * C3941+I3941)),""))</f>
        <v/>
      </c>
      <c r="K3941" s="196"/>
      <c r="L3941" s="87"/>
      <c r="M3941" s="245"/>
      <c r="N3941" s="168"/>
    </row>
    <row r="3942" ht="22.5" hidden="1" customHeight="1">
      <c r="A3942" s="137"/>
      <c r="B3942" s="90"/>
      <c r="C3942" s="55"/>
      <c r="D3942" s="193"/>
      <c r="E3942" s="201"/>
      <c r="F3942" s="202"/>
      <c r="G3942" s="194"/>
      <c r="H3942" s="198"/>
      <c r="I3942" s="196"/>
      <c r="J3942" s="179" t="str">
        <f>IF(A3942="RAPPI",(VLOOKUP(TRIM(D3942), CATALOGO!F:G, 2, FALSE) * C3942)+I3942,IFERROR(IF(COUNTIF('RESTAURANTESDESCUENTOS 2026'!A:A,TRIM(A3942))&gt;0,((VLOOKUP(TRIM(D3942), CATALOGO!A:B, 2, FALSE) * C3942)*(1-VALUE(SUBSTITUTE(VLOOKUP(TRIM(A3942),'RESTAURANTESDESCUENTOS 2026'!A:B,2,FALSE),"%",""))/100)+I3942),(VLOOKUP(TRIM(D3942), CATALOGO!A:B, 2, FALSE) * C3942+I3942)),""))</f>
        <v/>
      </c>
      <c r="K3942" s="196"/>
      <c r="L3942" s="87"/>
      <c r="M3942" s="245"/>
      <c r="N3942" s="168"/>
    </row>
    <row r="3943" ht="22.5" hidden="1" customHeight="1">
      <c r="A3943" s="137"/>
      <c r="B3943" s="90"/>
      <c r="C3943" s="55"/>
      <c r="D3943" s="193"/>
      <c r="E3943" s="201"/>
      <c r="F3943" s="202"/>
      <c r="G3943" s="194"/>
      <c r="H3943" s="198"/>
      <c r="I3943" s="196"/>
      <c r="J3943" s="179" t="str">
        <f>IF(A3943="RAPPI",(VLOOKUP(TRIM(D3943), CATALOGO!F:G, 2, FALSE) * C3943)+I3943,IFERROR(IF(COUNTIF('RESTAURANTESDESCUENTOS 2026'!A:A,TRIM(A3943))&gt;0,((VLOOKUP(TRIM(D3943), CATALOGO!A:B, 2, FALSE) * C3943)*(1-VALUE(SUBSTITUTE(VLOOKUP(TRIM(A3943),'RESTAURANTESDESCUENTOS 2026'!A:B,2,FALSE),"%",""))/100)+I3943),(VLOOKUP(TRIM(D3943), CATALOGO!A:B, 2, FALSE) * C3943+I3943)),""))</f>
        <v/>
      </c>
      <c r="K3943" s="196"/>
      <c r="L3943" s="87"/>
      <c r="M3943" s="245"/>
      <c r="N3943" s="168"/>
    </row>
    <row r="3944" ht="22.5" hidden="1" customHeight="1">
      <c r="A3944" s="137"/>
      <c r="B3944" s="90"/>
      <c r="C3944" s="55"/>
      <c r="D3944" s="193"/>
      <c r="E3944" s="201"/>
      <c r="F3944" s="202"/>
      <c r="G3944" s="194"/>
      <c r="H3944" s="198"/>
      <c r="I3944" s="196"/>
      <c r="J3944" s="179" t="str">
        <f>IF(A3944="RAPPI",(VLOOKUP(TRIM(D3944), CATALOGO!F:G, 2, FALSE) * C3944)+I3944,IFERROR(IF(COUNTIF('RESTAURANTESDESCUENTOS 2026'!A:A,TRIM(A3944))&gt;0,((VLOOKUP(TRIM(D3944), CATALOGO!A:B, 2, FALSE) * C3944)*(1-VALUE(SUBSTITUTE(VLOOKUP(TRIM(A3944),'RESTAURANTESDESCUENTOS 2026'!A:B,2,FALSE),"%",""))/100)+I3944),(VLOOKUP(TRIM(D3944), CATALOGO!A:B, 2, FALSE) * C3944+I3944)),""))</f>
        <v/>
      </c>
      <c r="K3944" s="196"/>
      <c r="L3944" s="87"/>
      <c r="M3944" s="245"/>
      <c r="N3944" s="168"/>
    </row>
    <row r="3945" ht="22.5" hidden="1" customHeight="1">
      <c r="A3945" s="137"/>
      <c r="B3945" s="90"/>
      <c r="C3945" s="55"/>
      <c r="D3945" s="193"/>
      <c r="E3945" s="201"/>
      <c r="F3945" s="202"/>
      <c r="G3945" s="194"/>
      <c r="H3945" s="198"/>
      <c r="I3945" s="196"/>
      <c r="J3945" s="179" t="str">
        <f>IF(A3945="RAPPI",(VLOOKUP(TRIM(D3945), CATALOGO!F:G, 2, FALSE) * C3945)+I3945,IFERROR(IF(COUNTIF('RESTAURANTESDESCUENTOS 2026'!A:A,TRIM(A3945))&gt;0,((VLOOKUP(TRIM(D3945), CATALOGO!A:B, 2, FALSE) * C3945)*(1-VALUE(SUBSTITUTE(VLOOKUP(TRIM(A3945),'RESTAURANTESDESCUENTOS 2026'!A:B,2,FALSE),"%",""))/100)+I3945),(VLOOKUP(TRIM(D3945), CATALOGO!A:B, 2, FALSE) * C3945+I3945)),""))</f>
        <v/>
      </c>
      <c r="K3945" s="196"/>
      <c r="L3945" s="87"/>
      <c r="M3945" s="245"/>
      <c r="N3945" s="168"/>
    </row>
    <row r="3946" ht="22.5" hidden="1" customHeight="1">
      <c r="A3946" s="137"/>
      <c r="B3946" s="90"/>
      <c r="C3946" s="55"/>
      <c r="D3946" s="193"/>
      <c r="E3946" s="201"/>
      <c r="F3946" s="202"/>
      <c r="G3946" s="194"/>
      <c r="H3946" s="198"/>
      <c r="I3946" s="196"/>
      <c r="J3946" s="179" t="str">
        <f>IF(A3946="RAPPI",(VLOOKUP(TRIM(D3946), CATALOGO!F:G, 2, FALSE) * C3946)+I3946,IFERROR(IF(COUNTIF('RESTAURANTESDESCUENTOS 2026'!A:A,TRIM(A3946))&gt;0,((VLOOKUP(TRIM(D3946), CATALOGO!A:B, 2, FALSE) * C3946)*(1-VALUE(SUBSTITUTE(VLOOKUP(TRIM(A3946),'RESTAURANTESDESCUENTOS 2026'!A:B,2,FALSE),"%",""))/100)+I3946),(VLOOKUP(TRIM(D3946), CATALOGO!A:B, 2, FALSE) * C3946+I3946)),""))</f>
        <v/>
      </c>
      <c r="K3946" s="196"/>
      <c r="L3946" s="87"/>
      <c r="M3946" s="245"/>
      <c r="N3946" s="168"/>
    </row>
    <row r="3947" ht="22.5" hidden="1" customHeight="1">
      <c r="A3947" s="137"/>
      <c r="B3947" s="90"/>
      <c r="C3947" s="55"/>
      <c r="D3947" s="193"/>
      <c r="E3947" s="201"/>
      <c r="F3947" s="202"/>
      <c r="G3947" s="194"/>
      <c r="H3947" s="198"/>
      <c r="I3947" s="196"/>
      <c r="J3947" s="179" t="str">
        <f>IF(A3947="RAPPI",(VLOOKUP(TRIM(D3947), CATALOGO!F:G, 2, FALSE) * C3947)+I3947,IFERROR(IF(COUNTIF('RESTAURANTESDESCUENTOS 2026'!A:A,TRIM(A3947))&gt;0,((VLOOKUP(TRIM(D3947), CATALOGO!A:B, 2, FALSE) * C3947)*(1-VALUE(SUBSTITUTE(VLOOKUP(TRIM(A3947),'RESTAURANTESDESCUENTOS 2026'!A:B,2,FALSE),"%",""))/100)+I3947),(VLOOKUP(TRIM(D3947), CATALOGO!A:B, 2, FALSE) * C3947+I3947)),""))</f>
        <v/>
      </c>
      <c r="K3947" s="196"/>
      <c r="L3947" s="87"/>
      <c r="M3947" s="245"/>
      <c r="N3947" s="168"/>
    </row>
    <row r="3948" ht="22.5" hidden="1" customHeight="1">
      <c r="A3948" s="137"/>
      <c r="B3948" s="90"/>
      <c r="C3948" s="55"/>
      <c r="D3948" s="193"/>
      <c r="E3948" s="201"/>
      <c r="F3948" s="202"/>
      <c r="G3948" s="194"/>
      <c r="H3948" s="198"/>
      <c r="I3948" s="196"/>
      <c r="J3948" s="179" t="str">
        <f>IF(A3948="RAPPI",(VLOOKUP(TRIM(D3948), CATALOGO!F:G, 2, FALSE) * C3948)+I3948,IFERROR(IF(COUNTIF('RESTAURANTESDESCUENTOS 2026'!A:A,TRIM(A3948))&gt;0,((VLOOKUP(TRIM(D3948), CATALOGO!A:B, 2, FALSE) * C3948)*(1-VALUE(SUBSTITUTE(VLOOKUP(TRIM(A3948),'RESTAURANTESDESCUENTOS 2026'!A:B,2,FALSE),"%",""))/100)+I3948),(VLOOKUP(TRIM(D3948), CATALOGO!A:B, 2, FALSE) * C3948+I3948)),""))</f>
        <v/>
      </c>
      <c r="K3948" s="196"/>
      <c r="L3948" s="87"/>
      <c r="M3948" s="245"/>
      <c r="N3948" s="168"/>
    </row>
    <row r="3949" ht="22.5" hidden="1" customHeight="1">
      <c r="A3949" s="137"/>
      <c r="B3949" s="90"/>
      <c r="C3949" s="55"/>
      <c r="D3949" s="193"/>
      <c r="E3949" s="201"/>
      <c r="F3949" s="202"/>
      <c r="G3949" s="194"/>
      <c r="H3949" s="198"/>
      <c r="I3949" s="196"/>
      <c r="J3949" s="179" t="str">
        <f>IF(A3949="RAPPI",(VLOOKUP(TRIM(D3949), CATALOGO!F:G, 2, FALSE) * C3949)+I3949,IFERROR(IF(COUNTIF('RESTAURANTESDESCUENTOS 2026'!A:A,TRIM(A3949))&gt;0,((VLOOKUP(TRIM(D3949), CATALOGO!A:B, 2, FALSE) * C3949)*(1-VALUE(SUBSTITUTE(VLOOKUP(TRIM(A3949),'RESTAURANTESDESCUENTOS 2026'!A:B,2,FALSE),"%",""))/100)+I3949),(VLOOKUP(TRIM(D3949), CATALOGO!A:B, 2, FALSE) * C3949+I3949)),""))</f>
        <v/>
      </c>
      <c r="K3949" s="196"/>
      <c r="L3949" s="87"/>
      <c r="M3949" s="245"/>
      <c r="N3949" s="168"/>
    </row>
    <row r="3950" ht="22.5" hidden="1" customHeight="1">
      <c r="A3950" s="137"/>
      <c r="B3950" s="90"/>
      <c r="C3950" s="55"/>
      <c r="D3950" s="193"/>
      <c r="E3950" s="201"/>
      <c r="F3950" s="202"/>
      <c r="G3950" s="194"/>
      <c r="H3950" s="198"/>
      <c r="I3950" s="196"/>
      <c r="J3950" s="179" t="str">
        <f>IF(A3950="RAPPI",(VLOOKUP(TRIM(D3950), CATALOGO!F:G, 2, FALSE) * C3950)+I3950,IFERROR(IF(COUNTIF('RESTAURANTESDESCUENTOS 2026'!A:A,TRIM(A3950))&gt;0,((VLOOKUP(TRIM(D3950), CATALOGO!A:B, 2, FALSE) * C3950)*(1-VALUE(SUBSTITUTE(VLOOKUP(TRIM(A3950),'RESTAURANTESDESCUENTOS 2026'!A:B,2,FALSE),"%",""))/100)+I3950),(VLOOKUP(TRIM(D3950), CATALOGO!A:B, 2, FALSE) * C3950+I3950)),""))</f>
        <v/>
      </c>
      <c r="K3950" s="196"/>
      <c r="L3950" s="87"/>
      <c r="M3950" s="245"/>
      <c r="N3950" s="168"/>
    </row>
    <row r="3951" ht="22.5" hidden="1" customHeight="1">
      <c r="A3951" s="137"/>
      <c r="B3951" s="90"/>
      <c r="C3951" s="55"/>
      <c r="D3951" s="193"/>
      <c r="E3951" s="201"/>
      <c r="F3951" s="202"/>
      <c r="G3951" s="194"/>
      <c r="H3951" s="198"/>
      <c r="I3951" s="196"/>
      <c r="J3951" s="179" t="str">
        <f>IF(A3951="RAPPI",(VLOOKUP(TRIM(D3951), CATALOGO!F:G, 2, FALSE) * C3951)+I3951,IFERROR(IF(COUNTIF('RESTAURANTESDESCUENTOS 2026'!A:A,TRIM(A3951))&gt;0,((VLOOKUP(TRIM(D3951), CATALOGO!A:B, 2, FALSE) * C3951)*(1-VALUE(SUBSTITUTE(VLOOKUP(TRIM(A3951),'RESTAURANTESDESCUENTOS 2026'!A:B,2,FALSE),"%",""))/100)+I3951),(VLOOKUP(TRIM(D3951), CATALOGO!A:B, 2, FALSE) * C3951+I3951)),""))</f>
        <v/>
      </c>
      <c r="K3951" s="196"/>
      <c r="L3951" s="87"/>
      <c r="M3951" s="245"/>
      <c r="N3951" s="168"/>
    </row>
    <row r="3952" ht="22.5" hidden="1" customHeight="1">
      <c r="A3952" s="137"/>
      <c r="B3952" s="90"/>
      <c r="C3952" s="55"/>
      <c r="D3952" s="193"/>
      <c r="E3952" s="201"/>
      <c r="F3952" s="202"/>
      <c r="G3952" s="194"/>
      <c r="H3952" s="198"/>
      <c r="I3952" s="196"/>
      <c r="J3952" s="179" t="str">
        <f>IF(A3952="RAPPI",(VLOOKUP(TRIM(D3952), CATALOGO!F:G, 2, FALSE) * C3952)+I3952,IFERROR(IF(COUNTIF('RESTAURANTESDESCUENTOS 2026'!A:A,TRIM(A3952))&gt;0,((VLOOKUP(TRIM(D3952), CATALOGO!A:B, 2, FALSE) * C3952)*(1-VALUE(SUBSTITUTE(VLOOKUP(TRIM(A3952),'RESTAURANTESDESCUENTOS 2026'!A:B,2,FALSE),"%",""))/100)+I3952),(VLOOKUP(TRIM(D3952), CATALOGO!A:B, 2, FALSE) * C3952+I3952)),""))</f>
        <v/>
      </c>
      <c r="K3952" s="196"/>
      <c r="L3952" s="87"/>
      <c r="M3952" s="245"/>
      <c r="N3952" s="168"/>
    </row>
    <row r="3953" ht="22.5" hidden="1" customHeight="1">
      <c r="A3953" s="137"/>
      <c r="B3953" s="90"/>
      <c r="C3953" s="55"/>
      <c r="D3953" s="193"/>
      <c r="E3953" s="201"/>
      <c r="F3953" s="202"/>
      <c r="G3953" s="194"/>
      <c r="H3953" s="198"/>
      <c r="I3953" s="196"/>
      <c r="J3953" s="179" t="str">
        <f>IF(A3953="RAPPI",(VLOOKUP(TRIM(D3953), CATALOGO!F:G, 2, FALSE) * C3953)+I3953,IFERROR(IF(COUNTIF('RESTAURANTESDESCUENTOS 2026'!A:A,TRIM(A3953))&gt;0,((VLOOKUP(TRIM(D3953), CATALOGO!A:B, 2, FALSE) * C3953)*(1-VALUE(SUBSTITUTE(VLOOKUP(TRIM(A3953),'RESTAURANTESDESCUENTOS 2026'!A:B,2,FALSE),"%",""))/100)+I3953),(VLOOKUP(TRIM(D3953), CATALOGO!A:B, 2, FALSE) * C3953+I3953)),""))</f>
        <v/>
      </c>
      <c r="K3953" s="196"/>
      <c r="L3953" s="87"/>
      <c r="M3953" s="245"/>
      <c r="N3953" s="168"/>
    </row>
    <row r="3954" ht="22.5" hidden="1" customHeight="1">
      <c r="A3954" s="137"/>
      <c r="B3954" s="90"/>
      <c r="C3954" s="55"/>
      <c r="D3954" s="193"/>
      <c r="E3954" s="201"/>
      <c r="F3954" s="202"/>
      <c r="G3954" s="194"/>
      <c r="H3954" s="198"/>
      <c r="I3954" s="196"/>
      <c r="J3954" s="179" t="str">
        <f>IF(A3954="RAPPI",(VLOOKUP(TRIM(D3954), CATALOGO!F:G, 2, FALSE) * C3954)+I3954,IFERROR(IF(COUNTIF('RESTAURANTESDESCUENTOS 2026'!A:A,TRIM(A3954))&gt;0,((VLOOKUP(TRIM(D3954), CATALOGO!A:B, 2, FALSE) * C3954)*(1-VALUE(SUBSTITUTE(VLOOKUP(TRIM(A3954),'RESTAURANTESDESCUENTOS 2026'!A:B,2,FALSE),"%",""))/100)+I3954),(VLOOKUP(TRIM(D3954), CATALOGO!A:B, 2, FALSE) * C3954+I3954)),""))</f>
        <v/>
      </c>
      <c r="K3954" s="196"/>
      <c r="L3954" s="87"/>
      <c r="M3954" s="245"/>
      <c r="N3954" s="168"/>
    </row>
    <row r="3955" ht="22.5" hidden="1" customHeight="1">
      <c r="A3955" s="137"/>
      <c r="B3955" s="90"/>
      <c r="C3955" s="55"/>
      <c r="D3955" s="193"/>
      <c r="E3955" s="201"/>
      <c r="F3955" s="202"/>
      <c r="G3955" s="194"/>
      <c r="H3955" s="198"/>
      <c r="I3955" s="196"/>
      <c r="J3955" s="179" t="str">
        <f>IF(A3955="RAPPI",(VLOOKUP(TRIM(D3955), CATALOGO!F:G, 2, FALSE) * C3955)+I3955,IFERROR(IF(COUNTIF('RESTAURANTESDESCUENTOS 2026'!A:A,TRIM(A3955))&gt;0,((VLOOKUP(TRIM(D3955), CATALOGO!A:B, 2, FALSE) * C3955)*(1-VALUE(SUBSTITUTE(VLOOKUP(TRIM(A3955),'RESTAURANTESDESCUENTOS 2026'!A:B,2,FALSE),"%",""))/100)+I3955),(VLOOKUP(TRIM(D3955), CATALOGO!A:B, 2, FALSE) * C3955+I3955)),""))</f>
        <v/>
      </c>
      <c r="K3955" s="196"/>
      <c r="L3955" s="87"/>
      <c r="M3955" s="245"/>
      <c r="N3955" s="168"/>
    </row>
    <row r="3956" ht="22.5" hidden="1" customHeight="1">
      <c r="A3956" s="137"/>
      <c r="B3956" s="90"/>
      <c r="C3956" s="55"/>
      <c r="D3956" s="193"/>
      <c r="E3956" s="201"/>
      <c r="F3956" s="202"/>
      <c r="G3956" s="194"/>
      <c r="H3956" s="198"/>
      <c r="I3956" s="196"/>
      <c r="J3956" s="179" t="str">
        <f>IF(A3956="RAPPI",(VLOOKUP(TRIM(D3956), CATALOGO!F:G, 2, FALSE) * C3956)+I3956,IFERROR(IF(COUNTIF('RESTAURANTESDESCUENTOS 2026'!A:A,TRIM(A3956))&gt;0,((VLOOKUP(TRIM(D3956), CATALOGO!A:B, 2, FALSE) * C3956)*(1-VALUE(SUBSTITUTE(VLOOKUP(TRIM(A3956),'RESTAURANTESDESCUENTOS 2026'!A:B,2,FALSE),"%",""))/100)+I3956),(VLOOKUP(TRIM(D3956), CATALOGO!A:B, 2, FALSE) * C3956+I3956)),""))</f>
        <v/>
      </c>
      <c r="K3956" s="196"/>
      <c r="L3956" s="87"/>
      <c r="M3956" s="245"/>
      <c r="N3956" s="168"/>
    </row>
    <row r="3957" ht="22.5" hidden="1" customHeight="1">
      <c r="A3957" s="137"/>
      <c r="B3957" s="90"/>
      <c r="C3957" s="55"/>
      <c r="D3957" s="193"/>
      <c r="E3957" s="201"/>
      <c r="F3957" s="202"/>
      <c r="G3957" s="194"/>
      <c r="H3957" s="198"/>
      <c r="I3957" s="196"/>
      <c r="J3957" s="179" t="str">
        <f>IF(A3957="RAPPI",(VLOOKUP(TRIM(D3957), CATALOGO!F:G, 2, FALSE) * C3957)+I3957,IFERROR(IF(COUNTIF('RESTAURANTESDESCUENTOS 2026'!A:A,TRIM(A3957))&gt;0,((VLOOKUP(TRIM(D3957), CATALOGO!A:B, 2, FALSE) * C3957)*(1-VALUE(SUBSTITUTE(VLOOKUP(TRIM(A3957),'RESTAURANTESDESCUENTOS 2026'!A:B,2,FALSE),"%",""))/100)+I3957),(VLOOKUP(TRIM(D3957), CATALOGO!A:B, 2, FALSE) * C3957+I3957)),""))</f>
        <v/>
      </c>
      <c r="K3957" s="196"/>
      <c r="L3957" s="87"/>
      <c r="M3957" s="245"/>
      <c r="N3957" s="168"/>
    </row>
    <row r="3958" ht="22.5" hidden="1" customHeight="1">
      <c r="A3958" s="137"/>
      <c r="B3958" s="90"/>
      <c r="C3958" s="55"/>
      <c r="D3958" s="193"/>
      <c r="E3958" s="201"/>
      <c r="F3958" s="202"/>
      <c r="G3958" s="194"/>
      <c r="H3958" s="198"/>
      <c r="I3958" s="196"/>
      <c r="J3958" s="179" t="str">
        <f>IF(A3958="RAPPI",(VLOOKUP(TRIM(D3958), CATALOGO!F:G, 2, FALSE) * C3958)+I3958,IFERROR(IF(COUNTIF('RESTAURANTESDESCUENTOS 2026'!A:A,TRIM(A3958))&gt;0,((VLOOKUP(TRIM(D3958), CATALOGO!A:B, 2, FALSE) * C3958)*(1-VALUE(SUBSTITUTE(VLOOKUP(TRIM(A3958),'RESTAURANTESDESCUENTOS 2026'!A:B,2,FALSE),"%",""))/100)+I3958),(VLOOKUP(TRIM(D3958), CATALOGO!A:B, 2, FALSE) * C3958+I3958)),""))</f>
        <v/>
      </c>
      <c r="K3958" s="196"/>
      <c r="L3958" s="87"/>
      <c r="M3958" s="245"/>
      <c r="N3958" s="168"/>
    </row>
    <row r="3959" ht="22.5" hidden="1" customHeight="1">
      <c r="A3959" s="137"/>
      <c r="B3959" s="90"/>
      <c r="C3959" s="55"/>
      <c r="D3959" s="193"/>
      <c r="E3959" s="201"/>
      <c r="F3959" s="202"/>
      <c r="G3959" s="194"/>
      <c r="H3959" s="198"/>
      <c r="I3959" s="196"/>
      <c r="J3959" s="179" t="str">
        <f>IF(A3959="RAPPI",(VLOOKUP(TRIM(D3959), CATALOGO!F:G, 2, FALSE) * C3959)+I3959,IFERROR(IF(COUNTIF('RESTAURANTESDESCUENTOS 2026'!A:A,TRIM(A3959))&gt;0,((VLOOKUP(TRIM(D3959), CATALOGO!A:B, 2, FALSE) * C3959)*(1-VALUE(SUBSTITUTE(VLOOKUP(TRIM(A3959),'RESTAURANTESDESCUENTOS 2026'!A:B,2,FALSE),"%",""))/100)+I3959),(VLOOKUP(TRIM(D3959), CATALOGO!A:B, 2, FALSE) * C3959+I3959)),""))</f>
        <v/>
      </c>
      <c r="K3959" s="196"/>
      <c r="L3959" s="87"/>
      <c r="M3959" s="245"/>
      <c r="N3959" s="168"/>
    </row>
    <row r="3960" ht="22.5" hidden="1" customHeight="1">
      <c r="A3960" s="137"/>
      <c r="B3960" s="90"/>
      <c r="C3960" s="55"/>
      <c r="D3960" s="193"/>
      <c r="E3960" s="201"/>
      <c r="F3960" s="202"/>
      <c r="G3960" s="194"/>
      <c r="H3960" s="198"/>
      <c r="I3960" s="196"/>
      <c r="J3960" s="179" t="str">
        <f>IF(A3960="RAPPI",(VLOOKUP(TRIM(D3960), CATALOGO!F:G, 2, FALSE) * C3960)+I3960,IFERROR(IF(COUNTIF('RESTAURANTESDESCUENTOS 2026'!A:A,TRIM(A3960))&gt;0,((VLOOKUP(TRIM(D3960), CATALOGO!A:B, 2, FALSE) * C3960)*(1-VALUE(SUBSTITUTE(VLOOKUP(TRIM(A3960),'RESTAURANTESDESCUENTOS 2026'!A:B,2,FALSE),"%",""))/100)+I3960),(VLOOKUP(TRIM(D3960), CATALOGO!A:B, 2, FALSE) * C3960+I3960)),""))</f>
        <v/>
      </c>
      <c r="K3960" s="196"/>
      <c r="L3960" s="87"/>
      <c r="M3960" s="245"/>
      <c r="N3960" s="168"/>
    </row>
    <row r="3961" ht="22.5" hidden="1" customHeight="1">
      <c r="A3961" s="137"/>
      <c r="B3961" s="90"/>
      <c r="C3961" s="55"/>
      <c r="D3961" s="193"/>
      <c r="E3961" s="201"/>
      <c r="F3961" s="202"/>
      <c r="G3961" s="194"/>
      <c r="H3961" s="198"/>
      <c r="I3961" s="196"/>
      <c r="J3961" s="179" t="str">
        <f>IF(A3961="RAPPI",(VLOOKUP(TRIM(D3961), CATALOGO!F:G, 2, FALSE) * C3961)+I3961,IFERROR(IF(COUNTIF('RESTAURANTESDESCUENTOS 2026'!A:A,TRIM(A3961))&gt;0,((VLOOKUP(TRIM(D3961), CATALOGO!A:B, 2, FALSE) * C3961)*(1-VALUE(SUBSTITUTE(VLOOKUP(TRIM(A3961),'RESTAURANTESDESCUENTOS 2026'!A:B,2,FALSE),"%",""))/100)+I3961),(VLOOKUP(TRIM(D3961), CATALOGO!A:B, 2, FALSE) * C3961+I3961)),""))</f>
        <v/>
      </c>
      <c r="K3961" s="196"/>
      <c r="L3961" s="87"/>
      <c r="M3961" s="245"/>
      <c r="N3961" s="168"/>
    </row>
    <row r="3962" ht="22.5" hidden="1" customHeight="1">
      <c r="A3962" s="137"/>
      <c r="B3962" s="90"/>
      <c r="C3962" s="55"/>
      <c r="D3962" s="193"/>
      <c r="E3962" s="201"/>
      <c r="F3962" s="202"/>
      <c r="G3962" s="194"/>
      <c r="H3962" s="198"/>
      <c r="I3962" s="196"/>
      <c r="J3962" s="179" t="str">
        <f>IF(A3962="RAPPI",(VLOOKUP(TRIM(D3962), CATALOGO!F:G, 2, FALSE) * C3962)+I3962,IFERROR(IF(COUNTIF('RESTAURANTESDESCUENTOS 2026'!A:A,TRIM(A3962))&gt;0,((VLOOKUP(TRIM(D3962), CATALOGO!A:B, 2, FALSE) * C3962)*(1-VALUE(SUBSTITUTE(VLOOKUP(TRIM(A3962),'RESTAURANTESDESCUENTOS 2026'!A:B,2,FALSE),"%",""))/100)+I3962),(VLOOKUP(TRIM(D3962), CATALOGO!A:B, 2, FALSE) * C3962+I3962)),""))</f>
        <v/>
      </c>
      <c r="K3962" s="196"/>
      <c r="L3962" s="87"/>
      <c r="M3962" s="245"/>
      <c r="N3962" s="168"/>
    </row>
    <row r="3963" ht="22.5" hidden="1" customHeight="1">
      <c r="A3963" s="137"/>
      <c r="B3963" s="90"/>
      <c r="C3963" s="55"/>
      <c r="D3963" s="193"/>
      <c r="E3963" s="201"/>
      <c r="F3963" s="202"/>
      <c r="G3963" s="194"/>
      <c r="H3963" s="198"/>
      <c r="I3963" s="196"/>
      <c r="J3963" s="179" t="str">
        <f>IF(A3963="RAPPI",(VLOOKUP(TRIM(D3963), CATALOGO!F:G, 2, FALSE) * C3963)+I3963,IFERROR(IF(COUNTIF('RESTAURANTESDESCUENTOS 2026'!A:A,TRIM(A3963))&gt;0,((VLOOKUP(TRIM(D3963), CATALOGO!A:B, 2, FALSE) * C3963)*(1-VALUE(SUBSTITUTE(VLOOKUP(TRIM(A3963),'RESTAURANTESDESCUENTOS 2026'!A:B,2,FALSE),"%",""))/100)+I3963),(VLOOKUP(TRIM(D3963), CATALOGO!A:B, 2, FALSE) * C3963+I3963)),""))</f>
        <v/>
      </c>
      <c r="K3963" s="196"/>
      <c r="L3963" s="87"/>
      <c r="M3963" s="245"/>
      <c r="N3963" s="168"/>
    </row>
    <row r="3964" ht="22.5" hidden="1" customHeight="1">
      <c r="A3964" s="137"/>
      <c r="B3964" s="90"/>
      <c r="C3964" s="55"/>
      <c r="D3964" s="193"/>
      <c r="E3964" s="201"/>
      <c r="F3964" s="202"/>
      <c r="G3964" s="194"/>
      <c r="H3964" s="198"/>
      <c r="I3964" s="196"/>
      <c r="J3964" s="179" t="str">
        <f>IF(A3964="RAPPI",(VLOOKUP(TRIM(D3964), CATALOGO!F:G, 2, FALSE) * C3964)+I3964,IFERROR(IF(COUNTIF('RESTAURANTESDESCUENTOS 2026'!A:A,TRIM(A3964))&gt;0,((VLOOKUP(TRIM(D3964), CATALOGO!A:B, 2, FALSE) * C3964)*(1-VALUE(SUBSTITUTE(VLOOKUP(TRIM(A3964),'RESTAURANTESDESCUENTOS 2026'!A:B,2,FALSE),"%",""))/100)+I3964),(VLOOKUP(TRIM(D3964), CATALOGO!A:B, 2, FALSE) * C3964+I3964)),""))</f>
        <v/>
      </c>
      <c r="K3964" s="196"/>
      <c r="L3964" s="87"/>
      <c r="M3964" s="245"/>
      <c r="N3964" s="168"/>
    </row>
    <row r="3965" ht="22.5" hidden="1" customHeight="1">
      <c r="A3965" s="137"/>
      <c r="B3965" s="90"/>
      <c r="C3965" s="55"/>
      <c r="D3965" s="193"/>
      <c r="E3965" s="201"/>
      <c r="F3965" s="202"/>
      <c r="G3965" s="194"/>
      <c r="H3965" s="198"/>
      <c r="I3965" s="196"/>
      <c r="J3965" s="179" t="str">
        <f>IF(A3965="RAPPI",(VLOOKUP(TRIM(D3965), CATALOGO!F:G, 2, FALSE) * C3965)+I3965,IFERROR(IF(COUNTIF('RESTAURANTESDESCUENTOS 2026'!A:A,TRIM(A3965))&gt;0,((VLOOKUP(TRIM(D3965), CATALOGO!A:B, 2, FALSE) * C3965)*(1-VALUE(SUBSTITUTE(VLOOKUP(TRIM(A3965),'RESTAURANTESDESCUENTOS 2026'!A:B,2,FALSE),"%",""))/100)+I3965),(VLOOKUP(TRIM(D3965), CATALOGO!A:B, 2, FALSE) * C3965+I3965)),""))</f>
        <v/>
      </c>
      <c r="K3965" s="196"/>
      <c r="L3965" s="87"/>
      <c r="M3965" s="245"/>
      <c r="N3965" s="168"/>
    </row>
    <row r="3966" ht="22.5" hidden="1" customHeight="1">
      <c r="A3966" s="137"/>
      <c r="B3966" s="90"/>
      <c r="C3966" s="55"/>
      <c r="D3966" s="193"/>
      <c r="E3966" s="201"/>
      <c r="F3966" s="202"/>
      <c r="G3966" s="194"/>
      <c r="H3966" s="198"/>
      <c r="I3966" s="196"/>
      <c r="J3966" s="179" t="str">
        <f>IF(A3966="RAPPI",(VLOOKUP(TRIM(D3966), CATALOGO!F:G, 2, FALSE) * C3966)+I3966,IFERROR(IF(COUNTIF('RESTAURANTESDESCUENTOS 2026'!A:A,TRIM(A3966))&gt;0,((VLOOKUP(TRIM(D3966), CATALOGO!A:B, 2, FALSE) * C3966)*(1-VALUE(SUBSTITUTE(VLOOKUP(TRIM(A3966),'RESTAURANTESDESCUENTOS 2026'!A:B,2,FALSE),"%",""))/100)+I3966),(VLOOKUP(TRIM(D3966), CATALOGO!A:B, 2, FALSE) * C3966+I3966)),""))</f>
        <v/>
      </c>
      <c r="K3966" s="196"/>
      <c r="L3966" s="87"/>
      <c r="M3966" s="245"/>
      <c r="N3966" s="168"/>
    </row>
    <row r="3967" ht="22.5" hidden="1" customHeight="1">
      <c r="A3967" s="137"/>
      <c r="B3967" s="90"/>
      <c r="C3967" s="55"/>
      <c r="D3967" s="193"/>
      <c r="E3967" s="201"/>
      <c r="F3967" s="202"/>
      <c r="G3967" s="194"/>
      <c r="H3967" s="198"/>
      <c r="I3967" s="196"/>
      <c r="J3967" s="179" t="str">
        <f>IF(A3967="RAPPI",(VLOOKUP(TRIM(D3967), CATALOGO!F:G, 2, FALSE) * C3967)+I3967,IFERROR(IF(COUNTIF('RESTAURANTESDESCUENTOS 2026'!A:A,TRIM(A3967))&gt;0,((VLOOKUP(TRIM(D3967), CATALOGO!A:B, 2, FALSE) * C3967)*(1-VALUE(SUBSTITUTE(VLOOKUP(TRIM(A3967),'RESTAURANTESDESCUENTOS 2026'!A:B,2,FALSE),"%",""))/100)+I3967),(VLOOKUP(TRIM(D3967), CATALOGO!A:B, 2, FALSE) * C3967+I3967)),""))</f>
        <v/>
      </c>
      <c r="K3967" s="196"/>
      <c r="L3967" s="87"/>
      <c r="M3967" s="245"/>
      <c r="N3967" s="168"/>
    </row>
    <row r="3968" ht="22.5" hidden="1" customHeight="1">
      <c r="A3968" s="137"/>
      <c r="B3968" s="90"/>
      <c r="C3968" s="55"/>
      <c r="D3968" s="193"/>
      <c r="E3968" s="201"/>
      <c r="F3968" s="202"/>
      <c r="G3968" s="194"/>
      <c r="H3968" s="198"/>
      <c r="I3968" s="196"/>
      <c r="J3968" s="179" t="str">
        <f>IF(A3968="RAPPI",(VLOOKUP(TRIM(D3968), CATALOGO!F:G, 2, FALSE) * C3968)+I3968,IFERROR(IF(COUNTIF('RESTAURANTESDESCUENTOS 2026'!A:A,TRIM(A3968))&gt;0,((VLOOKUP(TRIM(D3968), CATALOGO!A:B, 2, FALSE) * C3968)*(1-VALUE(SUBSTITUTE(VLOOKUP(TRIM(A3968),'RESTAURANTESDESCUENTOS 2026'!A:B,2,FALSE),"%",""))/100)+I3968),(VLOOKUP(TRIM(D3968), CATALOGO!A:B, 2, FALSE) * C3968+I3968)),""))</f>
        <v/>
      </c>
      <c r="K3968" s="196"/>
      <c r="L3968" s="87"/>
      <c r="M3968" s="245"/>
      <c r="N3968" s="168"/>
    </row>
    <row r="3969" ht="22.5" hidden="1" customHeight="1">
      <c r="A3969" s="137"/>
      <c r="B3969" s="90"/>
      <c r="C3969" s="55"/>
      <c r="D3969" s="193"/>
      <c r="E3969" s="201"/>
      <c r="F3969" s="202"/>
      <c r="G3969" s="194"/>
      <c r="H3969" s="198"/>
      <c r="I3969" s="196"/>
      <c r="J3969" s="179" t="str">
        <f>IF(A3969="RAPPI",(VLOOKUP(TRIM(D3969), CATALOGO!F:G, 2, FALSE) * C3969)+I3969,IFERROR(IF(COUNTIF('RESTAURANTESDESCUENTOS 2026'!A:A,TRIM(A3969))&gt;0,((VLOOKUP(TRIM(D3969), CATALOGO!A:B, 2, FALSE) * C3969)*(1-VALUE(SUBSTITUTE(VLOOKUP(TRIM(A3969),'RESTAURANTESDESCUENTOS 2026'!A:B,2,FALSE),"%",""))/100)+I3969),(VLOOKUP(TRIM(D3969), CATALOGO!A:B, 2, FALSE) * C3969+I3969)),""))</f>
        <v/>
      </c>
      <c r="K3969" s="196"/>
      <c r="L3969" s="87"/>
      <c r="M3969" s="245"/>
      <c r="N3969" s="168"/>
    </row>
    <row r="3970" ht="22.5" hidden="1" customHeight="1">
      <c r="A3970" s="137"/>
      <c r="B3970" s="90"/>
      <c r="C3970" s="55"/>
      <c r="D3970" s="193"/>
      <c r="E3970" s="201"/>
      <c r="F3970" s="202"/>
      <c r="G3970" s="194"/>
      <c r="H3970" s="198"/>
      <c r="I3970" s="196"/>
      <c r="J3970" s="179" t="str">
        <f>IF(A3970="RAPPI",(VLOOKUP(TRIM(D3970), CATALOGO!F:G, 2, FALSE) * C3970)+I3970,IFERROR(IF(COUNTIF('RESTAURANTESDESCUENTOS 2026'!A:A,TRIM(A3970))&gt;0,((VLOOKUP(TRIM(D3970), CATALOGO!A:B, 2, FALSE) * C3970)*(1-VALUE(SUBSTITUTE(VLOOKUP(TRIM(A3970),'RESTAURANTESDESCUENTOS 2026'!A:B,2,FALSE),"%",""))/100)+I3970),(VLOOKUP(TRIM(D3970), CATALOGO!A:B, 2, FALSE) * C3970+I3970)),""))</f>
        <v/>
      </c>
      <c r="K3970" s="196"/>
      <c r="L3970" s="87"/>
      <c r="M3970" s="245"/>
      <c r="N3970" s="168"/>
    </row>
    <row r="3971" ht="22.5" hidden="1" customHeight="1">
      <c r="A3971" s="137"/>
      <c r="B3971" s="90"/>
      <c r="C3971" s="55"/>
      <c r="D3971" s="193"/>
      <c r="E3971" s="201"/>
      <c r="F3971" s="202"/>
      <c r="G3971" s="194"/>
      <c r="H3971" s="198"/>
      <c r="I3971" s="196"/>
      <c r="J3971" s="179" t="str">
        <f>IF(A3971="RAPPI",(VLOOKUP(TRIM(D3971), CATALOGO!F:G, 2, FALSE) * C3971)+I3971,IFERROR(IF(COUNTIF('RESTAURANTESDESCUENTOS 2026'!A:A,TRIM(A3971))&gt;0,((VLOOKUP(TRIM(D3971), CATALOGO!A:B, 2, FALSE) * C3971)*(1-VALUE(SUBSTITUTE(VLOOKUP(TRIM(A3971),'RESTAURANTESDESCUENTOS 2026'!A:B,2,FALSE),"%",""))/100)+I3971),(VLOOKUP(TRIM(D3971), CATALOGO!A:B, 2, FALSE) * C3971+I3971)),""))</f>
        <v/>
      </c>
      <c r="K3971" s="196"/>
      <c r="L3971" s="87"/>
      <c r="M3971" s="245"/>
      <c r="N3971" s="168"/>
    </row>
    <row r="3972" ht="22.5" hidden="1" customHeight="1">
      <c r="A3972" s="137"/>
      <c r="B3972" s="90"/>
      <c r="C3972" s="55"/>
      <c r="D3972" s="193"/>
      <c r="E3972" s="201"/>
      <c r="F3972" s="202"/>
      <c r="G3972" s="194"/>
      <c r="H3972" s="198"/>
      <c r="I3972" s="196"/>
      <c r="J3972" s="179" t="str">
        <f>IF(A3972="RAPPI",(VLOOKUP(TRIM(D3972), CATALOGO!F:G, 2, FALSE) * C3972)+I3972,IFERROR(IF(COUNTIF('RESTAURANTESDESCUENTOS 2026'!A:A,TRIM(A3972))&gt;0,((VLOOKUP(TRIM(D3972), CATALOGO!A:B, 2, FALSE) * C3972)*(1-VALUE(SUBSTITUTE(VLOOKUP(TRIM(A3972),'RESTAURANTESDESCUENTOS 2026'!A:B,2,FALSE),"%",""))/100)+I3972),(VLOOKUP(TRIM(D3972), CATALOGO!A:B, 2, FALSE) * C3972+I3972)),""))</f>
        <v/>
      </c>
      <c r="K3972" s="196"/>
      <c r="L3972" s="87"/>
      <c r="M3972" s="245"/>
      <c r="N3972" s="168"/>
    </row>
    <row r="3973" ht="22.5" hidden="1" customHeight="1">
      <c r="A3973" s="137"/>
      <c r="B3973" s="90"/>
      <c r="C3973" s="55"/>
      <c r="D3973" s="193"/>
      <c r="E3973" s="201"/>
      <c r="F3973" s="202"/>
      <c r="G3973" s="194"/>
      <c r="H3973" s="198"/>
      <c r="I3973" s="196"/>
      <c r="J3973" s="179" t="str">
        <f>IF(A3973="RAPPI",(VLOOKUP(TRIM(D3973), CATALOGO!F:G, 2, FALSE) * C3973)+I3973,IFERROR(IF(COUNTIF('RESTAURANTESDESCUENTOS 2026'!A:A,TRIM(A3973))&gt;0,((VLOOKUP(TRIM(D3973), CATALOGO!A:B, 2, FALSE) * C3973)*(1-VALUE(SUBSTITUTE(VLOOKUP(TRIM(A3973),'RESTAURANTESDESCUENTOS 2026'!A:B,2,FALSE),"%",""))/100)+I3973),(VLOOKUP(TRIM(D3973), CATALOGO!A:B, 2, FALSE) * C3973+I3973)),""))</f>
        <v/>
      </c>
      <c r="K3973" s="196"/>
      <c r="L3973" s="87"/>
      <c r="M3973" s="245"/>
      <c r="N3973" s="168"/>
    </row>
    <row r="3974" ht="22.5" hidden="1" customHeight="1">
      <c r="A3974" s="137"/>
      <c r="B3974" s="90"/>
      <c r="C3974" s="55"/>
      <c r="D3974" s="193"/>
      <c r="E3974" s="201"/>
      <c r="F3974" s="202"/>
      <c r="G3974" s="194"/>
      <c r="H3974" s="198"/>
      <c r="I3974" s="196"/>
      <c r="J3974" s="179" t="str">
        <f>IF(A3974="RAPPI",(VLOOKUP(TRIM(D3974), CATALOGO!F:G, 2, FALSE) * C3974)+I3974,IFERROR(IF(COUNTIF('RESTAURANTESDESCUENTOS 2026'!A:A,TRIM(A3974))&gt;0,((VLOOKUP(TRIM(D3974), CATALOGO!A:B, 2, FALSE) * C3974)*(1-VALUE(SUBSTITUTE(VLOOKUP(TRIM(A3974),'RESTAURANTESDESCUENTOS 2026'!A:B,2,FALSE),"%",""))/100)+I3974),(VLOOKUP(TRIM(D3974), CATALOGO!A:B, 2, FALSE) * C3974+I3974)),""))</f>
        <v/>
      </c>
      <c r="K3974" s="196"/>
      <c r="L3974" s="87"/>
      <c r="M3974" s="245"/>
      <c r="N3974" s="168"/>
    </row>
    <row r="3975" ht="22.5" hidden="1" customHeight="1">
      <c r="A3975" s="137"/>
      <c r="B3975" s="90"/>
      <c r="C3975" s="55"/>
      <c r="D3975" s="193"/>
      <c r="E3975" s="201"/>
      <c r="F3975" s="202"/>
      <c r="G3975" s="194"/>
      <c r="H3975" s="198"/>
      <c r="I3975" s="196"/>
      <c r="J3975" s="179" t="str">
        <f>IF(A3975="RAPPI",(VLOOKUP(TRIM(D3975), CATALOGO!F:G, 2, FALSE) * C3975)+I3975,IFERROR(IF(COUNTIF('RESTAURANTESDESCUENTOS 2026'!A:A,TRIM(A3975))&gt;0,((VLOOKUP(TRIM(D3975), CATALOGO!A:B, 2, FALSE) * C3975)*(1-VALUE(SUBSTITUTE(VLOOKUP(TRIM(A3975),'RESTAURANTESDESCUENTOS 2026'!A:B,2,FALSE),"%",""))/100)+I3975),(VLOOKUP(TRIM(D3975), CATALOGO!A:B, 2, FALSE) * C3975+I3975)),""))</f>
        <v/>
      </c>
      <c r="K3975" s="196"/>
      <c r="L3975" s="87"/>
      <c r="M3975" s="245"/>
      <c r="N3975" s="168"/>
    </row>
    <row r="3976" ht="22.5" hidden="1" customHeight="1">
      <c r="A3976" s="137"/>
      <c r="B3976" s="90"/>
      <c r="C3976" s="55"/>
      <c r="D3976" s="193"/>
      <c r="E3976" s="201"/>
      <c r="F3976" s="202"/>
      <c r="G3976" s="194"/>
      <c r="H3976" s="198"/>
      <c r="I3976" s="196"/>
      <c r="J3976" s="179" t="str">
        <f>IF(A3976="RAPPI",(VLOOKUP(TRIM(D3976), CATALOGO!F:G, 2, FALSE) * C3976)+I3976,IFERROR(IF(COUNTIF('RESTAURANTESDESCUENTOS 2026'!A:A,TRIM(A3976))&gt;0,((VLOOKUP(TRIM(D3976), CATALOGO!A:B, 2, FALSE) * C3976)*(1-VALUE(SUBSTITUTE(VLOOKUP(TRIM(A3976),'RESTAURANTESDESCUENTOS 2026'!A:B,2,FALSE),"%",""))/100)+I3976),(VLOOKUP(TRIM(D3976), CATALOGO!A:B, 2, FALSE) * C3976+I3976)),""))</f>
        <v/>
      </c>
      <c r="K3976" s="196"/>
      <c r="L3976" s="87"/>
      <c r="M3976" s="245"/>
      <c r="N3976" s="168"/>
    </row>
    <row r="3977" ht="22.5" hidden="1" customHeight="1">
      <c r="A3977" s="137"/>
      <c r="B3977" s="90"/>
      <c r="C3977" s="55"/>
      <c r="D3977" s="193"/>
      <c r="E3977" s="201"/>
      <c r="F3977" s="202"/>
      <c r="G3977" s="194"/>
      <c r="H3977" s="198"/>
      <c r="I3977" s="196"/>
      <c r="J3977" s="179" t="str">
        <f>IF(A3977="RAPPI",(VLOOKUP(TRIM(D3977), CATALOGO!F:G, 2, FALSE) * C3977)+I3977,IFERROR(IF(COUNTIF('RESTAURANTESDESCUENTOS 2026'!A:A,TRIM(A3977))&gt;0,((VLOOKUP(TRIM(D3977), CATALOGO!A:B, 2, FALSE) * C3977)*(1-VALUE(SUBSTITUTE(VLOOKUP(TRIM(A3977),'RESTAURANTESDESCUENTOS 2026'!A:B,2,FALSE),"%",""))/100)+I3977),(VLOOKUP(TRIM(D3977), CATALOGO!A:B, 2, FALSE) * C3977+I3977)),""))</f>
        <v/>
      </c>
      <c r="K3977" s="196"/>
      <c r="L3977" s="87"/>
      <c r="M3977" s="245"/>
      <c r="N3977" s="168"/>
    </row>
    <row r="3978" ht="22.5" hidden="1" customHeight="1">
      <c r="A3978" s="137"/>
      <c r="B3978" s="90"/>
      <c r="C3978" s="55"/>
      <c r="D3978" s="193"/>
      <c r="E3978" s="201"/>
      <c r="F3978" s="202"/>
      <c r="G3978" s="194"/>
      <c r="H3978" s="198"/>
      <c r="I3978" s="196"/>
      <c r="J3978" s="179" t="str">
        <f>IF(A3978="RAPPI",(VLOOKUP(TRIM(D3978), CATALOGO!F:G, 2, FALSE) * C3978)+I3978,IFERROR(IF(COUNTIF('RESTAURANTESDESCUENTOS 2026'!A:A,TRIM(A3978))&gt;0,((VLOOKUP(TRIM(D3978), CATALOGO!A:B, 2, FALSE) * C3978)*(1-VALUE(SUBSTITUTE(VLOOKUP(TRIM(A3978),'RESTAURANTESDESCUENTOS 2026'!A:B,2,FALSE),"%",""))/100)+I3978),(VLOOKUP(TRIM(D3978), CATALOGO!A:B, 2, FALSE) * C3978+I3978)),""))</f>
        <v/>
      </c>
      <c r="K3978" s="196"/>
      <c r="L3978" s="87"/>
      <c r="M3978" s="245"/>
      <c r="N3978" s="168"/>
    </row>
    <row r="3979" ht="22.5" hidden="1" customHeight="1">
      <c r="A3979" s="137"/>
      <c r="B3979" s="90"/>
      <c r="C3979" s="55"/>
      <c r="D3979" s="193"/>
      <c r="E3979" s="201"/>
      <c r="F3979" s="202"/>
      <c r="G3979" s="194"/>
      <c r="H3979" s="198"/>
      <c r="I3979" s="196"/>
      <c r="J3979" s="179" t="str">
        <f>IF(A3979="RAPPI",(VLOOKUP(TRIM(D3979), CATALOGO!F:G, 2, FALSE) * C3979)+I3979,IFERROR(IF(COUNTIF('RESTAURANTESDESCUENTOS 2026'!A:A,TRIM(A3979))&gt;0,((VLOOKUP(TRIM(D3979), CATALOGO!A:B, 2, FALSE) * C3979)*(1-VALUE(SUBSTITUTE(VLOOKUP(TRIM(A3979),'RESTAURANTESDESCUENTOS 2026'!A:B,2,FALSE),"%",""))/100)+I3979),(VLOOKUP(TRIM(D3979), CATALOGO!A:B, 2, FALSE) * C3979+I3979)),""))</f>
        <v/>
      </c>
      <c r="K3979" s="196"/>
      <c r="L3979" s="87"/>
      <c r="M3979" s="245"/>
      <c r="N3979" s="168"/>
    </row>
    <row r="3980" ht="22.5" hidden="1" customHeight="1">
      <c r="A3980" s="137"/>
      <c r="B3980" s="90"/>
      <c r="C3980" s="55"/>
      <c r="D3980" s="193"/>
      <c r="E3980" s="201"/>
      <c r="F3980" s="202"/>
      <c r="G3980" s="194"/>
      <c r="H3980" s="198"/>
      <c r="I3980" s="196"/>
      <c r="J3980" s="179" t="str">
        <f>IF(A3980="RAPPI",(VLOOKUP(TRIM(D3980), CATALOGO!F:G, 2, FALSE) * C3980)+I3980,IFERROR(IF(COUNTIF('RESTAURANTESDESCUENTOS 2026'!A:A,TRIM(A3980))&gt;0,((VLOOKUP(TRIM(D3980), CATALOGO!A:B, 2, FALSE) * C3980)*(1-VALUE(SUBSTITUTE(VLOOKUP(TRIM(A3980),'RESTAURANTESDESCUENTOS 2026'!A:B,2,FALSE),"%",""))/100)+I3980),(VLOOKUP(TRIM(D3980), CATALOGO!A:B, 2, FALSE) * C3980+I3980)),""))</f>
        <v/>
      </c>
      <c r="K3980" s="196"/>
      <c r="L3980" s="87"/>
      <c r="M3980" s="245"/>
      <c r="N3980" s="168"/>
    </row>
    <row r="3981" ht="22.5" hidden="1" customHeight="1">
      <c r="A3981" s="137"/>
      <c r="B3981" s="90"/>
      <c r="C3981" s="55"/>
      <c r="D3981" s="193"/>
      <c r="E3981" s="201"/>
      <c r="F3981" s="202"/>
      <c r="G3981" s="194"/>
      <c r="H3981" s="198"/>
      <c r="I3981" s="196"/>
      <c r="J3981" s="179" t="str">
        <f>IF(A3981="RAPPI",(VLOOKUP(TRIM(D3981), CATALOGO!F:G, 2, FALSE) * C3981)+I3981,IFERROR(IF(COUNTIF('RESTAURANTESDESCUENTOS 2026'!A:A,TRIM(A3981))&gt;0,((VLOOKUP(TRIM(D3981), CATALOGO!A:B, 2, FALSE) * C3981)*(1-VALUE(SUBSTITUTE(VLOOKUP(TRIM(A3981),'RESTAURANTESDESCUENTOS 2026'!A:B,2,FALSE),"%",""))/100)+I3981),(VLOOKUP(TRIM(D3981), CATALOGO!A:B, 2, FALSE) * C3981+I3981)),""))</f>
        <v/>
      </c>
      <c r="K3981" s="196"/>
      <c r="L3981" s="87"/>
      <c r="M3981" s="245"/>
      <c r="N3981" s="168"/>
    </row>
    <row r="3982" ht="22.5" hidden="1" customHeight="1">
      <c r="A3982" s="137"/>
      <c r="B3982" s="90"/>
      <c r="C3982" s="55"/>
      <c r="D3982" s="193"/>
      <c r="E3982" s="201"/>
      <c r="F3982" s="202"/>
      <c r="G3982" s="194"/>
      <c r="H3982" s="198"/>
      <c r="I3982" s="196"/>
      <c r="J3982" s="179" t="str">
        <f>IF(A3982="RAPPI",(VLOOKUP(TRIM(D3982), CATALOGO!F:G, 2, FALSE) * C3982)+I3982,IFERROR(IF(COUNTIF('RESTAURANTESDESCUENTOS 2026'!A:A,TRIM(A3982))&gt;0,((VLOOKUP(TRIM(D3982), CATALOGO!A:B, 2, FALSE) * C3982)*(1-VALUE(SUBSTITUTE(VLOOKUP(TRIM(A3982),'RESTAURANTESDESCUENTOS 2026'!A:B,2,FALSE),"%",""))/100)+I3982),(VLOOKUP(TRIM(D3982), CATALOGO!A:B, 2, FALSE) * C3982+I3982)),""))</f>
        <v/>
      </c>
      <c r="K3982" s="196"/>
      <c r="L3982" s="87"/>
      <c r="M3982" s="245"/>
      <c r="N3982" s="168"/>
    </row>
    <row r="3983" ht="22.5" hidden="1" customHeight="1">
      <c r="A3983" s="137"/>
      <c r="B3983" s="90"/>
      <c r="C3983" s="55"/>
      <c r="D3983" s="193"/>
      <c r="E3983" s="201"/>
      <c r="F3983" s="202"/>
      <c r="G3983" s="194"/>
      <c r="H3983" s="198"/>
      <c r="I3983" s="196"/>
      <c r="J3983" s="179" t="str">
        <f>IF(A3983="RAPPI",(VLOOKUP(TRIM(D3983), CATALOGO!F:G, 2, FALSE) * C3983)+I3983,IFERROR(IF(COUNTIF('RESTAURANTESDESCUENTOS 2026'!A:A,TRIM(A3983))&gt;0,((VLOOKUP(TRIM(D3983), CATALOGO!A:B, 2, FALSE) * C3983)*(1-VALUE(SUBSTITUTE(VLOOKUP(TRIM(A3983),'RESTAURANTESDESCUENTOS 2026'!A:B,2,FALSE),"%",""))/100)+I3983),(VLOOKUP(TRIM(D3983), CATALOGO!A:B, 2, FALSE) * C3983+I3983)),""))</f>
        <v/>
      </c>
      <c r="K3983" s="196"/>
      <c r="L3983" s="87"/>
      <c r="M3983" s="245"/>
      <c r="N3983" s="168"/>
    </row>
    <row r="3984" ht="22.5" hidden="1" customHeight="1">
      <c r="A3984" s="137"/>
      <c r="B3984" s="90"/>
      <c r="C3984" s="55"/>
      <c r="D3984" s="193"/>
      <c r="E3984" s="201"/>
      <c r="F3984" s="202"/>
      <c r="G3984" s="194"/>
      <c r="H3984" s="198"/>
      <c r="I3984" s="196"/>
      <c r="J3984" s="179" t="str">
        <f>IF(A3984="RAPPI",(VLOOKUP(TRIM(D3984), CATALOGO!F:G, 2, FALSE) * C3984)+I3984,IFERROR(IF(COUNTIF('RESTAURANTESDESCUENTOS 2026'!A:A,TRIM(A3984))&gt;0,((VLOOKUP(TRIM(D3984), CATALOGO!A:B, 2, FALSE) * C3984)*(1-VALUE(SUBSTITUTE(VLOOKUP(TRIM(A3984),'RESTAURANTESDESCUENTOS 2026'!A:B,2,FALSE),"%",""))/100)+I3984),(VLOOKUP(TRIM(D3984), CATALOGO!A:B, 2, FALSE) * C3984+I3984)),""))</f>
        <v/>
      </c>
      <c r="K3984" s="196"/>
      <c r="L3984" s="87"/>
      <c r="M3984" s="245"/>
      <c r="N3984" s="168"/>
    </row>
    <row r="3985" ht="22.5" hidden="1" customHeight="1">
      <c r="A3985" s="137"/>
      <c r="B3985" s="90"/>
      <c r="C3985" s="55"/>
      <c r="D3985" s="193"/>
      <c r="E3985" s="201"/>
      <c r="F3985" s="202"/>
      <c r="G3985" s="194"/>
      <c r="H3985" s="198"/>
      <c r="I3985" s="196"/>
      <c r="J3985" s="179" t="str">
        <f>IF(A3985="RAPPI",(VLOOKUP(TRIM(D3985), CATALOGO!F:G, 2, FALSE) * C3985)+I3985,IFERROR(IF(COUNTIF('RESTAURANTESDESCUENTOS 2026'!A:A,TRIM(A3985))&gt;0,((VLOOKUP(TRIM(D3985), CATALOGO!A:B, 2, FALSE) * C3985)*(1-VALUE(SUBSTITUTE(VLOOKUP(TRIM(A3985),'RESTAURANTESDESCUENTOS 2026'!A:B,2,FALSE),"%",""))/100)+I3985),(VLOOKUP(TRIM(D3985), CATALOGO!A:B, 2, FALSE) * C3985+I3985)),""))</f>
        <v/>
      </c>
      <c r="K3985" s="196"/>
      <c r="L3985" s="87"/>
      <c r="M3985" s="245"/>
      <c r="N3985" s="168"/>
    </row>
    <row r="3986" ht="22.5" hidden="1" customHeight="1">
      <c r="A3986" s="137"/>
      <c r="B3986" s="90"/>
      <c r="C3986" s="55"/>
      <c r="D3986" s="193"/>
      <c r="E3986" s="201"/>
      <c r="F3986" s="202"/>
      <c r="G3986" s="194"/>
      <c r="H3986" s="198"/>
      <c r="I3986" s="196"/>
      <c r="J3986" s="179" t="str">
        <f>IF(A3986="RAPPI",(VLOOKUP(TRIM(D3986), CATALOGO!F:G, 2, FALSE) * C3986)+I3986,IFERROR(IF(COUNTIF('RESTAURANTESDESCUENTOS 2026'!A:A,TRIM(A3986))&gt;0,((VLOOKUP(TRIM(D3986), CATALOGO!A:B, 2, FALSE) * C3986)*(1-VALUE(SUBSTITUTE(VLOOKUP(TRIM(A3986),'RESTAURANTESDESCUENTOS 2026'!A:B,2,FALSE),"%",""))/100)+I3986),(VLOOKUP(TRIM(D3986), CATALOGO!A:B, 2, FALSE) * C3986+I3986)),""))</f>
        <v/>
      </c>
      <c r="K3986" s="196"/>
      <c r="L3986" s="87"/>
      <c r="M3986" s="245"/>
      <c r="N3986" s="168"/>
    </row>
    <row r="3987" ht="22.5" hidden="1" customHeight="1">
      <c r="A3987" s="137"/>
      <c r="B3987" s="90"/>
      <c r="C3987" s="55"/>
      <c r="D3987" s="193"/>
      <c r="E3987" s="201"/>
      <c r="F3987" s="202"/>
      <c r="G3987" s="194"/>
      <c r="H3987" s="198"/>
      <c r="I3987" s="196"/>
      <c r="J3987" s="179" t="str">
        <f>IF(A3987="RAPPI",(VLOOKUP(TRIM(D3987), CATALOGO!F:G, 2, FALSE) * C3987)+I3987,IFERROR(IF(COUNTIF('RESTAURANTESDESCUENTOS 2026'!A:A,TRIM(A3987))&gt;0,((VLOOKUP(TRIM(D3987), CATALOGO!A:B, 2, FALSE) * C3987)*(1-VALUE(SUBSTITUTE(VLOOKUP(TRIM(A3987),'RESTAURANTESDESCUENTOS 2026'!A:B,2,FALSE),"%",""))/100)+I3987),(VLOOKUP(TRIM(D3987), CATALOGO!A:B, 2, FALSE) * C3987+I3987)),""))</f>
        <v/>
      </c>
      <c r="K3987" s="196"/>
      <c r="L3987" s="87"/>
      <c r="M3987" s="245"/>
      <c r="N3987" s="168"/>
    </row>
    <row r="3988" ht="22.5" hidden="1" customHeight="1">
      <c r="A3988" s="137"/>
      <c r="B3988" s="90"/>
      <c r="C3988" s="55"/>
      <c r="D3988" s="193"/>
      <c r="E3988" s="201"/>
      <c r="F3988" s="202"/>
      <c r="G3988" s="194"/>
      <c r="H3988" s="198"/>
      <c r="I3988" s="196"/>
      <c r="J3988" s="179" t="str">
        <f>IF(A3988="RAPPI",(VLOOKUP(TRIM(D3988), CATALOGO!F:G, 2, FALSE) * C3988)+I3988,IFERROR(IF(COUNTIF('RESTAURANTESDESCUENTOS 2026'!A:A,TRIM(A3988))&gt;0,((VLOOKUP(TRIM(D3988), CATALOGO!A:B, 2, FALSE) * C3988)*(1-VALUE(SUBSTITUTE(VLOOKUP(TRIM(A3988),'RESTAURANTESDESCUENTOS 2026'!A:B,2,FALSE),"%",""))/100)+I3988),(VLOOKUP(TRIM(D3988), CATALOGO!A:B, 2, FALSE) * C3988+I3988)),""))</f>
        <v/>
      </c>
      <c r="K3988" s="196"/>
      <c r="L3988" s="87"/>
      <c r="M3988" s="245"/>
      <c r="N3988" s="168"/>
    </row>
    <row r="3989" ht="22.5" hidden="1" customHeight="1">
      <c r="A3989" s="137"/>
      <c r="B3989" s="90"/>
      <c r="C3989" s="55"/>
      <c r="D3989" s="193"/>
      <c r="E3989" s="201"/>
      <c r="F3989" s="202"/>
      <c r="G3989" s="194"/>
      <c r="H3989" s="198"/>
      <c r="I3989" s="196"/>
      <c r="J3989" s="179" t="str">
        <f>IF(A3989="RAPPI",(VLOOKUP(TRIM(D3989), CATALOGO!F:G, 2, FALSE) * C3989)+I3989,IFERROR(IF(COUNTIF('RESTAURANTESDESCUENTOS 2026'!A:A,TRIM(A3989))&gt;0,((VLOOKUP(TRIM(D3989), CATALOGO!A:B, 2, FALSE) * C3989)*(1-VALUE(SUBSTITUTE(VLOOKUP(TRIM(A3989),'RESTAURANTESDESCUENTOS 2026'!A:B,2,FALSE),"%",""))/100)+I3989),(VLOOKUP(TRIM(D3989), CATALOGO!A:B, 2, FALSE) * C3989+I3989)),""))</f>
        <v/>
      </c>
      <c r="K3989" s="196"/>
      <c r="L3989" s="87"/>
      <c r="M3989" s="245"/>
      <c r="N3989" s="168"/>
    </row>
    <row r="3990" ht="22.5" hidden="1" customHeight="1">
      <c r="A3990" s="137"/>
      <c r="B3990" s="90"/>
      <c r="C3990" s="55"/>
      <c r="D3990" s="193"/>
      <c r="E3990" s="201"/>
      <c r="F3990" s="202"/>
      <c r="G3990" s="194"/>
      <c r="H3990" s="198"/>
      <c r="I3990" s="196"/>
      <c r="J3990" s="179" t="str">
        <f>IF(A3990="RAPPI",(VLOOKUP(TRIM(D3990), CATALOGO!F:G, 2, FALSE) * C3990)+I3990,IFERROR(IF(COUNTIF('RESTAURANTESDESCUENTOS 2026'!A:A,TRIM(A3990))&gt;0,((VLOOKUP(TRIM(D3990), CATALOGO!A:B, 2, FALSE) * C3990)*(1-VALUE(SUBSTITUTE(VLOOKUP(TRIM(A3990),'RESTAURANTESDESCUENTOS 2026'!A:B,2,FALSE),"%",""))/100)+I3990),(VLOOKUP(TRIM(D3990), CATALOGO!A:B, 2, FALSE) * C3990+I3990)),""))</f>
        <v/>
      </c>
      <c r="K3990" s="196"/>
      <c r="L3990" s="87"/>
      <c r="M3990" s="245"/>
      <c r="N3990" s="168"/>
    </row>
    <row r="3991" ht="22.5" hidden="1" customHeight="1">
      <c r="A3991" s="137"/>
      <c r="B3991" s="90"/>
      <c r="C3991" s="55"/>
      <c r="D3991" s="193"/>
      <c r="E3991" s="201"/>
      <c r="F3991" s="202"/>
      <c r="G3991" s="194"/>
      <c r="H3991" s="198"/>
      <c r="I3991" s="196"/>
      <c r="J3991" s="179" t="str">
        <f>IF(A3991="RAPPI",(VLOOKUP(TRIM(D3991), CATALOGO!F:G, 2, FALSE) * C3991)+I3991,IFERROR(IF(COUNTIF('RESTAURANTESDESCUENTOS 2026'!A:A,TRIM(A3991))&gt;0,((VLOOKUP(TRIM(D3991), CATALOGO!A:B, 2, FALSE) * C3991)*(1-VALUE(SUBSTITUTE(VLOOKUP(TRIM(A3991),'RESTAURANTESDESCUENTOS 2026'!A:B,2,FALSE),"%",""))/100)+I3991),(VLOOKUP(TRIM(D3991), CATALOGO!A:B, 2, FALSE) * C3991+I3991)),""))</f>
        <v/>
      </c>
      <c r="K3991" s="196"/>
      <c r="L3991" s="87"/>
      <c r="M3991" s="245"/>
      <c r="N3991" s="168"/>
    </row>
    <row r="3992" ht="22.5" hidden="1" customHeight="1">
      <c r="A3992" s="137"/>
      <c r="B3992" s="90"/>
      <c r="C3992" s="55"/>
      <c r="D3992" s="193"/>
      <c r="E3992" s="201"/>
      <c r="F3992" s="202"/>
      <c r="G3992" s="194"/>
      <c r="H3992" s="198"/>
      <c r="I3992" s="196"/>
      <c r="J3992" s="179" t="str">
        <f>IF(A3992="RAPPI",(VLOOKUP(TRIM(D3992), CATALOGO!F:G, 2, FALSE) * C3992)+I3992,IFERROR(IF(COUNTIF('RESTAURANTESDESCUENTOS 2026'!A:A,TRIM(A3992))&gt;0,((VLOOKUP(TRIM(D3992), CATALOGO!A:B, 2, FALSE) * C3992)*(1-VALUE(SUBSTITUTE(VLOOKUP(TRIM(A3992),'RESTAURANTESDESCUENTOS 2026'!A:B,2,FALSE),"%",""))/100)+I3992),(VLOOKUP(TRIM(D3992), CATALOGO!A:B, 2, FALSE) * C3992+I3992)),""))</f>
        <v/>
      </c>
      <c r="K3992" s="196"/>
      <c r="L3992" s="87"/>
      <c r="M3992" s="245"/>
      <c r="N3992" s="168"/>
    </row>
    <row r="3993" ht="22.5" hidden="1" customHeight="1">
      <c r="A3993" s="137"/>
      <c r="B3993" s="90"/>
      <c r="C3993" s="55"/>
      <c r="D3993" s="193"/>
      <c r="E3993" s="201"/>
      <c r="F3993" s="202"/>
      <c r="G3993" s="194"/>
      <c r="H3993" s="198"/>
      <c r="I3993" s="196"/>
      <c r="J3993" s="179" t="str">
        <f>IF(A3993="RAPPI",(VLOOKUP(TRIM(D3993), CATALOGO!F:G, 2, FALSE) * C3993)+I3993,IFERROR(IF(COUNTIF('RESTAURANTESDESCUENTOS 2026'!A:A,TRIM(A3993))&gt;0,((VLOOKUP(TRIM(D3993), CATALOGO!A:B, 2, FALSE) * C3993)*(1-VALUE(SUBSTITUTE(VLOOKUP(TRIM(A3993),'RESTAURANTESDESCUENTOS 2026'!A:B,2,FALSE),"%",""))/100)+I3993),(VLOOKUP(TRIM(D3993), CATALOGO!A:B, 2, FALSE) * C3993+I3993)),""))</f>
        <v/>
      </c>
      <c r="K3993" s="196"/>
      <c r="L3993" s="87"/>
      <c r="M3993" s="245"/>
      <c r="N3993" s="168"/>
    </row>
    <row r="3994" ht="22.5" hidden="1" customHeight="1">
      <c r="A3994" s="137"/>
      <c r="B3994" s="90"/>
      <c r="C3994" s="55"/>
      <c r="D3994" s="193"/>
      <c r="E3994" s="201"/>
      <c r="F3994" s="202"/>
      <c r="G3994" s="194"/>
      <c r="H3994" s="198"/>
      <c r="I3994" s="196"/>
      <c r="J3994" s="179" t="str">
        <f>IF(A3994="RAPPI",(VLOOKUP(TRIM(D3994), CATALOGO!F:G, 2, FALSE) * C3994)+I3994,IFERROR(IF(COUNTIF('RESTAURANTESDESCUENTOS 2026'!A:A,TRIM(A3994))&gt;0,((VLOOKUP(TRIM(D3994), CATALOGO!A:B, 2, FALSE) * C3994)*(1-VALUE(SUBSTITUTE(VLOOKUP(TRIM(A3994),'RESTAURANTESDESCUENTOS 2026'!A:B,2,FALSE),"%",""))/100)+I3994),(VLOOKUP(TRIM(D3994), CATALOGO!A:B, 2, FALSE) * C3994+I3994)),""))</f>
        <v/>
      </c>
      <c r="K3994" s="196"/>
      <c r="L3994" s="87"/>
      <c r="M3994" s="245"/>
      <c r="N3994" s="168"/>
    </row>
    <row r="3995" ht="22.5" hidden="1" customHeight="1">
      <c r="A3995" s="137"/>
      <c r="B3995" s="90"/>
      <c r="C3995" s="55"/>
      <c r="D3995" s="193"/>
      <c r="E3995" s="201"/>
      <c r="F3995" s="202"/>
      <c r="G3995" s="194"/>
      <c r="H3995" s="198"/>
      <c r="I3995" s="196"/>
      <c r="J3995" s="179" t="str">
        <f>IF(A3995="RAPPI",(VLOOKUP(TRIM(D3995), CATALOGO!F:G, 2, FALSE) * C3995)+I3995,IFERROR(IF(COUNTIF('RESTAURANTESDESCUENTOS 2026'!A:A,TRIM(A3995))&gt;0,((VLOOKUP(TRIM(D3995), CATALOGO!A:B, 2, FALSE) * C3995)*(1-VALUE(SUBSTITUTE(VLOOKUP(TRIM(A3995),'RESTAURANTESDESCUENTOS 2026'!A:B,2,FALSE),"%",""))/100)+I3995),(VLOOKUP(TRIM(D3995), CATALOGO!A:B, 2, FALSE) * C3995+I3995)),""))</f>
        <v/>
      </c>
      <c r="K3995" s="196"/>
      <c r="L3995" s="87"/>
      <c r="M3995" s="245"/>
      <c r="N3995" s="168"/>
    </row>
    <row r="3996" ht="22.5" hidden="1" customHeight="1">
      <c r="A3996" s="137"/>
      <c r="B3996" s="90"/>
      <c r="C3996" s="55"/>
      <c r="D3996" s="193"/>
      <c r="E3996" s="201"/>
      <c r="F3996" s="202"/>
      <c r="G3996" s="194"/>
      <c r="H3996" s="198"/>
      <c r="I3996" s="196"/>
      <c r="J3996" s="179" t="str">
        <f>IF(A3996="RAPPI",(VLOOKUP(TRIM(D3996), CATALOGO!F:G, 2, FALSE) * C3996)+I3996,IFERROR(IF(COUNTIF('RESTAURANTESDESCUENTOS 2026'!A:A,TRIM(A3996))&gt;0,((VLOOKUP(TRIM(D3996), CATALOGO!A:B, 2, FALSE) * C3996)*(1-VALUE(SUBSTITUTE(VLOOKUP(TRIM(A3996),'RESTAURANTESDESCUENTOS 2026'!A:B,2,FALSE),"%",""))/100)+I3996),(VLOOKUP(TRIM(D3996), CATALOGO!A:B, 2, FALSE) * C3996+I3996)),""))</f>
        <v/>
      </c>
      <c r="K3996" s="196"/>
      <c r="L3996" s="87"/>
      <c r="M3996" s="245"/>
      <c r="N3996" s="168"/>
    </row>
    <row r="3997" ht="22.5" hidden="1" customHeight="1">
      <c r="A3997" s="137"/>
      <c r="B3997" s="90"/>
      <c r="C3997" s="55"/>
      <c r="D3997" s="193"/>
      <c r="E3997" s="201"/>
      <c r="F3997" s="202"/>
      <c r="G3997" s="194"/>
      <c r="H3997" s="198"/>
      <c r="I3997" s="196"/>
      <c r="J3997" s="179" t="str">
        <f>IF(A3997="RAPPI",(VLOOKUP(TRIM(D3997), CATALOGO!F:G, 2, FALSE) * C3997)+I3997,IFERROR(IF(COUNTIF('RESTAURANTESDESCUENTOS 2026'!A:A,TRIM(A3997))&gt;0,((VLOOKUP(TRIM(D3997), CATALOGO!A:B, 2, FALSE) * C3997)*(1-VALUE(SUBSTITUTE(VLOOKUP(TRIM(A3997),'RESTAURANTESDESCUENTOS 2026'!A:B,2,FALSE),"%",""))/100)+I3997),(VLOOKUP(TRIM(D3997), CATALOGO!A:B, 2, FALSE) * C3997+I3997)),""))</f>
        <v/>
      </c>
      <c r="K3997" s="196"/>
      <c r="L3997" s="87"/>
      <c r="M3997" s="245"/>
      <c r="N3997" s="168"/>
    </row>
    <row r="3998" ht="22.5" hidden="1" customHeight="1">
      <c r="A3998" s="137"/>
      <c r="B3998" s="90"/>
      <c r="C3998" s="55"/>
      <c r="D3998" s="193"/>
      <c r="E3998" s="201"/>
      <c r="F3998" s="202"/>
      <c r="G3998" s="194"/>
      <c r="H3998" s="198"/>
      <c r="I3998" s="196"/>
      <c r="J3998" s="179" t="str">
        <f>IF(A3998="RAPPI",(VLOOKUP(TRIM(D3998), CATALOGO!F:G, 2, FALSE) * C3998)+I3998,IFERROR(IF(COUNTIF('RESTAURANTESDESCUENTOS 2026'!A:A,TRIM(A3998))&gt;0,((VLOOKUP(TRIM(D3998), CATALOGO!A:B, 2, FALSE) * C3998)*(1-VALUE(SUBSTITUTE(VLOOKUP(TRIM(A3998),'RESTAURANTESDESCUENTOS 2026'!A:B,2,FALSE),"%",""))/100)+I3998),(VLOOKUP(TRIM(D3998), CATALOGO!A:B, 2, FALSE) * C3998+I3998)),""))</f>
        <v/>
      </c>
      <c r="K3998" s="196"/>
      <c r="L3998" s="87"/>
      <c r="M3998" s="245"/>
      <c r="N3998" s="168"/>
    </row>
    <row r="3999" ht="22.5" hidden="1" customHeight="1">
      <c r="A3999" s="137"/>
      <c r="B3999" s="90"/>
      <c r="C3999" s="55"/>
      <c r="D3999" s="193"/>
      <c r="E3999" s="201"/>
      <c r="F3999" s="202"/>
      <c r="G3999" s="194"/>
      <c r="H3999" s="198"/>
      <c r="I3999" s="196"/>
      <c r="J3999" s="179" t="str">
        <f>IF(A3999="RAPPI",(VLOOKUP(TRIM(D3999), CATALOGO!F:G, 2, FALSE) * C3999)+I3999,IFERROR(IF(COUNTIF('RESTAURANTESDESCUENTOS 2026'!A:A,TRIM(A3999))&gt;0,((VLOOKUP(TRIM(D3999), CATALOGO!A:B, 2, FALSE) * C3999)*(1-VALUE(SUBSTITUTE(VLOOKUP(TRIM(A3999),'RESTAURANTESDESCUENTOS 2026'!A:B,2,FALSE),"%",""))/100)+I3999),(VLOOKUP(TRIM(D3999), CATALOGO!A:B, 2, FALSE) * C3999+I3999)),""))</f>
        <v/>
      </c>
      <c r="K3999" s="196"/>
      <c r="L3999" s="87"/>
      <c r="M3999" s="245"/>
      <c r="N3999" s="168"/>
    </row>
    <row r="4000" ht="22.5" hidden="1" customHeight="1">
      <c r="A4000" s="137"/>
      <c r="B4000" s="90"/>
      <c r="C4000" s="55"/>
      <c r="D4000" s="193"/>
      <c r="E4000" s="201"/>
      <c r="F4000" s="202"/>
      <c r="G4000" s="194"/>
      <c r="H4000" s="198"/>
      <c r="I4000" s="196"/>
      <c r="J4000" s="179" t="str">
        <f>IF(A4000="RAPPI",(VLOOKUP(TRIM(D4000), CATALOGO!F:G, 2, FALSE) * C4000)+I4000,IFERROR(IF(COUNTIF('RESTAURANTESDESCUENTOS 2026'!A:A,TRIM(A4000))&gt;0,((VLOOKUP(TRIM(D4000), CATALOGO!A:B, 2, FALSE) * C4000)*(1-VALUE(SUBSTITUTE(VLOOKUP(TRIM(A4000),'RESTAURANTESDESCUENTOS 2026'!A:B,2,FALSE),"%",""))/100)+I4000),(VLOOKUP(TRIM(D4000), CATALOGO!A:B, 2, FALSE) * C4000+I4000)),""))</f>
        <v/>
      </c>
      <c r="K4000" s="196"/>
      <c r="L4000" s="87"/>
      <c r="M4000" s="245"/>
      <c r="N4000" s="168"/>
    </row>
    <row r="4001" ht="22.5" hidden="1" customHeight="1">
      <c r="A4001" s="137"/>
      <c r="B4001" s="90"/>
      <c r="C4001" s="55"/>
      <c r="D4001" s="193"/>
      <c r="E4001" s="201"/>
      <c r="F4001" s="202"/>
      <c r="G4001" s="194"/>
      <c r="H4001" s="198"/>
      <c r="I4001" s="196"/>
      <c r="J4001" s="179" t="str">
        <f>IF(A4001="RAPPI",(VLOOKUP(TRIM(D4001), CATALOGO!F:G, 2, FALSE) * C4001)+I4001,IFERROR(IF(COUNTIF('RESTAURANTESDESCUENTOS 2026'!A:A,TRIM(A4001))&gt;0,((VLOOKUP(TRIM(D4001), CATALOGO!A:B, 2, FALSE) * C4001)*(1-VALUE(SUBSTITUTE(VLOOKUP(TRIM(A4001),'RESTAURANTESDESCUENTOS 2026'!A:B,2,FALSE),"%",""))/100)+I4001),(VLOOKUP(TRIM(D4001), CATALOGO!A:B, 2, FALSE) * C4001+I4001)),""))</f>
        <v/>
      </c>
      <c r="K4001" s="196"/>
      <c r="L4001" s="87"/>
      <c r="M4001" s="245"/>
      <c r="N4001" s="168"/>
    </row>
    <row r="4002" ht="22.5" hidden="1" customHeight="1">
      <c r="A4002" s="137"/>
      <c r="B4002" s="90"/>
      <c r="C4002" s="55"/>
      <c r="D4002" s="193"/>
      <c r="E4002" s="201"/>
      <c r="F4002" s="202"/>
      <c r="G4002" s="194"/>
      <c r="H4002" s="198"/>
      <c r="I4002" s="196"/>
      <c r="J4002" s="179" t="str">
        <f>IF(A4002="RAPPI",(VLOOKUP(TRIM(D4002), CATALOGO!F:G, 2, FALSE) * C4002)+I4002,IFERROR(IF(COUNTIF('RESTAURANTESDESCUENTOS 2026'!A:A,TRIM(A4002))&gt;0,((VLOOKUP(TRIM(D4002), CATALOGO!A:B, 2, FALSE) * C4002)*(1-VALUE(SUBSTITUTE(VLOOKUP(TRIM(A4002),'RESTAURANTESDESCUENTOS 2026'!A:B,2,FALSE),"%",""))/100)+I4002),(VLOOKUP(TRIM(D4002), CATALOGO!A:B, 2, FALSE) * C4002+I4002)),""))</f>
        <v/>
      </c>
      <c r="K4002" s="196"/>
      <c r="L4002" s="87"/>
      <c r="M4002" s="245"/>
      <c r="N4002" s="168"/>
    </row>
    <row r="4003" ht="22.5" hidden="1" customHeight="1">
      <c r="A4003" s="137"/>
      <c r="B4003" s="90"/>
      <c r="C4003" s="55"/>
      <c r="D4003" s="193"/>
      <c r="E4003" s="201"/>
      <c r="F4003" s="202"/>
      <c r="G4003" s="194"/>
      <c r="H4003" s="198"/>
      <c r="I4003" s="196"/>
      <c r="J4003" s="179" t="str">
        <f>IF(A4003="RAPPI",(VLOOKUP(TRIM(D4003), CATALOGO!F:G, 2, FALSE) * C4003)+I4003,IFERROR(IF(COUNTIF('RESTAURANTESDESCUENTOS 2026'!A:A,TRIM(A4003))&gt;0,((VLOOKUP(TRIM(D4003), CATALOGO!A:B, 2, FALSE) * C4003)*(1-VALUE(SUBSTITUTE(VLOOKUP(TRIM(A4003),'RESTAURANTESDESCUENTOS 2026'!A:B,2,FALSE),"%",""))/100)+I4003),(VLOOKUP(TRIM(D4003), CATALOGO!A:B, 2, FALSE) * C4003+I4003)),""))</f>
        <v/>
      </c>
      <c r="K4003" s="196"/>
      <c r="L4003" s="87"/>
      <c r="M4003" s="245"/>
      <c r="N4003" s="168"/>
    </row>
    <row r="4004" ht="22.5" hidden="1" customHeight="1">
      <c r="A4004" s="137"/>
      <c r="B4004" s="90"/>
      <c r="C4004" s="55"/>
      <c r="D4004" s="193"/>
      <c r="E4004" s="201"/>
      <c r="F4004" s="202"/>
      <c r="G4004" s="194"/>
      <c r="H4004" s="198"/>
      <c r="I4004" s="196"/>
      <c r="J4004" s="179" t="str">
        <f>IF(A4004="RAPPI",(VLOOKUP(TRIM(D4004), CATALOGO!F:G, 2, FALSE) * C4004)+I4004,IFERROR(IF(COUNTIF('RESTAURANTESDESCUENTOS 2026'!A:A,TRIM(A4004))&gt;0,((VLOOKUP(TRIM(D4004), CATALOGO!A:B, 2, FALSE) * C4004)*(1-VALUE(SUBSTITUTE(VLOOKUP(TRIM(A4004),'RESTAURANTESDESCUENTOS 2026'!A:B,2,FALSE),"%",""))/100)+I4004),(VLOOKUP(TRIM(D4004), CATALOGO!A:B, 2, FALSE) * C4004+I4004)),""))</f>
        <v/>
      </c>
      <c r="K4004" s="196"/>
      <c r="L4004" s="87"/>
      <c r="M4004" s="245"/>
      <c r="N4004" s="168"/>
    </row>
    <row r="4005" ht="22.5" hidden="1" customHeight="1">
      <c r="A4005" s="137"/>
      <c r="B4005" s="90"/>
      <c r="C4005" s="55"/>
      <c r="D4005" s="193"/>
      <c r="E4005" s="201"/>
      <c r="F4005" s="202"/>
      <c r="G4005" s="194"/>
      <c r="H4005" s="198"/>
      <c r="I4005" s="196"/>
      <c r="J4005" s="179" t="str">
        <f>IF(A4005="RAPPI",(VLOOKUP(TRIM(D4005), CATALOGO!F:G, 2, FALSE) * C4005)+I4005,IFERROR(IF(COUNTIF('RESTAURANTESDESCUENTOS 2026'!A:A,TRIM(A4005))&gt;0,((VLOOKUP(TRIM(D4005), CATALOGO!A:B, 2, FALSE) * C4005)*(1-VALUE(SUBSTITUTE(VLOOKUP(TRIM(A4005),'RESTAURANTESDESCUENTOS 2026'!A:B,2,FALSE),"%",""))/100)+I4005),(VLOOKUP(TRIM(D4005), CATALOGO!A:B, 2, FALSE) * C4005+I4005)),""))</f>
        <v/>
      </c>
      <c r="K4005" s="196"/>
      <c r="L4005" s="87"/>
      <c r="M4005" s="245"/>
      <c r="N4005" s="168"/>
    </row>
    <row r="4006" ht="22.5" hidden="1" customHeight="1">
      <c r="A4006" s="137"/>
      <c r="B4006" s="90"/>
      <c r="C4006" s="55"/>
      <c r="D4006" s="193"/>
      <c r="E4006" s="201"/>
      <c r="F4006" s="202"/>
      <c r="G4006" s="194"/>
      <c r="H4006" s="198"/>
      <c r="I4006" s="196"/>
      <c r="J4006" s="179" t="str">
        <f>IF(A4006="RAPPI",(VLOOKUP(TRIM(D4006), CATALOGO!F:G, 2, FALSE) * C4006)+I4006,IFERROR(IF(COUNTIF('RESTAURANTESDESCUENTOS 2026'!A:A,TRIM(A4006))&gt;0,((VLOOKUP(TRIM(D4006), CATALOGO!A:B, 2, FALSE) * C4006)*(1-VALUE(SUBSTITUTE(VLOOKUP(TRIM(A4006),'RESTAURANTESDESCUENTOS 2026'!A:B,2,FALSE),"%",""))/100)+I4006),(VLOOKUP(TRIM(D4006), CATALOGO!A:B, 2, FALSE) * C4006+I4006)),""))</f>
        <v/>
      </c>
      <c r="K4006" s="196"/>
      <c r="L4006" s="87"/>
      <c r="M4006" s="245"/>
      <c r="N4006" s="168"/>
    </row>
    <row r="4007" ht="22.5" hidden="1" customHeight="1">
      <c r="A4007" s="137"/>
      <c r="B4007" s="90"/>
      <c r="C4007" s="55"/>
      <c r="D4007" s="193"/>
      <c r="E4007" s="201"/>
      <c r="F4007" s="202"/>
      <c r="G4007" s="194"/>
      <c r="H4007" s="198"/>
      <c r="I4007" s="196"/>
      <c r="J4007" s="179" t="str">
        <f>IF(A4007="RAPPI",(VLOOKUP(TRIM(D4007), CATALOGO!F:G, 2, FALSE) * C4007)+I4007,IFERROR(IF(COUNTIF('RESTAURANTESDESCUENTOS 2026'!A:A,TRIM(A4007))&gt;0,((VLOOKUP(TRIM(D4007), CATALOGO!A:B, 2, FALSE) * C4007)*(1-VALUE(SUBSTITUTE(VLOOKUP(TRIM(A4007),'RESTAURANTESDESCUENTOS 2026'!A:B,2,FALSE),"%",""))/100)+I4007),(VLOOKUP(TRIM(D4007), CATALOGO!A:B, 2, FALSE) * C4007+I4007)),""))</f>
        <v/>
      </c>
      <c r="K4007" s="196"/>
      <c r="L4007" s="87"/>
      <c r="M4007" s="245"/>
      <c r="N4007" s="168"/>
    </row>
    <row r="4008" ht="22.5" hidden="1" customHeight="1">
      <c r="A4008" s="137"/>
      <c r="B4008" s="90"/>
      <c r="C4008" s="55"/>
      <c r="D4008" s="193"/>
      <c r="E4008" s="201"/>
      <c r="F4008" s="202"/>
      <c r="G4008" s="194"/>
      <c r="H4008" s="198"/>
      <c r="I4008" s="196"/>
      <c r="J4008" s="179" t="str">
        <f>IF(A4008="RAPPI",(VLOOKUP(TRIM(D4008), CATALOGO!F:G, 2, FALSE) * C4008)+I4008,IFERROR(IF(COUNTIF('RESTAURANTESDESCUENTOS 2026'!A:A,TRIM(A4008))&gt;0,((VLOOKUP(TRIM(D4008), CATALOGO!A:B, 2, FALSE) * C4008)*(1-VALUE(SUBSTITUTE(VLOOKUP(TRIM(A4008),'RESTAURANTESDESCUENTOS 2026'!A:B,2,FALSE),"%",""))/100)+I4008),(VLOOKUP(TRIM(D4008), CATALOGO!A:B, 2, FALSE) * C4008+I4008)),""))</f>
        <v/>
      </c>
      <c r="K4008" s="196"/>
      <c r="L4008" s="87"/>
      <c r="M4008" s="245"/>
      <c r="N4008" s="168"/>
    </row>
    <row r="4009" ht="22.5" hidden="1" customHeight="1">
      <c r="A4009" s="137"/>
      <c r="B4009" s="90"/>
      <c r="C4009" s="55"/>
      <c r="D4009" s="193"/>
      <c r="E4009" s="201"/>
      <c r="F4009" s="202"/>
      <c r="G4009" s="194"/>
      <c r="H4009" s="198"/>
      <c r="I4009" s="196"/>
      <c r="J4009" s="179" t="str">
        <f>IF(A4009="RAPPI",(VLOOKUP(TRIM(D4009), CATALOGO!F:G, 2, FALSE) * C4009)+I4009,IFERROR(IF(COUNTIF('RESTAURANTESDESCUENTOS 2026'!A:A,TRIM(A4009))&gt;0,((VLOOKUP(TRIM(D4009), CATALOGO!A:B, 2, FALSE) * C4009)*(1-VALUE(SUBSTITUTE(VLOOKUP(TRIM(A4009),'RESTAURANTESDESCUENTOS 2026'!A:B,2,FALSE),"%",""))/100)+I4009),(VLOOKUP(TRIM(D4009), CATALOGO!A:B, 2, FALSE) * C4009+I4009)),""))</f>
        <v/>
      </c>
      <c r="K4009" s="196"/>
      <c r="L4009" s="87"/>
      <c r="M4009" s="245"/>
      <c r="N4009" s="168"/>
    </row>
    <row r="4010" ht="22.5" hidden="1" customHeight="1">
      <c r="A4010" s="137"/>
      <c r="B4010" s="90"/>
      <c r="C4010" s="55"/>
      <c r="D4010" s="193"/>
      <c r="E4010" s="201"/>
      <c r="F4010" s="202"/>
      <c r="G4010" s="194"/>
      <c r="H4010" s="198"/>
      <c r="I4010" s="196"/>
      <c r="J4010" s="179" t="str">
        <f>IF(A4010="RAPPI",(VLOOKUP(TRIM(D4010), CATALOGO!F:G, 2, FALSE) * C4010)+I4010,IFERROR(IF(COUNTIF('RESTAURANTESDESCUENTOS 2026'!A:A,TRIM(A4010))&gt;0,((VLOOKUP(TRIM(D4010), CATALOGO!A:B, 2, FALSE) * C4010)*(1-VALUE(SUBSTITUTE(VLOOKUP(TRIM(A4010),'RESTAURANTESDESCUENTOS 2026'!A:B,2,FALSE),"%",""))/100)+I4010),(VLOOKUP(TRIM(D4010), CATALOGO!A:B, 2, FALSE) * C4010+I4010)),""))</f>
        <v/>
      </c>
      <c r="K4010" s="196"/>
      <c r="L4010" s="87"/>
      <c r="M4010" s="245"/>
      <c r="N4010" s="168"/>
    </row>
    <row r="4011" ht="22.5" hidden="1" customHeight="1">
      <c r="A4011" s="137"/>
      <c r="B4011" s="90"/>
      <c r="C4011" s="55"/>
      <c r="D4011" s="193"/>
      <c r="E4011" s="201"/>
      <c r="F4011" s="202"/>
      <c r="G4011" s="194"/>
      <c r="H4011" s="198"/>
      <c r="I4011" s="196"/>
      <c r="J4011" s="179" t="str">
        <f>IF(A4011="RAPPI",(VLOOKUP(TRIM(D4011), CATALOGO!F:G, 2, FALSE) * C4011)+I4011,IFERROR(IF(COUNTIF('RESTAURANTESDESCUENTOS 2026'!A:A,TRIM(A4011))&gt;0,((VLOOKUP(TRIM(D4011), CATALOGO!A:B, 2, FALSE) * C4011)*(1-VALUE(SUBSTITUTE(VLOOKUP(TRIM(A4011),'RESTAURANTESDESCUENTOS 2026'!A:B,2,FALSE),"%",""))/100)+I4011),(VLOOKUP(TRIM(D4011), CATALOGO!A:B, 2, FALSE) * C4011+I4011)),""))</f>
        <v/>
      </c>
      <c r="K4011" s="196"/>
      <c r="L4011" s="87"/>
      <c r="M4011" s="245"/>
      <c r="N4011" s="168"/>
    </row>
    <row r="4012" ht="22.5" hidden="1" customHeight="1">
      <c r="A4012" s="137"/>
      <c r="B4012" s="90"/>
      <c r="C4012" s="55"/>
      <c r="D4012" s="193"/>
      <c r="E4012" s="201"/>
      <c r="F4012" s="202"/>
      <c r="G4012" s="194"/>
      <c r="H4012" s="198"/>
      <c r="I4012" s="196"/>
      <c r="J4012" s="179" t="str">
        <f>IF(A4012="RAPPI",(VLOOKUP(TRIM(D4012), CATALOGO!F:G, 2, FALSE) * C4012)+I4012,IFERROR(IF(COUNTIF('RESTAURANTESDESCUENTOS 2026'!A:A,TRIM(A4012))&gt;0,((VLOOKUP(TRIM(D4012), CATALOGO!A:B, 2, FALSE) * C4012)*(1-VALUE(SUBSTITUTE(VLOOKUP(TRIM(A4012),'RESTAURANTESDESCUENTOS 2026'!A:B,2,FALSE),"%",""))/100)+I4012),(VLOOKUP(TRIM(D4012), CATALOGO!A:B, 2, FALSE) * C4012+I4012)),""))</f>
        <v/>
      </c>
      <c r="K4012" s="196"/>
      <c r="L4012" s="87"/>
      <c r="M4012" s="245"/>
      <c r="N4012" s="168"/>
    </row>
    <row r="4013" ht="22.5" hidden="1" customHeight="1">
      <c r="A4013" s="137"/>
      <c r="B4013" s="90"/>
      <c r="C4013" s="55"/>
      <c r="D4013" s="193"/>
      <c r="E4013" s="201"/>
      <c r="F4013" s="202"/>
      <c r="G4013" s="194"/>
      <c r="H4013" s="198"/>
      <c r="I4013" s="196"/>
      <c r="J4013" s="179" t="str">
        <f>IF(A4013="RAPPI",(VLOOKUP(TRIM(D4013), CATALOGO!F:G, 2, FALSE) * C4013)+I4013,IFERROR(IF(COUNTIF('RESTAURANTESDESCUENTOS 2026'!A:A,TRIM(A4013))&gt;0,((VLOOKUP(TRIM(D4013), CATALOGO!A:B, 2, FALSE) * C4013)*(1-VALUE(SUBSTITUTE(VLOOKUP(TRIM(A4013),'RESTAURANTESDESCUENTOS 2026'!A:B,2,FALSE),"%",""))/100)+I4013),(VLOOKUP(TRIM(D4013), CATALOGO!A:B, 2, FALSE) * C4013+I4013)),""))</f>
        <v/>
      </c>
      <c r="K4013" s="196"/>
      <c r="L4013" s="87"/>
      <c r="M4013" s="245"/>
      <c r="N4013" s="168"/>
    </row>
    <row r="4014" ht="22.5" hidden="1" customHeight="1">
      <c r="A4014" s="137"/>
      <c r="B4014" s="90"/>
      <c r="C4014" s="55"/>
      <c r="D4014" s="193"/>
      <c r="E4014" s="201"/>
      <c r="F4014" s="202"/>
      <c r="G4014" s="194"/>
      <c r="H4014" s="198"/>
      <c r="I4014" s="196"/>
      <c r="J4014" s="179" t="str">
        <f>IF(A4014="RAPPI",(VLOOKUP(TRIM(D4014), CATALOGO!F:G, 2, FALSE) * C4014)+I4014,IFERROR(IF(COUNTIF('RESTAURANTESDESCUENTOS 2026'!A:A,TRIM(A4014))&gt;0,((VLOOKUP(TRIM(D4014), CATALOGO!A:B, 2, FALSE) * C4014)*(1-VALUE(SUBSTITUTE(VLOOKUP(TRIM(A4014),'RESTAURANTESDESCUENTOS 2026'!A:B,2,FALSE),"%",""))/100)+I4014),(VLOOKUP(TRIM(D4014), CATALOGO!A:B, 2, FALSE) * C4014+I4014)),""))</f>
        <v/>
      </c>
      <c r="K4014" s="196"/>
      <c r="L4014" s="87"/>
      <c r="M4014" s="245"/>
      <c r="N4014" s="168"/>
    </row>
    <row r="4015" ht="22.5" hidden="1" customHeight="1">
      <c r="A4015" s="137"/>
      <c r="B4015" s="90"/>
      <c r="C4015" s="55"/>
      <c r="D4015" s="193"/>
      <c r="E4015" s="201"/>
      <c r="F4015" s="202"/>
      <c r="G4015" s="194"/>
      <c r="H4015" s="198"/>
      <c r="I4015" s="196"/>
      <c r="J4015" s="179" t="str">
        <f>IF(A4015="RAPPI",(VLOOKUP(TRIM(D4015), CATALOGO!F:G, 2, FALSE) * C4015)+I4015,IFERROR(IF(COUNTIF('RESTAURANTESDESCUENTOS 2026'!A:A,TRIM(A4015))&gt;0,((VLOOKUP(TRIM(D4015), CATALOGO!A:B, 2, FALSE) * C4015)*(1-VALUE(SUBSTITUTE(VLOOKUP(TRIM(A4015),'RESTAURANTESDESCUENTOS 2026'!A:B,2,FALSE),"%",""))/100)+I4015),(VLOOKUP(TRIM(D4015), CATALOGO!A:B, 2, FALSE) * C4015+I4015)),""))</f>
        <v/>
      </c>
      <c r="K4015" s="196"/>
      <c r="L4015" s="87"/>
      <c r="M4015" s="245"/>
      <c r="N4015" s="168"/>
    </row>
    <row r="4016" ht="22.5" hidden="1" customHeight="1">
      <c r="A4016" s="137"/>
      <c r="B4016" s="90"/>
      <c r="C4016" s="55"/>
      <c r="D4016" s="193"/>
      <c r="E4016" s="201"/>
      <c r="F4016" s="202"/>
      <c r="G4016" s="194"/>
      <c r="H4016" s="198"/>
      <c r="I4016" s="196"/>
      <c r="J4016" s="179" t="str">
        <f>IF(A4016="RAPPI",(VLOOKUP(TRIM(D4016), CATALOGO!F:G, 2, FALSE) * C4016)+I4016,IFERROR(IF(COUNTIF('RESTAURANTESDESCUENTOS 2026'!A:A,TRIM(A4016))&gt;0,((VLOOKUP(TRIM(D4016), CATALOGO!A:B, 2, FALSE) * C4016)*(1-VALUE(SUBSTITUTE(VLOOKUP(TRIM(A4016),'RESTAURANTESDESCUENTOS 2026'!A:B,2,FALSE),"%",""))/100)+I4016),(VLOOKUP(TRIM(D4016), CATALOGO!A:B, 2, FALSE) * C4016+I4016)),""))</f>
        <v/>
      </c>
      <c r="K4016" s="196"/>
      <c r="L4016" s="87"/>
      <c r="M4016" s="245"/>
      <c r="N4016" s="168"/>
    </row>
    <row r="4017" ht="22.5" hidden="1" customHeight="1">
      <c r="A4017" s="137"/>
      <c r="B4017" s="90"/>
      <c r="C4017" s="55"/>
      <c r="D4017" s="193"/>
      <c r="E4017" s="201"/>
      <c r="F4017" s="202"/>
      <c r="G4017" s="194"/>
      <c r="H4017" s="198"/>
      <c r="I4017" s="196"/>
      <c r="J4017" s="179" t="str">
        <f>IF(A4017="RAPPI",(VLOOKUP(TRIM(D4017), CATALOGO!F:G, 2, FALSE) * C4017)+I4017,IFERROR(IF(COUNTIF('RESTAURANTESDESCUENTOS 2026'!A:A,TRIM(A4017))&gt;0,((VLOOKUP(TRIM(D4017), CATALOGO!A:B, 2, FALSE) * C4017)*(1-VALUE(SUBSTITUTE(VLOOKUP(TRIM(A4017),'RESTAURANTESDESCUENTOS 2026'!A:B,2,FALSE),"%",""))/100)+I4017),(VLOOKUP(TRIM(D4017), CATALOGO!A:B, 2, FALSE) * C4017+I4017)),""))</f>
        <v/>
      </c>
      <c r="K4017" s="196"/>
      <c r="L4017" s="87"/>
      <c r="M4017" s="245"/>
      <c r="N4017" s="168"/>
    </row>
    <row r="4018" ht="22.5" hidden="1" customHeight="1">
      <c r="A4018" s="137"/>
      <c r="B4018" s="90"/>
      <c r="C4018" s="55"/>
      <c r="D4018" s="193"/>
      <c r="E4018" s="201"/>
      <c r="F4018" s="202"/>
      <c r="G4018" s="194"/>
      <c r="H4018" s="198"/>
      <c r="I4018" s="196"/>
      <c r="J4018" s="179" t="str">
        <f>IF(A4018="RAPPI",(VLOOKUP(TRIM(D4018), CATALOGO!F:G, 2, FALSE) * C4018)+I4018,IFERROR(IF(COUNTIF('RESTAURANTESDESCUENTOS 2026'!A:A,TRIM(A4018))&gt;0,((VLOOKUP(TRIM(D4018), CATALOGO!A:B, 2, FALSE) * C4018)*(1-VALUE(SUBSTITUTE(VLOOKUP(TRIM(A4018),'RESTAURANTESDESCUENTOS 2026'!A:B,2,FALSE),"%",""))/100)+I4018),(VLOOKUP(TRIM(D4018), CATALOGO!A:B, 2, FALSE) * C4018+I4018)),""))</f>
        <v/>
      </c>
      <c r="K4018" s="196"/>
      <c r="L4018" s="87"/>
      <c r="M4018" s="245"/>
      <c r="N4018" s="168"/>
    </row>
    <row r="4019" ht="22.5" hidden="1" customHeight="1">
      <c r="A4019" s="137"/>
      <c r="B4019" s="90"/>
      <c r="C4019" s="55"/>
      <c r="D4019" s="193"/>
      <c r="E4019" s="201"/>
      <c r="F4019" s="202"/>
      <c r="G4019" s="194"/>
      <c r="H4019" s="198"/>
      <c r="I4019" s="196"/>
      <c r="J4019" s="179" t="str">
        <f>IF(A4019="RAPPI",(VLOOKUP(TRIM(D4019), CATALOGO!F:G, 2, FALSE) * C4019)+I4019,IFERROR(IF(COUNTIF('RESTAURANTESDESCUENTOS 2026'!A:A,TRIM(A4019))&gt;0,((VLOOKUP(TRIM(D4019), CATALOGO!A:B, 2, FALSE) * C4019)*(1-VALUE(SUBSTITUTE(VLOOKUP(TRIM(A4019),'RESTAURANTESDESCUENTOS 2026'!A:B,2,FALSE),"%",""))/100)+I4019),(VLOOKUP(TRIM(D4019), CATALOGO!A:B, 2, FALSE) * C4019+I4019)),""))</f>
        <v/>
      </c>
      <c r="K4019" s="196"/>
      <c r="L4019" s="87"/>
      <c r="M4019" s="245"/>
      <c r="N4019" s="168"/>
    </row>
    <row r="4020" ht="22.5" hidden="1" customHeight="1">
      <c r="A4020" s="137"/>
      <c r="B4020" s="90"/>
      <c r="C4020" s="55"/>
      <c r="D4020" s="193"/>
      <c r="E4020" s="201"/>
      <c r="F4020" s="202"/>
      <c r="G4020" s="194"/>
      <c r="H4020" s="198"/>
      <c r="I4020" s="196"/>
      <c r="J4020" s="179" t="str">
        <f>IF(A4020="RAPPI",(VLOOKUP(TRIM(D4020), CATALOGO!F:G, 2, FALSE) * C4020)+I4020,IFERROR(IF(COUNTIF('RESTAURANTESDESCUENTOS 2026'!A:A,TRIM(A4020))&gt;0,((VLOOKUP(TRIM(D4020), CATALOGO!A:B, 2, FALSE) * C4020)*(1-VALUE(SUBSTITUTE(VLOOKUP(TRIM(A4020),'RESTAURANTESDESCUENTOS 2026'!A:B,2,FALSE),"%",""))/100)+I4020),(VLOOKUP(TRIM(D4020), CATALOGO!A:B, 2, FALSE) * C4020+I4020)),""))</f>
        <v/>
      </c>
      <c r="K4020" s="196"/>
      <c r="L4020" s="87"/>
      <c r="M4020" s="245"/>
      <c r="N4020" s="168"/>
    </row>
    <row r="4021" ht="22.5" hidden="1" customHeight="1">
      <c r="A4021" s="137"/>
      <c r="B4021" s="90"/>
      <c r="C4021" s="55"/>
      <c r="D4021" s="193"/>
      <c r="E4021" s="201"/>
      <c r="F4021" s="202"/>
      <c r="G4021" s="194"/>
      <c r="H4021" s="198"/>
      <c r="I4021" s="196"/>
      <c r="J4021" s="179" t="str">
        <f>IF(A4021="RAPPI",(VLOOKUP(TRIM(D4021), CATALOGO!F:G, 2, FALSE) * C4021)+I4021,IFERROR(IF(COUNTIF('RESTAURANTESDESCUENTOS 2026'!A:A,TRIM(A4021))&gt;0,((VLOOKUP(TRIM(D4021), CATALOGO!A:B, 2, FALSE) * C4021)*(1-VALUE(SUBSTITUTE(VLOOKUP(TRIM(A4021),'RESTAURANTESDESCUENTOS 2026'!A:B,2,FALSE),"%",""))/100)+I4021),(VLOOKUP(TRIM(D4021), CATALOGO!A:B, 2, FALSE) * C4021+I4021)),""))</f>
        <v/>
      </c>
      <c r="K4021" s="196"/>
      <c r="L4021" s="87"/>
      <c r="M4021" s="245"/>
      <c r="N4021" s="168"/>
    </row>
    <row r="4022" ht="22.5" hidden="1" customHeight="1">
      <c r="A4022" s="137"/>
      <c r="B4022" s="90"/>
      <c r="C4022" s="55"/>
      <c r="D4022" s="193"/>
      <c r="E4022" s="201"/>
      <c r="F4022" s="202"/>
      <c r="G4022" s="194"/>
      <c r="H4022" s="198"/>
      <c r="I4022" s="196"/>
      <c r="J4022" s="179" t="str">
        <f>IF(A4022="RAPPI",(VLOOKUP(TRIM(D4022), CATALOGO!F:G, 2, FALSE) * C4022)+I4022,IFERROR(IF(COUNTIF('RESTAURANTESDESCUENTOS 2026'!A:A,TRIM(A4022))&gt;0,((VLOOKUP(TRIM(D4022), CATALOGO!A:B, 2, FALSE) * C4022)*(1-VALUE(SUBSTITUTE(VLOOKUP(TRIM(A4022),'RESTAURANTESDESCUENTOS 2026'!A:B,2,FALSE),"%",""))/100)+I4022),(VLOOKUP(TRIM(D4022), CATALOGO!A:B, 2, FALSE) * C4022+I4022)),""))</f>
        <v/>
      </c>
      <c r="K4022" s="196"/>
      <c r="L4022" s="87"/>
      <c r="M4022" s="245"/>
      <c r="N4022" s="168"/>
    </row>
    <row r="4023" ht="22.5" hidden="1" customHeight="1">
      <c r="A4023" s="137"/>
      <c r="B4023" s="90"/>
      <c r="C4023" s="55"/>
      <c r="D4023" s="193"/>
      <c r="E4023" s="201"/>
      <c r="F4023" s="202"/>
      <c r="G4023" s="194"/>
      <c r="H4023" s="198"/>
      <c r="I4023" s="196"/>
      <c r="J4023" s="179" t="str">
        <f>IF(A4023="RAPPI",(VLOOKUP(TRIM(D4023), CATALOGO!F:G, 2, FALSE) * C4023)+I4023,IFERROR(IF(COUNTIF('RESTAURANTESDESCUENTOS 2026'!A:A,TRIM(A4023))&gt;0,((VLOOKUP(TRIM(D4023), CATALOGO!A:B, 2, FALSE) * C4023)*(1-VALUE(SUBSTITUTE(VLOOKUP(TRIM(A4023),'RESTAURANTESDESCUENTOS 2026'!A:B,2,FALSE),"%",""))/100)+I4023),(VLOOKUP(TRIM(D4023), CATALOGO!A:B, 2, FALSE) * C4023+I4023)),""))</f>
        <v/>
      </c>
      <c r="K4023" s="196"/>
      <c r="L4023" s="87"/>
      <c r="M4023" s="245"/>
      <c r="N4023" s="168"/>
    </row>
    <row r="4024" ht="22.5" hidden="1" customHeight="1">
      <c r="A4024" s="137"/>
      <c r="B4024" s="90"/>
      <c r="C4024" s="55"/>
      <c r="D4024" s="193"/>
      <c r="E4024" s="201"/>
      <c r="F4024" s="202"/>
      <c r="G4024" s="194"/>
      <c r="H4024" s="198"/>
      <c r="I4024" s="196"/>
      <c r="J4024" s="179" t="str">
        <f>IF(A4024="RAPPI",(VLOOKUP(TRIM(D4024), CATALOGO!F:G, 2, FALSE) * C4024)+I4024,IFERROR(IF(COUNTIF('RESTAURANTESDESCUENTOS 2026'!A:A,TRIM(A4024))&gt;0,((VLOOKUP(TRIM(D4024), CATALOGO!A:B, 2, FALSE) * C4024)*(1-VALUE(SUBSTITUTE(VLOOKUP(TRIM(A4024),'RESTAURANTESDESCUENTOS 2026'!A:B,2,FALSE),"%",""))/100)+I4024),(VLOOKUP(TRIM(D4024), CATALOGO!A:B, 2, FALSE) * C4024+I4024)),""))</f>
        <v/>
      </c>
      <c r="K4024" s="196"/>
      <c r="L4024" s="87"/>
      <c r="M4024" s="245"/>
      <c r="N4024" s="168"/>
    </row>
    <row r="4025" ht="22.5" hidden="1" customHeight="1">
      <c r="A4025" s="137"/>
      <c r="B4025" s="90"/>
      <c r="C4025" s="55"/>
      <c r="D4025" s="193"/>
      <c r="E4025" s="201"/>
      <c r="F4025" s="202"/>
      <c r="G4025" s="194"/>
      <c r="H4025" s="198"/>
      <c r="I4025" s="196"/>
      <c r="J4025" s="179" t="str">
        <f>IF(A4025="RAPPI",(VLOOKUP(TRIM(D4025), CATALOGO!F:G, 2, FALSE) * C4025)+I4025,IFERROR(IF(COUNTIF('RESTAURANTESDESCUENTOS 2026'!A:A,TRIM(A4025))&gt;0,((VLOOKUP(TRIM(D4025), CATALOGO!A:B, 2, FALSE) * C4025)*(1-VALUE(SUBSTITUTE(VLOOKUP(TRIM(A4025),'RESTAURANTESDESCUENTOS 2026'!A:B,2,FALSE),"%",""))/100)+I4025),(VLOOKUP(TRIM(D4025), CATALOGO!A:B, 2, FALSE) * C4025+I4025)),""))</f>
        <v/>
      </c>
      <c r="K4025" s="196"/>
      <c r="L4025" s="87"/>
      <c r="M4025" s="245"/>
      <c r="N4025" s="168"/>
    </row>
    <row r="4026" ht="22.5" hidden="1" customHeight="1">
      <c r="A4026" s="137"/>
      <c r="B4026" s="90"/>
      <c r="C4026" s="55"/>
      <c r="D4026" s="193"/>
      <c r="E4026" s="201"/>
      <c r="F4026" s="202"/>
      <c r="G4026" s="194"/>
      <c r="H4026" s="198"/>
      <c r="I4026" s="196"/>
      <c r="J4026" s="179" t="str">
        <f>IF(A4026="RAPPI",(VLOOKUP(TRIM(D4026), CATALOGO!F:G, 2, FALSE) * C4026)+I4026,IFERROR(IF(COUNTIF('RESTAURANTESDESCUENTOS 2026'!A:A,TRIM(A4026))&gt;0,((VLOOKUP(TRIM(D4026), CATALOGO!A:B, 2, FALSE) * C4026)*(1-VALUE(SUBSTITUTE(VLOOKUP(TRIM(A4026),'RESTAURANTESDESCUENTOS 2026'!A:B,2,FALSE),"%",""))/100)+I4026),(VLOOKUP(TRIM(D4026), CATALOGO!A:B, 2, FALSE) * C4026+I4026)),""))</f>
        <v/>
      </c>
      <c r="K4026" s="196"/>
      <c r="L4026" s="87"/>
      <c r="M4026" s="245"/>
      <c r="N4026" s="168"/>
    </row>
    <row r="4027" ht="22.5" hidden="1" customHeight="1">
      <c r="A4027" s="137"/>
      <c r="B4027" s="90"/>
      <c r="C4027" s="55"/>
      <c r="D4027" s="193"/>
      <c r="E4027" s="201"/>
      <c r="F4027" s="202"/>
      <c r="G4027" s="194"/>
      <c r="H4027" s="198"/>
      <c r="I4027" s="196"/>
      <c r="J4027" s="179" t="str">
        <f>IF(A4027="RAPPI",(VLOOKUP(TRIM(D4027), CATALOGO!F:G, 2, FALSE) * C4027)+I4027,IFERROR(IF(COUNTIF('RESTAURANTESDESCUENTOS 2026'!A:A,TRIM(A4027))&gt;0,((VLOOKUP(TRIM(D4027), CATALOGO!A:B, 2, FALSE) * C4027)*(1-VALUE(SUBSTITUTE(VLOOKUP(TRIM(A4027),'RESTAURANTESDESCUENTOS 2026'!A:B,2,FALSE),"%",""))/100)+I4027),(VLOOKUP(TRIM(D4027), CATALOGO!A:B, 2, FALSE) * C4027+I4027)),""))</f>
        <v/>
      </c>
      <c r="K4027" s="196"/>
      <c r="L4027" s="87"/>
      <c r="M4027" s="245"/>
      <c r="N4027" s="168"/>
    </row>
    <row r="4028" ht="22.5" hidden="1" customHeight="1">
      <c r="A4028" s="137"/>
      <c r="B4028" s="90"/>
      <c r="C4028" s="55"/>
      <c r="D4028" s="193"/>
      <c r="E4028" s="201"/>
      <c r="F4028" s="202"/>
      <c r="G4028" s="194"/>
      <c r="H4028" s="198"/>
      <c r="I4028" s="196"/>
      <c r="J4028" s="179" t="str">
        <f>IF(A4028="RAPPI",(VLOOKUP(TRIM(D4028), CATALOGO!F:G, 2, FALSE) * C4028)+I4028,IFERROR(IF(COUNTIF('RESTAURANTESDESCUENTOS 2026'!A:A,TRIM(A4028))&gt;0,((VLOOKUP(TRIM(D4028), CATALOGO!A:B, 2, FALSE) * C4028)*(1-VALUE(SUBSTITUTE(VLOOKUP(TRIM(A4028),'RESTAURANTESDESCUENTOS 2026'!A:B,2,FALSE),"%",""))/100)+I4028),(VLOOKUP(TRIM(D4028), CATALOGO!A:B, 2, FALSE) * C4028+I4028)),""))</f>
        <v/>
      </c>
      <c r="K4028" s="196"/>
      <c r="L4028" s="87"/>
      <c r="M4028" s="245"/>
      <c r="N4028" s="168"/>
    </row>
    <row r="4029" ht="22.5" hidden="1" customHeight="1">
      <c r="A4029" s="137"/>
      <c r="B4029" s="90"/>
      <c r="C4029" s="55"/>
      <c r="D4029" s="193"/>
      <c r="E4029" s="201"/>
      <c r="F4029" s="202"/>
      <c r="G4029" s="194"/>
      <c r="H4029" s="198"/>
      <c r="I4029" s="196"/>
      <c r="J4029" s="179" t="str">
        <f>IF(A4029="RAPPI",(VLOOKUP(TRIM(D4029), CATALOGO!F:G, 2, FALSE) * C4029)+I4029,IFERROR(IF(COUNTIF('RESTAURANTESDESCUENTOS 2026'!A:A,TRIM(A4029))&gt;0,((VLOOKUP(TRIM(D4029), CATALOGO!A:B, 2, FALSE) * C4029)*(1-VALUE(SUBSTITUTE(VLOOKUP(TRIM(A4029),'RESTAURANTESDESCUENTOS 2026'!A:B,2,FALSE),"%",""))/100)+I4029),(VLOOKUP(TRIM(D4029), CATALOGO!A:B, 2, FALSE) * C4029+I4029)),""))</f>
        <v/>
      </c>
      <c r="K4029" s="196"/>
      <c r="L4029" s="87"/>
      <c r="M4029" s="245"/>
      <c r="N4029" s="168"/>
    </row>
    <row r="4030" ht="22.5" hidden="1" customHeight="1">
      <c r="A4030" s="137"/>
      <c r="B4030" s="90"/>
      <c r="C4030" s="55"/>
      <c r="D4030" s="193"/>
      <c r="E4030" s="201"/>
      <c r="F4030" s="202"/>
      <c r="G4030" s="194"/>
      <c r="H4030" s="198"/>
      <c r="I4030" s="196"/>
      <c r="J4030" s="179" t="str">
        <f>IF(A4030="RAPPI",(VLOOKUP(TRIM(D4030), CATALOGO!F:G, 2, FALSE) * C4030)+I4030,IFERROR(IF(COUNTIF('RESTAURANTESDESCUENTOS 2026'!A:A,TRIM(A4030))&gt;0,((VLOOKUP(TRIM(D4030), CATALOGO!A:B, 2, FALSE) * C4030)*(1-VALUE(SUBSTITUTE(VLOOKUP(TRIM(A4030),'RESTAURANTESDESCUENTOS 2026'!A:B,2,FALSE),"%",""))/100)+I4030),(VLOOKUP(TRIM(D4030), CATALOGO!A:B, 2, FALSE) * C4030+I4030)),""))</f>
        <v/>
      </c>
      <c r="K4030" s="196"/>
      <c r="L4030" s="87"/>
      <c r="M4030" s="245"/>
      <c r="N4030" s="168"/>
    </row>
    <row r="4031" ht="22.5" hidden="1" customHeight="1">
      <c r="A4031" s="137"/>
      <c r="B4031" s="90"/>
      <c r="C4031" s="55"/>
      <c r="D4031" s="193"/>
      <c r="E4031" s="201"/>
      <c r="F4031" s="202"/>
      <c r="G4031" s="194"/>
      <c r="H4031" s="198"/>
      <c r="I4031" s="196"/>
      <c r="J4031" s="179" t="str">
        <f>IF(A4031="RAPPI",(VLOOKUP(TRIM(D4031), CATALOGO!F:G, 2, FALSE) * C4031)+I4031,IFERROR(IF(COUNTIF('RESTAURANTESDESCUENTOS 2026'!A:A,TRIM(A4031))&gt;0,((VLOOKUP(TRIM(D4031), CATALOGO!A:B, 2, FALSE) * C4031)*(1-VALUE(SUBSTITUTE(VLOOKUP(TRIM(A4031),'RESTAURANTESDESCUENTOS 2026'!A:B,2,FALSE),"%",""))/100)+I4031),(VLOOKUP(TRIM(D4031), CATALOGO!A:B, 2, FALSE) * C4031+I4031)),""))</f>
        <v/>
      </c>
      <c r="K4031" s="196"/>
      <c r="L4031" s="87"/>
      <c r="M4031" s="245"/>
      <c r="N4031" s="168"/>
    </row>
    <row r="4032" ht="22.5" hidden="1" customHeight="1">
      <c r="A4032" s="137"/>
      <c r="B4032" s="90"/>
      <c r="C4032" s="55"/>
      <c r="D4032" s="193"/>
      <c r="E4032" s="201"/>
      <c r="F4032" s="202"/>
      <c r="G4032" s="194"/>
      <c r="H4032" s="198"/>
      <c r="I4032" s="196"/>
      <c r="J4032" s="179" t="str">
        <f>IF(A4032="RAPPI",(VLOOKUP(TRIM(D4032), CATALOGO!F:G, 2, FALSE) * C4032)+I4032,IFERROR(IF(COUNTIF('RESTAURANTESDESCUENTOS 2026'!A:A,TRIM(A4032))&gt;0,((VLOOKUP(TRIM(D4032), CATALOGO!A:B, 2, FALSE) * C4032)*(1-VALUE(SUBSTITUTE(VLOOKUP(TRIM(A4032),'RESTAURANTESDESCUENTOS 2026'!A:B,2,FALSE),"%",""))/100)+I4032),(VLOOKUP(TRIM(D4032), CATALOGO!A:B, 2, FALSE) * C4032+I4032)),""))</f>
        <v/>
      </c>
      <c r="K4032" s="196"/>
      <c r="L4032" s="87"/>
      <c r="M4032" s="245"/>
      <c r="N4032" s="168"/>
    </row>
    <row r="4033" ht="22.5" hidden="1" customHeight="1">
      <c r="A4033" s="137"/>
      <c r="B4033" s="90"/>
      <c r="C4033" s="55"/>
      <c r="D4033" s="193"/>
      <c r="E4033" s="201"/>
      <c r="F4033" s="202"/>
      <c r="G4033" s="194"/>
      <c r="H4033" s="198"/>
      <c r="I4033" s="196"/>
      <c r="J4033" s="179" t="str">
        <f>IF(A4033="RAPPI",(VLOOKUP(TRIM(D4033), CATALOGO!F:G, 2, FALSE) * C4033)+I4033,IFERROR(IF(COUNTIF('RESTAURANTESDESCUENTOS 2026'!A:A,TRIM(A4033))&gt;0,((VLOOKUP(TRIM(D4033), CATALOGO!A:B, 2, FALSE) * C4033)*(1-VALUE(SUBSTITUTE(VLOOKUP(TRIM(A4033),'RESTAURANTESDESCUENTOS 2026'!A:B,2,FALSE),"%",""))/100)+I4033),(VLOOKUP(TRIM(D4033), CATALOGO!A:B, 2, FALSE) * C4033+I4033)),""))</f>
        <v/>
      </c>
      <c r="K4033" s="196"/>
      <c r="L4033" s="87"/>
      <c r="M4033" s="245"/>
      <c r="N4033" s="168"/>
    </row>
    <row r="4034" ht="22.5" hidden="1" customHeight="1">
      <c r="A4034" s="137"/>
      <c r="B4034" s="90"/>
      <c r="C4034" s="55"/>
      <c r="D4034" s="193"/>
      <c r="E4034" s="201"/>
      <c r="F4034" s="202"/>
      <c r="G4034" s="194"/>
      <c r="H4034" s="198"/>
      <c r="I4034" s="196"/>
      <c r="J4034" s="179" t="str">
        <f>IF(A4034="RAPPI",(VLOOKUP(TRIM(D4034), CATALOGO!F:G, 2, FALSE) * C4034)+I4034,IFERROR(IF(COUNTIF('RESTAURANTESDESCUENTOS 2026'!A:A,TRIM(A4034))&gt;0,((VLOOKUP(TRIM(D4034), CATALOGO!A:B, 2, FALSE) * C4034)*(1-VALUE(SUBSTITUTE(VLOOKUP(TRIM(A4034),'RESTAURANTESDESCUENTOS 2026'!A:B,2,FALSE),"%",""))/100)+I4034),(VLOOKUP(TRIM(D4034), CATALOGO!A:B, 2, FALSE) * C4034+I4034)),""))</f>
        <v/>
      </c>
      <c r="K4034" s="196"/>
      <c r="L4034" s="87"/>
      <c r="M4034" s="245"/>
      <c r="N4034" s="168"/>
    </row>
    <row r="4035" ht="22.5" hidden="1" customHeight="1">
      <c r="A4035" s="137"/>
      <c r="B4035" s="90"/>
      <c r="C4035" s="55"/>
      <c r="D4035" s="193"/>
      <c r="E4035" s="201"/>
      <c r="F4035" s="202"/>
      <c r="G4035" s="194"/>
      <c r="H4035" s="198"/>
      <c r="I4035" s="196"/>
      <c r="J4035" s="179" t="str">
        <f>IF(A4035="RAPPI",(VLOOKUP(TRIM(D4035), CATALOGO!F:G, 2, FALSE) * C4035)+I4035,IFERROR(IF(COUNTIF('RESTAURANTESDESCUENTOS 2026'!A:A,TRIM(A4035))&gt;0,((VLOOKUP(TRIM(D4035), CATALOGO!A:B, 2, FALSE) * C4035)*(1-VALUE(SUBSTITUTE(VLOOKUP(TRIM(A4035),'RESTAURANTESDESCUENTOS 2026'!A:B,2,FALSE),"%",""))/100)+I4035),(VLOOKUP(TRIM(D4035), CATALOGO!A:B, 2, FALSE) * C4035+I4035)),""))</f>
        <v/>
      </c>
      <c r="K4035" s="196"/>
      <c r="L4035" s="87"/>
      <c r="M4035" s="245"/>
      <c r="N4035" s="168"/>
    </row>
    <row r="4036" ht="22.5" hidden="1" customHeight="1">
      <c r="A4036" s="137"/>
      <c r="B4036" s="90"/>
      <c r="C4036" s="55"/>
      <c r="D4036" s="193"/>
      <c r="E4036" s="201"/>
      <c r="F4036" s="202"/>
      <c r="G4036" s="194"/>
      <c r="H4036" s="198"/>
      <c r="I4036" s="196"/>
      <c r="J4036" s="179" t="str">
        <f>IF(A4036="RAPPI",(VLOOKUP(TRIM(D4036), CATALOGO!F:G, 2, FALSE) * C4036)+I4036,IFERROR(IF(COUNTIF('RESTAURANTESDESCUENTOS 2026'!A:A,TRIM(A4036))&gt;0,((VLOOKUP(TRIM(D4036), CATALOGO!A:B, 2, FALSE) * C4036)*(1-VALUE(SUBSTITUTE(VLOOKUP(TRIM(A4036),'RESTAURANTESDESCUENTOS 2026'!A:B,2,FALSE),"%",""))/100)+I4036),(VLOOKUP(TRIM(D4036), CATALOGO!A:B, 2, FALSE) * C4036+I4036)),""))</f>
        <v/>
      </c>
      <c r="K4036" s="196"/>
      <c r="L4036" s="87"/>
      <c r="M4036" s="245"/>
      <c r="N4036" s="168"/>
    </row>
    <row r="4037" ht="22.5" hidden="1" customHeight="1">
      <c r="A4037" s="137"/>
      <c r="B4037" s="90"/>
      <c r="C4037" s="55"/>
      <c r="D4037" s="193"/>
      <c r="E4037" s="201"/>
      <c r="F4037" s="202"/>
      <c r="G4037" s="194"/>
      <c r="H4037" s="198"/>
      <c r="I4037" s="196"/>
      <c r="J4037" s="179" t="str">
        <f>IF(A4037="RAPPI",(VLOOKUP(TRIM(D4037), CATALOGO!F:G, 2, FALSE) * C4037)+I4037,IFERROR(IF(COUNTIF('RESTAURANTESDESCUENTOS 2026'!A:A,TRIM(A4037))&gt;0,((VLOOKUP(TRIM(D4037), CATALOGO!A:B, 2, FALSE) * C4037)*(1-VALUE(SUBSTITUTE(VLOOKUP(TRIM(A4037),'RESTAURANTESDESCUENTOS 2026'!A:B,2,FALSE),"%",""))/100)+I4037),(VLOOKUP(TRIM(D4037), CATALOGO!A:B, 2, FALSE) * C4037+I4037)),""))</f>
        <v/>
      </c>
      <c r="K4037" s="196"/>
      <c r="L4037" s="87"/>
      <c r="M4037" s="245"/>
      <c r="N4037" s="168"/>
    </row>
    <row r="4038" ht="22.5" hidden="1" customHeight="1">
      <c r="A4038" s="137"/>
      <c r="B4038" s="90"/>
      <c r="C4038" s="55"/>
      <c r="D4038" s="193"/>
      <c r="E4038" s="201"/>
      <c r="F4038" s="202"/>
      <c r="G4038" s="194"/>
      <c r="H4038" s="198"/>
      <c r="I4038" s="196"/>
      <c r="J4038" s="179" t="str">
        <f>IF(A4038="RAPPI",(VLOOKUP(TRIM(D4038), CATALOGO!F:G, 2, FALSE) * C4038)+I4038,IFERROR(IF(COUNTIF('RESTAURANTESDESCUENTOS 2026'!A:A,TRIM(A4038))&gt;0,((VLOOKUP(TRIM(D4038), CATALOGO!A:B, 2, FALSE) * C4038)*(1-VALUE(SUBSTITUTE(VLOOKUP(TRIM(A4038),'RESTAURANTESDESCUENTOS 2026'!A:B,2,FALSE),"%",""))/100)+I4038),(VLOOKUP(TRIM(D4038), CATALOGO!A:B, 2, FALSE) * C4038+I4038)),""))</f>
        <v/>
      </c>
      <c r="K4038" s="196"/>
      <c r="L4038" s="87"/>
      <c r="M4038" s="245"/>
      <c r="N4038" s="168"/>
    </row>
    <row r="4039" ht="22.5" hidden="1" customHeight="1">
      <c r="A4039" s="137"/>
      <c r="B4039" s="90"/>
      <c r="C4039" s="55"/>
      <c r="D4039" s="193"/>
      <c r="E4039" s="201"/>
      <c r="F4039" s="202"/>
      <c r="G4039" s="194"/>
      <c r="H4039" s="198"/>
      <c r="I4039" s="196"/>
      <c r="J4039" s="179" t="str">
        <f>IF(A4039="RAPPI",(VLOOKUP(TRIM(D4039), CATALOGO!F:G, 2, FALSE) * C4039)+I4039,IFERROR(IF(COUNTIF('RESTAURANTESDESCUENTOS 2026'!A:A,TRIM(A4039))&gt;0,((VLOOKUP(TRIM(D4039), CATALOGO!A:B, 2, FALSE) * C4039)*(1-VALUE(SUBSTITUTE(VLOOKUP(TRIM(A4039),'RESTAURANTESDESCUENTOS 2026'!A:B,2,FALSE),"%",""))/100)+I4039),(VLOOKUP(TRIM(D4039), CATALOGO!A:B, 2, FALSE) * C4039+I4039)),""))</f>
        <v/>
      </c>
      <c r="K4039" s="196"/>
      <c r="L4039" s="87"/>
      <c r="M4039" s="245"/>
      <c r="N4039" s="168"/>
    </row>
    <row r="4040" ht="22.5" hidden="1" customHeight="1">
      <c r="A4040" s="137"/>
      <c r="B4040" s="90"/>
      <c r="C4040" s="55"/>
      <c r="D4040" s="193"/>
      <c r="E4040" s="201"/>
      <c r="F4040" s="202"/>
      <c r="G4040" s="194"/>
      <c r="H4040" s="198"/>
      <c r="I4040" s="196"/>
      <c r="J4040" s="179" t="str">
        <f>IF(A4040="RAPPI",(VLOOKUP(TRIM(D4040), CATALOGO!F:G, 2, FALSE) * C4040)+I4040,IFERROR(IF(COUNTIF('RESTAURANTESDESCUENTOS 2026'!A:A,TRIM(A4040))&gt;0,((VLOOKUP(TRIM(D4040), CATALOGO!A:B, 2, FALSE) * C4040)*(1-VALUE(SUBSTITUTE(VLOOKUP(TRIM(A4040),'RESTAURANTESDESCUENTOS 2026'!A:B,2,FALSE),"%",""))/100)+I4040),(VLOOKUP(TRIM(D4040), CATALOGO!A:B, 2, FALSE) * C4040+I4040)),""))</f>
        <v/>
      </c>
      <c r="K4040" s="196"/>
      <c r="L4040" s="87"/>
      <c r="M4040" s="245"/>
      <c r="N4040" s="168"/>
    </row>
    <row r="4041" ht="22.5" hidden="1" customHeight="1">
      <c r="A4041" s="137"/>
      <c r="B4041" s="90"/>
      <c r="C4041" s="55"/>
      <c r="D4041" s="193"/>
      <c r="E4041" s="201"/>
      <c r="F4041" s="202"/>
      <c r="G4041" s="194"/>
      <c r="H4041" s="198"/>
      <c r="I4041" s="196"/>
      <c r="J4041" s="179" t="str">
        <f>IF(A4041="RAPPI",(VLOOKUP(TRIM(D4041), CATALOGO!F:G, 2, FALSE) * C4041)+I4041,IFERROR(IF(COUNTIF('RESTAURANTESDESCUENTOS 2026'!A:A,TRIM(A4041))&gt;0,((VLOOKUP(TRIM(D4041), CATALOGO!A:B, 2, FALSE) * C4041)*(1-VALUE(SUBSTITUTE(VLOOKUP(TRIM(A4041),'RESTAURANTESDESCUENTOS 2026'!A:B,2,FALSE),"%",""))/100)+I4041),(VLOOKUP(TRIM(D4041), CATALOGO!A:B, 2, FALSE) * C4041+I4041)),""))</f>
        <v/>
      </c>
      <c r="K4041" s="196"/>
      <c r="L4041" s="87"/>
      <c r="M4041" s="245"/>
      <c r="N4041" s="168"/>
    </row>
    <row r="4042" ht="22.5" hidden="1" customHeight="1">
      <c r="A4042" s="137"/>
      <c r="B4042" s="90"/>
      <c r="C4042" s="55"/>
      <c r="D4042" s="193"/>
      <c r="E4042" s="201"/>
      <c r="F4042" s="202"/>
      <c r="G4042" s="194"/>
      <c r="H4042" s="198"/>
      <c r="I4042" s="196"/>
      <c r="J4042" s="179" t="str">
        <f>IF(A4042="RAPPI",(VLOOKUP(TRIM(D4042), CATALOGO!F:G, 2, FALSE) * C4042)+I4042,IFERROR(IF(COUNTIF('RESTAURANTESDESCUENTOS 2026'!A:A,TRIM(A4042))&gt;0,((VLOOKUP(TRIM(D4042), CATALOGO!A:B, 2, FALSE) * C4042)*(1-VALUE(SUBSTITUTE(VLOOKUP(TRIM(A4042),'RESTAURANTESDESCUENTOS 2026'!A:B,2,FALSE),"%",""))/100)+I4042),(VLOOKUP(TRIM(D4042), CATALOGO!A:B, 2, FALSE) * C4042+I4042)),""))</f>
        <v/>
      </c>
      <c r="K4042" s="196"/>
      <c r="L4042" s="87"/>
      <c r="M4042" s="245"/>
      <c r="N4042" s="168"/>
    </row>
    <row r="4043" ht="22.5" hidden="1" customHeight="1">
      <c r="A4043" s="137"/>
      <c r="B4043" s="90"/>
      <c r="C4043" s="55"/>
      <c r="D4043" s="193"/>
      <c r="E4043" s="201"/>
      <c r="F4043" s="202"/>
      <c r="G4043" s="194"/>
      <c r="H4043" s="198"/>
      <c r="I4043" s="196"/>
      <c r="J4043" s="179" t="str">
        <f>IF(A4043="RAPPI",(VLOOKUP(TRIM(D4043), CATALOGO!F:G, 2, FALSE) * C4043)+I4043,IFERROR(IF(COUNTIF('RESTAURANTESDESCUENTOS 2026'!A:A,TRIM(A4043))&gt;0,((VLOOKUP(TRIM(D4043), CATALOGO!A:B, 2, FALSE) * C4043)*(1-VALUE(SUBSTITUTE(VLOOKUP(TRIM(A4043),'RESTAURANTESDESCUENTOS 2026'!A:B,2,FALSE),"%",""))/100)+I4043),(VLOOKUP(TRIM(D4043), CATALOGO!A:B, 2, FALSE) * C4043+I4043)),""))</f>
        <v/>
      </c>
      <c r="K4043" s="196"/>
      <c r="L4043" s="87"/>
      <c r="M4043" s="245"/>
      <c r="N4043" s="168"/>
    </row>
    <row r="4044" ht="22.5" hidden="1" customHeight="1">
      <c r="A4044" s="137"/>
      <c r="B4044" s="90"/>
      <c r="C4044" s="55"/>
      <c r="D4044" s="193"/>
      <c r="E4044" s="201"/>
      <c r="F4044" s="202"/>
      <c r="G4044" s="194"/>
      <c r="H4044" s="198"/>
      <c r="I4044" s="196"/>
      <c r="J4044" s="179" t="str">
        <f>IF(A4044="RAPPI",(VLOOKUP(TRIM(D4044), CATALOGO!F:G, 2, FALSE) * C4044)+I4044,IFERROR(IF(COUNTIF('RESTAURANTESDESCUENTOS 2026'!A:A,TRIM(A4044))&gt;0,((VLOOKUP(TRIM(D4044), CATALOGO!A:B, 2, FALSE) * C4044)*(1-VALUE(SUBSTITUTE(VLOOKUP(TRIM(A4044),'RESTAURANTESDESCUENTOS 2026'!A:B,2,FALSE),"%",""))/100)+I4044),(VLOOKUP(TRIM(D4044), CATALOGO!A:B, 2, FALSE) * C4044+I4044)),""))</f>
        <v/>
      </c>
      <c r="K4044" s="196"/>
      <c r="L4044" s="87"/>
      <c r="M4044" s="245"/>
      <c r="N4044" s="168"/>
    </row>
    <row r="4045" ht="22.5" hidden="1" customHeight="1">
      <c r="A4045" s="137"/>
      <c r="B4045" s="90"/>
      <c r="C4045" s="55"/>
      <c r="D4045" s="193"/>
      <c r="E4045" s="201"/>
      <c r="F4045" s="202"/>
      <c r="G4045" s="194"/>
      <c r="H4045" s="198"/>
      <c r="I4045" s="196"/>
      <c r="J4045" s="179" t="str">
        <f>IF(A4045="RAPPI",(VLOOKUP(TRIM(D4045), CATALOGO!F:G, 2, FALSE) * C4045)+I4045,IFERROR(IF(COUNTIF('RESTAURANTESDESCUENTOS 2026'!A:A,TRIM(A4045))&gt;0,((VLOOKUP(TRIM(D4045), CATALOGO!A:B, 2, FALSE) * C4045)*(1-VALUE(SUBSTITUTE(VLOOKUP(TRIM(A4045),'RESTAURANTESDESCUENTOS 2026'!A:B,2,FALSE),"%",""))/100)+I4045),(VLOOKUP(TRIM(D4045), CATALOGO!A:B, 2, FALSE) * C4045+I4045)),""))</f>
        <v/>
      </c>
      <c r="K4045" s="196"/>
      <c r="L4045" s="87"/>
      <c r="M4045" s="245"/>
      <c r="N4045" s="168"/>
    </row>
    <row r="4046" ht="22.5" hidden="1" customHeight="1">
      <c r="A4046" s="137"/>
      <c r="B4046" s="90"/>
      <c r="C4046" s="55"/>
      <c r="D4046" s="193"/>
      <c r="E4046" s="201"/>
      <c r="F4046" s="202"/>
      <c r="G4046" s="194"/>
      <c r="H4046" s="198"/>
      <c r="I4046" s="196"/>
      <c r="J4046" s="179" t="str">
        <f>IF(A4046="RAPPI",(VLOOKUP(TRIM(D4046), CATALOGO!F:G, 2, FALSE) * C4046)+I4046,IFERROR(IF(COUNTIF('RESTAURANTESDESCUENTOS 2026'!A:A,TRIM(A4046))&gt;0,((VLOOKUP(TRIM(D4046), CATALOGO!A:B, 2, FALSE) * C4046)*(1-VALUE(SUBSTITUTE(VLOOKUP(TRIM(A4046),'RESTAURANTESDESCUENTOS 2026'!A:B,2,FALSE),"%",""))/100)+I4046),(VLOOKUP(TRIM(D4046), CATALOGO!A:B, 2, FALSE) * C4046+I4046)),""))</f>
        <v/>
      </c>
      <c r="K4046" s="196"/>
      <c r="L4046" s="87"/>
      <c r="M4046" s="245"/>
      <c r="N4046" s="168"/>
    </row>
    <row r="4047" ht="22.5" hidden="1" customHeight="1">
      <c r="A4047" s="137"/>
      <c r="B4047" s="90"/>
      <c r="C4047" s="55"/>
      <c r="D4047" s="193"/>
      <c r="E4047" s="201"/>
      <c r="F4047" s="202"/>
      <c r="G4047" s="194"/>
      <c r="H4047" s="198"/>
      <c r="I4047" s="196"/>
      <c r="J4047" s="179" t="str">
        <f>IF(A4047="RAPPI",(VLOOKUP(TRIM(D4047), CATALOGO!F:G, 2, FALSE) * C4047)+I4047,IFERROR(IF(COUNTIF('RESTAURANTESDESCUENTOS 2026'!A:A,TRIM(A4047))&gt;0,((VLOOKUP(TRIM(D4047), CATALOGO!A:B, 2, FALSE) * C4047)*(1-VALUE(SUBSTITUTE(VLOOKUP(TRIM(A4047),'RESTAURANTESDESCUENTOS 2026'!A:B,2,FALSE),"%",""))/100)+I4047),(VLOOKUP(TRIM(D4047), CATALOGO!A:B, 2, FALSE) * C4047+I4047)),""))</f>
        <v/>
      </c>
      <c r="K4047" s="196"/>
      <c r="L4047" s="87"/>
      <c r="M4047" s="245"/>
      <c r="N4047" s="168"/>
    </row>
    <row r="4048" ht="22.5" hidden="1" customHeight="1">
      <c r="A4048" s="137"/>
      <c r="B4048" s="90"/>
      <c r="C4048" s="55"/>
      <c r="D4048" s="193"/>
      <c r="E4048" s="201"/>
      <c r="F4048" s="202"/>
      <c r="G4048" s="194"/>
      <c r="H4048" s="198"/>
      <c r="I4048" s="196"/>
      <c r="J4048" s="179" t="str">
        <f>IF(A4048="RAPPI",(VLOOKUP(TRIM(D4048), CATALOGO!F:G, 2, FALSE) * C4048)+I4048,IFERROR(IF(COUNTIF('RESTAURANTESDESCUENTOS 2026'!A:A,TRIM(A4048))&gt;0,((VLOOKUP(TRIM(D4048), CATALOGO!A:B, 2, FALSE) * C4048)*(1-VALUE(SUBSTITUTE(VLOOKUP(TRIM(A4048),'RESTAURANTESDESCUENTOS 2026'!A:B,2,FALSE),"%",""))/100)+I4048),(VLOOKUP(TRIM(D4048), CATALOGO!A:B, 2, FALSE) * C4048+I4048)),""))</f>
        <v/>
      </c>
      <c r="K4048" s="196"/>
      <c r="L4048" s="87"/>
      <c r="M4048" s="245"/>
      <c r="N4048" s="168"/>
    </row>
    <row r="4049" ht="22.5" hidden="1" customHeight="1">
      <c r="A4049" s="137"/>
      <c r="B4049" s="90"/>
      <c r="C4049" s="55"/>
      <c r="D4049" s="193"/>
      <c r="E4049" s="201"/>
      <c r="F4049" s="202"/>
      <c r="G4049" s="194"/>
      <c r="H4049" s="198"/>
      <c r="I4049" s="196"/>
      <c r="J4049" s="179" t="str">
        <f>IF(A4049="RAPPI",(VLOOKUP(TRIM(D4049), CATALOGO!F:G, 2, FALSE) * C4049)+I4049,IFERROR(IF(COUNTIF('RESTAURANTESDESCUENTOS 2026'!A:A,TRIM(A4049))&gt;0,((VLOOKUP(TRIM(D4049), CATALOGO!A:B, 2, FALSE) * C4049)*(1-VALUE(SUBSTITUTE(VLOOKUP(TRIM(A4049),'RESTAURANTESDESCUENTOS 2026'!A:B,2,FALSE),"%",""))/100)+I4049),(VLOOKUP(TRIM(D4049), CATALOGO!A:B, 2, FALSE) * C4049+I4049)),""))</f>
        <v/>
      </c>
      <c r="K4049" s="196"/>
      <c r="L4049" s="87"/>
      <c r="M4049" s="245"/>
      <c r="N4049" s="168"/>
    </row>
    <row r="4050" ht="22.5" hidden="1" customHeight="1">
      <c r="A4050" s="137"/>
      <c r="B4050" s="90"/>
      <c r="C4050" s="55"/>
      <c r="D4050" s="193"/>
      <c r="E4050" s="201"/>
      <c r="F4050" s="202"/>
      <c r="G4050" s="194"/>
      <c r="H4050" s="198"/>
      <c r="I4050" s="196"/>
      <c r="J4050" s="179" t="str">
        <f>IF(A4050="RAPPI",(VLOOKUP(TRIM(D4050), CATALOGO!F:G, 2, FALSE) * C4050)+I4050,IFERROR(IF(COUNTIF('RESTAURANTESDESCUENTOS 2026'!A:A,TRIM(A4050))&gt;0,((VLOOKUP(TRIM(D4050), CATALOGO!A:B, 2, FALSE) * C4050)*(1-VALUE(SUBSTITUTE(VLOOKUP(TRIM(A4050),'RESTAURANTESDESCUENTOS 2026'!A:B,2,FALSE),"%",""))/100)+I4050),(VLOOKUP(TRIM(D4050), CATALOGO!A:B, 2, FALSE) * C4050+I4050)),""))</f>
        <v/>
      </c>
      <c r="K4050" s="196"/>
      <c r="L4050" s="87"/>
      <c r="M4050" s="245"/>
      <c r="N4050" s="168"/>
    </row>
    <row r="4051" ht="22.5" hidden="1" customHeight="1">
      <c r="A4051" s="137"/>
      <c r="B4051" s="90"/>
      <c r="C4051" s="55"/>
      <c r="D4051" s="193"/>
      <c r="E4051" s="201"/>
      <c r="F4051" s="202"/>
      <c r="G4051" s="194"/>
      <c r="H4051" s="198"/>
      <c r="I4051" s="196"/>
      <c r="J4051" s="179" t="str">
        <f>IF(A4051="RAPPI",(VLOOKUP(TRIM(D4051), CATALOGO!F:G, 2, FALSE) * C4051)+I4051,IFERROR(IF(COUNTIF('RESTAURANTESDESCUENTOS 2026'!A:A,TRIM(A4051))&gt;0,((VLOOKUP(TRIM(D4051), CATALOGO!A:B, 2, FALSE) * C4051)*(1-VALUE(SUBSTITUTE(VLOOKUP(TRIM(A4051),'RESTAURANTESDESCUENTOS 2026'!A:B,2,FALSE),"%",""))/100)+I4051),(VLOOKUP(TRIM(D4051), CATALOGO!A:B, 2, FALSE) * C4051+I4051)),""))</f>
        <v/>
      </c>
      <c r="K4051" s="196"/>
      <c r="L4051" s="87"/>
      <c r="M4051" s="245"/>
      <c r="N4051" s="168"/>
    </row>
    <row r="4052" ht="22.5" hidden="1" customHeight="1">
      <c r="A4052" s="137"/>
      <c r="B4052" s="90"/>
      <c r="C4052" s="55"/>
      <c r="D4052" s="193"/>
      <c r="E4052" s="201"/>
      <c r="F4052" s="202"/>
      <c r="G4052" s="194"/>
      <c r="H4052" s="198"/>
      <c r="I4052" s="196"/>
      <c r="J4052" s="179" t="str">
        <f>IF(A4052="RAPPI",(VLOOKUP(TRIM(D4052), CATALOGO!F:G, 2, FALSE) * C4052)+I4052,IFERROR(IF(COUNTIF('RESTAURANTESDESCUENTOS 2026'!A:A,TRIM(A4052))&gt;0,((VLOOKUP(TRIM(D4052), CATALOGO!A:B, 2, FALSE) * C4052)*(1-VALUE(SUBSTITUTE(VLOOKUP(TRIM(A4052),'RESTAURANTESDESCUENTOS 2026'!A:B,2,FALSE),"%",""))/100)+I4052),(VLOOKUP(TRIM(D4052), CATALOGO!A:B, 2, FALSE) * C4052+I4052)),""))</f>
        <v/>
      </c>
      <c r="K4052" s="196"/>
      <c r="L4052" s="87"/>
      <c r="M4052" s="245"/>
      <c r="N4052" s="168"/>
    </row>
    <row r="4053" ht="22.5" hidden="1" customHeight="1">
      <c r="A4053" s="137"/>
      <c r="B4053" s="90"/>
      <c r="C4053" s="55"/>
      <c r="D4053" s="193"/>
      <c r="E4053" s="201"/>
      <c r="F4053" s="202"/>
      <c r="G4053" s="194"/>
      <c r="H4053" s="198"/>
      <c r="I4053" s="196"/>
      <c r="J4053" s="179" t="str">
        <f>IF(A4053="RAPPI",(VLOOKUP(TRIM(D4053), CATALOGO!F:G, 2, FALSE) * C4053)+I4053,IFERROR(IF(COUNTIF('RESTAURANTESDESCUENTOS 2026'!A:A,TRIM(A4053))&gt;0,((VLOOKUP(TRIM(D4053), CATALOGO!A:B, 2, FALSE) * C4053)*(1-VALUE(SUBSTITUTE(VLOOKUP(TRIM(A4053),'RESTAURANTESDESCUENTOS 2026'!A:B,2,FALSE),"%",""))/100)+I4053),(VLOOKUP(TRIM(D4053), CATALOGO!A:B, 2, FALSE) * C4053+I4053)),""))</f>
        <v/>
      </c>
      <c r="K4053" s="196"/>
      <c r="L4053" s="87"/>
      <c r="M4053" s="245"/>
      <c r="N4053" s="168"/>
    </row>
    <row r="4054" ht="22.5" hidden="1" customHeight="1">
      <c r="A4054" s="137"/>
      <c r="B4054" s="90"/>
      <c r="C4054" s="55"/>
      <c r="D4054" s="193"/>
      <c r="E4054" s="201"/>
      <c r="F4054" s="202"/>
      <c r="G4054" s="194"/>
      <c r="H4054" s="198"/>
      <c r="I4054" s="196"/>
      <c r="J4054" s="179" t="str">
        <f>IF(A4054="RAPPI",(VLOOKUP(TRIM(D4054), CATALOGO!F:G, 2, FALSE) * C4054)+I4054,IFERROR(IF(COUNTIF('RESTAURANTESDESCUENTOS 2026'!A:A,TRIM(A4054))&gt;0,((VLOOKUP(TRIM(D4054), CATALOGO!A:B, 2, FALSE) * C4054)*(1-VALUE(SUBSTITUTE(VLOOKUP(TRIM(A4054),'RESTAURANTESDESCUENTOS 2026'!A:B,2,FALSE),"%",""))/100)+I4054),(VLOOKUP(TRIM(D4054), CATALOGO!A:B, 2, FALSE) * C4054+I4054)),""))</f>
        <v/>
      </c>
      <c r="K4054" s="196"/>
      <c r="L4054" s="87"/>
      <c r="M4054" s="245"/>
      <c r="N4054" s="168"/>
    </row>
    <row r="4055" ht="22.5" hidden="1" customHeight="1">
      <c r="A4055" s="137"/>
      <c r="B4055" s="90"/>
      <c r="C4055" s="55"/>
      <c r="D4055" s="193"/>
      <c r="E4055" s="201"/>
      <c r="F4055" s="202"/>
      <c r="G4055" s="194"/>
      <c r="H4055" s="198"/>
      <c r="I4055" s="196"/>
      <c r="J4055" s="179" t="str">
        <f>IF(A4055="RAPPI",(VLOOKUP(TRIM(D4055), CATALOGO!F:G, 2, FALSE) * C4055)+I4055,IFERROR(IF(COUNTIF('RESTAURANTESDESCUENTOS 2026'!A:A,TRIM(A4055))&gt;0,((VLOOKUP(TRIM(D4055), CATALOGO!A:B, 2, FALSE) * C4055)*(1-VALUE(SUBSTITUTE(VLOOKUP(TRIM(A4055),'RESTAURANTESDESCUENTOS 2026'!A:B,2,FALSE),"%",""))/100)+I4055),(VLOOKUP(TRIM(D4055), CATALOGO!A:B, 2, FALSE) * C4055+I4055)),""))</f>
        <v/>
      </c>
      <c r="K4055" s="196"/>
      <c r="L4055" s="87"/>
      <c r="M4055" s="245"/>
      <c r="N4055" s="168"/>
    </row>
    <row r="4056" ht="22.5" hidden="1" customHeight="1">
      <c r="A4056" s="137"/>
      <c r="B4056" s="90"/>
      <c r="C4056" s="55"/>
      <c r="D4056" s="193"/>
      <c r="E4056" s="201"/>
      <c r="F4056" s="202"/>
      <c r="G4056" s="194"/>
      <c r="H4056" s="198"/>
      <c r="I4056" s="196"/>
      <c r="J4056" s="179" t="str">
        <f>IF(A4056="RAPPI",(VLOOKUP(TRIM(D4056), CATALOGO!F:G, 2, FALSE) * C4056)+I4056,IFERROR(IF(COUNTIF('RESTAURANTESDESCUENTOS 2026'!A:A,TRIM(A4056))&gt;0,((VLOOKUP(TRIM(D4056), CATALOGO!A:B, 2, FALSE) * C4056)*(1-VALUE(SUBSTITUTE(VLOOKUP(TRIM(A4056),'RESTAURANTESDESCUENTOS 2026'!A:B,2,FALSE),"%",""))/100)+I4056),(VLOOKUP(TRIM(D4056), CATALOGO!A:B, 2, FALSE) * C4056+I4056)),""))</f>
        <v/>
      </c>
      <c r="K4056" s="196"/>
      <c r="L4056" s="87"/>
      <c r="M4056" s="245"/>
      <c r="N4056" s="168"/>
    </row>
    <row r="4057" ht="22.5" hidden="1" customHeight="1">
      <c r="A4057" s="137"/>
      <c r="B4057" s="90"/>
      <c r="C4057" s="55"/>
      <c r="D4057" s="193"/>
      <c r="E4057" s="201"/>
      <c r="F4057" s="202"/>
      <c r="G4057" s="194"/>
      <c r="H4057" s="198"/>
      <c r="I4057" s="196"/>
      <c r="J4057" s="179" t="str">
        <f>IF(A4057="RAPPI",(VLOOKUP(TRIM(D4057), CATALOGO!F:G, 2, FALSE) * C4057)+I4057,IFERROR(IF(COUNTIF('RESTAURANTESDESCUENTOS 2026'!A:A,TRIM(A4057))&gt;0,((VLOOKUP(TRIM(D4057), CATALOGO!A:B, 2, FALSE) * C4057)*(1-VALUE(SUBSTITUTE(VLOOKUP(TRIM(A4057),'RESTAURANTESDESCUENTOS 2026'!A:B,2,FALSE),"%",""))/100)+I4057),(VLOOKUP(TRIM(D4057), CATALOGO!A:B, 2, FALSE) * C4057+I4057)),""))</f>
        <v/>
      </c>
      <c r="K4057" s="196"/>
      <c r="L4057" s="87"/>
      <c r="M4057" s="245"/>
      <c r="N4057" s="168"/>
    </row>
    <row r="4058" ht="22.5" hidden="1" customHeight="1">
      <c r="A4058" s="137"/>
      <c r="B4058" s="90"/>
      <c r="C4058" s="55"/>
      <c r="D4058" s="193"/>
      <c r="E4058" s="201"/>
      <c r="F4058" s="202"/>
      <c r="G4058" s="194"/>
      <c r="H4058" s="198"/>
      <c r="I4058" s="196"/>
      <c r="J4058" s="179" t="str">
        <f>IF(A4058="RAPPI",(VLOOKUP(TRIM(D4058), CATALOGO!F:G, 2, FALSE) * C4058)+I4058,IFERROR(IF(COUNTIF('RESTAURANTESDESCUENTOS 2026'!A:A,TRIM(A4058))&gt;0,((VLOOKUP(TRIM(D4058), CATALOGO!A:B, 2, FALSE) * C4058)*(1-VALUE(SUBSTITUTE(VLOOKUP(TRIM(A4058),'RESTAURANTESDESCUENTOS 2026'!A:B,2,FALSE),"%",""))/100)+I4058),(VLOOKUP(TRIM(D4058), CATALOGO!A:B, 2, FALSE) * C4058+I4058)),""))</f>
        <v/>
      </c>
      <c r="K4058" s="196"/>
      <c r="L4058" s="87"/>
      <c r="M4058" s="245"/>
      <c r="N4058" s="168"/>
    </row>
    <row r="4059" ht="22.5" hidden="1" customHeight="1">
      <c r="A4059" s="137"/>
      <c r="B4059" s="90"/>
      <c r="C4059" s="55"/>
      <c r="D4059" s="193"/>
      <c r="E4059" s="201"/>
      <c r="F4059" s="202"/>
      <c r="G4059" s="194"/>
      <c r="H4059" s="198"/>
      <c r="I4059" s="196"/>
      <c r="J4059" s="179" t="str">
        <f>IF(A4059="RAPPI",(VLOOKUP(TRIM(D4059), CATALOGO!F:G, 2, FALSE) * C4059)+I4059,IFERROR(IF(COUNTIF('RESTAURANTESDESCUENTOS 2026'!A:A,TRIM(A4059))&gt;0,((VLOOKUP(TRIM(D4059), CATALOGO!A:B, 2, FALSE) * C4059)*(1-VALUE(SUBSTITUTE(VLOOKUP(TRIM(A4059),'RESTAURANTESDESCUENTOS 2026'!A:B,2,FALSE),"%",""))/100)+I4059),(VLOOKUP(TRIM(D4059), CATALOGO!A:B, 2, FALSE) * C4059+I4059)),""))</f>
        <v/>
      </c>
      <c r="K4059" s="196"/>
      <c r="L4059" s="87"/>
      <c r="M4059" s="245"/>
      <c r="N4059" s="168"/>
    </row>
    <row r="4060" ht="22.5" hidden="1" customHeight="1">
      <c r="A4060" s="137"/>
      <c r="B4060" s="90"/>
      <c r="C4060" s="55"/>
      <c r="D4060" s="193"/>
      <c r="E4060" s="201"/>
      <c r="F4060" s="202"/>
      <c r="G4060" s="194"/>
      <c r="H4060" s="198"/>
      <c r="I4060" s="196"/>
      <c r="J4060" s="179" t="str">
        <f>IF(A4060="RAPPI",(VLOOKUP(TRIM(D4060), CATALOGO!F:G, 2, FALSE) * C4060)+I4060,IFERROR(IF(COUNTIF('RESTAURANTESDESCUENTOS 2026'!A:A,TRIM(A4060))&gt;0,((VLOOKUP(TRIM(D4060), CATALOGO!A:B, 2, FALSE) * C4060)*(1-VALUE(SUBSTITUTE(VLOOKUP(TRIM(A4060),'RESTAURANTESDESCUENTOS 2026'!A:B,2,FALSE),"%",""))/100)+I4060),(VLOOKUP(TRIM(D4060), CATALOGO!A:B, 2, FALSE) * C4060+I4060)),""))</f>
        <v/>
      </c>
      <c r="K4060" s="196"/>
      <c r="L4060" s="87"/>
      <c r="M4060" s="245"/>
      <c r="N4060" s="168"/>
    </row>
    <row r="4061" ht="22.5" hidden="1" customHeight="1">
      <c r="A4061" s="137"/>
      <c r="B4061" s="90"/>
      <c r="C4061" s="55"/>
      <c r="D4061" s="193"/>
      <c r="E4061" s="201"/>
      <c r="F4061" s="202"/>
      <c r="G4061" s="194"/>
      <c r="H4061" s="198"/>
      <c r="I4061" s="196"/>
      <c r="J4061" s="179" t="str">
        <f>IF(A4061="RAPPI",(VLOOKUP(TRIM(D4061), CATALOGO!F:G, 2, FALSE) * C4061)+I4061,IFERROR(IF(COUNTIF('RESTAURANTESDESCUENTOS 2026'!A:A,TRIM(A4061))&gt;0,((VLOOKUP(TRIM(D4061), CATALOGO!A:B, 2, FALSE) * C4061)*(1-VALUE(SUBSTITUTE(VLOOKUP(TRIM(A4061),'RESTAURANTESDESCUENTOS 2026'!A:B,2,FALSE),"%",""))/100)+I4061),(VLOOKUP(TRIM(D4061), CATALOGO!A:B, 2, FALSE) * C4061+I4061)),""))</f>
        <v/>
      </c>
      <c r="K4061" s="196"/>
      <c r="L4061" s="87"/>
      <c r="M4061" s="245"/>
      <c r="N4061" s="168"/>
    </row>
    <row r="4062" ht="22.5" hidden="1" customHeight="1">
      <c r="A4062" s="137"/>
      <c r="B4062" s="90"/>
      <c r="C4062" s="55"/>
      <c r="D4062" s="193"/>
      <c r="E4062" s="201"/>
      <c r="F4062" s="202"/>
      <c r="G4062" s="194"/>
      <c r="H4062" s="198"/>
      <c r="I4062" s="196"/>
      <c r="J4062" s="179" t="str">
        <f>IF(A4062="RAPPI",(VLOOKUP(TRIM(D4062), CATALOGO!F:G, 2, FALSE) * C4062)+I4062,IFERROR(IF(COUNTIF('RESTAURANTESDESCUENTOS 2026'!A:A,TRIM(A4062))&gt;0,((VLOOKUP(TRIM(D4062), CATALOGO!A:B, 2, FALSE) * C4062)*(1-VALUE(SUBSTITUTE(VLOOKUP(TRIM(A4062),'RESTAURANTESDESCUENTOS 2026'!A:B,2,FALSE),"%",""))/100)+I4062),(VLOOKUP(TRIM(D4062), CATALOGO!A:B, 2, FALSE) * C4062+I4062)),""))</f>
        <v/>
      </c>
      <c r="K4062" s="196"/>
      <c r="L4062" s="87"/>
      <c r="M4062" s="245"/>
      <c r="N4062" s="168"/>
    </row>
    <row r="4063" ht="22.5" hidden="1" customHeight="1">
      <c r="A4063" s="137"/>
      <c r="B4063" s="90"/>
      <c r="C4063" s="55"/>
      <c r="D4063" s="193"/>
      <c r="E4063" s="201"/>
      <c r="F4063" s="202"/>
      <c r="G4063" s="194"/>
      <c r="H4063" s="198"/>
      <c r="I4063" s="196"/>
      <c r="J4063" s="179" t="str">
        <f>IF(A4063="RAPPI",(VLOOKUP(TRIM(D4063), CATALOGO!F:G, 2, FALSE) * C4063)+I4063,IFERROR(IF(COUNTIF('RESTAURANTESDESCUENTOS 2026'!A:A,TRIM(A4063))&gt;0,((VLOOKUP(TRIM(D4063), CATALOGO!A:B, 2, FALSE) * C4063)*(1-VALUE(SUBSTITUTE(VLOOKUP(TRIM(A4063),'RESTAURANTESDESCUENTOS 2026'!A:B,2,FALSE),"%",""))/100)+I4063),(VLOOKUP(TRIM(D4063), CATALOGO!A:B, 2, FALSE) * C4063+I4063)),""))</f>
        <v/>
      </c>
      <c r="K4063" s="196"/>
      <c r="L4063" s="87"/>
      <c r="M4063" s="245"/>
      <c r="N4063" s="168"/>
    </row>
    <row r="4064" ht="22.5" hidden="1" customHeight="1">
      <c r="A4064" s="137"/>
      <c r="B4064" s="90"/>
      <c r="C4064" s="55"/>
      <c r="D4064" s="193"/>
      <c r="E4064" s="201"/>
      <c r="F4064" s="202"/>
      <c r="G4064" s="194"/>
      <c r="H4064" s="198"/>
      <c r="I4064" s="196"/>
      <c r="J4064" s="179" t="str">
        <f>IF(A4064="RAPPI",(VLOOKUP(TRIM(D4064), CATALOGO!F:G, 2, FALSE) * C4064)+I4064,IFERROR(IF(COUNTIF('RESTAURANTESDESCUENTOS 2026'!A:A,TRIM(A4064))&gt;0,((VLOOKUP(TRIM(D4064), CATALOGO!A:B, 2, FALSE) * C4064)*(1-VALUE(SUBSTITUTE(VLOOKUP(TRIM(A4064),'RESTAURANTESDESCUENTOS 2026'!A:B,2,FALSE),"%",""))/100)+I4064),(VLOOKUP(TRIM(D4064), CATALOGO!A:B, 2, FALSE) * C4064+I4064)),""))</f>
        <v/>
      </c>
      <c r="K4064" s="196"/>
      <c r="L4064" s="87"/>
      <c r="M4064" s="245"/>
      <c r="N4064" s="168"/>
    </row>
    <row r="4065" ht="22.5" hidden="1" customHeight="1">
      <c r="A4065" s="137"/>
      <c r="B4065" s="90"/>
      <c r="C4065" s="55"/>
      <c r="D4065" s="193"/>
      <c r="E4065" s="201"/>
      <c r="F4065" s="202"/>
      <c r="G4065" s="194"/>
      <c r="H4065" s="198"/>
      <c r="I4065" s="196"/>
      <c r="J4065" s="179" t="str">
        <f>IF(A4065="RAPPI",(VLOOKUP(TRIM(D4065), CATALOGO!F:G, 2, FALSE) * C4065)+I4065,IFERROR(IF(COUNTIF('RESTAURANTESDESCUENTOS 2026'!A:A,TRIM(A4065))&gt;0,((VLOOKUP(TRIM(D4065), CATALOGO!A:B, 2, FALSE) * C4065)*(1-VALUE(SUBSTITUTE(VLOOKUP(TRIM(A4065),'RESTAURANTESDESCUENTOS 2026'!A:B,2,FALSE),"%",""))/100)+I4065),(VLOOKUP(TRIM(D4065), CATALOGO!A:B, 2, FALSE) * C4065+I4065)),""))</f>
        <v/>
      </c>
      <c r="K4065" s="196"/>
      <c r="L4065" s="87"/>
      <c r="M4065" s="245"/>
      <c r="N4065" s="168"/>
    </row>
    <row r="4066" ht="22.5" hidden="1" customHeight="1">
      <c r="A4066" s="137"/>
      <c r="B4066" s="90"/>
      <c r="C4066" s="55"/>
      <c r="D4066" s="193"/>
      <c r="E4066" s="201"/>
      <c r="F4066" s="202"/>
      <c r="G4066" s="194"/>
      <c r="H4066" s="198"/>
      <c r="I4066" s="196"/>
      <c r="J4066" s="179" t="str">
        <f>IF(A4066="RAPPI",(VLOOKUP(TRIM(D4066), CATALOGO!F:G, 2, FALSE) * C4066)+I4066,IFERROR(IF(COUNTIF('RESTAURANTESDESCUENTOS 2026'!A:A,TRIM(A4066))&gt;0,((VLOOKUP(TRIM(D4066), CATALOGO!A:B, 2, FALSE) * C4066)*(1-VALUE(SUBSTITUTE(VLOOKUP(TRIM(A4066),'RESTAURANTESDESCUENTOS 2026'!A:B,2,FALSE),"%",""))/100)+I4066),(VLOOKUP(TRIM(D4066), CATALOGO!A:B, 2, FALSE) * C4066+I4066)),""))</f>
        <v/>
      </c>
      <c r="K4066" s="196"/>
      <c r="L4066" s="87"/>
      <c r="M4066" s="245"/>
      <c r="N4066" s="168"/>
    </row>
    <row r="4067" ht="22.5" hidden="1" customHeight="1">
      <c r="A4067" s="137"/>
      <c r="B4067" s="90"/>
      <c r="C4067" s="55"/>
      <c r="D4067" s="193"/>
      <c r="E4067" s="201"/>
      <c r="F4067" s="202"/>
      <c r="G4067" s="194"/>
      <c r="H4067" s="198"/>
      <c r="I4067" s="196"/>
      <c r="J4067" s="179" t="str">
        <f>IF(A4067="RAPPI",(VLOOKUP(TRIM(D4067), CATALOGO!F:G, 2, FALSE) * C4067)+I4067,IFERROR(IF(COUNTIF('RESTAURANTESDESCUENTOS 2026'!A:A,TRIM(A4067))&gt;0,((VLOOKUP(TRIM(D4067), CATALOGO!A:B, 2, FALSE) * C4067)*(1-VALUE(SUBSTITUTE(VLOOKUP(TRIM(A4067),'RESTAURANTESDESCUENTOS 2026'!A:B,2,FALSE),"%",""))/100)+I4067),(VLOOKUP(TRIM(D4067), CATALOGO!A:B, 2, FALSE) * C4067+I4067)),""))</f>
        <v/>
      </c>
      <c r="K4067" s="196"/>
      <c r="L4067" s="87"/>
      <c r="M4067" s="245"/>
      <c r="N4067" s="168"/>
    </row>
    <row r="4068" ht="22.5" hidden="1" customHeight="1">
      <c r="A4068" s="137"/>
      <c r="B4068" s="90"/>
      <c r="C4068" s="55"/>
      <c r="D4068" s="193"/>
      <c r="E4068" s="201"/>
      <c r="F4068" s="202"/>
      <c r="G4068" s="194"/>
      <c r="H4068" s="198"/>
      <c r="I4068" s="196"/>
      <c r="J4068" s="179" t="str">
        <f>IF(A4068="RAPPI",(VLOOKUP(TRIM(D4068), CATALOGO!F:G, 2, FALSE) * C4068)+I4068,IFERROR(IF(COUNTIF('RESTAURANTESDESCUENTOS 2026'!A:A,TRIM(A4068))&gt;0,((VLOOKUP(TRIM(D4068), CATALOGO!A:B, 2, FALSE) * C4068)*(1-VALUE(SUBSTITUTE(VLOOKUP(TRIM(A4068),'RESTAURANTESDESCUENTOS 2026'!A:B,2,FALSE),"%",""))/100)+I4068),(VLOOKUP(TRIM(D4068), CATALOGO!A:B, 2, FALSE) * C4068+I4068)),""))</f>
        <v/>
      </c>
      <c r="K4068" s="196"/>
      <c r="L4068" s="87"/>
      <c r="M4068" s="245"/>
      <c r="N4068" s="168"/>
    </row>
    <row r="4069" ht="22.5" hidden="1" customHeight="1">
      <c r="A4069" s="137"/>
      <c r="B4069" s="90"/>
      <c r="C4069" s="55"/>
      <c r="D4069" s="193"/>
      <c r="E4069" s="201"/>
      <c r="F4069" s="202"/>
      <c r="G4069" s="194"/>
      <c r="H4069" s="198"/>
      <c r="I4069" s="196"/>
      <c r="J4069" s="179" t="str">
        <f>IF(A4069="RAPPI",(VLOOKUP(TRIM(D4069), CATALOGO!F:G, 2, FALSE) * C4069)+I4069,IFERROR(IF(COUNTIF('RESTAURANTESDESCUENTOS 2026'!A:A,TRIM(A4069))&gt;0,((VLOOKUP(TRIM(D4069), CATALOGO!A:B, 2, FALSE) * C4069)*(1-VALUE(SUBSTITUTE(VLOOKUP(TRIM(A4069),'RESTAURANTESDESCUENTOS 2026'!A:B,2,FALSE),"%",""))/100)+I4069),(VLOOKUP(TRIM(D4069), CATALOGO!A:B, 2, FALSE) * C4069+I4069)),""))</f>
        <v/>
      </c>
      <c r="K4069" s="196"/>
      <c r="L4069" s="87"/>
      <c r="M4069" s="245"/>
      <c r="N4069" s="168"/>
    </row>
    <row r="4070" ht="22.5" hidden="1" customHeight="1">
      <c r="A4070" s="137"/>
      <c r="B4070" s="90"/>
      <c r="C4070" s="55"/>
      <c r="D4070" s="193"/>
      <c r="E4070" s="201"/>
      <c r="F4070" s="202"/>
      <c r="G4070" s="194"/>
      <c r="H4070" s="198"/>
      <c r="I4070" s="196"/>
      <c r="J4070" s="179" t="str">
        <f>IF(A4070="RAPPI",(VLOOKUP(TRIM(D4070), CATALOGO!F:G, 2, FALSE) * C4070)+I4070,IFERROR(IF(COUNTIF('RESTAURANTESDESCUENTOS 2026'!A:A,TRIM(A4070))&gt;0,((VLOOKUP(TRIM(D4070), CATALOGO!A:B, 2, FALSE) * C4070)*(1-VALUE(SUBSTITUTE(VLOOKUP(TRIM(A4070),'RESTAURANTESDESCUENTOS 2026'!A:B,2,FALSE),"%",""))/100)+I4070),(VLOOKUP(TRIM(D4070), CATALOGO!A:B, 2, FALSE) * C4070+I4070)),""))</f>
        <v/>
      </c>
      <c r="K4070" s="196"/>
      <c r="L4070" s="87"/>
      <c r="M4070" s="245"/>
      <c r="N4070" s="168"/>
    </row>
    <row r="4071" ht="22.5" hidden="1" customHeight="1">
      <c r="A4071" s="137"/>
      <c r="B4071" s="90"/>
      <c r="C4071" s="55"/>
      <c r="D4071" s="193"/>
      <c r="E4071" s="201"/>
      <c r="F4071" s="202"/>
      <c r="G4071" s="194"/>
      <c r="H4071" s="198"/>
      <c r="I4071" s="196"/>
      <c r="J4071" s="179" t="str">
        <f>IF(A4071="RAPPI",(VLOOKUP(TRIM(D4071), CATALOGO!F:G, 2, FALSE) * C4071)+I4071,IFERROR(IF(COUNTIF('RESTAURANTESDESCUENTOS 2026'!A:A,TRIM(A4071))&gt;0,((VLOOKUP(TRIM(D4071), CATALOGO!A:B, 2, FALSE) * C4071)*(1-VALUE(SUBSTITUTE(VLOOKUP(TRIM(A4071),'RESTAURANTESDESCUENTOS 2026'!A:B,2,FALSE),"%",""))/100)+I4071),(VLOOKUP(TRIM(D4071), CATALOGO!A:B, 2, FALSE) * C4071+I4071)),""))</f>
        <v/>
      </c>
      <c r="K4071" s="196"/>
      <c r="L4071" s="87"/>
      <c r="M4071" s="245"/>
      <c r="N4071" s="168"/>
    </row>
    <row r="4072" ht="22.5" hidden="1" customHeight="1">
      <c r="A4072" s="137"/>
      <c r="B4072" s="90"/>
      <c r="C4072" s="55"/>
      <c r="D4072" s="193"/>
      <c r="E4072" s="201"/>
      <c r="F4072" s="202"/>
      <c r="G4072" s="194"/>
      <c r="H4072" s="198"/>
      <c r="I4072" s="196"/>
      <c r="J4072" s="179" t="str">
        <f>IF(A4072="RAPPI",(VLOOKUP(TRIM(D4072), CATALOGO!F:G, 2, FALSE) * C4072)+I4072,IFERROR(IF(COUNTIF('RESTAURANTESDESCUENTOS 2026'!A:A,TRIM(A4072))&gt;0,((VLOOKUP(TRIM(D4072), CATALOGO!A:B, 2, FALSE) * C4072)*(1-VALUE(SUBSTITUTE(VLOOKUP(TRIM(A4072),'RESTAURANTESDESCUENTOS 2026'!A:B,2,FALSE),"%",""))/100)+I4072),(VLOOKUP(TRIM(D4072), CATALOGO!A:B, 2, FALSE) * C4072+I4072)),""))</f>
        <v/>
      </c>
      <c r="K4072" s="196"/>
      <c r="L4072" s="87"/>
      <c r="M4072" s="245"/>
      <c r="N4072" s="168"/>
    </row>
    <row r="4073" ht="22.5" hidden="1" customHeight="1">
      <c r="A4073" s="137"/>
      <c r="B4073" s="90"/>
      <c r="C4073" s="55"/>
      <c r="D4073" s="193"/>
      <c r="E4073" s="201"/>
      <c r="F4073" s="202"/>
      <c r="G4073" s="194"/>
      <c r="H4073" s="198"/>
      <c r="I4073" s="196"/>
      <c r="J4073" s="179" t="str">
        <f>IF(A4073="RAPPI",(VLOOKUP(TRIM(D4073), CATALOGO!F:G, 2, FALSE) * C4073)+I4073,IFERROR(IF(COUNTIF('RESTAURANTESDESCUENTOS 2026'!A:A,TRIM(A4073))&gt;0,((VLOOKUP(TRIM(D4073), CATALOGO!A:B, 2, FALSE) * C4073)*(1-VALUE(SUBSTITUTE(VLOOKUP(TRIM(A4073),'RESTAURANTESDESCUENTOS 2026'!A:B,2,FALSE),"%",""))/100)+I4073),(VLOOKUP(TRIM(D4073), CATALOGO!A:B, 2, FALSE) * C4073+I4073)),""))</f>
        <v/>
      </c>
      <c r="K4073" s="196"/>
      <c r="L4073" s="87"/>
      <c r="M4073" s="245"/>
      <c r="N4073" s="168"/>
    </row>
    <row r="4074" ht="22.5" hidden="1" customHeight="1">
      <c r="A4074" s="137"/>
      <c r="B4074" s="90"/>
      <c r="C4074" s="55"/>
      <c r="D4074" s="193"/>
      <c r="E4074" s="201"/>
      <c r="F4074" s="202"/>
      <c r="G4074" s="194"/>
      <c r="H4074" s="198"/>
      <c r="I4074" s="196"/>
      <c r="J4074" s="179" t="str">
        <f>IF(A4074="RAPPI",(VLOOKUP(TRIM(D4074), CATALOGO!F:G, 2, FALSE) * C4074)+I4074,IFERROR(IF(COUNTIF('RESTAURANTESDESCUENTOS 2026'!A:A,TRIM(A4074))&gt;0,((VLOOKUP(TRIM(D4074), CATALOGO!A:B, 2, FALSE) * C4074)*(1-VALUE(SUBSTITUTE(VLOOKUP(TRIM(A4074),'RESTAURANTESDESCUENTOS 2026'!A:B,2,FALSE),"%",""))/100)+I4074),(VLOOKUP(TRIM(D4074), CATALOGO!A:B, 2, FALSE) * C4074+I4074)),""))</f>
        <v/>
      </c>
      <c r="K4074" s="196"/>
      <c r="L4074" s="87"/>
      <c r="M4074" s="245"/>
      <c r="N4074" s="168"/>
    </row>
    <row r="4075" ht="22.5" hidden="1" customHeight="1">
      <c r="A4075" s="137"/>
      <c r="B4075" s="90"/>
      <c r="C4075" s="55"/>
      <c r="D4075" s="193"/>
      <c r="E4075" s="201"/>
      <c r="F4075" s="202"/>
      <c r="G4075" s="194"/>
      <c r="H4075" s="198"/>
      <c r="I4075" s="196"/>
      <c r="J4075" s="179" t="str">
        <f>IF(A4075="RAPPI",(VLOOKUP(TRIM(D4075), CATALOGO!F:G, 2, FALSE) * C4075)+I4075,IFERROR(IF(COUNTIF('RESTAURANTESDESCUENTOS 2026'!A:A,TRIM(A4075))&gt;0,((VLOOKUP(TRIM(D4075), CATALOGO!A:B, 2, FALSE) * C4075)*(1-VALUE(SUBSTITUTE(VLOOKUP(TRIM(A4075),'RESTAURANTESDESCUENTOS 2026'!A:B,2,FALSE),"%",""))/100)+I4075),(VLOOKUP(TRIM(D4075), CATALOGO!A:B, 2, FALSE) * C4075+I4075)),""))</f>
        <v/>
      </c>
      <c r="K4075" s="196"/>
      <c r="L4075" s="87"/>
      <c r="M4075" s="245"/>
      <c r="N4075" s="168"/>
    </row>
    <row r="4076" ht="22.5" hidden="1" customHeight="1">
      <c r="A4076" s="137"/>
      <c r="B4076" s="90"/>
      <c r="C4076" s="55"/>
      <c r="D4076" s="193"/>
      <c r="E4076" s="201"/>
      <c r="F4076" s="202"/>
      <c r="G4076" s="194"/>
      <c r="H4076" s="198"/>
      <c r="I4076" s="196"/>
      <c r="J4076" s="179" t="str">
        <f>IF(A4076="RAPPI",(VLOOKUP(TRIM(D4076), CATALOGO!F:G, 2, FALSE) * C4076)+I4076,IFERROR(IF(COUNTIF('RESTAURANTESDESCUENTOS 2026'!A:A,TRIM(A4076))&gt;0,((VLOOKUP(TRIM(D4076), CATALOGO!A:B, 2, FALSE) * C4076)*(1-VALUE(SUBSTITUTE(VLOOKUP(TRIM(A4076),'RESTAURANTESDESCUENTOS 2026'!A:B,2,FALSE),"%",""))/100)+I4076),(VLOOKUP(TRIM(D4076), CATALOGO!A:B, 2, FALSE) * C4076+I4076)),""))</f>
        <v/>
      </c>
      <c r="K4076" s="196"/>
      <c r="L4076" s="87"/>
      <c r="M4076" s="245"/>
      <c r="N4076" s="168"/>
    </row>
    <row r="4077" ht="22.5" hidden="1" customHeight="1">
      <c r="A4077" s="137"/>
      <c r="B4077" s="90"/>
      <c r="C4077" s="55"/>
      <c r="D4077" s="193"/>
      <c r="E4077" s="201"/>
      <c r="F4077" s="202"/>
      <c r="G4077" s="194"/>
      <c r="H4077" s="198"/>
      <c r="I4077" s="196"/>
      <c r="J4077" s="179" t="str">
        <f>IF(A4077="RAPPI",(VLOOKUP(TRIM(D4077), CATALOGO!F:G, 2, FALSE) * C4077)+I4077,IFERROR(IF(COUNTIF('RESTAURANTESDESCUENTOS 2026'!A:A,TRIM(A4077))&gt;0,((VLOOKUP(TRIM(D4077), CATALOGO!A:B, 2, FALSE) * C4077)*(1-VALUE(SUBSTITUTE(VLOOKUP(TRIM(A4077),'RESTAURANTESDESCUENTOS 2026'!A:B,2,FALSE),"%",""))/100)+I4077),(VLOOKUP(TRIM(D4077), CATALOGO!A:B, 2, FALSE) * C4077+I4077)),""))</f>
        <v/>
      </c>
      <c r="K4077" s="196"/>
      <c r="L4077" s="87"/>
      <c r="M4077" s="245"/>
      <c r="N4077" s="168"/>
    </row>
    <row r="4078" ht="22.5" hidden="1" customHeight="1">
      <c r="A4078" s="137"/>
      <c r="B4078" s="90"/>
      <c r="C4078" s="55"/>
      <c r="D4078" s="193"/>
      <c r="E4078" s="201"/>
      <c r="F4078" s="202"/>
      <c r="G4078" s="194"/>
      <c r="H4078" s="198"/>
      <c r="I4078" s="196"/>
      <c r="J4078" s="179" t="str">
        <f>IF(A4078="RAPPI",(VLOOKUP(TRIM(D4078), CATALOGO!F:G, 2, FALSE) * C4078)+I4078,IFERROR(IF(COUNTIF('RESTAURANTESDESCUENTOS 2026'!A:A,TRIM(A4078))&gt;0,((VLOOKUP(TRIM(D4078), CATALOGO!A:B, 2, FALSE) * C4078)*(1-VALUE(SUBSTITUTE(VLOOKUP(TRIM(A4078),'RESTAURANTESDESCUENTOS 2026'!A:B,2,FALSE),"%",""))/100)+I4078),(VLOOKUP(TRIM(D4078), CATALOGO!A:B, 2, FALSE) * C4078+I4078)),""))</f>
        <v/>
      </c>
      <c r="K4078" s="196"/>
      <c r="L4078" s="87"/>
      <c r="M4078" s="245"/>
      <c r="N4078" s="168"/>
    </row>
    <row r="4079" ht="22.5" hidden="1" customHeight="1">
      <c r="A4079" s="137"/>
      <c r="B4079" s="90"/>
      <c r="C4079" s="55"/>
      <c r="D4079" s="193"/>
      <c r="E4079" s="201"/>
      <c r="F4079" s="202"/>
      <c r="G4079" s="194"/>
      <c r="H4079" s="198"/>
      <c r="I4079" s="196"/>
      <c r="J4079" s="179" t="str">
        <f>IF(A4079="RAPPI",(VLOOKUP(TRIM(D4079), CATALOGO!F:G, 2, FALSE) * C4079)+I4079,IFERROR(IF(COUNTIF('RESTAURANTESDESCUENTOS 2026'!A:A,TRIM(A4079))&gt;0,((VLOOKUP(TRIM(D4079), CATALOGO!A:B, 2, FALSE) * C4079)*(1-VALUE(SUBSTITUTE(VLOOKUP(TRIM(A4079),'RESTAURANTESDESCUENTOS 2026'!A:B,2,FALSE),"%",""))/100)+I4079),(VLOOKUP(TRIM(D4079), CATALOGO!A:B, 2, FALSE) * C4079+I4079)),""))</f>
        <v/>
      </c>
      <c r="K4079" s="196"/>
      <c r="L4079" s="87"/>
      <c r="M4079" s="245"/>
      <c r="N4079" s="168"/>
    </row>
    <row r="4080" ht="22.5" hidden="1" customHeight="1">
      <c r="A4080" s="137"/>
      <c r="B4080" s="90"/>
      <c r="C4080" s="55"/>
      <c r="D4080" s="193"/>
      <c r="E4080" s="201"/>
      <c r="F4080" s="202"/>
      <c r="G4080" s="194"/>
      <c r="H4080" s="198"/>
      <c r="I4080" s="196"/>
      <c r="J4080" s="179" t="str">
        <f>IF(A4080="RAPPI",(VLOOKUP(TRIM(D4080), CATALOGO!F:G, 2, FALSE) * C4080)+I4080,IFERROR(IF(COUNTIF('RESTAURANTESDESCUENTOS 2026'!A:A,TRIM(A4080))&gt;0,((VLOOKUP(TRIM(D4080), CATALOGO!A:B, 2, FALSE) * C4080)*(1-VALUE(SUBSTITUTE(VLOOKUP(TRIM(A4080),'RESTAURANTESDESCUENTOS 2026'!A:B,2,FALSE),"%",""))/100)+I4080),(VLOOKUP(TRIM(D4080), CATALOGO!A:B, 2, FALSE) * C4080+I4080)),""))</f>
        <v/>
      </c>
      <c r="K4080" s="196"/>
      <c r="L4080" s="87"/>
      <c r="M4080" s="245"/>
      <c r="N4080" s="168"/>
    </row>
    <row r="4081" ht="22.5" hidden="1" customHeight="1">
      <c r="A4081" s="137"/>
      <c r="B4081" s="90"/>
      <c r="C4081" s="55"/>
      <c r="D4081" s="193"/>
      <c r="E4081" s="201"/>
      <c r="F4081" s="202"/>
      <c r="G4081" s="194"/>
      <c r="H4081" s="198"/>
      <c r="I4081" s="196"/>
      <c r="J4081" s="179" t="str">
        <f>IF(A4081="RAPPI",(VLOOKUP(TRIM(D4081), CATALOGO!F:G, 2, FALSE) * C4081)+I4081,IFERROR(IF(COUNTIF('RESTAURANTESDESCUENTOS 2026'!A:A,TRIM(A4081))&gt;0,((VLOOKUP(TRIM(D4081), CATALOGO!A:B, 2, FALSE) * C4081)*(1-VALUE(SUBSTITUTE(VLOOKUP(TRIM(A4081),'RESTAURANTESDESCUENTOS 2026'!A:B,2,FALSE),"%",""))/100)+I4081),(VLOOKUP(TRIM(D4081), CATALOGO!A:B, 2, FALSE) * C4081+I4081)),""))</f>
        <v/>
      </c>
      <c r="K4081" s="196"/>
      <c r="L4081" s="87"/>
      <c r="M4081" s="245"/>
      <c r="N4081" s="168"/>
    </row>
    <row r="4082" ht="22.5" hidden="1" customHeight="1">
      <c r="A4082" s="137"/>
      <c r="B4082" s="90"/>
      <c r="C4082" s="55"/>
      <c r="D4082" s="193"/>
      <c r="E4082" s="201"/>
      <c r="F4082" s="202"/>
      <c r="G4082" s="194"/>
      <c r="H4082" s="198"/>
      <c r="I4082" s="196"/>
      <c r="J4082" s="179" t="str">
        <f>IF(A4082="RAPPI",(VLOOKUP(TRIM(D4082), CATALOGO!F:G, 2, FALSE) * C4082)+I4082,IFERROR(IF(COUNTIF('RESTAURANTESDESCUENTOS 2026'!A:A,TRIM(A4082))&gt;0,((VLOOKUP(TRIM(D4082), CATALOGO!A:B, 2, FALSE) * C4082)*(1-VALUE(SUBSTITUTE(VLOOKUP(TRIM(A4082),'RESTAURANTESDESCUENTOS 2026'!A:B,2,FALSE),"%",""))/100)+I4082),(VLOOKUP(TRIM(D4082), CATALOGO!A:B, 2, FALSE) * C4082+I4082)),""))</f>
        <v/>
      </c>
      <c r="K4082" s="196"/>
      <c r="L4082" s="87"/>
      <c r="M4082" s="245"/>
      <c r="N4082" s="168"/>
    </row>
    <row r="4083" ht="22.5" hidden="1" customHeight="1">
      <c r="A4083" s="137"/>
      <c r="B4083" s="90"/>
      <c r="C4083" s="55"/>
      <c r="D4083" s="193"/>
      <c r="E4083" s="201"/>
      <c r="F4083" s="202"/>
      <c r="G4083" s="194"/>
      <c r="H4083" s="198"/>
      <c r="I4083" s="196"/>
      <c r="J4083" s="179" t="str">
        <f>IF(A4083="RAPPI",(VLOOKUP(TRIM(D4083), CATALOGO!F:G, 2, FALSE) * C4083)+I4083,IFERROR(IF(COUNTIF('RESTAURANTESDESCUENTOS 2026'!A:A,TRIM(A4083))&gt;0,((VLOOKUP(TRIM(D4083), CATALOGO!A:B, 2, FALSE) * C4083)*(1-VALUE(SUBSTITUTE(VLOOKUP(TRIM(A4083),'RESTAURANTESDESCUENTOS 2026'!A:B,2,FALSE),"%",""))/100)+I4083),(VLOOKUP(TRIM(D4083), CATALOGO!A:B, 2, FALSE) * C4083+I4083)),""))</f>
        <v/>
      </c>
      <c r="K4083" s="196"/>
      <c r="L4083" s="87"/>
      <c r="M4083" s="245"/>
      <c r="N4083" s="168"/>
    </row>
    <row r="4084" ht="22.5" hidden="1" customHeight="1">
      <c r="A4084" s="137"/>
      <c r="B4084" s="90"/>
      <c r="C4084" s="55"/>
      <c r="D4084" s="193"/>
      <c r="E4084" s="201"/>
      <c r="F4084" s="202"/>
      <c r="G4084" s="194"/>
      <c r="H4084" s="198"/>
      <c r="I4084" s="196"/>
      <c r="J4084" s="179" t="str">
        <f>IF(A4084="RAPPI",(VLOOKUP(TRIM(D4084), CATALOGO!F:G, 2, FALSE) * C4084)+I4084,IFERROR(IF(COUNTIF('RESTAURANTESDESCUENTOS 2026'!A:A,TRIM(A4084))&gt;0,((VLOOKUP(TRIM(D4084), CATALOGO!A:B, 2, FALSE) * C4084)*(1-VALUE(SUBSTITUTE(VLOOKUP(TRIM(A4084),'RESTAURANTESDESCUENTOS 2026'!A:B,2,FALSE),"%",""))/100)+I4084),(VLOOKUP(TRIM(D4084), CATALOGO!A:B, 2, FALSE) * C4084+I4084)),""))</f>
        <v/>
      </c>
      <c r="K4084" s="196"/>
      <c r="L4084" s="87"/>
      <c r="M4084" s="245"/>
      <c r="N4084" s="168"/>
    </row>
    <row r="4085" ht="22.5" hidden="1" customHeight="1">
      <c r="A4085" s="137"/>
      <c r="B4085" s="90"/>
      <c r="C4085" s="55"/>
      <c r="D4085" s="193"/>
      <c r="E4085" s="201"/>
      <c r="F4085" s="202"/>
      <c r="G4085" s="194"/>
      <c r="H4085" s="198"/>
      <c r="I4085" s="196"/>
      <c r="J4085" s="179" t="str">
        <f>IF(A4085="RAPPI",(VLOOKUP(TRIM(D4085), CATALOGO!F:G, 2, FALSE) * C4085)+I4085,IFERROR(IF(COUNTIF('RESTAURANTESDESCUENTOS 2026'!A:A,TRIM(A4085))&gt;0,((VLOOKUP(TRIM(D4085), CATALOGO!A:B, 2, FALSE) * C4085)*(1-VALUE(SUBSTITUTE(VLOOKUP(TRIM(A4085),'RESTAURANTESDESCUENTOS 2026'!A:B,2,FALSE),"%",""))/100)+I4085),(VLOOKUP(TRIM(D4085), CATALOGO!A:B, 2, FALSE) * C4085+I4085)),""))</f>
        <v/>
      </c>
      <c r="K4085" s="196"/>
      <c r="L4085" s="87"/>
      <c r="M4085" s="245"/>
      <c r="N4085" s="168"/>
    </row>
    <row r="4086" ht="22.5" hidden="1" customHeight="1">
      <c r="A4086" s="137"/>
      <c r="B4086" s="90"/>
      <c r="C4086" s="55"/>
      <c r="D4086" s="193"/>
      <c r="E4086" s="201"/>
      <c r="F4086" s="202"/>
      <c r="G4086" s="194"/>
      <c r="H4086" s="198"/>
      <c r="I4086" s="196"/>
      <c r="J4086" s="179" t="str">
        <f>IF(A4086="RAPPI",(VLOOKUP(TRIM(D4086), CATALOGO!F:G, 2, FALSE) * C4086)+I4086,IFERROR(IF(COUNTIF('RESTAURANTESDESCUENTOS 2026'!A:A,TRIM(A4086))&gt;0,((VLOOKUP(TRIM(D4086), CATALOGO!A:B, 2, FALSE) * C4086)*(1-VALUE(SUBSTITUTE(VLOOKUP(TRIM(A4086),'RESTAURANTESDESCUENTOS 2026'!A:B,2,FALSE),"%",""))/100)+I4086),(VLOOKUP(TRIM(D4086), CATALOGO!A:B, 2, FALSE) * C4086+I4086)),""))</f>
        <v/>
      </c>
      <c r="K4086" s="196"/>
      <c r="L4086" s="87"/>
      <c r="M4086" s="245"/>
      <c r="N4086" s="168"/>
    </row>
    <row r="4087" ht="22.5" hidden="1" customHeight="1">
      <c r="A4087" s="137"/>
      <c r="B4087" s="90"/>
      <c r="C4087" s="55"/>
      <c r="D4087" s="193"/>
      <c r="E4087" s="201"/>
      <c r="F4087" s="202"/>
      <c r="G4087" s="194"/>
      <c r="H4087" s="198"/>
      <c r="I4087" s="196"/>
      <c r="J4087" s="179" t="str">
        <f>IF(A4087="RAPPI",(VLOOKUP(TRIM(D4087), CATALOGO!F:G, 2, FALSE) * C4087)+I4087,IFERROR(IF(COUNTIF('RESTAURANTESDESCUENTOS 2026'!A:A,TRIM(A4087))&gt;0,((VLOOKUP(TRIM(D4087), CATALOGO!A:B, 2, FALSE) * C4087)*(1-VALUE(SUBSTITUTE(VLOOKUP(TRIM(A4087),'RESTAURANTESDESCUENTOS 2026'!A:B,2,FALSE),"%",""))/100)+I4087),(VLOOKUP(TRIM(D4087), CATALOGO!A:B, 2, FALSE) * C4087+I4087)),""))</f>
        <v/>
      </c>
      <c r="K4087" s="196"/>
      <c r="L4087" s="87"/>
      <c r="M4087" s="245"/>
      <c r="N4087" s="168"/>
    </row>
    <row r="4088" ht="22.5" hidden="1" customHeight="1">
      <c r="A4088" s="137"/>
      <c r="B4088" s="90"/>
      <c r="C4088" s="55"/>
      <c r="D4088" s="193"/>
      <c r="E4088" s="201"/>
      <c r="F4088" s="202"/>
      <c r="G4088" s="194"/>
      <c r="H4088" s="198"/>
      <c r="I4088" s="196"/>
      <c r="J4088" s="179" t="str">
        <f>IF(A4088="RAPPI",(VLOOKUP(TRIM(D4088), CATALOGO!F:G, 2, FALSE) * C4088)+I4088,IFERROR(IF(COUNTIF('RESTAURANTESDESCUENTOS 2026'!A:A,TRIM(A4088))&gt;0,((VLOOKUP(TRIM(D4088), CATALOGO!A:B, 2, FALSE) * C4088)*(1-VALUE(SUBSTITUTE(VLOOKUP(TRIM(A4088),'RESTAURANTESDESCUENTOS 2026'!A:B,2,FALSE),"%",""))/100)+I4088),(VLOOKUP(TRIM(D4088), CATALOGO!A:B, 2, FALSE) * C4088+I4088)),""))</f>
        <v/>
      </c>
      <c r="K4088" s="196"/>
      <c r="L4088" s="87"/>
      <c r="M4088" s="245"/>
      <c r="N4088" s="168"/>
    </row>
    <row r="4089" ht="22.5" hidden="1" customHeight="1">
      <c r="A4089" s="137"/>
      <c r="B4089" s="90"/>
      <c r="C4089" s="55"/>
      <c r="D4089" s="193"/>
      <c r="E4089" s="201"/>
      <c r="F4089" s="202"/>
      <c r="G4089" s="194"/>
      <c r="H4089" s="198"/>
      <c r="I4089" s="196"/>
      <c r="J4089" s="179" t="str">
        <f>IF(A4089="RAPPI",(VLOOKUP(TRIM(D4089), CATALOGO!F:G, 2, FALSE) * C4089)+I4089,IFERROR(IF(COUNTIF('RESTAURANTESDESCUENTOS 2026'!A:A,TRIM(A4089))&gt;0,((VLOOKUP(TRIM(D4089), CATALOGO!A:B, 2, FALSE) * C4089)*(1-VALUE(SUBSTITUTE(VLOOKUP(TRIM(A4089),'RESTAURANTESDESCUENTOS 2026'!A:B,2,FALSE),"%",""))/100)+I4089),(VLOOKUP(TRIM(D4089), CATALOGO!A:B, 2, FALSE) * C4089+I4089)),""))</f>
        <v/>
      </c>
      <c r="K4089" s="196"/>
      <c r="L4089" s="87"/>
      <c r="M4089" s="245"/>
      <c r="N4089" s="168"/>
    </row>
    <row r="4090" ht="22.5" hidden="1" customHeight="1">
      <c r="A4090" s="137"/>
      <c r="B4090" s="90"/>
      <c r="C4090" s="55"/>
      <c r="D4090" s="193"/>
      <c r="E4090" s="201"/>
      <c r="F4090" s="202"/>
      <c r="G4090" s="194"/>
      <c r="H4090" s="198"/>
      <c r="I4090" s="196"/>
      <c r="J4090" s="179" t="str">
        <f>IF(A4090="RAPPI",(VLOOKUP(TRIM(D4090), CATALOGO!F:G, 2, FALSE) * C4090)+I4090,IFERROR(IF(COUNTIF('RESTAURANTESDESCUENTOS 2026'!A:A,TRIM(A4090))&gt;0,((VLOOKUP(TRIM(D4090), CATALOGO!A:B, 2, FALSE) * C4090)*(1-VALUE(SUBSTITUTE(VLOOKUP(TRIM(A4090),'RESTAURANTESDESCUENTOS 2026'!A:B,2,FALSE),"%",""))/100)+I4090),(VLOOKUP(TRIM(D4090), CATALOGO!A:B, 2, FALSE) * C4090+I4090)),""))</f>
        <v/>
      </c>
      <c r="K4090" s="196"/>
      <c r="L4090" s="87"/>
      <c r="M4090" s="245"/>
      <c r="N4090" s="168"/>
    </row>
    <row r="4091" ht="22.5" hidden="1" customHeight="1">
      <c r="A4091" s="137"/>
      <c r="B4091" s="90"/>
      <c r="C4091" s="55"/>
      <c r="D4091" s="193"/>
      <c r="E4091" s="201"/>
      <c r="F4091" s="202"/>
      <c r="G4091" s="194"/>
      <c r="H4091" s="198"/>
      <c r="I4091" s="196"/>
      <c r="J4091" s="179" t="str">
        <f>IF(A4091="RAPPI",(VLOOKUP(TRIM(D4091), CATALOGO!F:G, 2, FALSE) * C4091)+I4091,IFERROR(IF(COUNTIF('RESTAURANTESDESCUENTOS 2026'!A:A,TRIM(A4091))&gt;0,((VLOOKUP(TRIM(D4091), CATALOGO!A:B, 2, FALSE) * C4091)*(1-VALUE(SUBSTITUTE(VLOOKUP(TRIM(A4091),'RESTAURANTESDESCUENTOS 2026'!A:B,2,FALSE),"%",""))/100)+I4091),(VLOOKUP(TRIM(D4091), CATALOGO!A:B, 2, FALSE) * C4091+I4091)),""))</f>
        <v/>
      </c>
      <c r="K4091" s="196"/>
      <c r="L4091" s="87"/>
      <c r="M4091" s="245"/>
      <c r="N4091" s="168"/>
    </row>
    <row r="4092" ht="22.5" hidden="1" customHeight="1">
      <c r="A4092" s="137"/>
      <c r="B4092" s="90"/>
      <c r="C4092" s="55"/>
      <c r="D4092" s="193"/>
      <c r="E4092" s="201"/>
      <c r="F4092" s="202"/>
      <c r="G4092" s="194"/>
      <c r="H4092" s="198"/>
      <c r="I4092" s="196"/>
      <c r="J4092" s="179" t="str">
        <f>IF(A4092="RAPPI",(VLOOKUP(TRIM(D4092), CATALOGO!F:G, 2, FALSE) * C4092)+I4092,IFERROR(IF(COUNTIF('RESTAURANTESDESCUENTOS 2026'!A:A,TRIM(A4092))&gt;0,((VLOOKUP(TRIM(D4092), CATALOGO!A:B, 2, FALSE) * C4092)*(1-VALUE(SUBSTITUTE(VLOOKUP(TRIM(A4092),'RESTAURANTESDESCUENTOS 2026'!A:B,2,FALSE),"%",""))/100)+I4092),(VLOOKUP(TRIM(D4092), CATALOGO!A:B, 2, FALSE) * C4092+I4092)),""))</f>
        <v/>
      </c>
      <c r="K4092" s="196"/>
      <c r="L4092" s="87"/>
      <c r="M4092" s="245"/>
      <c r="N4092" s="168"/>
    </row>
    <row r="4093" ht="22.5" hidden="1" customHeight="1">
      <c r="A4093" s="137"/>
      <c r="B4093" s="90"/>
      <c r="C4093" s="55"/>
      <c r="D4093" s="193"/>
      <c r="E4093" s="201"/>
      <c r="F4093" s="202"/>
      <c r="G4093" s="194"/>
      <c r="H4093" s="198"/>
      <c r="I4093" s="196"/>
      <c r="J4093" s="179" t="str">
        <f>IF(A4093="RAPPI",(VLOOKUP(TRIM(D4093), CATALOGO!F:G, 2, FALSE) * C4093)+I4093,IFERROR(IF(COUNTIF('RESTAURANTESDESCUENTOS 2026'!A:A,TRIM(A4093))&gt;0,((VLOOKUP(TRIM(D4093), CATALOGO!A:B, 2, FALSE) * C4093)*(1-VALUE(SUBSTITUTE(VLOOKUP(TRIM(A4093),'RESTAURANTESDESCUENTOS 2026'!A:B,2,FALSE),"%",""))/100)+I4093),(VLOOKUP(TRIM(D4093), CATALOGO!A:B, 2, FALSE) * C4093+I4093)),""))</f>
        <v/>
      </c>
      <c r="K4093" s="196"/>
      <c r="L4093" s="87"/>
      <c r="M4093" s="245"/>
      <c r="N4093" s="168"/>
    </row>
    <row r="4094" ht="22.5" hidden="1" customHeight="1">
      <c r="A4094" s="137"/>
      <c r="B4094" s="90"/>
      <c r="C4094" s="55"/>
      <c r="D4094" s="193"/>
      <c r="E4094" s="201"/>
      <c r="F4094" s="202"/>
      <c r="G4094" s="194"/>
      <c r="H4094" s="198"/>
      <c r="I4094" s="196"/>
      <c r="J4094" s="179" t="str">
        <f>IF(A4094="RAPPI",(VLOOKUP(TRIM(D4094), CATALOGO!F:G, 2, FALSE) * C4094)+I4094,IFERROR(IF(COUNTIF('RESTAURANTESDESCUENTOS 2026'!A:A,TRIM(A4094))&gt;0,((VLOOKUP(TRIM(D4094), CATALOGO!A:B, 2, FALSE) * C4094)*(1-VALUE(SUBSTITUTE(VLOOKUP(TRIM(A4094),'RESTAURANTESDESCUENTOS 2026'!A:B,2,FALSE),"%",""))/100)+I4094),(VLOOKUP(TRIM(D4094), CATALOGO!A:B, 2, FALSE) * C4094+I4094)),""))</f>
        <v/>
      </c>
      <c r="K4094" s="196"/>
      <c r="L4094" s="87"/>
      <c r="M4094" s="245"/>
      <c r="N4094" s="168"/>
    </row>
    <row r="4095" ht="22.5" hidden="1" customHeight="1">
      <c r="A4095" s="137"/>
      <c r="B4095" s="90"/>
      <c r="C4095" s="55"/>
      <c r="D4095" s="193"/>
      <c r="E4095" s="201"/>
      <c r="F4095" s="202"/>
      <c r="G4095" s="194"/>
      <c r="H4095" s="198"/>
      <c r="I4095" s="196"/>
      <c r="J4095" s="179" t="str">
        <f>IF(A4095="RAPPI",(VLOOKUP(TRIM(D4095), CATALOGO!F:G, 2, FALSE) * C4095)+I4095,IFERROR(IF(COUNTIF('RESTAURANTESDESCUENTOS 2026'!A:A,TRIM(A4095))&gt;0,((VLOOKUP(TRIM(D4095), CATALOGO!A:B, 2, FALSE) * C4095)*(1-VALUE(SUBSTITUTE(VLOOKUP(TRIM(A4095),'RESTAURANTESDESCUENTOS 2026'!A:B,2,FALSE),"%",""))/100)+I4095),(VLOOKUP(TRIM(D4095), CATALOGO!A:B, 2, FALSE) * C4095+I4095)),""))</f>
        <v/>
      </c>
      <c r="K4095" s="196"/>
      <c r="L4095" s="87"/>
      <c r="M4095" s="245"/>
      <c r="N4095" s="168"/>
    </row>
    <row r="4096" ht="22.5" hidden="1" customHeight="1">
      <c r="A4096" s="137"/>
      <c r="B4096" s="90"/>
      <c r="C4096" s="55"/>
      <c r="D4096" s="193"/>
      <c r="E4096" s="201"/>
      <c r="F4096" s="202"/>
      <c r="G4096" s="194"/>
      <c r="H4096" s="198"/>
      <c r="I4096" s="196"/>
      <c r="J4096" s="179" t="str">
        <f>IF(A4096="RAPPI",(VLOOKUP(TRIM(D4096), CATALOGO!F:G, 2, FALSE) * C4096)+I4096,IFERROR(IF(COUNTIF('RESTAURANTESDESCUENTOS 2026'!A:A,TRIM(A4096))&gt;0,((VLOOKUP(TRIM(D4096), CATALOGO!A:B, 2, FALSE) * C4096)*(1-VALUE(SUBSTITUTE(VLOOKUP(TRIM(A4096),'RESTAURANTESDESCUENTOS 2026'!A:B,2,FALSE),"%",""))/100)+I4096),(VLOOKUP(TRIM(D4096), CATALOGO!A:B, 2, FALSE) * C4096+I4096)),""))</f>
        <v/>
      </c>
      <c r="K4096" s="196"/>
      <c r="L4096" s="87"/>
      <c r="M4096" s="245"/>
      <c r="N4096" s="168"/>
    </row>
    <row r="4097" ht="22.5" hidden="1" customHeight="1">
      <c r="A4097" s="137"/>
      <c r="B4097" s="90"/>
      <c r="C4097" s="55"/>
      <c r="D4097" s="193"/>
      <c r="E4097" s="201"/>
      <c r="F4097" s="202"/>
      <c r="G4097" s="194"/>
      <c r="H4097" s="198"/>
      <c r="I4097" s="196"/>
      <c r="J4097" s="179" t="str">
        <f>IF(A4097="RAPPI",(VLOOKUP(TRIM(D4097), CATALOGO!F:G, 2, FALSE) * C4097)+I4097,IFERROR(IF(COUNTIF('RESTAURANTESDESCUENTOS 2026'!A:A,TRIM(A4097))&gt;0,((VLOOKUP(TRIM(D4097), CATALOGO!A:B, 2, FALSE) * C4097)*(1-VALUE(SUBSTITUTE(VLOOKUP(TRIM(A4097),'RESTAURANTESDESCUENTOS 2026'!A:B,2,FALSE),"%",""))/100)+I4097),(VLOOKUP(TRIM(D4097), CATALOGO!A:B, 2, FALSE) * C4097+I4097)),""))</f>
        <v/>
      </c>
      <c r="K4097" s="196"/>
      <c r="L4097" s="87"/>
      <c r="M4097" s="245"/>
      <c r="N4097" s="168"/>
    </row>
    <row r="4098" ht="22.5" hidden="1" customHeight="1">
      <c r="A4098" s="137"/>
      <c r="B4098" s="90"/>
      <c r="C4098" s="55"/>
      <c r="D4098" s="193"/>
      <c r="E4098" s="201"/>
      <c r="F4098" s="202"/>
      <c r="G4098" s="194"/>
      <c r="H4098" s="198"/>
      <c r="I4098" s="196"/>
      <c r="J4098" s="179" t="str">
        <f>IF(A4098="RAPPI",(VLOOKUP(TRIM(D4098), CATALOGO!F:G, 2, FALSE) * C4098)+I4098,IFERROR(IF(COUNTIF('RESTAURANTESDESCUENTOS 2026'!A:A,TRIM(A4098))&gt;0,((VLOOKUP(TRIM(D4098), CATALOGO!A:B, 2, FALSE) * C4098)*(1-VALUE(SUBSTITUTE(VLOOKUP(TRIM(A4098),'RESTAURANTESDESCUENTOS 2026'!A:B,2,FALSE),"%",""))/100)+I4098),(VLOOKUP(TRIM(D4098), CATALOGO!A:B, 2, FALSE) * C4098+I4098)),""))</f>
        <v/>
      </c>
      <c r="K4098" s="196"/>
      <c r="L4098" s="87"/>
      <c r="M4098" s="245"/>
      <c r="N4098" s="168"/>
    </row>
    <row r="4099" ht="22.5" hidden="1" customHeight="1">
      <c r="A4099" s="137"/>
      <c r="B4099" s="90"/>
      <c r="C4099" s="55"/>
      <c r="D4099" s="193"/>
      <c r="E4099" s="201"/>
      <c r="F4099" s="202"/>
      <c r="G4099" s="194"/>
      <c r="H4099" s="198"/>
      <c r="I4099" s="196"/>
      <c r="J4099" s="179" t="str">
        <f>IF(A4099="RAPPI",(VLOOKUP(TRIM(D4099), CATALOGO!F:G, 2, FALSE) * C4099)+I4099,IFERROR(IF(COUNTIF('RESTAURANTESDESCUENTOS 2026'!A:A,TRIM(A4099))&gt;0,((VLOOKUP(TRIM(D4099), CATALOGO!A:B, 2, FALSE) * C4099)*(1-VALUE(SUBSTITUTE(VLOOKUP(TRIM(A4099),'RESTAURANTESDESCUENTOS 2026'!A:B,2,FALSE),"%",""))/100)+I4099),(VLOOKUP(TRIM(D4099), CATALOGO!A:B, 2, FALSE) * C4099+I4099)),""))</f>
        <v/>
      </c>
      <c r="K4099" s="196"/>
      <c r="L4099" s="87"/>
      <c r="M4099" s="245"/>
      <c r="N4099" s="168"/>
    </row>
    <row r="4100" ht="22.5" hidden="1" customHeight="1">
      <c r="A4100" s="137"/>
      <c r="B4100" s="90"/>
      <c r="C4100" s="55"/>
      <c r="D4100" s="193"/>
      <c r="E4100" s="201"/>
      <c r="F4100" s="202"/>
      <c r="G4100" s="194"/>
      <c r="H4100" s="198"/>
      <c r="I4100" s="196"/>
      <c r="J4100" s="179" t="str">
        <f>IF(A4100="RAPPI",(VLOOKUP(TRIM(D4100), CATALOGO!F:G, 2, FALSE) * C4100)+I4100,IFERROR(IF(COUNTIF('RESTAURANTESDESCUENTOS 2026'!A:A,TRIM(A4100))&gt;0,((VLOOKUP(TRIM(D4100), CATALOGO!A:B, 2, FALSE) * C4100)*(1-VALUE(SUBSTITUTE(VLOOKUP(TRIM(A4100),'RESTAURANTESDESCUENTOS 2026'!A:B,2,FALSE),"%",""))/100)+I4100),(VLOOKUP(TRIM(D4100), CATALOGO!A:B, 2, FALSE) * C4100+I4100)),""))</f>
        <v/>
      </c>
      <c r="K4100" s="196"/>
      <c r="L4100" s="87"/>
      <c r="M4100" s="245"/>
      <c r="N4100" s="168"/>
    </row>
    <row r="4101" ht="22.5" hidden="1" customHeight="1">
      <c r="A4101" s="137"/>
      <c r="B4101" s="90"/>
      <c r="C4101" s="55"/>
      <c r="D4101" s="193"/>
      <c r="E4101" s="201"/>
      <c r="F4101" s="202"/>
      <c r="G4101" s="194"/>
      <c r="H4101" s="198"/>
      <c r="I4101" s="196"/>
      <c r="J4101" s="179" t="str">
        <f>IF(A4101="RAPPI",(VLOOKUP(TRIM(D4101), CATALOGO!F:G, 2, FALSE) * C4101)+I4101,IFERROR(IF(COUNTIF('RESTAURANTESDESCUENTOS 2026'!A:A,TRIM(A4101))&gt;0,((VLOOKUP(TRIM(D4101), CATALOGO!A:B, 2, FALSE) * C4101)*(1-VALUE(SUBSTITUTE(VLOOKUP(TRIM(A4101),'RESTAURANTESDESCUENTOS 2026'!A:B,2,FALSE),"%",""))/100)+I4101),(VLOOKUP(TRIM(D4101), CATALOGO!A:B, 2, FALSE) * C4101+I4101)),""))</f>
        <v/>
      </c>
      <c r="K4101" s="196"/>
      <c r="L4101" s="87"/>
      <c r="M4101" s="245"/>
      <c r="N4101" s="168"/>
    </row>
    <row r="4102" ht="22.5" hidden="1" customHeight="1">
      <c r="A4102" s="137"/>
      <c r="B4102" s="90"/>
      <c r="C4102" s="55"/>
      <c r="D4102" s="193"/>
      <c r="E4102" s="201"/>
      <c r="F4102" s="202"/>
      <c r="G4102" s="194"/>
      <c r="H4102" s="198"/>
      <c r="I4102" s="196"/>
      <c r="J4102" s="179" t="str">
        <f>IF(A4102="RAPPI",(VLOOKUP(TRIM(D4102), CATALOGO!F:G, 2, FALSE) * C4102)+I4102,IFERROR(IF(COUNTIF('RESTAURANTESDESCUENTOS 2026'!A:A,TRIM(A4102))&gt;0,((VLOOKUP(TRIM(D4102), CATALOGO!A:B, 2, FALSE) * C4102)*(1-VALUE(SUBSTITUTE(VLOOKUP(TRIM(A4102),'RESTAURANTESDESCUENTOS 2026'!A:B,2,FALSE),"%",""))/100)+I4102),(VLOOKUP(TRIM(D4102), CATALOGO!A:B, 2, FALSE) * C4102+I4102)),""))</f>
        <v/>
      </c>
      <c r="K4102" s="196"/>
      <c r="L4102" s="87"/>
      <c r="M4102" s="245"/>
      <c r="N4102" s="168"/>
    </row>
    <row r="4103" ht="22.5" hidden="1" customHeight="1">
      <c r="A4103" s="137"/>
      <c r="B4103" s="90"/>
      <c r="C4103" s="55"/>
      <c r="D4103" s="193"/>
      <c r="E4103" s="201"/>
      <c r="F4103" s="202"/>
      <c r="G4103" s="194"/>
      <c r="H4103" s="198"/>
      <c r="I4103" s="196"/>
      <c r="J4103" s="179" t="str">
        <f>IF(A4103="RAPPI",(VLOOKUP(TRIM(D4103), CATALOGO!F:G, 2, FALSE) * C4103)+I4103,IFERROR(IF(COUNTIF('RESTAURANTESDESCUENTOS 2026'!A:A,TRIM(A4103))&gt;0,((VLOOKUP(TRIM(D4103), CATALOGO!A:B, 2, FALSE) * C4103)*(1-VALUE(SUBSTITUTE(VLOOKUP(TRIM(A4103),'RESTAURANTESDESCUENTOS 2026'!A:B,2,FALSE),"%",""))/100)+I4103),(VLOOKUP(TRIM(D4103), CATALOGO!A:B, 2, FALSE) * C4103+I4103)),""))</f>
        <v/>
      </c>
      <c r="K4103" s="196"/>
      <c r="L4103" s="87"/>
      <c r="M4103" s="245"/>
      <c r="N4103" s="168"/>
    </row>
    <row r="4104" ht="22.5" hidden="1" customHeight="1">
      <c r="A4104" s="137"/>
      <c r="B4104" s="90"/>
      <c r="C4104" s="55"/>
      <c r="D4104" s="193"/>
      <c r="E4104" s="201"/>
      <c r="F4104" s="202"/>
      <c r="G4104" s="194"/>
      <c r="H4104" s="198"/>
      <c r="I4104" s="196"/>
      <c r="J4104" s="179" t="str">
        <f>IF(A4104="RAPPI",(VLOOKUP(TRIM(D4104), CATALOGO!F:G, 2, FALSE) * C4104)+I4104,IFERROR(IF(COUNTIF('RESTAURANTESDESCUENTOS 2026'!A:A,TRIM(A4104))&gt;0,((VLOOKUP(TRIM(D4104), CATALOGO!A:B, 2, FALSE) * C4104)*(1-VALUE(SUBSTITUTE(VLOOKUP(TRIM(A4104),'RESTAURANTESDESCUENTOS 2026'!A:B,2,FALSE),"%",""))/100)+I4104),(VLOOKUP(TRIM(D4104), CATALOGO!A:B, 2, FALSE) * C4104+I4104)),""))</f>
        <v/>
      </c>
      <c r="K4104" s="196"/>
      <c r="L4104" s="87"/>
      <c r="M4104" s="245"/>
      <c r="N4104" s="168"/>
    </row>
    <row r="4105" ht="22.5" hidden="1" customHeight="1">
      <c r="A4105" s="137"/>
      <c r="B4105" s="90"/>
      <c r="C4105" s="55"/>
      <c r="D4105" s="193"/>
      <c r="E4105" s="201"/>
      <c r="F4105" s="202"/>
      <c r="G4105" s="194"/>
      <c r="H4105" s="198"/>
      <c r="I4105" s="196"/>
      <c r="J4105" s="179" t="str">
        <f>IF(A4105="RAPPI",(VLOOKUP(TRIM(D4105), CATALOGO!F:G, 2, FALSE) * C4105)+I4105,IFERROR(IF(COUNTIF('RESTAURANTESDESCUENTOS 2026'!A:A,TRIM(A4105))&gt;0,((VLOOKUP(TRIM(D4105), CATALOGO!A:B, 2, FALSE) * C4105)*(1-VALUE(SUBSTITUTE(VLOOKUP(TRIM(A4105),'RESTAURANTESDESCUENTOS 2026'!A:B,2,FALSE),"%",""))/100)+I4105),(VLOOKUP(TRIM(D4105), CATALOGO!A:B, 2, FALSE) * C4105+I4105)),""))</f>
        <v/>
      </c>
      <c r="K4105" s="196"/>
      <c r="L4105" s="87"/>
      <c r="M4105" s="245"/>
      <c r="N4105" s="168"/>
    </row>
    <row r="4106" ht="22.5" hidden="1" customHeight="1">
      <c r="A4106" s="137"/>
      <c r="B4106" s="90"/>
      <c r="C4106" s="55"/>
      <c r="D4106" s="193"/>
      <c r="E4106" s="201"/>
      <c r="F4106" s="202"/>
      <c r="G4106" s="194"/>
      <c r="H4106" s="198"/>
      <c r="I4106" s="196"/>
      <c r="J4106" s="179" t="str">
        <f>IF(A4106="RAPPI",(VLOOKUP(TRIM(D4106), CATALOGO!F:G, 2, FALSE) * C4106)+I4106,IFERROR(IF(COUNTIF('RESTAURANTESDESCUENTOS 2026'!A:A,TRIM(A4106))&gt;0,((VLOOKUP(TRIM(D4106), CATALOGO!A:B, 2, FALSE) * C4106)*(1-VALUE(SUBSTITUTE(VLOOKUP(TRIM(A4106),'RESTAURANTESDESCUENTOS 2026'!A:B,2,FALSE),"%",""))/100)+I4106),(VLOOKUP(TRIM(D4106), CATALOGO!A:B, 2, FALSE) * C4106+I4106)),""))</f>
        <v/>
      </c>
      <c r="K4106" s="196"/>
      <c r="L4106" s="87"/>
      <c r="M4106" s="245"/>
      <c r="N4106" s="168"/>
    </row>
    <row r="4107" ht="22.5" hidden="1" customHeight="1">
      <c r="A4107" s="137"/>
      <c r="B4107" s="90"/>
      <c r="C4107" s="55"/>
      <c r="D4107" s="193"/>
      <c r="E4107" s="201"/>
      <c r="F4107" s="202"/>
      <c r="G4107" s="194"/>
      <c r="H4107" s="198"/>
      <c r="I4107" s="196"/>
      <c r="J4107" s="179" t="str">
        <f>IF(A4107="RAPPI",(VLOOKUP(TRIM(D4107), CATALOGO!F:G, 2, FALSE) * C4107)+I4107,IFERROR(IF(COUNTIF('RESTAURANTESDESCUENTOS 2026'!A:A,TRIM(A4107))&gt;0,((VLOOKUP(TRIM(D4107), CATALOGO!A:B, 2, FALSE) * C4107)*(1-VALUE(SUBSTITUTE(VLOOKUP(TRIM(A4107),'RESTAURANTESDESCUENTOS 2026'!A:B,2,FALSE),"%",""))/100)+I4107),(VLOOKUP(TRIM(D4107), CATALOGO!A:B, 2, FALSE) * C4107+I4107)),""))</f>
        <v/>
      </c>
      <c r="K4107" s="196"/>
      <c r="L4107" s="87"/>
      <c r="M4107" s="245"/>
      <c r="N4107" s="168"/>
    </row>
    <row r="4108" ht="22.5" hidden="1" customHeight="1">
      <c r="A4108" s="137"/>
      <c r="B4108" s="90"/>
      <c r="C4108" s="55"/>
      <c r="D4108" s="193"/>
      <c r="E4108" s="201"/>
      <c r="F4108" s="202"/>
      <c r="G4108" s="194"/>
      <c r="H4108" s="198"/>
      <c r="I4108" s="196"/>
      <c r="J4108" s="179" t="str">
        <f>IF(A4108="RAPPI",(VLOOKUP(TRIM(D4108), CATALOGO!F:G, 2, FALSE) * C4108)+I4108,IFERROR(IF(COUNTIF('RESTAURANTESDESCUENTOS 2026'!A:A,TRIM(A4108))&gt;0,((VLOOKUP(TRIM(D4108), CATALOGO!A:B, 2, FALSE) * C4108)*(1-VALUE(SUBSTITUTE(VLOOKUP(TRIM(A4108),'RESTAURANTESDESCUENTOS 2026'!A:B,2,FALSE),"%",""))/100)+I4108),(VLOOKUP(TRIM(D4108), CATALOGO!A:B, 2, FALSE) * C4108+I4108)),""))</f>
        <v/>
      </c>
      <c r="K4108" s="196"/>
      <c r="L4108" s="87"/>
      <c r="M4108" s="245"/>
      <c r="N4108" s="168"/>
    </row>
    <row r="4109" ht="22.5" hidden="1" customHeight="1">
      <c r="A4109" s="137"/>
      <c r="B4109" s="90"/>
      <c r="C4109" s="55"/>
      <c r="D4109" s="193"/>
      <c r="E4109" s="201"/>
      <c r="F4109" s="202"/>
      <c r="G4109" s="194"/>
      <c r="H4109" s="198"/>
      <c r="I4109" s="196"/>
      <c r="J4109" s="179" t="str">
        <f>IF(A4109="RAPPI",(VLOOKUP(TRIM(D4109), CATALOGO!F:G, 2, FALSE) * C4109)+I4109,IFERROR(IF(COUNTIF('RESTAURANTESDESCUENTOS 2026'!A:A,TRIM(A4109))&gt;0,((VLOOKUP(TRIM(D4109), CATALOGO!A:B, 2, FALSE) * C4109)*(1-VALUE(SUBSTITUTE(VLOOKUP(TRIM(A4109),'RESTAURANTESDESCUENTOS 2026'!A:B,2,FALSE),"%",""))/100)+I4109),(VLOOKUP(TRIM(D4109), CATALOGO!A:B, 2, FALSE) * C4109+I4109)),""))</f>
        <v/>
      </c>
      <c r="K4109" s="196"/>
      <c r="L4109" s="87"/>
      <c r="M4109" s="245"/>
      <c r="N4109" s="168"/>
    </row>
    <row r="4110" ht="22.5" hidden="1" customHeight="1">
      <c r="A4110" s="137"/>
      <c r="B4110" s="90"/>
      <c r="C4110" s="55"/>
      <c r="D4110" s="193"/>
      <c r="E4110" s="201"/>
      <c r="F4110" s="202"/>
      <c r="G4110" s="194"/>
      <c r="H4110" s="198"/>
      <c r="I4110" s="196"/>
      <c r="J4110" s="179" t="str">
        <f>IF(A4110="RAPPI",(VLOOKUP(TRIM(D4110), CATALOGO!F:G, 2, FALSE) * C4110)+I4110,IFERROR(IF(COUNTIF('RESTAURANTESDESCUENTOS 2026'!A:A,TRIM(A4110))&gt;0,((VLOOKUP(TRIM(D4110), CATALOGO!A:B, 2, FALSE) * C4110)*(1-VALUE(SUBSTITUTE(VLOOKUP(TRIM(A4110),'RESTAURANTESDESCUENTOS 2026'!A:B,2,FALSE),"%",""))/100)+I4110),(VLOOKUP(TRIM(D4110), CATALOGO!A:B, 2, FALSE) * C4110+I4110)),""))</f>
        <v/>
      </c>
      <c r="K4110" s="196"/>
      <c r="L4110" s="87"/>
      <c r="M4110" s="245"/>
      <c r="N4110" s="168"/>
    </row>
    <row r="4111" ht="22.5" hidden="1" customHeight="1">
      <c r="A4111" s="137"/>
      <c r="B4111" s="90"/>
      <c r="C4111" s="55"/>
      <c r="D4111" s="193"/>
      <c r="E4111" s="201"/>
      <c r="F4111" s="202"/>
      <c r="G4111" s="194"/>
      <c r="H4111" s="198"/>
      <c r="I4111" s="196"/>
      <c r="J4111" s="179" t="str">
        <f>IF(A4111="RAPPI",(VLOOKUP(TRIM(D4111), CATALOGO!F:G, 2, FALSE) * C4111)+I4111,IFERROR(IF(COUNTIF('RESTAURANTESDESCUENTOS 2026'!A:A,TRIM(A4111))&gt;0,((VLOOKUP(TRIM(D4111), CATALOGO!A:B, 2, FALSE) * C4111)*(1-VALUE(SUBSTITUTE(VLOOKUP(TRIM(A4111),'RESTAURANTESDESCUENTOS 2026'!A:B,2,FALSE),"%",""))/100)+I4111),(VLOOKUP(TRIM(D4111), CATALOGO!A:B, 2, FALSE) * C4111+I4111)),""))</f>
        <v/>
      </c>
      <c r="K4111" s="196"/>
      <c r="L4111" s="87"/>
      <c r="M4111" s="245"/>
      <c r="N4111" s="168"/>
    </row>
    <row r="4112" ht="22.5" hidden="1" customHeight="1">
      <c r="A4112" s="137"/>
      <c r="B4112" s="90"/>
      <c r="C4112" s="55"/>
      <c r="D4112" s="193"/>
      <c r="E4112" s="201"/>
      <c r="F4112" s="202"/>
      <c r="G4112" s="194"/>
      <c r="H4112" s="198"/>
      <c r="I4112" s="196"/>
      <c r="J4112" s="179" t="str">
        <f>IF(A4112="RAPPI",(VLOOKUP(TRIM(D4112), CATALOGO!F:G, 2, FALSE) * C4112)+I4112,IFERROR(IF(COUNTIF('RESTAURANTESDESCUENTOS 2026'!A:A,TRIM(A4112))&gt;0,((VLOOKUP(TRIM(D4112), CATALOGO!A:B, 2, FALSE) * C4112)*(1-VALUE(SUBSTITUTE(VLOOKUP(TRIM(A4112),'RESTAURANTESDESCUENTOS 2026'!A:B,2,FALSE),"%",""))/100)+I4112),(VLOOKUP(TRIM(D4112), CATALOGO!A:B, 2, FALSE) * C4112+I4112)),""))</f>
        <v/>
      </c>
      <c r="K4112" s="196"/>
      <c r="L4112" s="87"/>
      <c r="M4112" s="245"/>
      <c r="N4112" s="168"/>
    </row>
    <row r="4113" ht="22.5" hidden="1" customHeight="1">
      <c r="A4113" s="137"/>
      <c r="B4113" s="90"/>
      <c r="C4113" s="55"/>
      <c r="D4113" s="193"/>
      <c r="E4113" s="201"/>
      <c r="F4113" s="202"/>
      <c r="G4113" s="194"/>
      <c r="H4113" s="198"/>
      <c r="I4113" s="196"/>
      <c r="J4113" s="179" t="str">
        <f>IF(A4113="RAPPI",(VLOOKUP(TRIM(D4113), CATALOGO!F:G, 2, FALSE) * C4113)+I4113,IFERROR(IF(COUNTIF('RESTAURANTESDESCUENTOS 2026'!A:A,TRIM(A4113))&gt;0,((VLOOKUP(TRIM(D4113), CATALOGO!A:B, 2, FALSE) * C4113)*(1-VALUE(SUBSTITUTE(VLOOKUP(TRIM(A4113),'RESTAURANTESDESCUENTOS 2026'!A:B,2,FALSE),"%",""))/100)+I4113),(VLOOKUP(TRIM(D4113), CATALOGO!A:B, 2, FALSE) * C4113+I4113)),""))</f>
        <v/>
      </c>
      <c r="K4113" s="196"/>
      <c r="L4113" s="87"/>
      <c r="M4113" s="245"/>
      <c r="N4113" s="168"/>
    </row>
    <row r="4114" ht="22.5" hidden="1" customHeight="1">
      <c r="A4114" s="137"/>
      <c r="B4114" s="90"/>
      <c r="C4114" s="55"/>
      <c r="D4114" s="193"/>
      <c r="E4114" s="201"/>
      <c r="F4114" s="202"/>
      <c r="G4114" s="194"/>
      <c r="H4114" s="198"/>
      <c r="I4114" s="196"/>
      <c r="J4114" s="179" t="str">
        <f>IF(A4114="RAPPI",(VLOOKUP(TRIM(D4114), CATALOGO!F:G, 2, FALSE) * C4114)+I4114,IFERROR(IF(COUNTIF('RESTAURANTESDESCUENTOS 2026'!A:A,TRIM(A4114))&gt;0,((VLOOKUP(TRIM(D4114), CATALOGO!A:B, 2, FALSE) * C4114)*(1-VALUE(SUBSTITUTE(VLOOKUP(TRIM(A4114),'RESTAURANTESDESCUENTOS 2026'!A:B,2,FALSE),"%",""))/100)+I4114),(VLOOKUP(TRIM(D4114), CATALOGO!A:B, 2, FALSE) * C4114+I4114)),""))</f>
        <v/>
      </c>
      <c r="K4114" s="196"/>
      <c r="L4114" s="87"/>
      <c r="M4114" s="245"/>
      <c r="N4114" s="168"/>
    </row>
    <row r="4115" ht="22.5" hidden="1" customHeight="1">
      <c r="A4115" s="137"/>
      <c r="B4115" s="90"/>
      <c r="C4115" s="55"/>
      <c r="D4115" s="193"/>
      <c r="E4115" s="201"/>
      <c r="F4115" s="202"/>
      <c r="G4115" s="194"/>
      <c r="H4115" s="198"/>
      <c r="I4115" s="196"/>
      <c r="J4115" s="179" t="str">
        <f>IF(A4115="RAPPI",(VLOOKUP(TRIM(D4115), CATALOGO!F:G, 2, FALSE) * C4115)+I4115,IFERROR(IF(COUNTIF('RESTAURANTESDESCUENTOS 2026'!A:A,TRIM(A4115))&gt;0,((VLOOKUP(TRIM(D4115), CATALOGO!A:B, 2, FALSE) * C4115)*(1-VALUE(SUBSTITUTE(VLOOKUP(TRIM(A4115),'RESTAURANTESDESCUENTOS 2026'!A:B,2,FALSE),"%",""))/100)+I4115),(VLOOKUP(TRIM(D4115), CATALOGO!A:B, 2, FALSE) * C4115+I4115)),""))</f>
        <v/>
      </c>
      <c r="K4115" s="196"/>
      <c r="L4115" s="87"/>
      <c r="M4115" s="245"/>
      <c r="N4115" s="168"/>
    </row>
    <row r="4116" ht="22.5" hidden="1" customHeight="1">
      <c r="A4116" s="137"/>
      <c r="B4116" s="90"/>
      <c r="C4116" s="55"/>
      <c r="D4116" s="193"/>
      <c r="E4116" s="201"/>
      <c r="F4116" s="202"/>
      <c r="G4116" s="194"/>
      <c r="H4116" s="198"/>
      <c r="I4116" s="196"/>
      <c r="J4116" s="179" t="str">
        <f>IF(A4116="RAPPI",(VLOOKUP(TRIM(D4116), CATALOGO!F:G, 2, FALSE) * C4116)+I4116,IFERROR(IF(COUNTIF('RESTAURANTESDESCUENTOS 2026'!A:A,TRIM(A4116))&gt;0,((VLOOKUP(TRIM(D4116), CATALOGO!A:B, 2, FALSE) * C4116)*(1-VALUE(SUBSTITUTE(VLOOKUP(TRIM(A4116),'RESTAURANTESDESCUENTOS 2026'!A:B,2,FALSE),"%",""))/100)+I4116),(VLOOKUP(TRIM(D4116), CATALOGO!A:B, 2, FALSE) * C4116+I4116)),""))</f>
        <v/>
      </c>
      <c r="K4116" s="196"/>
      <c r="L4116" s="87"/>
      <c r="M4116" s="245"/>
      <c r="N4116" s="168"/>
    </row>
    <row r="4117" ht="22.5" hidden="1" customHeight="1">
      <c r="A4117" s="137"/>
      <c r="B4117" s="90"/>
      <c r="C4117" s="55"/>
      <c r="D4117" s="193"/>
      <c r="E4117" s="201"/>
      <c r="F4117" s="202"/>
      <c r="G4117" s="194"/>
      <c r="H4117" s="198"/>
      <c r="I4117" s="196"/>
      <c r="J4117" s="179" t="str">
        <f>IF(A4117="RAPPI",(VLOOKUP(TRIM(D4117), CATALOGO!F:G, 2, FALSE) * C4117)+I4117,IFERROR(IF(COUNTIF('RESTAURANTESDESCUENTOS 2026'!A:A,TRIM(A4117))&gt;0,((VLOOKUP(TRIM(D4117), CATALOGO!A:B, 2, FALSE) * C4117)*(1-VALUE(SUBSTITUTE(VLOOKUP(TRIM(A4117),'RESTAURANTESDESCUENTOS 2026'!A:B,2,FALSE),"%",""))/100)+I4117),(VLOOKUP(TRIM(D4117), CATALOGO!A:B, 2, FALSE) * C4117+I4117)),""))</f>
        <v/>
      </c>
      <c r="K4117" s="196"/>
      <c r="L4117" s="87"/>
      <c r="M4117" s="245"/>
      <c r="N4117" s="168"/>
    </row>
    <row r="4118" ht="22.5" hidden="1" customHeight="1">
      <c r="A4118" s="137"/>
      <c r="B4118" s="90"/>
      <c r="C4118" s="55"/>
      <c r="D4118" s="193"/>
      <c r="E4118" s="201"/>
      <c r="F4118" s="202"/>
      <c r="G4118" s="194"/>
      <c r="H4118" s="198"/>
      <c r="I4118" s="196"/>
      <c r="J4118" s="179" t="str">
        <f>IF(A4118="RAPPI",(VLOOKUP(TRIM(D4118), CATALOGO!F:G, 2, FALSE) * C4118)+I4118,IFERROR(IF(COUNTIF('RESTAURANTESDESCUENTOS 2026'!A:A,TRIM(A4118))&gt;0,((VLOOKUP(TRIM(D4118), CATALOGO!A:B, 2, FALSE) * C4118)*(1-VALUE(SUBSTITUTE(VLOOKUP(TRIM(A4118),'RESTAURANTESDESCUENTOS 2026'!A:B,2,FALSE),"%",""))/100)+I4118),(VLOOKUP(TRIM(D4118), CATALOGO!A:B, 2, FALSE) * C4118+I4118)),""))</f>
        <v/>
      </c>
      <c r="K4118" s="196"/>
      <c r="L4118" s="87"/>
      <c r="M4118" s="245"/>
      <c r="N4118" s="168"/>
    </row>
    <row r="4119" ht="22.5" hidden="1" customHeight="1">
      <c r="A4119" s="137"/>
      <c r="B4119" s="90"/>
      <c r="C4119" s="55"/>
      <c r="D4119" s="193"/>
      <c r="E4119" s="201"/>
      <c r="F4119" s="202"/>
      <c r="G4119" s="194"/>
      <c r="H4119" s="198"/>
      <c r="I4119" s="196"/>
      <c r="J4119" s="179" t="str">
        <f>IF(A4119="RAPPI",(VLOOKUP(TRIM(D4119), CATALOGO!F:G, 2, FALSE) * C4119)+I4119,IFERROR(IF(COUNTIF('RESTAURANTESDESCUENTOS 2026'!A:A,TRIM(A4119))&gt;0,((VLOOKUP(TRIM(D4119), CATALOGO!A:B, 2, FALSE) * C4119)*(1-VALUE(SUBSTITUTE(VLOOKUP(TRIM(A4119),'RESTAURANTESDESCUENTOS 2026'!A:B,2,FALSE),"%",""))/100)+I4119),(VLOOKUP(TRIM(D4119), CATALOGO!A:B, 2, FALSE) * C4119+I4119)),""))</f>
        <v/>
      </c>
      <c r="K4119" s="196"/>
      <c r="L4119" s="87"/>
      <c r="M4119" s="245"/>
      <c r="N4119" s="168"/>
    </row>
    <row r="4120" ht="22.5" hidden="1" customHeight="1">
      <c r="A4120" s="137"/>
      <c r="B4120" s="90"/>
      <c r="C4120" s="55"/>
      <c r="D4120" s="193"/>
      <c r="E4120" s="201"/>
      <c r="F4120" s="202"/>
      <c r="G4120" s="194"/>
      <c r="H4120" s="198"/>
      <c r="I4120" s="196"/>
      <c r="J4120" s="179" t="str">
        <f>IF(A4120="RAPPI",(VLOOKUP(TRIM(D4120), CATALOGO!F:G, 2, FALSE) * C4120)+I4120,IFERROR(IF(COUNTIF('RESTAURANTESDESCUENTOS 2026'!A:A,TRIM(A4120))&gt;0,((VLOOKUP(TRIM(D4120), CATALOGO!A:B, 2, FALSE) * C4120)*(1-VALUE(SUBSTITUTE(VLOOKUP(TRIM(A4120),'RESTAURANTESDESCUENTOS 2026'!A:B,2,FALSE),"%",""))/100)+I4120),(VLOOKUP(TRIM(D4120), CATALOGO!A:B, 2, FALSE) * C4120+I4120)),""))</f>
        <v/>
      </c>
      <c r="K4120" s="196"/>
      <c r="L4120" s="87"/>
      <c r="M4120" s="245"/>
      <c r="N4120" s="168"/>
    </row>
    <row r="4121" ht="22.5" hidden="1" customHeight="1">
      <c r="A4121" s="137"/>
      <c r="B4121" s="90"/>
      <c r="C4121" s="55"/>
      <c r="D4121" s="193"/>
      <c r="E4121" s="201"/>
      <c r="F4121" s="202"/>
      <c r="G4121" s="194"/>
      <c r="H4121" s="198"/>
      <c r="I4121" s="196"/>
      <c r="J4121" s="179" t="str">
        <f>IF(A4121="RAPPI",(VLOOKUP(TRIM(D4121), CATALOGO!F:G, 2, FALSE) * C4121)+I4121,IFERROR(IF(COUNTIF('RESTAURANTESDESCUENTOS 2026'!A:A,TRIM(A4121))&gt;0,((VLOOKUP(TRIM(D4121), CATALOGO!A:B, 2, FALSE) * C4121)*(1-VALUE(SUBSTITUTE(VLOOKUP(TRIM(A4121),'RESTAURANTESDESCUENTOS 2026'!A:B,2,FALSE),"%",""))/100)+I4121),(VLOOKUP(TRIM(D4121), CATALOGO!A:B, 2, FALSE) * C4121+I4121)),""))</f>
        <v/>
      </c>
      <c r="K4121" s="196"/>
      <c r="L4121" s="87"/>
      <c r="M4121" s="245"/>
      <c r="N4121" s="168"/>
    </row>
    <row r="4122" ht="22.5" hidden="1" customHeight="1">
      <c r="A4122" s="137"/>
      <c r="B4122" s="90"/>
      <c r="C4122" s="55"/>
      <c r="D4122" s="193"/>
      <c r="E4122" s="201"/>
      <c r="F4122" s="202"/>
      <c r="G4122" s="194"/>
      <c r="H4122" s="198"/>
      <c r="I4122" s="196"/>
      <c r="J4122" s="179" t="str">
        <f>IF(A4122="RAPPI",(VLOOKUP(TRIM(D4122), CATALOGO!F:G, 2, FALSE) * C4122)+I4122,IFERROR(IF(COUNTIF('RESTAURANTESDESCUENTOS 2026'!A:A,TRIM(A4122))&gt;0,((VLOOKUP(TRIM(D4122), CATALOGO!A:B, 2, FALSE) * C4122)*(1-VALUE(SUBSTITUTE(VLOOKUP(TRIM(A4122),'RESTAURANTESDESCUENTOS 2026'!A:B,2,FALSE),"%",""))/100)+I4122),(VLOOKUP(TRIM(D4122), CATALOGO!A:B, 2, FALSE) * C4122+I4122)),""))</f>
        <v/>
      </c>
      <c r="K4122" s="196"/>
      <c r="L4122" s="87"/>
      <c r="M4122" s="245"/>
      <c r="N4122" s="168"/>
    </row>
    <row r="4123" ht="22.5" hidden="1" customHeight="1">
      <c r="A4123" s="137"/>
      <c r="B4123" s="90"/>
      <c r="C4123" s="55"/>
      <c r="D4123" s="193"/>
      <c r="E4123" s="201"/>
      <c r="F4123" s="202"/>
      <c r="G4123" s="194"/>
      <c r="H4123" s="198"/>
      <c r="I4123" s="196"/>
      <c r="J4123" s="179" t="str">
        <f>IF(A4123="RAPPI",(VLOOKUP(TRIM(D4123), CATALOGO!F:G, 2, FALSE) * C4123)+I4123,IFERROR(IF(COUNTIF('RESTAURANTESDESCUENTOS 2026'!A:A,TRIM(A4123))&gt;0,((VLOOKUP(TRIM(D4123), CATALOGO!A:B, 2, FALSE) * C4123)*(1-VALUE(SUBSTITUTE(VLOOKUP(TRIM(A4123),'RESTAURANTESDESCUENTOS 2026'!A:B,2,FALSE),"%",""))/100)+I4123),(VLOOKUP(TRIM(D4123), CATALOGO!A:B, 2, FALSE) * C4123+I4123)),""))</f>
        <v/>
      </c>
      <c r="K4123" s="196"/>
      <c r="L4123" s="87"/>
      <c r="M4123" s="245"/>
      <c r="N4123" s="168"/>
    </row>
    <row r="4124" ht="22.5" hidden="1" customHeight="1">
      <c r="A4124" s="137"/>
      <c r="B4124" s="90"/>
      <c r="C4124" s="55"/>
      <c r="D4124" s="193"/>
      <c r="E4124" s="201"/>
      <c r="F4124" s="202"/>
      <c r="G4124" s="194"/>
      <c r="H4124" s="198"/>
      <c r="I4124" s="196"/>
      <c r="J4124" s="179" t="str">
        <f>IF(A4124="RAPPI",(VLOOKUP(TRIM(D4124), CATALOGO!F:G, 2, FALSE) * C4124)+I4124,IFERROR(IF(COUNTIF('RESTAURANTESDESCUENTOS 2026'!A:A,TRIM(A4124))&gt;0,((VLOOKUP(TRIM(D4124), CATALOGO!A:B, 2, FALSE) * C4124)*(1-VALUE(SUBSTITUTE(VLOOKUP(TRIM(A4124),'RESTAURANTESDESCUENTOS 2026'!A:B,2,FALSE),"%",""))/100)+I4124),(VLOOKUP(TRIM(D4124), CATALOGO!A:B, 2, FALSE) * C4124+I4124)),""))</f>
        <v/>
      </c>
      <c r="K4124" s="196"/>
      <c r="L4124" s="87"/>
      <c r="M4124" s="245"/>
      <c r="N4124" s="168"/>
    </row>
    <row r="4125" ht="22.5" hidden="1" customHeight="1">
      <c r="A4125" s="137"/>
      <c r="B4125" s="90"/>
      <c r="C4125" s="55"/>
      <c r="D4125" s="193"/>
      <c r="E4125" s="201"/>
      <c r="F4125" s="202"/>
      <c r="G4125" s="194"/>
      <c r="H4125" s="198"/>
      <c r="I4125" s="196"/>
      <c r="J4125" s="179" t="str">
        <f>IF(A4125="RAPPI",(VLOOKUP(TRIM(D4125), CATALOGO!F:G, 2, FALSE) * C4125)+I4125,IFERROR(IF(COUNTIF('RESTAURANTESDESCUENTOS 2026'!A:A,TRIM(A4125))&gt;0,((VLOOKUP(TRIM(D4125), CATALOGO!A:B, 2, FALSE) * C4125)*(1-VALUE(SUBSTITUTE(VLOOKUP(TRIM(A4125),'RESTAURANTESDESCUENTOS 2026'!A:B,2,FALSE),"%",""))/100)+I4125),(VLOOKUP(TRIM(D4125), CATALOGO!A:B, 2, FALSE) * C4125+I4125)),""))</f>
        <v/>
      </c>
      <c r="K4125" s="196"/>
      <c r="L4125" s="87"/>
      <c r="M4125" s="245"/>
      <c r="N4125" s="168"/>
    </row>
    <row r="4126" ht="22.5" hidden="1" customHeight="1">
      <c r="A4126" s="137"/>
      <c r="B4126" s="90"/>
      <c r="C4126" s="55"/>
      <c r="D4126" s="193"/>
      <c r="E4126" s="201"/>
      <c r="F4126" s="202"/>
      <c r="G4126" s="194"/>
      <c r="H4126" s="198"/>
      <c r="I4126" s="196"/>
      <c r="J4126" s="179" t="str">
        <f>IF(A4126="RAPPI",(VLOOKUP(TRIM(D4126), CATALOGO!F:G, 2, FALSE) * C4126)+I4126,IFERROR(IF(COUNTIF('RESTAURANTESDESCUENTOS 2026'!A:A,TRIM(A4126))&gt;0,((VLOOKUP(TRIM(D4126), CATALOGO!A:B, 2, FALSE) * C4126)*(1-VALUE(SUBSTITUTE(VLOOKUP(TRIM(A4126),'RESTAURANTESDESCUENTOS 2026'!A:B,2,FALSE),"%",""))/100)+I4126),(VLOOKUP(TRIM(D4126), CATALOGO!A:B, 2, FALSE) * C4126+I4126)),""))</f>
        <v/>
      </c>
      <c r="K4126" s="196"/>
      <c r="L4126" s="87"/>
      <c r="M4126" s="245"/>
      <c r="N4126" s="168"/>
    </row>
    <row r="4127" ht="22.5" hidden="1" customHeight="1">
      <c r="A4127" s="137"/>
      <c r="B4127" s="90"/>
      <c r="C4127" s="55"/>
      <c r="D4127" s="193"/>
      <c r="E4127" s="201"/>
      <c r="F4127" s="202"/>
      <c r="G4127" s="194"/>
      <c r="H4127" s="198"/>
      <c r="I4127" s="196"/>
      <c r="J4127" s="179" t="str">
        <f>IF(A4127="RAPPI",(VLOOKUP(TRIM(D4127), CATALOGO!F:G, 2, FALSE) * C4127)+I4127,IFERROR(IF(COUNTIF('RESTAURANTESDESCUENTOS 2026'!A:A,TRIM(A4127))&gt;0,((VLOOKUP(TRIM(D4127), CATALOGO!A:B, 2, FALSE) * C4127)*(1-VALUE(SUBSTITUTE(VLOOKUP(TRIM(A4127),'RESTAURANTESDESCUENTOS 2026'!A:B,2,FALSE),"%",""))/100)+I4127),(VLOOKUP(TRIM(D4127), CATALOGO!A:B, 2, FALSE) * C4127+I4127)),""))</f>
        <v/>
      </c>
      <c r="K4127" s="196"/>
      <c r="L4127" s="87"/>
      <c r="M4127" s="245"/>
      <c r="N4127" s="168"/>
    </row>
    <row r="4128" ht="22.5" hidden="1" customHeight="1">
      <c r="A4128" s="137"/>
      <c r="B4128" s="90"/>
      <c r="C4128" s="55"/>
      <c r="D4128" s="193"/>
      <c r="E4128" s="201"/>
      <c r="F4128" s="202"/>
      <c r="G4128" s="194"/>
      <c r="H4128" s="198"/>
      <c r="I4128" s="196"/>
      <c r="J4128" s="179" t="str">
        <f>IF(A4128="RAPPI",(VLOOKUP(TRIM(D4128), CATALOGO!F:G, 2, FALSE) * C4128)+I4128,IFERROR(IF(COUNTIF('RESTAURANTESDESCUENTOS 2026'!A:A,TRIM(A4128))&gt;0,((VLOOKUP(TRIM(D4128), CATALOGO!A:B, 2, FALSE) * C4128)*(1-VALUE(SUBSTITUTE(VLOOKUP(TRIM(A4128),'RESTAURANTESDESCUENTOS 2026'!A:B,2,FALSE),"%",""))/100)+I4128),(VLOOKUP(TRIM(D4128), CATALOGO!A:B, 2, FALSE) * C4128+I4128)),""))</f>
        <v/>
      </c>
      <c r="K4128" s="196"/>
      <c r="L4128" s="87"/>
      <c r="M4128" s="245"/>
      <c r="N4128" s="168"/>
    </row>
    <row r="4129" ht="22.5" hidden="1" customHeight="1">
      <c r="A4129" s="137"/>
      <c r="B4129" s="90"/>
      <c r="C4129" s="55"/>
      <c r="D4129" s="193"/>
      <c r="E4129" s="201"/>
      <c r="F4129" s="202"/>
      <c r="G4129" s="194"/>
      <c r="H4129" s="198"/>
      <c r="I4129" s="196"/>
      <c r="J4129" s="179" t="str">
        <f>IF(A4129="RAPPI",(VLOOKUP(TRIM(D4129), CATALOGO!F:G, 2, FALSE) * C4129)+I4129,IFERROR(IF(COUNTIF('RESTAURANTESDESCUENTOS 2026'!A:A,TRIM(A4129))&gt;0,((VLOOKUP(TRIM(D4129), CATALOGO!A:B, 2, FALSE) * C4129)*(1-VALUE(SUBSTITUTE(VLOOKUP(TRIM(A4129),'RESTAURANTESDESCUENTOS 2026'!A:B,2,FALSE),"%",""))/100)+I4129),(VLOOKUP(TRIM(D4129), CATALOGO!A:B, 2, FALSE) * C4129+I4129)),""))</f>
        <v/>
      </c>
      <c r="K4129" s="196"/>
      <c r="L4129" s="87"/>
      <c r="M4129" s="245"/>
      <c r="N4129" s="168"/>
    </row>
    <row r="4130" ht="22.5" hidden="1" customHeight="1">
      <c r="A4130" s="137"/>
      <c r="B4130" s="90"/>
      <c r="C4130" s="55"/>
      <c r="D4130" s="193"/>
      <c r="E4130" s="201"/>
      <c r="F4130" s="202"/>
      <c r="G4130" s="194"/>
      <c r="H4130" s="198"/>
      <c r="I4130" s="196"/>
      <c r="J4130" s="179" t="str">
        <f>IF(A4130="RAPPI",(VLOOKUP(TRIM(D4130), CATALOGO!F:G, 2, FALSE) * C4130)+I4130,IFERROR(IF(COUNTIF('RESTAURANTESDESCUENTOS 2026'!A:A,TRIM(A4130))&gt;0,((VLOOKUP(TRIM(D4130), CATALOGO!A:B, 2, FALSE) * C4130)*(1-VALUE(SUBSTITUTE(VLOOKUP(TRIM(A4130),'RESTAURANTESDESCUENTOS 2026'!A:B,2,FALSE),"%",""))/100)+I4130),(VLOOKUP(TRIM(D4130), CATALOGO!A:B, 2, FALSE) * C4130+I4130)),""))</f>
        <v/>
      </c>
      <c r="K4130" s="196"/>
      <c r="L4130" s="87"/>
      <c r="M4130" s="245"/>
      <c r="N4130" s="168"/>
    </row>
    <row r="4131" ht="22.5" hidden="1" customHeight="1">
      <c r="A4131" s="137"/>
      <c r="B4131" s="90"/>
      <c r="C4131" s="55"/>
      <c r="D4131" s="193"/>
      <c r="E4131" s="201"/>
      <c r="F4131" s="202"/>
      <c r="G4131" s="194"/>
      <c r="H4131" s="198"/>
      <c r="I4131" s="196"/>
      <c r="J4131" s="179" t="str">
        <f>IF(A4131="RAPPI",(VLOOKUP(TRIM(D4131), CATALOGO!F:G, 2, FALSE) * C4131)+I4131,IFERROR(IF(COUNTIF('RESTAURANTESDESCUENTOS 2026'!A:A,TRIM(A4131))&gt;0,((VLOOKUP(TRIM(D4131), CATALOGO!A:B, 2, FALSE) * C4131)*(1-VALUE(SUBSTITUTE(VLOOKUP(TRIM(A4131),'RESTAURANTESDESCUENTOS 2026'!A:B,2,FALSE),"%",""))/100)+I4131),(VLOOKUP(TRIM(D4131), CATALOGO!A:B, 2, FALSE) * C4131+I4131)),""))</f>
        <v/>
      </c>
      <c r="K4131" s="196"/>
      <c r="L4131" s="87"/>
      <c r="M4131" s="245"/>
      <c r="N4131" s="168"/>
    </row>
    <row r="4132" ht="22.5" hidden="1" customHeight="1">
      <c r="A4132" s="137"/>
      <c r="B4132" s="90"/>
      <c r="C4132" s="55"/>
      <c r="D4132" s="193"/>
      <c r="E4132" s="201"/>
      <c r="F4132" s="202"/>
      <c r="G4132" s="194"/>
      <c r="H4132" s="198"/>
      <c r="I4132" s="196"/>
      <c r="J4132" s="179" t="str">
        <f>IF(A4132="RAPPI",(VLOOKUP(TRIM(D4132), CATALOGO!F:G, 2, FALSE) * C4132)+I4132,IFERROR(IF(COUNTIF('RESTAURANTESDESCUENTOS 2026'!A:A,TRIM(A4132))&gt;0,((VLOOKUP(TRIM(D4132), CATALOGO!A:B, 2, FALSE) * C4132)*(1-VALUE(SUBSTITUTE(VLOOKUP(TRIM(A4132),'RESTAURANTESDESCUENTOS 2026'!A:B,2,FALSE),"%",""))/100)+I4132),(VLOOKUP(TRIM(D4132), CATALOGO!A:B, 2, FALSE) * C4132+I4132)),""))</f>
        <v/>
      </c>
      <c r="K4132" s="196"/>
      <c r="L4132" s="87"/>
      <c r="M4132" s="245"/>
      <c r="N4132" s="168"/>
    </row>
    <row r="4133" ht="22.5" hidden="1" customHeight="1">
      <c r="A4133" s="137"/>
      <c r="B4133" s="90"/>
      <c r="C4133" s="55"/>
      <c r="D4133" s="193"/>
      <c r="E4133" s="201"/>
      <c r="F4133" s="202"/>
      <c r="G4133" s="194"/>
      <c r="H4133" s="198"/>
      <c r="I4133" s="196"/>
      <c r="J4133" s="179" t="str">
        <f>IF(A4133="RAPPI",(VLOOKUP(TRIM(D4133), CATALOGO!F:G, 2, FALSE) * C4133)+I4133,IFERROR(IF(COUNTIF('RESTAURANTESDESCUENTOS 2026'!A:A,TRIM(A4133))&gt;0,((VLOOKUP(TRIM(D4133), CATALOGO!A:B, 2, FALSE) * C4133)*(1-VALUE(SUBSTITUTE(VLOOKUP(TRIM(A4133),'RESTAURANTESDESCUENTOS 2026'!A:B,2,FALSE),"%",""))/100)+I4133),(VLOOKUP(TRIM(D4133), CATALOGO!A:B, 2, FALSE) * C4133+I4133)),""))</f>
        <v/>
      </c>
      <c r="K4133" s="196"/>
      <c r="L4133" s="87"/>
      <c r="M4133" s="245"/>
      <c r="N4133" s="168"/>
    </row>
    <row r="4134" ht="22.5" hidden="1" customHeight="1">
      <c r="A4134" s="137"/>
      <c r="B4134" s="90"/>
      <c r="C4134" s="55"/>
      <c r="D4134" s="193"/>
      <c r="E4134" s="201"/>
      <c r="F4134" s="202"/>
      <c r="G4134" s="194"/>
      <c r="H4134" s="198"/>
      <c r="I4134" s="196"/>
      <c r="J4134" s="179" t="str">
        <f>IF(A4134="RAPPI",(VLOOKUP(TRIM(D4134), CATALOGO!F:G, 2, FALSE) * C4134)+I4134,IFERROR(IF(COUNTIF('RESTAURANTESDESCUENTOS 2026'!A:A,TRIM(A4134))&gt;0,((VLOOKUP(TRIM(D4134), CATALOGO!A:B, 2, FALSE) * C4134)*(1-VALUE(SUBSTITUTE(VLOOKUP(TRIM(A4134),'RESTAURANTESDESCUENTOS 2026'!A:B,2,FALSE),"%",""))/100)+I4134),(VLOOKUP(TRIM(D4134), CATALOGO!A:B, 2, FALSE) * C4134+I4134)),""))</f>
        <v/>
      </c>
      <c r="K4134" s="196"/>
      <c r="L4134" s="87"/>
      <c r="M4134" s="245"/>
      <c r="N4134" s="168"/>
    </row>
    <row r="4135" ht="22.5" hidden="1" customHeight="1">
      <c r="A4135" s="137"/>
      <c r="B4135" s="90"/>
      <c r="C4135" s="55"/>
      <c r="D4135" s="193"/>
      <c r="E4135" s="201"/>
      <c r="F4135" s="202"/>
      <c r="G4135" s="194"/>
      <c r="H4135" s="198"/>
      <c r="I4135" s="196"/>
      <c r="J4135" s="179" t="str">
        <f>IF(A4135="RAPPI",(VLOOKUP(TRIM(D4135), CATALOGO!F:G, 2, FALSE) * C4135)+I4135,IFERROR(IF(COUNTIF('RESTAURANTESDESCUENTOS 2026'!A:A,TRIM(A4135))&gt;0,((VLOOKUP(TRIM(D4135), CATALOGO!A:B, 2, FALSE) * C4135)*(1-VALUE(SUBSTITUTE(VLOOKUP(TRIM(A4135),'RESTAURANTESDESCUENTOS 2026'!A:B,2,FALSE),"%",""))/100)+I4135),(VLOOKUP(TRIM(D4135), CATALOGO!A:B, 2, FALSE) * C4135+I4135)),""))</f>
        <v/>
      </c>
      <c r="K4135" s="196"/>
      <c r="L4135" s="87"/>
      <c r="M4135" s="245"/>
      <c r="N4135" s="168"/>
    </row>
    <row r="4136" ht="22.5" hidden="1" customHeight="1">
      <c r="A4136" s="137"/>
      <c r="B4136" s="90"/>
      <c r="C4136" s="55"/>
      <c r="D4136" s="193"/>
      <c r="E4136" s="201"/>
      <c r="F4136" s="202"/>
      <c r="G4136" s="194"/>
      <c r="H4136" s="198"/>
      <c r="I4136" s="196"/>
      <c r="J4136" s="179" t="str">
        <f>IF(A4136="RAPPI",(VLOOKUP(TRIM(D4136), CATALOGO!F:G, 2, FALSE) * C4136)+I4136,IFERROR(IF(COUNTIF('RESTAURANTESDESCUENTOS 2026'!A:A,TRIM(A4136))&gt;0,((VLOOKUP(TRIM(D4136), CATALOGO!A:B, 2, FALSE) * C4136)*(1-VALUE(SUBSTITUTE(VLOOKUP(TRIM(A4136),'RESTAURANTESDESCUENTOS 2026'!A:B,2,FALSE),"%",""))/100)+I4136),(VLOOKUP(TRIM(D4136), CATALOGO!A:B, 2, FALSE) * C4136+I4136)),""))</f>
        <v/>
      </c>
      <c r="K4136" s="196"/>
      <c r="L4136" s="87"/>
      <c r="M4136" s="245"/>
      <c r="N4136" s="168"/>
    </row>
    <row r="4137" ht="22.5" hidden="1" customHeight="1">
      <c r="A4137" s="137"/>
      <c r="B4137" s="90"/>
      <c r="C4137" s="55"/>
      <c r="D4137" s="193"/>
      <c r="E4137" s="201"/>
      <c r="F4137" s="202"/>
      <c r="G4137" s="194"/>
      <c r="H4137" s="198"/>
      <c r="I4137" s="196"/>
      <c r="J4137" s="179" t="str">
        <f>IF(A4137="RAPPI",(VLOOKUP(TRIM(D4137), CATALOGO!F:G, 2, FALSE) * C4137)+I4137,IFERROR(IF(COUNTIF('RESTAURANTESDESCUENTOS 2026'!A:A,TRIM(A4137))&gt;0,((VLOOKUP(TRIM(D4137), CATALOGO!A:B, 2, FALSE) * C4137)*(1-VALUE(SUBSTITUTE(VLOOKUP(TRIM(A4137),'RESTAURANTESDESCUENTOS 2026'!A:B,2,FALSE),"%",""))/100)+I4137),(VLOOKUP(TRIM(D4137), CATALOGO!A:B, 2, FALSE) * C4137+I4137)),""))</f>
        <v/>
      </c>
      <c r="K4137" s="196"/>
      <c r="L4137" s="87"/>
      <c r="M4137" s="245"/>
      <c r="N4137" s="168"/>
    </row>
    <row r="4138" ht="22.5" hidden="1" customHeight="1">
      <c r="A4138" s="137"/>
      <c r="B4138" s="90"/>
      <c r="C4138" s="55"/>
      <c r="D4138" s="193"/>
      <c r="E4138" s="201"/>
      <c r="F4138" s="202"/>
      <c r="G4138" s="194"/>
      <c r="H4138" s="198"/>
      <c r="I4138" s="196"/>
      <c r="J4138" s="179" t="str">
        <f>IF(A4138="RAPPI",(VLOOKUP(TRIM(D4138), CATALOGO!F:G, 2, FALSE) * C4138)+I4138,IFERROR(IF(COUNTIF('RESTAURANTESDESCUENTOS 2026'!A:A,TRIM(A4138))&gt;0,((VLOOKUP(TRIM(D4138), CATALOGO!A:B, 2, FALSE) * C4138)*(1-VALUE(SUBSTITUTE(VLOOKUP(TRIM(A4138),'RESTAURANTESDESCUENTOS 2026'!A:B,2,FALSE),"%",""))/100)+I4138),(VLOOKUP(TRIM(D4138), CATALOGO!A:B, 2, FALSE) * C4138+I4138)),""))</f>
        <v/>
      </c>
      <c r="K4138" s="196"/>
      <c r="L4138" s="87"/>
      <c r="M4138" s="245"/>
      <c r="N4138" s="168"/>
    </row>
    <row r="4139" ht="22.5" hidden="1" customHeight="1">
      <c r="A4139" s="137"/>
      <c r="B4139" s="90"/>
      <c r="C4139" s="55"/>
      <c r="D4139" s="193"/>
      <c r="E4139" s="201"/>
      <c r="F4139" s="202"/>
      <c r="G4139" s="194"/>
      <c r="H4139" s="198"/>
      <c r="I4139" s="196"/>
      <c r="J4139" s="179" t="str">
        <f>IF(A4139="RAPPI",(VLOOKUP(TRIM(D4139), CATALOGO!F:G, 2, FALSE) * C4139)+I4139,IFERROR(IF(COUNTIF('RESTAURANTESDESCUENTOS 2026'!A:A,TRIM(A4139))&gt;0,((VLOOKUP(TRIM(D4139), CATALOGO!A:B, 2, FALSE) * C4139)*(1-VALUE(SUBSTITUTE(VLOOKUP(TRIM(A4139),'RESTAURANTESDESCUENTOS 2026'!A:B,2,FALSE),"%",""))/100)+I4139),(VLOOKUP(TRIM(D4139), CATALOGO!A:B, 2, FALSE) * C4139+I4139)),""))</f>
        <v/>
      </c>
      <c r="K4139" s="196"/>
      <c r="L4139" s="87"/>
      <c r="M4139" s="245"/>
      <c r="N4139" s="168"/>
    </row>
    <row r="4140" ht="22.5" hidden="1" customHeight="1">
      <c r="A4140" s="137"/>
      <c r="B4140" s="90"/>
      <c r="C4140" s="55"/>
      <c r="D4140" s="193"/>
      <c r="E4140" s="201"/>
      <c r="F4140" s="202"/>
      <c r="G4140" s="194"/>
      <c r="H4140" s="198"/>
      <c r="I4140" s="196"/>
      <c r="J4140" s="179" t="str">
        <f>IF(A4140="RAPPI",(VLOOKUP(TRIM(D4140), CATALOGO!F:G, 2, FALSE) * C4140)+I4140,IFERROR(IF(COUNTIF('RESTAURANTESDESCUENTOS 2026'!A:A,TRIM(A4140))&gt;0,((VLOOKUP(TRIM(D4140), CATALOGO!A:B, 2, FALSE) * C4140)*(1-VALUE(SUBSTITUTE(VLOOKUP(TRIM(A4140),'RESTAURANTESDESCUENTOS 2026'!A:B,2,FALSE),"%",""))/100)+I4140),(VLOOKUP(TRIM(D4140), CATALOGO!A:B, 2, FALSE) * C4140+I4140)),""))</f>
        <v/>
      </c>
      <c r="K4140" s="196"/>
      <c r="L4140" s="87"/>
      <c r="M4140" s="245"/>
      <c r="N4140" s="168"/>
    </row>
    <row r="4141" ht="22.5" hidden="1" customHeight="1">
      <c r="A4141" s="137"/>
      <c r="B4141" s="90"/>
      <c r="C4141" s="55"/>
      <c r="D4141" s="193"/>
      <c r="E4141" s="201"/>
      <c r="F4141" s="202"/>
      <c r="G4141" s="194"/>
      <c r="H4141" s="198"/>
      <c r="I4141" s="196"/>
      <c r="J4141" s="179" t="str">
        <f>IF(A4141="RAPPI",(VLOOKUP(TRIM(D4141), CATALOGO!F:G, 2, FALSE) * C4141)+I4141,IFERROR(IF(COUNTIF('RESTAURANTESDESCUENTOS 2026'!A:A,TRIM(A4141))&gt;0,((VLOOKUP(TRIM(D4141), CATALOGO!A:B, 2, FALSE) * C4141)*(1-VALUE(SUBSTITUTE(VLOOKUP(TRIM(A4141),'RESTAURANTESDESCUENTOS 2026'!A:B,2,FALSE),"%",""))/100)+I4141),(VLOOKUP(TRIM(D4141), CATALOGO!A:B, 2, FALSE) * C4141+I4141)),""))</f>
        <v/>
      </c>
      <c r="K4141" s="196"/>
      <c r="L4141" s="87"/>
      <c r="M4141" s="245"/>
      <c r="N4141" s="168"/>
    </row>
    <row r="4142" ht="22.5" hidden="1" customHeight="1">
      <c r="A4142" s="137"/>
      <c r="B4142" s="90"/>
      <c r="C4142" s="55"/>
      <c r="D4142" s="193"/>
      <c r="E4142" s="201"/>
      <c r="F4142" s="202"/>
      <c r="G4142" s="194"/>
      <c r="H4142" s="198"/>
      <c r="I4142" s="196"/>
      <c r="J4142" s="179" t="str">
        <f>IF(A4142="RAPPI",(VLOOKUP(TRIM(D4142), CATALOGO!F:G, 2, FALSE) * C4142)+I4142,IFERROR(IF(COUNTIF('RESTAURANTESDESCUENTOS 2026'!A:A,TRIM(A4142))&gt;0,((VLOOKUP(TRIM(D4142), CATALOGO!A:B, 2, FALSE) * C4142)*(1-VALUE(SUBSTITUTE(VLOOKUP(TRIM(A4142),'RESTAURANTESDESCUENTOS 2026'!A:B,2,FALSE),"%",""))/100)+I4142),(VLOOKUP(TRIM(D4142), CATALOGO!A:B, 2, FALSE) * C4142+I4142)),""))</f>
        <v/>
      </c>
      <c r="K4142" s="196"/>
      <c r="L4142" s="87"/>
      <c r="M4142" s="245"/>
      <c r="N4142" s="168"/>
    </row>
    <row r="4143" ht="22.5" hidden="1" customHeight="1">
      <c r="A4143" s="137"/>
      <c r="B4143" s="90"/>
      <c r="C4143" s="55"/>
      <c r="D4143" s="193"/>
      <c r="E4143" s="201"/>
      <c r="F4143" s="202"/>
      <c r="G4143" s="194"/>
      <c r="H4143" s="198"/>
      <c r="I4143" s="196"/>
      <c r="J4143" s="179" t="str">
        <f>IF(A4143="RAPPI",(VLOOKUP(TRIM(D4143), CATALOGO!F:G, 2, FALSE) * C4143)+I4143,IFERROR(IF(COUNTIF('RESTAURANTESDESCUENTOS 2026'!A:A,TRIM(A4143))&gt;0,((VLOOKUP(TRIM(D4143), CATALOGO!A:B, 2, FALSE) * C4143)*(1-VALUE(SUBSTITUTE(VLOOKUP(TRIM(A4143),'RESTAURANTESDESCUENTOS 2026'!A:B,2,FALSE),"%",""))/100)+I4143),(VLOOKUP(TRIM(D4143), CATALOGO!A:B, 2, FALSE) * C4143+I4143)),""))</f>
        <v/>
      </c>
      <c r="K4143" s="196"/>
      <c r="L4143" s="87"/>
      <c r="M4143" s="245"/>
      <c r="N4143" s="168"/>
    </row>
    <row r="4144" ht="22.5" hidden="1" customHeight="1">
      <c r="A4144" s="137"/>
      <c r="B4144" s="90"/>
      <c r="C4144" s="55"/>
      <c r="D4144" s="193"/>
      <c r="E4144" s="201"/>
      <c r="F4144" s="202"/>
      <c r="G4144" s="194"/>
      <c r="H4144" s="198"/>
      <c r="I4144" s="196"/>
      <c r="J4144" s="179" t="str">
        <f>IF(A4144="RAPPI",(VLOOKUP(TRIM(D4144), CATALOGO!F:G, 2, FALSE) * C4144)+I4144,IFERROR(IF(COUNTIF('RESTAURANTESDESCUENTOS 2026'!A:A,TRIM(A4144))&gt;0,((VLOOKUP(TRIM(D4144), CATALOGO!A:B, 2, FALSE) * C4144)*(1-VALUE(SUBSTITUTE(VLOOKUP(TRIM(A4144),'RESTAURANTESDESCUENTOS 2026'!A:B,2,FALSE),"%",""))/100)+I4144),(VLOOKUP(TRIM(D4144), CATALOGO!A:B, 2, FALSE) * C4144+I4144)),""))</f>
        <v/>
      </c>
      <c r="K4144" s="196"/>
      <c r="L4144" s="87"/>
      <c r="M4144" s="245"/>
      <c r="N4144" s="168"/>
    </row>
    <row r="4145" ht="22.5" hidden="1" customHeight="1">
      <c r="A4145" s="137"/>
      <c r="B4145" s="90"/>
      <c r="C4145" s="55"/>
      <c r="D4145" s="193"/>
      <c r="E4145" s="201"/>
      <c r="F4145" s="202"/>
      <c r="G4145" s="194"/>
      <c r="H4145" s="198"/>
      <c r="I4145" s="196"/>
      <c r="J4145" s="179" t="str">
        <f>IF(A4145="RAPPI",(VLOOKUP(TRIM(D4145), CATALOGO!F:G, 2, FALSE) * C4145)+I4145,IFERROR(IF(COUNTIF('RESTAURANTESDESCUENTOS 2026'!A:A,TRIM(A4145))&gt;0,((VLOOKUP(TRIM(D4145), CATALOGO!A:B, 2, FALSE) * C4145)*(1-VALUE(SUBSTITUTE(VLOOKUP(TRIM(A4145),'RESTAURANTESDESCUENTOS 2026'!A:B,2,FALSE),"%",""))/100)+I4145),(VLOOKUP(TRIM(D4145), CATALOGO!A:B, 2, FALSE) * C4145+I4145)),""))</f>
        <v/>
      </c>
      <c r="K4145" s="196"/>
      <c r="L4145" s="87"/>
      <c r="M4145" s="245"/>
      <c r="N4145" s="168"/>
    </row>
    <row r="4146" ht="22.5" hidden="1" customHeight="1">
      <c r="A4146" s="137"/>
      <c r="B4146" s="90"/>
      <c r="C4146" s="55"/>
      <c r="D4146" s="193"/>
      <c r="E4146" s="201"/>
      <c r="F4146" s="202"/>
      <c r="G4146" s="194"/>
      <c r="H4146" s="198"/>
      <c r="I4146" s="196"/>
      <c r="J4146" s="179" t="str">
        <f>IF(A4146="RAPPI",(VLOOKUP(TRIM(D4146), CATALOGO!F:G, 2, FALSE) * C4146)+I4146,IFERROR(IF(COUNTIF('RESTAURANTESDESCUENTOS 2026'!A:A,TRIM(A4146))&gt;0,((VLOOKUP(TRIM(D4146), CATALOGO!A:B, 2, FALSE) * C4146)*(1-VALUE(SUBSTITUTE(VLOOKUP(TRIM(A4146),'RESTAURANTESDESCUENTOS 2026'!A:B,2,FALSE),"%",""))/100)+I4146),(VLOOKUP(TRIM(D4146), CATALOGO!A:B, 2, FALSE) * C4146+I4146)),""))</f>
        <v/>
      </c>
      <c r="K4146" s="196"/>
      <c r="L4146" s="87"/>
      <c r="M4146" s="245"/>
      <c r="N4146" s="168"/>
    </row>
    <row r="4147" ht="22.5" hidden="1" customHeight="1">
      <c r="A4147" s="137"/>
      <c r="B4147" s="90"/>
      <c r="C4147" s="55"/>
      <c r="D4147" s="193"/>
      <c r="E4147" s="201"/>
      <c r="F4147" s="202"/>
      <c r="G4147" s="194"/>
      <c r="H4147" s="198"/>
      <c r="I4147" s="196"/>
      <c r="J4147" s="179" t="str">
        <f>IF(A4147="RAPPI",(VLOOKUP(TRIM(D4147), CATALOGO!F:G, 2, FALSE) * C4147)+I4147,IFERROR(IF(COUNTIF('RESTAURANTESDESCUENTOS 2026'!A:A,TRIM(A4147))&gt;0,((VLOOKUP(TRIM(D4147), CATALOGO!A:B, 2, FALSE) * C4147)*(1-VALUE(SUBSTITUTE(VLOOKUP(TRIM(A4147),'RESTAURANTESDESCUENTOS 2026'!A:B,2,FALSE),"%",""))/100)+I4147),(VLOOKUP(TRIM(D4147), CATALOGO!A:B, 2, FALSE) * C4147+I4147)),""))</f>
        <v/>
      </c>
      <c r="K4147" s="196"/>
      <c r="L4147" s="87"/>
      <c r="M4147" s="245"/>
      <c r="N4147" s="168"/>
    </row>
    <row r="4148" ht="22.5" hidden="1" customHeight="1">
      <c r="A4148" s="137"/>
      <c r="B4148" s="90"/>
      <c r="C4148" s="55"/>
      <c r="D4148" s="193"/>
      <c r="E4148" s="201"/>
      <c r="F4148" s="202"/>
      <c r="G4148" s="194"/>
      <c r="H4148" s="198"/>
      <c r="I4148" s="196"/>
      <c r="J4148" s="179" t="str">
        <f>IF(A4148="RAPPI",(VLOOKUP(TRIM(D4148), CATALOGO!F:G, 2, FALSE) * C4148)+I4148,IFERROR(IF(COUNTIF('RESTAURANTESDESCUENTOS 2026'!A:A,TRIM(A4148))&gt;0,((VLOOKUP(TRIM(D4148), CATALOGO!A:B, 2, FALSE) * C4148)*(1-VALUE(SUBSTITUTE(VLOOKUP(TRIM(A4148),'RESTAURANTESDESCUENTOS 2026'!A:B,2,FALSE),"%",""))/100)+I4148),(VLOOKUP(TRIM(D4148), CATALOGO!A:B, 2, FALSE) * C4148+I4148)),""))</f>
        <v/>
      </c>
      <c r="K4148" s="196"/>
      <c r="L4148" s="87"/>
      <c r="M4148" s="245"/>
      <c r="N4148" s="168"/>
    </row>
    <row r="4149" ht="22.5" hidden="1" customHeight="1">
      <c r="A4149" s="137"/>
      <c r="B4149" s="90"/>
      <c r="C4149" s="55"/>
      <c r="D4149" s="193"/>
      <c r="E4149" s="201"/>
      <c r="F4149" s="202"/>
      <c r="G4149" s="194"/>
      <c r="H4149" s="198"/>
      <c r="I4149" s="196"/>
      <c r="J4149" s="179" t="str">
        <f>IF(A4149="RAPPI",(VLOOKUP(TRIM(D4149), CATALOGO!F:G, 2, FALSE) * C4149)+I4149,IFERROR(IF(COUNTIF('RESTAURANTESDESCUENTOS 2026'!A:A,TRIM(A4149))&gt;0,((VLOOKUP(TRIM(D4149), CATALOGO!A:B, 2, FALSE) * C4149)*(1-VALUE(SUBSTITUTE(VLOOKUP(TRIM(A4149),'RESTAURANTESDESCUENTOS 2026'!A:B,2,FALSE),"%",""))/100)+I4149),(VLOOKUP(TRIM(D4149), CATALOGO!A:B, 2, FALSE) * C4149+I4149)),""))</f>
        <v/>
      </c>
      <c r="K4149" s="196"/>
      <c r="L4149" s="87"/>
      <c r="M4149" s="245"/>
      <c r="N4149" s="168"/>
    </row>
    <row r="4150" ht="22.5" hidden="1" customHeight="1">
      <c r="A4150" s="137"/>
      <c r="B4150" s="90"/>
      <c r="C4150" s="55"/>
      <c r="D4150" s="193"/>
      <c r="E4150" s="201"/>
      <c r="F4150" s="202"/>
      <c r="G4150" s="194"/>
      <c r="H4150" s="198"/>
      <c r="I4150" s="196"/>
      <c r="J4150" s="179" t="str">
        <f>IF(A4150="RAPPI",(VLOOKUP(TRIM(D4150), CATALOGO!F:G, 2, FALSE) * C4150)+I4150,IFERROR(IF(COUNTIF('RESTAURANTESDESCUENTOS 2026'!A:A,TRIM(A4150))&gt;0,((VLOOKUP(TRIM(D4150), CATALOGO!A:B, 2, FALSE) * C4150)*(1-VALUE(SUBSTITUTE(VLOOKUP(TRIM(A4150),'RESTAURANTESDESCUENTOS 2026'!A:B,2,FALSE),"%",""))/100)+I4150),(VLOOKUP(TRIM(D4150), CATALOGO!A:B, 2, FALSE) * C4150+I4150)),""))</f>
        <v/>
      </c>
      <c r="K4150" s="196"/>
      <c r="L4150" s="87"/>
      <c r="M4150" s="245"/>
      <c r="N4150" s="168"/>
    </row>
    <row r="4151" ht="22.5" hidden="1" customHeight="1">
      <c r="A4151" s="137"/>
      <c r="B4151" s="90"/>
      <c r="C4151" s="55"/>
      <c r="D4151" s="193"/>
      <c r="E4151" s="201"/>
      <c r="F4151" s="202"/>
      <c r="G4151" s="194"/>
      <c r="H4151" s="198"/>
      <c r="I4151" s="196"/>
      <c r="J4151" s="179" t="str">
        <f>IF(A4151="RAPPI",(VLOOKUP(TRIM(D4151), CATALOGO!F:G, 2, FALSE) * C4151)+I4151,IFERROR(IF(COUNTIF('RESTAURANTESDESCUENTOS 2026'!A:A,TRIM(A4151))&gt;0,((VLOOKUP(TRIM(D4151), CATALOGO!A:B, 2, FALSE) * C4151)*(1-VALUE(SUBSTITUTE(VLOOKUP(TRIM(A4151),'RESTAURANTESDESCUENTOS 2026'!A:B,2,FALSE),"%",""))/100)+I4151),(VLOOKUP(TRIM(D4151), CATALOGO!A:B, 2, FALSE) * C4151+I4151)),""))</f>
        <v/>
      </c>
      <c r="K4151" s="196"/>
      <c r="L4151" s="87"/>
      <c r="M4151" s="245"/>
      <c r="N4151" s="168"/>
    </row>
    <row r="4152" ht="22.5" hidden="1" customHeight="1">
      <c r="A4152" s="137"/>
      <c r="B4152" s="90"/>
      <c r="C4152" s="55"/>
      <c r="D4152" s="193"/>
      <c r="E4152" s="201"/>
      <c r="F4152" s="202"/>
      <c r="G4152" s="194"/>
      <c r="H4152" s="198"/>
      <c r="I4152" s="196"/>
      <c r="J4152" s="179" t="str">
        <f>IF(A4152="RAPPI",(VLOOKUP(TRIM(D4152), CATALOGO!F:G, 2, FALSE) * C4152)+I4152,IFERROR(IF(COUNTIF('RESTAURANTESDESCUENTOS 2026'!A:A,TRIM(A4152))&gt;0,((VLOOKUP(TRIM(D4152), CATALOGO!A:B, 2, FALSE) * C4152)*(1-VALUE(SUBSTITUTE(VLOOKUP(TRIM(A4152),'RESTAURANTESDESCUENTOS 2026'!A:B,2,FALSE),"%",""))/100)+I4152),(VLOOKUP(TRIM(D4152), CATALOGO!A:B, 2, FALSE) * C4152+I4152)),""))</f>
        <v/>
      </c>
      <c r="K4152" s="196"/>
      <c r="L4152" s="87"/>
      <c r="M4152" s="245"/>
      <c r="N4152" s="168"/>
    </row>
    <row r="4153" ht="22.5" hidden="1" customHeight="1">
      <c r="A4153" s="137"/>
      <c r="B4153" s="90"/>
      <c r="C4153" s="55"/>
      <c r="D4153" s="193"/>
      <c r="E4153" s="201"/>
      <c r="F4153" s="202"/>
      <c r="G4153" s="194"/>
      <c r="H4153" s="198"/>
      <c r="I4153" s="196"/>
      <c r="J4153" s="179" t="str">
        <f>IF(A4153="RAPPI",(VLOOKUP(TRIM(D4153), CATALOGO!F:G, 2, FALSE) * C4153)+I4153,IFERROR(IF(COUNTIF('RESTAURANTESDESCUENTOS 2026'!A:A,TRIM(A4153))&gt;0,((VLOOKUP(TRIM(D4153), CATALOGO!A:B, 2, FALSE) * C4153)*(1-VALUE(SUBSTITUTE(VLOOKUP(TRIM(A4153),'RESTAURANTESDESCUENTOS 2026'!A:B,2,FALSE),"%",""))/100)+I4153),(VLOOKUP(TRIM(D4153), CATALOGO!A:B, 2, FALSE) * C4153+I4153)),""))</f>
        <v/>
      </c>
      <c r="K4153" s="196"/>
      <c r="L4153" s="87"/>
      <c r="M4153" s="245"/>
      <c r="N4153" s="168"/>
    </row>
    <row r="4154" ht="22.5" hidden="1" customHeight="1">
      <c r="A4154" s="137"/>
      <c r="B4154" s="90"/>
      <c r="C4154" s="55"/>
      <c r="D4154" s="193"/>
      <c r="E4154" s="201"/>
      <c r="F4154" s="202"/>
      <c r="G4154" s="194"/>
      <c r="H4154" s="198"/>
      <c r="I4154" s="196"/>
      <c r="J4154" s="179" t="str">
        <f>IF(A4154="RAPPI",(VLOOKUP(TRIM(D4154), CATALOGO!F:G, 2, FALSE) * C4154)+I4154,IFERROR(IF(COUNTIF('RESTAURANTESDESCUENTOS 2026'!A:A,TRIM(A4154))&gt;0,((VLOOKUP(TRIM(D4154), CATALOGO!A:B, 2, FALSE) * C4154)*(1-VALUE(SUBSTITUTE(VLOOKUP(TRIM(A4154),'RESTAURANTESDESCUENTOS 2026'!A:B,2,FALSE),"%",""))/100)+I4154),(VLOOKUP(TRIM(D4154), CATALOGO!A:B, 2, FALSE) * C4154+I4154)),""))</f>
        <v/>
      </c>
      <c r="K4154" s="196"/>
      <c r="L4154" s="87"/>
      <c r="M4154" s="245"/>
      <c r="N4154" s="168"/>
    </row>
    <row r="4155" ht="22.5" hidden="1" customHeight="1">
      <c r="A4155" s="137"/>
      <c r="B4155" s="90"/>
      <c r="C4155" s="55"/>
      <c r="D4155" s="193"/>
      <c r="E4155" s="201"/>
      <c r="F4155" s="202"/>
      <c r="G4155" s="194"/>
      <c r="H4155" s="198"/>
      <c r="I4155" s="196"/>
      <c r="J4155" s="179" t="str">
        <f>IF(A4155="RAPPI",(VLOOKUP(TRIM(D4155), CATALOGO!F:G, 2, FALSE) * C4155)+I4155,IFERROR(IF(COUNTIF('RESTAURANTESDESCUENTOS 2026'!A:A,TRIM(A4155))&gt;0,((VLOOKUP(TRIM(D4155), CATALOGO!A:B, 2, FALSE) * C4155)*(1-VALUE(SUBSTITUTE(VLOOKUP(TRIM(A4155),'RESTAURANTESDESCUENTOS 2026'!A:B,2,FALSE),"%",""))/100)+I4155),(VLOOKUP(TRIM(D4155), CATALOGO!A:B, 2, FALSE) * C4155+I4155)),""))</f>
        <v/>
      </c>
      <c r="K4155" s="196"/>
      <c r="L4155" s="87"/>
      <c r="M4155" s="245"/>
      <c r="N4155" s="168"/>
    </row>
    <row r="4156" ht="22.5" hidden="1" customHeight="1">
      <c r="A4156" s="137"/>
      <c r="B4156" s="90"/>
      <c r="C4156" s="55"/>
      <c r="D4156" s="193"/>
      <c r="E4156" s="201"/>
      <c r="F4156" s="202"/>
      <c r="G4156" s="194"/>
      <c r="H4156" s="198"/>
      <c r="I4156" s="196"/>
      <c r="J4156" s="179" t="str">
        <f>IF(A4156="RAPPI",(VLOOKUP(TRIM(D4156), CATALOGO!F:G, 2, FALSE) * C4156)+I4156,IFERROR(IF(COUNTIF('RESTAURANTESDESCUENTOS 2026'!A:A,TRIM(A4156))&gt;0,((VLOOKUP(TRIM(D4156), CATALOGO!A:B, 2, FALSE) * C4156)*(1-VALUE(SUBSTITUTE(VLOOKUP(TRIM(A4156),'RESTAURANTESDESCUENTOS 2026'!A:B,2,FALSE),"%",""))/100)+I4156),(VLOOKUP(TRIM(D4156), CATALOGO!A:B, 2, FALSE) * C4156+I4156)),""))</f>
        <v/>
      </c>
      <c r="K4156" s="196"/>
      <c r="L4156" s="87"/>
      <c r="M4156" s="245"/>
      <c r="N4156" s="168"/>
    </row>
    <row r="4157" ht="22.5" hidden="1" customHeight="1">
      <c r="A4157" s="137"/>
      <c r="B4157" s="90"/>
      <c r="C4157" s="55"/>
      <c r="D4157" s="193"/>
      <c r="E4157" s="201"/>
      <c r="F4157" s="202"/>
      <c r="G4157" s="194"/>
      <c r="H4157" s="198"/>
      <c r="I4157" s="196"/>
      <c r="J4157" s="179" t="str">
        <f>IF(A4157="RAPPI",(VLOOKUP(TRIM(D4157), CATALOGO!F:G, 2, FALSE) * C4157)+I4157,IFERROR(IF(COUNTIF('RESTAURANTESDESCUENTOS 2026'!A:A,TRIM(A4157))&gt;0,((VLOOKUP(TRIM(D4157), CATALOGO!A:B, 2, FALSE) * C4157)*(1-VALUE(SUBSTITUTE(VLOOKUP(TRIM(A4157),'RESTAURANTESDESCUENTOS 2026'!A:B,2,FALSE),"%",""))/100)+I4157),(VLOOKUP(TRIM(D4157), CATALOGO!A:B, 2, FALSE) * C4157+I4157)),""))</f>
        <v/>
      </c>
      <c r="K4157" s="196"/>
      <c r="L4157" s="87"/>
      <c r="M4157" s="245"/>
      <c r="N4157" s="168"/>
    </row>
    <row r="4158" ht="22.5" hidden="1" customHeight="1">
      <c r="A4158" s="137"/>
      <c r="B4158" s="90"/>
      <c r="C4158" s="55"/>
      <c r="D4158" s="193"/>
      <c r="E4158" s="201"/>
      <c r="F4158" s="202"/>
      <c r="G4158" s="194"/>
      <c r="H4158" s="198"/>
      <c r="I4158" s="196"/>
      <c r="J4158" s="179" t="str">
        <f>IF(A4158="RAPPI",(VLOOKUP(TRIM(D4158), CATALOGO!F:G, 2, FALSE) * C4158)+I4158,IFERROR(IF(COUNTIF('RESTAURANTESDESCUENTOS 2026'!A:A,TRIM(A4158))&gt;0,((VLOOKUP(TRIM(D4158), CATALOGO!A:B, 2, FALSE) * C4158)*(1-VALUE(SUBSTITUTE(VLOOKUP(TRIM(A4158),'RESTAURANTESDESCUENTOS 2026'!A:B,2,FALSE),"%",""))/100)+I4158),(VLOOKUP(TRIM(D4158), CATALOGO!A:B, 2, FALSE) * C4158+I4158)),""))</f>
        <v/>
      </c>
      <c r="K4158" s="196"/>
      <c r="L4158" s="87"/>
      <c r="M4158" s="245"/>
      <c r="N4158" s="168"/>
    </row>
    <row r="4159" ht="22.5" hidden="1" customHeight="1">
      <c r="A4159" s="137"/>
      <c r="B4159" s="90"/>
      <c r="C4159" s="55"/>
      <c r="D4159" s="193"/>
      <c r="E4159" s="201"/>
      <c r="F4159" s="202"/>
      <c r="G4159" s="194"/>
      <c r="H4159" s="198"/>
      <c r="I4159" s="196"/>
      <c r="J4159" s="179" t="str">
        <f>IF(A4159="RAPPI",(VLOOKUP(TRIM(D4159), CATALOGO!F:G, 2, FALSE) * C4159)+I4159,IFERROR(IF(COUNTIF('RESTAURANTESDESCUENTOS 2026'!A:A,TRIM(A4159))&gt;0,((VLOOKUP(TRIM(D4159), CATALOGO!A:B, 2, FALSE) * C4159)*(1-VALUE(SUBSTITUTE(VLOOKUP(TRIM(A4159),'RESTAURANTESDESCUENTOS 2026'!A:B,2,FALSE),"%",""))/100)+I4159),(VLOOKUP(TRIM(D4159), CATALOGO!A:B, 2, FALSE) * C4159+I4159)),""))</f>
        <v/>
      </c>
      <c r="K4159" s="196"/>
      <c r="L4159" s="87"/>
      <c r="M4159" s="245"/>
      <c r="N4159" s="168"/>
    </row>
    <row r="4160" ht="22.5" hidden="1" customHeight="1">
      <c r="A4160" s="137"/>
      <c r="B4160" s="90"/>
      <c r="C4160" s="55"/>
      <c r="D4160" s="193"/>
      <c r="E4160" s="201"/>
      <c r="F4160" s="202"/>
      <c r="G4160" s="194"/>
      <c r="H4160" s="198"/>
      <c r="I4160" s="196"/>
      <c r="J4160" s="179" t="str">
        <f>IF(A4160="RAPPI",(VLOOKUP(TRIM(D4160), CATALOGO!F:G, 2, FALSE) * C4160)+I4160,IFERROR(IF(COUNTIF('RESTAURANTESDESCUENTOS 2026'!A:A,TRIM(A4160))&gt;0,((VLOOKUP(TRIM(D4160), CATALOGO!A:B, 2, FALSE) * C4160)*(1-VALUE(SUBSTITUTE(VLOOKUP(TRIM(A4160),'RESTAURANTESDESCUENTOS 2026'!A:B,2,FALSE),"%",""))/100)+I4160),(VLOOKUP(TRIM(D4160), CATALOGO!A:B, 2, FALSE) * C4160+I4160)),""))</f>
        <v/>
      </c>
      <c r="K4160" s="196"/>
      <c r="L4160" s="87"/>
      <c r="M4160" s="245"/>
      <c r="N4160" s="168"/>
    </row>
    <row r="4161" ht="22.5" hidden="1" customHeight="1">
      <c r="A4161" s="137"/>
      <c r="B4161" s="90"/>
      <c r="C4161" s="55"/>
      <c r="D4161" s="193"/>
      <c r="E4161" s="201"/>
      <c r="F4161" s="202"/>
      <c r="G4161" s="194"/>
      <c r="H4161" s="198"/>
      <c r="I4161" s="196"/>
      <c r="J4161" s="179" t="str">
        <f>IF(A4161="RAPPI",(VLOOKUP(TRIM(D4161), CATALOGO!F:G, 2, FALSE) * C4161)+I4161,IFERROR(IF(COUNTIF('RESTAURANTESDESCUENTOS 2026'!A:A,TRIM(A4161))&gt;0,((VLOOKUP(TRIM(D4161), CATALOGO!A:B, 2, FALSE) * C4161)*(1-VALUE(SUBSTITUTE(VLOOKUP(TRIM(A4161),'RESTAURANTESDESCUENTOS 2026'!A:B,2,FALSE),"%",""))/100)+I4161),(VLOOKUP(TRIM(D4161), CATALOGO!A:B, 2, FALSE) * C4161+I4161)),""))</f>
        <v/>
      </c>
      <c r="K4161" s="196"/>
      <c r="L4161" s="87"/>
      <c r="M4161" s="245"/>
      <c r="N4161" s="168"/>
    </row>
    <row r="4162" ht="22.5" hidden="1" customHeight="1">
      <c r="A4162" s="137"/>
      <c r="B4162" s="90"/>
      <c r="C4162" s="55"/>
      <c r="D4162" s="193"/>
      <c r="E4162" s="201"/>
      <c r="F4162" s="202"/>
      <c r="G4162" s="194"/>
      <c r="H4162" s="198"/>
      <c r="I4162" s="196"/>
      <c r="J4162" s="179" t="str">
        <f>IF(A4162="RAPPI",(VLOOKUP(TRIM(D4162), CATALOGO!F:G, 2, FALSE) * C4162)+I4162,IFERROR(IF(COUNTIF('RESTAURANTESDESCUENTOS 2026'!A:A,TRIM(A4162))&gt;0,((VLOOKUP(TRIM(D4162), CATALOGO!A:B, 2, FALSE) * C4162)*(1-VALUE(SUBSTITUTE(VLOOKUP(TRIM(A4162),'RESTAURANTESDESCUENTOS 2026'!A:B,2,FALSE),"%",""))/100)+I4162),(VLOOKUP(TRIM(D4162), CATALOGO!A:B, 2, FALSE) * C4162+I4162)),""))</f>
        <v/>
      </c>
      <c r="K4162" s="196"/>
      <c r="L4162" s="87"/>
      <c r="M4162" s="245"/>
      <c r="N4162" s="168"/>
    </row>
    <row r="4163" ht="22.5" hidden="1" customHeight="1">
      <c r="A4163" s="137"/>
      <c r="B4163" s="90"/>
      <c r="C4163" s="55"/>
      <c r="D4163" s="193"/>
      <c r="E4163" s="201"/>
      <c r="F4163" s="202"/>
      <c r="G4163" s="194"/>
      <c r="H4163" s="198"/>
      <c r="I4163" s="196"/>
      <c r="J4163" s="179" t="str">
        <f>IF(A4163="RAPPI",(VLOOKUP(TRIM(D4163), CATALOGO!F:G, 2, FALSE) * C4163)+I4163,IFERROR(IF(COUNTIF('RESTAURANTESDESCUENTOS 2026'!A:A,TRIM(A4163))&gt;0,((VLOOKUP(TRIM(D4163), CATALOGO!A:B, 2, FALSE) * C4163)*(1-VALUE(SUBSTITUTE(VLOOKUP(TRIM(A4163),'RESTAURANTESDESCUENTOS 2026'!A:B,2,FALSE),"%",""))/100)+I4163),(VLOOKUP(TRIM(D4163), CATALOGO!A:B, 2, FALSE) * C4163+I4163)),""))</f>
        <v/>
      </c>
      <c r="K4163" s="196"/>
      <c r="L4163" s="87"/>
      <c r="M4163" s="245"/>
      <c r="N4163" s="168"/>
    </row>
    <row r="4164" ht="22.5" hidden="1" customHeight="1">
      <c r="A4164" s="137"/>
      <c r="B4164" s="90"/>
      <c r="C4164" s="55"/>
      <c r="D4164" s="193"/>
      <c r="E4164" s="201"/>
      <c r="F4164" s="202"/>
      <c r="G4164" s="194"/>
      <c r="H4164" s="198"/>
      <c r="I4164" s="196"/>
      <c r="J4164" s="179" t="str">
        <f>IF(A4164="RAPPI",(VLOOKUP(TRIM(D4164), CATALOGO!F:G, 2, FALSE) * C4164)+I4164,IFERROR(IF(COUNTIF('RESTAURANTESDESCUENTOS 2026'!A:A,TRIM(A4164))&gt;0,((VLOOKUP(TRIM(D4164), CATALOGO!A:B, 2, FALSE) * C4164)*(1-VALUE(SUBSTITUTE(VLOOKUP(TRIM(A4164),'RESTAURANTESDESCUENTOS 2026'!A:B,2,FALSE),"%",""))/100)+I4164),(VLOOKUP(TRIM(D4164), CATALOGO!A:B, 2, FALSE) * C4164+I4164)),""))</f>
        <v/>
      </c>
      <c r="K4164" s="196"/>
      <c r="L4164" s="87"/>
      <c r="M4164" s="245"/>
      <c r="N4164" s="168"/>
    </row>
    <row r="4165" ht="22.5" hidden="1" customHeight="1">
      <c r="A4165" s="137"/>
      <c r="B4165" s="90"/>
      <c r="C4165" s="55"/>
      <c r="D4165" s="193"/>
      <c r="E4165" s="201"/>
      <c r="F4165" s="202"/>
      <c r="G4165" s="194"/>
      <c r="H4165" s="198"/>
      <c r="I4165" s="196"/>
      <c r="J4165" s="179" t="str">
        <f>IF(A4165="RAPPI",(VLOOKUP(TRIM(D4165), CATALOGO!F:G, 2, FALSE) * C4165)+I4165,IFERROR(IF(COUNTIF('RESTAURANTESDESCUENTOS 2026'!A:A,TRIM(A4165))&gt;0,((VLOOKUP(TRIM(D4165), CATALOGO!A:B, 2, FALSE) * C4165)*(1-VALUE(SUBSTITUTE(VLOOKUP(TRIM(A4165),'RESTAURANTESDESCUENTOS 2026'!A:B,2,FALSE),"%",""))/100)+I4165),(VLOOKUP(TRIM(D4165), CATALOGO!A:B, 2, FALSE) * C4165+I4165)),""))</f>
        <v/>
      </c>
      <c r="K4165" s="196"/>
      <c r="L4165" s="87"/>
      <c r="M4165" s="245"/>
      <c r="N4165" s="168"/>
    </row>
    <row r="4166" ht="22.5" hidden="1" customHeight="1">
      <c r="A4166" s="137"/>
      <c r="B4166" s="90"/>
      <c r="C4166" s="55"/>
      <c r="D4166" s="193"/>
      <c r="E4166" s="201"/>
      <c r="F4166" s="202"/>
      <c r="G4166" s="194"/>
      <c r="H4166" s="198"/>
      <c r="I4166" s="196"/>
      <c r="J4166" s="179" t="str">
        <f>IF(A4166="RAPPI",(VLOOKUP(TRIM(D4166), CATALOGO!F:G, 2, FALSE) * C4166)+I4166,IFERROR(IF(COUNTIF('RESTAURANTESDESCUENTOS 2026'!A:A,TRIM(A4166))&gt;0,((VLOOKUP(TRIM(D4166), CATALOGO!A:B, 2, FALSE) * C4166)*(1-VALUE(SUBSTITUTE(VLOOKUP(TRIM(A4166),'RESTAURANTESDESCUENTOS 2026'!A:B,2,FALSE),"%",""))/100)+I4166),(VLOOKUP(TRIM(D4166), CATALOGO!A:B, 2, FALSE) * C4166+I4166)),""))</f>
        <v/>
      </c>
      <c r="K4166" s="196"/>
      <c r="L4166" s="87"/>
      <c r="M4166" s="245"/>
      <c r="N4166" s="168"/>
    </row>
    <row r="4167" ht="22.5" hidden="1" customHeight="1">
      <c r="A4167" s="137"/>
      <c r="B4167" s="90"/>
      <c r="C4167" s="55"/>
      <c r="D4167" s="193"/>
      <c r="E4167" s="201"/>
      <c r="F4167" s="202"/>
      <c r="G4167" s="194"/>
      <c r="H4167" s="198"/>
      <c r="I4167" s="196"/>
      <c r="J4167" s="179" t="str">
        <f>IF(A4167="RAPPI",(VLOOKUP(TRIM(D4167), CATALOGO!F:G, 2, FALSE) * C4167)+I4167,IFERROR(IF(COUNTIF('RESTAURANTESDESCUENTOS 2026'!A:A,TRIM(A4167))&gt;0,((VLOOKUP(TRIM(D4167), CATALOGO!A:B, 2, FALSE) * C4167)*(1-VALUE(SUBSTITUTE(VLOOKUP(TRIM(A4167),'RESTAURANTESDESCUENTOS 2026'!A:B,2,FALSE),"%",""))/100)+I4167),(VLOOKUP(TRIM(D4167), CATALOGO!A:B, 2, FALSE) * C4167+I4167)),""))</f>
        <v/>
      </c>
      <c r="K4167" s="196"/>
      <c r="L4167" s="87"/>
      <c r="M4167" s="245"/>
      <c r="N4167" s="168"/>
    </row>
    <row r="4168" ht="22.5" hidden="1" customHeight="1">
      <c r="A4168" s="137"/>
      <c r="B4168" s="90"/>
      <c r="C4168" s="55"/>
      <c r="D4168" s="193"/>
      <c r="E4168" s="201"/>
      <c r="F4168" s="202"/>
      <c r="G4168" s="194"/>
      <c r="H4168" s="198"/>
      <c r="I4168" s="196"/>
      <c r="J4168" s="179" t="str">
        <f>IF(A4168="RAPPI",(VLOOKUP(TRIM(D4168), CATALOGO!F:G, 2, FALSE) * C4168)+I4168,IFERROR(IF(COUNTIF('RESTAURANTESDESCUENTOS 2026'!A:A,TRIM(A4168))&gt;0,((VLOOKUP(TRIM(D4168), CATALOGO!A:B, 2, FALSE) * C4168)*(1-VALUE(SUBSTITUTE(VLOOKUP(TRIM(A4168),'RESTAURANTESDESCUENTOS 2026'!A:B,2,FALSE),"%",""))/100)+I4168),(VLOOKUP(TRIM(D4168), CATALOGO!A:B, 2, FALSE) * C4168+I4168)),""))</f>
        <v/>
      </c>
      <c r="K4168" s="196"/>
      <c r="L4168" s="87"/>
      <c r="M4168" s="245"/>
      <c r="N4168" s="168"/>
    </row>
    <row r="4169" ht="22.5" hidden="1" customHeight="1">
      <c r="A4169" s="137"/>
      <c r="B4169" s="90"/>
      <c r="C4169" s="55"/>
      <c r="D4169" s="193"/>
      <c r="E4169" s="201"/>
      <c r="F4169" s="202"/>
      <c r="G4169" s="194"/>
      <c r="H4169" s="198"/>
      <c r="I4169" s="196"/>
      <c r="J4169" s="179" t="str">
        <f>IF(A4169="RAPPI",(VLOOKUP(TRIM(D4169), CATALOGO!F:G, 2, FALSE) * C4169)+I4169,IFERROR(IF(COUNTIF('RESTAURANTESDESCUENTOS 2026'!A:A,TRIM(A4169))&gt;0,((VLOOKUP(TRIM(D4169), CATALOGO!A:B, 2, FALSE) * C4169)*(1-VALUE(SUBSTITUTE(VLOOKUP(TRIM(A4169),'RESTAURANTESDESCUENTOS 2026'!A:B,2,FALSE),"%",""))/100)+I4169),(VLOOKUP(TRIM(D4169), CATALOGO!A:B, 2, FALSE) * C4169+I4169)),""))</f>
        <v/>
      </c>
      <c r="K4169" s="196"/>
      <c r="L4169" s="87"/>
      <c r="M4169" s="245"/>
      <c r="N4169" s="168"/>
    </row>
    <row r="4170" ht="22.5" hidden="1" customHeight="1">
      <c r="A4170" s="137"/>
      <c r="B4170" s="90"/>
      <c r="C4170" s="55"/>
      <c r="D4170" s="193"/>
      <c r="E4170" s="201"/>
      <c r="F4170" s="202"/>
      <c r="G4170" s="194"/>
      <c r="H4170" s="198"/>
      <c r="I4170" s="196"/>
      <c r="J4170" s="179" t="str">
        <f>IF(A4170="RAPPI",(VLOOKUP(TRIM(D4170), CATALOGO!F:G, 2, FALSE) * C4170)+I4170,IFERROR(IF(COUNTIF('RESTAURANTESDESCUENTOS 2026'!A:A,TRIM(A4170))&gt;0,((VLOOKUP(TRIM(D4170), CATALOGO!A:B, 2, FALSE) * C4170)*(1-VALUE(SUBSTITUTE(VLOOKUP(TRIM(A4170),'RESTAURANTESDESCUENTOS 2026'!A:B,2,FALSE),"%",""))/100)+I4170),(VLOOKUP(TRIM(D4170), CATALOGO!A:B, 2, FALSE) * C4170+I4170)),""))</f>
        <v/>
      </c>
      <c r="K4170" s="196"/>
      <c r="L4170" s="87"/>
      <c r="M4170" s="245"/>
      <c r="N4170" s="168"/>
    </row>
    <row r="4171" ht="22.5" hidden="1" customHeight="1">
      <c r="A4171" s="137"/>
      <c r="B4171" s="90"/>
      <c r="C4171" s="55"/>
      <c r="D4171" s="193"/>
      <c r="E4171" s="201"/>
      <c r="F4171" s="202"/>
      <c r="G4171" s="194"/>
      <c r="H4171" s="198"/>
      <c r="I4171" s="196"/>
      <c r="J4171" s="179" t="str">
        <f>IF(A4171="RAPPI",(VLOOKUP(TRIM(D4171), CATALOGO!F:G, 2, FALSE) * C4171)+I4171,IFERROR(IF(COUNTIF('RESTAURANTESDESCUENTOS 2026'!A:A,TRIM(A4171))&gt;0,((VLOOKUP(TRIM(D4171), CATALOGO!A:B, 2, FALSE) * C4171)*(1-VALUE(SUBSTITUTE(VLOOKUP(TRIM(A4171),'RESTAURANTESDESCUENTOS 2026'!A:B,2,FALSE),"%",""))/100)+I4171),(VLOOKUP(TRIM(D4171), CATALOGO!A:B, 2, FALSE) * C4171+I4171)),""))</f>
        <v/>
      </c>
      <c r="K4171" s="196"/>
      <c r="L4171" s="87"/>
      <c r="M4171" s="245"/>
      <c r="N4171" s="168"/>
    </row>
    <row r="4172" ht="22.5" hidden="1" customHeight="1">
      <c r="A4172" s="137"/>
      <c r="B4172" s="90"/>
      <c r="C4172" s="55"/>
      <c r="D4172" s="193"/>
      <c r="E4172" s="201"/>
      <c r="F4172" s="202"/>
      <c r="G4172" s="194"/>
      <c r="H4172" s="198"/>
      <c r="I4172" s="196"/>
      <c r="J4172" s="179" t="str">
        <f>IF(A4172="RAPPI",(VLOOKUP(TRIM(D4172), CATALOGO!F:G, 2, FALSE) * C4172)+I4172,IFERROR(IF(COUNTIF('RESTAURANTESDESCUENTOS 2026'!A:A,TRIM(A4172))&gt;0,((VLOOKUP(TRIM(D4172), CATALOGO!A:B, 2, FALSE) * C4172)*(1-VALUE(SUBSTITUTE(VLOOKUP(TRIM(A4172),'RESTAURANTESDESCUENTOS 2026'!A:B,2,FALSE),"%",""))/100)+I4172),(VLOOKUP(TRIM(D4172), CATALOGO!A:B, 2, FALSE) * C4172+I4172)),""))</f>
        <v/>
      </c>
      <c r="K4172" s="196"/>
      <c r="L4172" s="87"/>
      <c r="M4172" s="245"/>
      <c r="N4172" s="168"/>
    </row>
    <row r="4173" ht="22.5" hidden="1" customHeight="1">
      <c r="A4173" s="137"/>
      <c r="B4173" s="90"/>
      <c r="C4173" s="55"/>
      <c r="D4173" s="193"/>
      <c r="E4173" s="201"/>
      <c r="F4173" s="202"/>
      <c r="G4173" s="194"/>
      <c r="H4173" s="198"/>
      <c r="I4173" s="196"/>
      <c r="J4173" s="179" t="str">
        <f>IF(A4173="RAPPI",(VLOOKUP(TRIM(D4173), CATALOGO!F:G, 2, FALSE) * C4173)+I4173,IFERROR(IF(COUNTIF('RESTAURANTESDESCUENTOS 2026'!A:A,TRIM(A4173))&gt;0,((VLOOKUP(TRIM(D4173), CATALOGO!A:B, 2, FALSE) * C4173)*(1-VALUE(SUBSTITUTE(VLOOKUP(TRIM(A4173),'RESTAURANTESDESCUENTOS 2026'!A:B,2,FALSE),"%",""))/100)+I4173),(VLOOKUP(TRIM(D4173), CATALOGO!A:B, 2, FALSE) * C4173+I4173)),""))</f>
        <v/>
      </c>
      <c r="K4173" s="196"/>
      <c r="L4173" s="87"/>
      <c r="M4173" s="245"/>
      <c r="N4173" s="168"/>
    </row>
    <row r="4174" ht="22.5" hidden="1" customHeight="1">
      <c r="A4174" s="137"/>
      <c r="B4174" s="90"/>
      <c r="C4174" s="55"/>
      <c r="D4174" s="193"/>
      <c r="E4174" s="201"/>
      <c r="F4174" s="202"/>
      <c r="G4174" s="194"/>
      <c r="H4174" s="198"/>
      <c r="I4174" s="196"/>
      <c r="J4174" s="179" t="str">
        <f>IF(A4174="RAPPI",(VLOOKUP(TRIM(D4174), CATALOGO!F:G, 2, FALSE) * C4174)+I4174,IFERROR(IF(COUNTIF('RESTAURANTESDESCUENTOS 2026'!A:A,TRIM(A4174))&gt;0,((VLOOKUP(TRIM(D4174), CATALOGO!A:B, 2, FALSE) * C4174)*(1-VALUE(SUBSTITUTE(VLOOKUP(TRIM(A4174),'RESTAURANTESDESCUENTOS 2026'!A:B,2,FALSE),"%",""))/100)+I4174),(VLOOKUP(TRIM(D4174), CATALOGO!A:B, 2, FALSE) * C4174+I4174)),""))</f>
        <v/>
      </c>
      <c r="K4174" s="196"/>
      <c r="L4174" s="87"/>
      <c r="M4174" s="245"/>
      <c r="N4174" s="168"/>
    </row>
    <row r="4175" ht="22.5" hidden="1" customHeight="1">
      <c r="A4175" s="137"/>
      <c r="B4175" s="90"/>
      <c r="C4175" s="55"/>
      <c r="D4175" s="193"/>
      <c r="E4175" s="201"/>
      <c r="F4175" s="202"/>
      <c r="G4175" s="194"/>
      <c r="H4175" s="198"/>
      <c r="I4175" s="196"/>
      <c r="J4175" s="179" t="str">
        <f>IF(A4175="RAPPI",(VLOOKUP(TRIM(D4175), CATALOGO!F:G, 2, FALSE) * C4175)+I4175,IFERROR(IF(COUNTIF('RESTAURANTESDESCUENTOS 2026'!A:A,TRIM(A4175))&gt;0,((VLOOKUP(TRIM(D4175), CATALOGO!A:B, 2, FALSE) * C4175)*(1-VALUE(SUBSTITUTE(VLOOKUP(TRIM(A4175),'RESTAURANTESDESCUENTOS 2026'!A:B,2,FALSE),"%",""))/100)+I4175),(VLOOKUP(TRIM(D4175), CATALOGO!A:B, 2, FALSE) * C4175+I4175)),""))</f>
        <v/>
      </c>
      <c r="K4175" s="196"/>
      <c r="L4175" s="87"/>
      <c r="M4175" s="245"/>
      <c r="N4175" s="168"/>
    </row>
    <row r="4176" ht="22.5" hidden="1" customHeight="1">
      <c r="A4176" s="137"/>
      <c r="B4176" s="90"/>
      <c r="C4176" s="55"/>
      <c r="D4176" s="193"/>
      <c r="E4176" s="201"/>
      <c r="F4176" s="202"/>
      <c r="G4176" s="194"/>
      <c r="H4176" s="198"/>
      <c r="I4176" s="196"/>
      <c r="J4176" s="179" t="str">
        <f>IF(A4176="RAPPI",(VLOOKUP(TRIM(D4176), CATALOGO!F:G, 2, FALSE) * C4176)+I4176,IFERROR(IF(COUNTIF('RESTAURANTESDESCUENTOS 2026'!A:A,TRIM(A4176))&gt;0,((VLOOKUP(TRIM(D4176), CATALOGO!A:B, 2, FALSE) * C4176)*(1-VALUE(SUBSTITUTE(VLOOKUP(TRIM(A4176),'RESTAURANTESDESCUENTOS 2026'!A:B,2,FALSE),"%",""))/100)+I4176),(VLOOKUP(TRIM(D4176), CATALOGO!A:B, 2, FALSE) * C4176+I4176)),""))</f>
        <v/>
      </c>
      <c r="K4176" s="196"/>
      <c r="L4176" s="87"/>
      <c r="M4176" s="245"/>
      <c r="N4176" s="168"/>
    </row>
    <row r="4177" ht="22.5" hidden="1" customHeight="1">
      <c r="A4177" s="137"/>
      <c r="B4177" s="90"/>
      <c r="C4177" s="55"/>
      <c r="D4177" s="193"/>
      <c r="E4177" s="201"/>
      <c r="F4177" s="202"/>
      <c r="G4177" s="194"/>
      <c r="H4177" s="198"/>
      <c r="I4177" s="196"/>
      <c r="J4177" s="179" t="str">
        <f>IF(A4177="RAPPI",(VLOOKUP(TRIM(D4177), CATALOGO!F:G, 2, FALSE) * C4177)+I4177,IFERROR(IF(COUNTIF('RESTAURANTESDESCUENTOS 2026'!A:A,TRIM(A4177))&gt;0,((VLOOKUP(TRIM(D4177), CATALOGO!A:B, 2, FALSE) * C4177)*(1-VALUE(SUBSTITUTE(VLOOKUP(TRIM(A4177),'RESTAURANTESDESCUENTOS 2026'!A:B,2,FALSE),"%",""))/100)+I4177),(VLOOKUP(TRIM(D4177), CATALOGO!A:B, 2, FALSE) * C4177+I4177)),""))</f>
        <v/>
      </c>
      <c r="K4177" s="196"/>
      <c r="L4177" s="87"/>
      <c r="M4177" s="245"/>
      <c r="N4177" s="168"/>
    </row>
    <row r="4178" ht="22.5" hidden="1" customHeight="1">
      <c r="A4178" s="137"/>
      <c r="B4178" s="90"/>
      <c r="C4178" s="55"/>
      <c r="D4178" s="193"/>
      <c r="E4178" s="201"/>
      <c r="F4178" s="202"/>
      <c r="G4178" s="194"/>
      <c r="H4178" s="198"/>
      <c r="I4178" s="196"/>
      <c r="J4178" s="179" t="str">
        <f>IF(A4178="RAPPI",(VLOOKUP(TRIM(D4178), CATALOGO!F:G, 2, FALSE) * C4178)+I4178,IFERROR(IF(COUNTIF('RESTAURANTESDESCUENTOS 2026'!A:A,TRIM(A4178))&gt;0,((VLOOKUP(TRIM(D4178), CATALOGO!A:B, 2, FALSE) * C4178)*(1-VALUE(SUBSTITUTE(VLOOKUP(TRIM(A4178),'RESTAURANTESDESCUENTOS 2026'!A:B,2,FALSE),"%",""))/100)+I4178),(VLOOKUP(TRIM(D4178), CATALOGO!A:B, 2, FALSE) * C4178+I4178)),""))</f>
        <v/>
      </c>
      <c r="K4178" s="196"/>
      <c r="L4178" s="87"/>
      <c r="M4178" s="245"/>
      <c r="N4178" s="168"/>
    </row>
    <row r="4179" ht="22.5" hidden="1" customHeight="1">
      <c r="A4179" s="137"/>
      <c r="B4179" s="90"/>
      <c r="C4179" s="55"/>
      <c r="D4179" s="193"/>
      <c r="E4179" s="201"/>
      <c r="F4179" s="202"/>
      <c r="G4179" s="194"/>
      <c r="H4179" s="198"/>
      <c r="I4179" s="196"/>
      <c r="J4179" s="179" t="str">
        <f>IF(A4179="RAPPI",(VLOOKUP(TRIM(D4179), CATALOGO!F:G, 2, FALSE) * C4179)+I4179,IFERROR(IF(COUNTIF('RESTAURANTESDESCUENTOS 2026'!A:A,TRIM(A4179))&gt;0,((VLOOKUP(TRIM(D4179), CATALOGO!A:B, 2, FALSE) * C4179)*(1-VALUE(SUBSTITUTE(VLOOKUP(TRIM(A4179),'RESTAURANTESDESCUENTOS 2026'!A:B,2,FALSE),"%",""))/100)+I4179),(VLOOKUP(TRIM(D4179), CATALOGO!A:B, 2, FALSE) * C4179+I4179)),""))</f>
        <v/>
      </c>
      <c r="K4179" s="196"/>
      <c r="L4179" s="87"/>
      <c r="M4179" s="245"/>
      <c r="N4179" s="168"/>
    </row>
    <row r="4180" ht="22.5" hidden="1" customHeight="1">
      <c r="A4180" s="137"/>
      <c r="B4180" s="90"/>
      <c r="C4180" s="55"/>
      <c r="D4180" s="193"/>
      <c r="E4180" s="201"/>
      <c r="F4180" s="202"/>
      <c r="G4180" s="194"/>
      <c r="H4180" s="198"/>
      <c r="I4180" s="196"/>
      <c r="J4180" s="179" t="str">
        <f>IF(A4180="RAPPI",(VLOOKUP(TRIM(D4180), CATALOGO!F:G, 2, FALSE) * C4180)+I4180,IFERROR(IF(COUNTIF('RESTAURANTESDESCUENTOS 2026'!A:A,TRIM(A4180))&gt;0,((VLOOKUP(TRIM(D4180), CATALOGO!A:B, 2, FALSE) * C4180)*(1-VALUE(SUBSTITUTE(VLOOKUP(TRIM(A4180),'RESTAURANTESDESCUENTOS 2026'!A:B,2,FALSE),"%",""))/100)+I4180),(VLOOKUP(TRIM(D4180), CATALOGO!A:B, 2, FALSE) * C4180+I4180)),""))</f>
        <v/>
      </c>
      <c r="K4180" s="196"/>
      <c r="L4180" s="87"/>
      <c r="M4180" s="245"/>
      <c r="N4180" s="168"/>
    </row>
    <row r="4181" ht="22.5" hidden="1" customHeight="1">
      <c r="A4181" s="137"/>
      <c r="B4181" s="90"/>
      <c r="C4181" s="55"/>
      <c r="D4181" s="193"/>
      <c r="E4181" s="201"/>
      <c r="F4181" s="202"/>
      <c r="G4181" s="194"/>
      <c r="H4181" s="198"/>
      <c r="I4181" s="196"/>
      <c r="J4181" s="179" t="str">
        <f>IF(A4181="RAPPI",(VLOOKUP(TRIM(D4181), CATALOGO!F:G, 2, FALSE) * C4181)+I4181,IFERROR(IF(COUNTIF('RESTAURANTESDESCUENTOS 2026'!A:A,TRIM(A4181))&gt;0,((VLOOKUP(TRIM(D4181), CATALOGO!A:B, 2, FALSE) * C4181)*(1-VALUE(SUBSTITUTE(VLOOKUP(TRIM(A4181),'RESTAURANTESDESCUENTOS 2026'!A:B,2,FALSE),"%",""))/100)+I4181),(VLOOKUP(TRIM(D4181), CATALOGO!A:B, 2, FALSE) * C4181+I4181)),""))</f>
        <v/>
      </c>
      <c r="K4181" s="196"/>
      <c r="L4181" s="87"/>
      <c r="M4181" s="245"/>
      <c r="N4181" s="168"/>
    </row>
    <row r="4182" ht="22.5" hidden="1" customHeight="1">
      <c r="A4182" s="137"/>
      <c r="B4182" s="90"/>
      <c r="C4182" s="55"/>
      <c r="D4182" s="193"/>
      <c r="E4182" s="201"/>
      <c r="F4182" s="202"/>
      <c r="G4182" s="194"/>
      <c r="H4182" s="198"/>
      <c r="I4182" s="196"/>
      <c r="J4182" s="179" t="str">
        <f>IF(A4182="RAPPI",(VLOOKUP(TRIM(D4182), CATALOGO!F:G, 2, FALSE) * C4182)+I4182,IFERROR(IF(COUNTIF('RESTAURANTESDESCUENTOS 2026'!A:A,TRIM(A4182))&gt;0,((VLOOKUP(TRIM(D4182), CATALOGO!A:B, 2, FALSE) * C4182)*(1-VALUE(SUBSTITUTE(VLOOKUP(TRIM(A4182),'RESTAURANTESDESCUENTOS 2026'!A:B,2,FALSE),"%",""))/100)+I4182),(VLOOKUP(TRIM(D4182), CATALOGO!A:B, 2, FALSE) * C4182+I4182)),""))</f>
        <v/>
      </c>
      <c r="K4182" s="196"/>
      <c r="L4182" s="87"/>
      <c r="M4182" s="245"/>
      <c r="N4182" s="168"/>
    </row>
    <row r="4183" ht="22.5" hidden="1" customHeight="1">
      <c r="A4183" s="137"/>
      <c r="B4183" s="90"/>
      <c r="C4183" s="55"/>
      <c r="D4183" s="193"/>
      <c r="E4183" s="201"/>
      <c r="F4183" s="202"/>
      <c r="G4183" s="194"/>
      <c r="H4183" s="198"/>
      <c r="I4183" s="196"/>
      <c r="J4183" s="179" t="str">
        <f>IF(A4183="RAPPI",(VLOOKUP(TRIM(D4183), CATALOGO!F:G, 2, FALSE) * C4183)+I4183,IFERROR(IF(COUNTIF('RESTAURANTESDESCUENTOS 2026'!A:A,TRIM(A4183))&gt;0,((VLOOKUP(TRIM(D4183), CATALOGO!A:B, 2, FALSE) * C4183)*(1-VALUE(SUBSTITUTE(VLOOKUP(TRIM(A4183),'RESTAURANTESDESCUENTOS 2026'!A:B,2,FALSE),"%",""))/100)+I4183),(VLOOKUP(TRIM(D4183), CATALOGO!A:B, 2, FALSE) * C4183+I4183)),""))</f>
        <v/>
      </c>
      <c r="K4183" s="196"/>
      <c r="L4183" s="87"/>
      <c r="M4183" s="245"/>
      <c r="N4183" s="168"/>
    </row>
    <row r="4184" ht="22.5" hidden="1" customHeight="1">
      <c r="A4184" s="137"/>
      <c r="B4184" s="90"/>
      <c r="C4184" s="55"/>
      <c r="D4184" s="193"/>
      <c r="E4184" s="201"/>
      <c r="F4184" s="202"/>
      <c r="G4184" s="194"/>
      <c r="H4184" s="198"/>
      <c r="I4184" s="196"/>
      <c r="J4184" s="179" t="str">
        <f>IF(A4184="RAPPI",(VLOOKUP(TRIM(D4184), CATALOGO!F:G, 2, FALSE) * C4184)+I4184,IFERROR(IF(COUNTIF('RESTAURANTESDESCUENTOS 2026'!A:A,TRIM(A4184))&gt;0,((VLOOKUP(TRIM(D4184), CATALOGO!A:B, 2, FALSE) * C4184)*(1-VALUE(SUBSTITUTE(VLOOKUP(TRIM(A4184),'RESTAURANTESDESCUENTOS 2026'!A:B,2,FALSE),"%",""))/100)+I4184),(VLOOKUP(TRIM(D4184), CATALOGO!A:B, 2, FALSE) * C4184+I4184)),""))</f>
        <v/>
      </c>
      <c r="K4184" s="196"/>
      <c r="L4184" s="87"/>
      <c r="M4184" s="245"/>
      <c r="N4184" s="168"/>
    </row>
    <row r="4185" ht="22.5" hidden="1" customHeight="1">
      <c r="A4185" s="137"/>
      <c r="B4185" s="90"/>
      <c r="C4185" s="55"/>
      <c r="D4185" s="193"/>
      <c r="E4185" s="201"/>
      <c r="F4185" s="202"/>
      <c r="G4185" s="194"/>
      <c r="H4185" s="198"/>
      <c r="I4185" s="196"/>
      <c r="J4185" s="179" t="str">
        <f>IF(A4185="RAPPI",(VLOOKUP(TRIM(D4185), CATALOGO!F:G, 2, FALSE) * C4185)+I4185,IFERROR(IF(COUNTIF('RESTAURANTESDESCUENTOS 2026'!A:A,TRIM(A4185))&gt;0,((VLOOKUP(TRIM(D4185), CATALOGO!A:B, 2, FALSE) * C4185)*(1-VALUE(SUBSTITUTE(VLOOKUP(TRIM(A4185),'RESTAURANTESDESCUENTOS 2026'!A:B,2,FALSE),"%",""))/100)+I4185),(VLOOKUP(TRIM(D4185), CATALOGO!A:B, 2, FALSE) * C4185+I4185)),""))</f>
        <v/>
      </c>
      <c r="K4185" s="196"/>
      <c r="L4185" s="87"/>
      <c r="M4185" s="245"/>
      <c r="N4185" s="168"/>
    </row>
    <row r="4186" ht="22.5" hidden="1" customHeight="1">
      <c r="A4186" s="137"/>
      <c r="B4186" s="90"/>
      <c r="C4186" s="55"/>
      <c r="D4186" s="193"/>
      <c r="E4186" s="201"/>
      <c r="F4186" s="202"/>
      <c r="G4186" s="194"/>
      <c r="H4186" s="198"/>
      <c r="I4186" s="196"/>
      <c r="J4186" s="179" t="str">
        <f>IF(A4186="RAPPI",(VLOOKUP(TRIM(D4186), CATALOGO!F:G, 2, FALSE) * C4186)+I4186,IFERROR(IF(COUNTIF('RESTAURANTESDESCUENTOS 2026'!A:A,TRIM(A4186))&gt;0,((VLOOKUP(TRIM(D4186), CATALOGO!A:B, 2, FALSE) * C4186)*(1-VALUE(SUBSTITUTE(VLOOKUP(TRIM(A4186),'RESTAURANTESDESCUENTOS 2026'!A:B,2,FALSE),"%",""))/100)+I4186),(VLOOKUP(TRIM(D4186), CATALOGO!A:B, 2, FALSE) * C4186+I4186)),""))</f>
        <v/>
      </c>
      <c r="K4186" s="196"/>
      <c r="L4186" s="87"/>
      <c r="M4186" s="245"/>
      <c r="N4186" s="168"/>
    </row>
    <row r="4187" ht="22.5" hidden="1" customHeight="1">
      <c r="A4187" s="137"/>
      <c r="B4187" s="90"/>
      <c r="C4187" s="55"/>
      <c r="D4187" s="193"/>
      <c r="E4187" s="201"/>
      <c r="F4187" s="202"/>
      <c r="G4187" s="194"/>
      <c r="H4187" s="198"/>
      <c r="I4187" s="196"/>
      <c r="J4187" s="179" t="str">
        <f>IF(A4187="RAPPI",(VLOOKUP(TRIM(D4187), CATALOGO!F:G, 2, FALSE) * C4187)+I4187,IFERROR(IF(COUNTIF('RESTAURANTESDESCUENTOS 2026'!A:A,TRIM(A4187))&gt;0,((VLOOKUP(TRIM(D4187), CATALOGO!A:B, 2, FALSE) * C4187)*(1-VALUE(SUBSTITUTE(VLOOKUP(TRIM(A4187),'RESTAURANTESDESCUENTOS 2026'!A:B,2,FALSE),"%",""))/100)+I4187),(VLOOKUP(TRIM(D4187), CATALOGO!A:B, 2, FALSE) * C4187+I4187)),""))</f>
        <v/>
      </c>
      <c r="K4187" s="196"/>
      <c r="L4187" s="87"/>
      <c r="M4187" s="245"/>
      <c r="N4187" s="168"/>
    </row>
    <row r="4188" ht="22.5" hidden="1" customHeight="1">
      <c r="A4188" s="137"/>
      <c r="B4188" s="90"/>
      <c r="C4188" s="55"/>
      <c r="D4188" s="193"/>
      <c r="E4188" s="201"/>
      <c r="F4188" s="202"/>
      <c r="G4188" s="194"/>
      <c r="H4188" s="198"/>
      <c r="I4188" s="196"/>
      <c r="J4188" s="179" t="str">
        <f>IF(A4188="RAPPI",(VLOOKUP(TRIM(D4188), CATALOGO!F:G, 2, FALSE) * C4188)+I4188,IFERROR(IF(COUNTIF('RESTAURANTESDESCUENTOS 2026'!A:A,TRIM(A4188))&gt;0,((VLOOKUP(TRIM(D4188), CATALOGO!A:B, 2, FALSE) * C4188)*(1-VALUE(SUBSTITUTE(VLOOKUP(TRIM(A4188),'RESTAURANTESDESCUENTOS 2026'!A:B,2,FALSE),"%",""))/100)+I4188),(VLOOKUP(TRIM(D4188), CATALOGO!A:B, 2, FALSE) * C4188+I4188)),""))</f>
        <v/>
      </c>
      <c r="K4188" s="196"/>
      <c r="L4188" s="87"/>
      <c r="M4188" s="245"/>
      <c r="N4188" s="168"/>
    </row>
    <row r="4189" ht="22.5" hidden="1" customHeight="1">
      <c r="A4189" s="137"/>
      <c r="B4189" s="90"/>
      <c r="C4189" s="55"/>
      <c r="D4189" s="193"/>
      <c r="E4189" s="201"/>
      <c r="F4189" s="202"/>
      <c r="G4189" s="194"/>
      <c r="H4189" s="198"/>
      <c r="I4189" s="196"/>
      <c r="J4189" s="179" t="str">
        <f>IF(A4189="RAPPI",(VLOOKUP(TRIM(D4189), CATALOGO!F:G, 2, FALSE) * C4189)+I4189,IFERROR(IF(COUNTIF('RESTAURANTESDESCUENTOS 2026'!A:A,TRIM(A4189))&gt;0,((VLOOKUP(TRIM(D4189), CATALOGO!A:B, 2, FALSE) * C4189)*(1-VALUE(SUBSTITUTE(VLOOKUP(TRIM(A4189),'RESTAURANTESDESCUENTOS 2026'!A:B,2,FALSE),"%",""))/100)+I4189),(VLOOKUP(TRIM(D4189), CATALOGO!A:B, 2, FALSE) * C4189+I4189)),""))</f>
        <v/>
      </c>
      <c r="K4189" s="196"/>
      <c r="L4189" s="87"/>
      <c r="M4189" s="245"/>
      <c r="N4189" s="168"/>
    </row>
    <row r="4190" ht="22.5" hidden="1" customHeight="1">
      <c r="A4190" s="137"/>
      <c r="B4190" s="90"/>
      <c r="C4190" s="55"/>
      <c r="D4190" s="193"/>
      <c r="E4190" s="201"/>
      <c r="F4190" s="202"/>
      <c r="G4190" s="194"/>
      <c r="H4190" s="198"/>
      <c r="I4190" s="196"/>
      <c r="J4190" s="179" t="str">
        <f>IF(A4190="RAPPI",(VLOOKUP(TRIM(D4190), CATALOGO!F:G, 2, FALSE) * C4190)+I4190,IFERROR(IF(COUNTIF('RESTAURANTESDESCUENTOS 2026'!A:A,TRIM(A4190))&gt;0,((VLOOKUP(TRIM(D4190), CATALOGO!A:B, 2, FALSE) * C4190)*(1-VALUE(SUBSTITUTE(VLOOKUP(TRIM(A4190),'RESTAURANTESDESCUENTOS 2026'!A:B,2,FALSE),"%",""))/100)+I4190),(VLOOKUP(TRIM(D4190), CATALOGO!A:B, 2, FALSE) * C4190+I4190)),""))</f>
        <v/>
      </c>
      <c r="K4190" s="196"/>
      <c r="L4190" s="87"/>
      <c r="M4190" s="245"/>
      <c r="N4190" s="168"/>
    </row>
    <row r="4191" ht="22.5" hidden="1" customHeight="1">
      <c r="A4191" s="137"/>
      <c r="B4191" s="90"/>
      <c r="C4191" s="55"/>
      <c r="D4191" s="193"/>
      <c r="E4191" s="201"/>
      <c r="F4191" s="202"/>
      <c r="G4191" s="194"/>
      <c r="H4191" s="198"/>
      <c r="I4191" s="196"/>
      <c r="J4191" s="179" t="str">
        <f>IF(A4191="RAPPI",(VLOOKUP(TRIM(D4191), CATALOGO!F:G, 2, FALSE) * C4191)+I4191,IFERROR(IF(COUNTIF('RESTAURANTESDESCUENTOS 2026'!A:A,TRIM(A4191))&gt;0,((VLOOKUP(TRIM(D4191), CATALOGO!A:B, 2, FALSE) * C4191)*(1-VALUE(SUBSTITUTE(VLOOKUP(TRIM(A4191),'RESTAURANTESDESCUENTOS 2026'!A:B,2,FALSE),"%",""))/100)+I4191),(VLOOKUP(TRIM(D4191), CATALOGO!A:B, 2, FALSE) * C4191+I4191)),""))</f>
        <v/>
      </c>
      <c r="K4191" s="196"/>
      <c r="L4191" s="87"/>
      <c r="M4191" s="245"/>
      <c r="N4191" s="168"/>
    </row>
    <row r="4192" ht="22.5" hidden="1" customHeight="1">
      <c r="A4192" s="137"/>
      <c r="B4192" s="90"/>
      <c r="C4192" s="55"/>
      <c r="D4192" s="193"/>
      <c r="E4192" s="201"/>
      <c r="F4192" s="202"/>
      <c r="G4192" s="194"/>
      <c r="H4192" s="198"/>
      <c r="I4192" s="196"/>
      <c r="J4192" s="179" t="str">
        <f>IF(A4192="RAPPI",(VLOOKUP(TRIM(D4192), CATALOGO!F:G, 2, FALSE) * C4192)+I4192,IFERROR(IF(COUNTIF('RESTAURANTESDESCUENTOS 2026'!A:A,TRIM(A4192))&gt;0,((VLOOKUP(TRIM(D4192), CATALOGO!A:B, 2, FALSE) * C4192)*(1-VALUE(SUBSTITUTE(VLOOKUP(TRIM(A4192),'RESTAURANTESDESCUENTOS 2026'!A:B,2,FALSE),"%",""))/100)+I4192),(VLOOKUP(TRIM(D4192), CATALOGO!A:B, 2, FALSE) * C4192+I4192)),""))</f>
        <v/>
      </c>
      <c r="K4192" s="196"/>
      <c r="L4192" s="87"/>
      <c r="M4192" s="245"/>
      <c r="N4192" s="168"/>
    </row>
    <row r="4193" ht="22.5" hidden="1" customHeight="1">
      <c r="A4193" s="137"/>
      <c r="B4193" s="90"/>
      <c r="C4193" s="55"/>
      <c r="D4193" s="193"/>
      <c r="E4193" s="201"/>
      <c r="F4193" s="202"/>
      <c r="G4193" s="194"/>
      <c r="H4193" s="198"/>
      <c r="I4193" s="196"/>
      <c r="J4193" s="179" t="str">
        <f>IF(A4193="RAPPI",(VLOOKUP(TRIM(D4193), CATALOGO!F:G, 2, FALSE) * C4193)+I4193,IFERROR(IF(COUNTIF('RESTAURANTESDESCUENTOS 2026'!A:A,TRIM(A4193))&gt;0,((VLOOKUP(TRIM(D4193), CATALOGO!A:B, 2, FALSE) * C4193)*(1-VALUE(SUBSTITUTE(VLOOKUP(TRIM(A4193),'RESTAURANTESDESCUENTOS 2026'!A:B,2,FALSE),"%",""))/100)+I4193),(VLOOKUP(TRIM(D4193), CATALOGO!A:B, 2, FALSE) * C4193+I4193)),""))</f>
        <v/>
      </c>
      <c r="K4193" s="196"/>
      <c r="L4193" s="87"/>
      <c r="M4193" s="245"/>
      <c r="N4193" s="168"/>
    </row>
    <row r="4194" ht="22.5" hidden="1" customHeight="1">
      <c r="A4194" s="137"/>
      <c r="B4194" s="90"/>
      <c r="C4194" s="55"/>
      <c r="D4194" s="193"/>
      <c r="E4194" s="201"/>
      <c r="F4194" s="202"/>
      <c r="G4194" s="194"/>
      <c r="H4194" s="198"/>
      <c r="I4194" s="196"/>
      <c r="J4194" s="179" t="str">
        <f>IF(A4194="RAPPI",(VLOOKUP(TRIM(D4194), CATALOGO!F:G, 2, FALSE) * C4194)+I4194,IFERROR(IF(COUNTIF('RESTAURANTESDESCUENTOS 2026'!A:A,TRIM(A4194))&gt;0,((VLOOKUP(TRIM(D4194), CATALOGO!A:B, 2, FALSE) * C4194)*(1-VALUE(SUBSTITUTE(VLOOKUP(TRIM(A4194),'RESTAURANTESDESCUENTOS 2026'!A:B,2,FALSE),"%",""))/100)+I4194),(VLOOKUP(TRIM(D4194), CATALOGO!A:B, 2, FALSE) * C4194+I4194)),""))</f>
        <v/>
      </c>
      <c r="K4194" s="196"/>
      <c r="L4194" s="87"/>
      <c r="M4194" s="245"/>
      <c r="N4194" s="168"/>
    </row>
    <row r="4195" ht="22.5" hidden="1" customHeight="1">
      <c r="A4195" s="137"/>
      <c r="B4195" s="90"/>
      <c r="C4195" s="55"/>
      <c r="D4195" s="193"/>
      <c r="E4195" s="201"/>
      <c r="F4195" s="202"/>
      <c r="G4195" s="194"/>
      <c r="H4195" s="198"/>
      <c r="I4195" s="196"/>
      <c r="J4195" s="179" t="str">
        <f>IF(A4195="RAPPI",(VLOOKUP(TRIM(D4195), CATALOGO!F:G, 2, FALSE) * C4195)+I4195,IFERROR(IF(COUNTIF('RESTAURANTESDESCUENTOS 2026'!A:A,TRIM(A4195))&gt;0,((VLOOKUP(TRIM(D4195), CATALOGO!A:B, 2, FALSE) * C4195)*(1-VALUE(SUBSTITUTE(VLOOKUP(TRIM(A4195),'RESTAURANTESDESCUENTOS 2026'!A:B,2,FALSE),"%",""))/100)+I4195),(VLOOKUP(TRIM(D4195), CATALOGO!A:B, 2, FALSE) * C4195+I4195)),""))</f>
        <v/>
      </c>
      <c r="K4195" s="196"/>
      <c r="L4195" s="87"/>
      <c r="M4195" s="245"/>
      <c r="N4195" s="168"/>
    </row>
    <row r="4196" ht="22.5" hidden="1" customHeight="1">
      <c r="A4196" s="137"/>
      <c r="B4196" s="90"/>
      <c r="C4196" s="55"/>
      <c r="D4196" s="193"/>
      <c r="E4196" s="201"/>
      <c r="F4196" s="202"/>
      <c r="G4196" s="194"/>
      <c r="H4196" s="198"/>
      <c r="I4196" s="196"/>
      <c r="J4196" s="179" t="str">
        <f>IF(A4196="RAPPI",(VLOOKUP(TRIM(D4196), CATALOGO!F:G, 2, FALSE) * C4196)+I4196,IFERROR(IF(COUNTIF('RESTAURANTESDESCUENTOS 2026'!A:A,TRIM(A4196))&gt;0,((VLOOKUP(TRIM(D4196), CATALOGO!A:B, 2, FALSE) * C4196)*(1-VALUE(SUBSTITUTE(VLOOKUP(TRIM(A4196),'RESTAURANTESDESCUENTOS 2026'!A:B,2,FALSE),"%",""))/100)+I4196),(VLOOKUP(TRIM(D4196), CATALOGO!A:B, 2, FALSE) * C4196+I4196)),""))</f>
        <v/>
      </c>
      <c r="K4196" s="196"/>
      <c r="L4196" s="87"/>
      <c r="M4196" s="245"/>
      <c r="N4196" s="168"/>
    </row>
    <row r="4197" ht="22.5" hidden="1" customHeight="1">
      <c r="A4197" s="137"/>
      <c r="B4197" s="90"/>
      <c r="C4197" s="55"/>
      <c r="D4197" s="193"/>
      <c r="E4197" s="201"/>
      <c r="F4197" s="202"/>
      <c r="G4197" s="194"/>
      <c r="H4197" s="198"/>
      <c r="I4197" s="196"/>
      <c r="J4197" s="179" t="str">
        <f>IF(A4197="RAPPI",(VLOOKUP(TRIM(D4197), CATALOGO!F:G, 2, FALSE) * C4197)+I4197,IFERROR(IF(COUNTIF('RESTAURANTESDESCUENTOS 2026'!A:A,TRIM(A4197))&gt;0,((VLOOKUP(TRIM(D4197), CATALOGO!A:B, 2, FALSE) * C4197)*(1-VALUE(SUBSTITUTE(VLOOKUP(TRIM(A4197),'RESTAURANTESDESCUENTOS 2026'!A:B,2,FALSE),"%",""))/100)+I4197),(VLOOKUP(TRIM(D4197), CATALOGO!A:B, 2, FALSE) * C4197+I4197)),""))</f>
        <v/>
      </c>
      <c r="K4197" s="196"/>
      <c r="L4197" s="87"/>
      <c r="M4197" s="245"/>
      <c r="N4197" s="168"/>
    </row>
    <row r="4198" ht="22.5" hidden="1" customHeight="1">
      <c r="A4198" s="137"/>
      <c r="B4198" s="90"/>
      <c r="C4198" s="55"/>
      <c r="D4198" s="193"/>
      <c r="E4198" s="201"/>
      <c r="F4198" s="202"/>
      <c r="G4198" s="194"/>
      <c r="H4198" s="198"/>
      <c r="I4198" s="196"/>
      <c r="J4198" s="179" t="str">
        <f>IF(A4198="RAPPI",(VLOOKUP(TRIM(D4198), CATALOGO!F:G, 2, FALSE) * C4198)+I4198,IFERROR(IF(COUNTIF('RESTAURANTESDESCUENTOS 2026'!A:A,TRIM(A4198))&gt;0,((VLOOKUP(TRIM(D4198), CATALOGO!A:B, 2, FALSE) * C4198)*(1-VALUE(SUBSTITUTE(VLOOKUP(TRIM(A4198),'RESTAURANTESDESCUENTOS 2026'!A:B,2,FALSE),"%",""))/100)+I4198),(VLOOKUP(TRIM(D4198), CATALOGO!A:B, 2, FALSE) * C4198+I4198)),""))</f>
        <v/>
      </c>
      <c r="K4198" s="196"/>
      <c r="L4198" s="87"/>
      <c r="M4198" s="245"/>
      <c r="N4198" s="168"/>
    </row>
    <row r="4199" ht="22.5" hidden="1" customHeight="1">
      <c r="A4199" s="137"/>
      <c r="B4199" s="90"/>
      <c r="C4199" s="55"/>
      <c r="D4199" s="193"/>
      <c r="E4199" s="201"/>
      <c r="F4199" s="202"/>
      <c r="G4199" s="194"/>
      <c r="H4199" s="198"/>
      <c r="I4199" s="196"/>
      <c r="J4199" s="179" t="str">
        <f>IF(A4199="RAPPI",(VLOOKUP(TRIM(D4199), CATALOGO!F:G, 2, FALSE) * C4199)+I4199,IFERROR(IF(COUNTIF('RESTAURANTESDESCUENTOS 2026'!A:A,TRIM(A4199))&gt;0,((VLOOKUP(TRIM(D4199), CATALOGO!A:B, 2, FALSE) * C4199)*(1-VALUE(SUBSTITUTE(VLOOKUP(TRIM(A4199),'RESTAURANTESDESCUENTOS 2026'!A:B,2,FALSE),"%",""))/100)+I4199),(VLOOKUP(TRIM(D4199), CATALOGO!A:B, 2, FALSE) * C4199+I4199)),""))</f>
        <v/>
      </c>
      <c r="K4199" s="196"/>
      <c r="L4199" s="87"/>
      <c r="M4199" s="245"/>
      <c r="N4199" s="168"/>
    </row>
    <row r="4200" ht="22.5" hidden="1" customHeight="1">
      <c r="A4200" s="137"/>
      <c r="B4200" s="90"/>
      <c r="C4200" s="55"/>
      <c r="D4200" s="193"/>
      <c r="E4200" s="201"/>
      <c r="F4200" s="202"/>
      <c r="G4200" s="194"/>
      <c r="H4200" s="198"/>
      <c r="I4200" s="196"/>
      <c r="J4200" s="179" t="str">
        <f>IF(A4200="RAPPI",(VLOOKUP(TRIM(D4200), CATALOGO!F:G, 2, FALSE) * C4200)+I4200,IFERROR(IF(COUNTIF('RESTAURANTESDESCUENTOS 2026'!A:A,TRIM(A4200))&gt;0,((VLOOKUP(TRIM(D4200), CATALOGO!A:B, 2, FALSE) * C4200)*(1-VALUE(SUBSTITUTE(VLOOKUP(TRIM(A4200),'RESTAURANTESDESCUENTOS 2026'!A:B,2,FALSE),"%",""))/100)+I4200),(VLOOKUP(TRIM(D4200), CATALOGO!A:B, 2, FALSE) * C4200+I4200)),""))</f>
        <v/>
      </c>
      <c r="K4200" s="196"/>
      <c r="L4200" s="87"/>
      <c r="M4200" s="245"/>
      <c r="N4200" s="168"/>
    </row>
    <row r="4201" ht="22.5" hidden="1" customHeight="1">
      <c r="A4201" s="137"/>
      <c r="B4201" s="90"/>
      <c r="C4201" s="55"/>
      <c r="D4201" s="193"/>
      <c r="E4201" s="201"/>
      <c r="F4201" s="202"/>
      <c r="G4201" s="194"/>
      <c r="H4201" s="198"/>
      <c r="I4201" s="196"/>
      <c r="J4201" s="179" t="str">
        <f>IF(A4201="RAPPI",(VLOOKUP(TRIM(D4201), CATALOGO!F:G, 2, FALSE) * C4201)+I4201,IFERROR(IF(COUNTIF('RESTAURANTESDESCUENTOS 2026'!A:A,TRIM(A4201))&gt;0,((VLOOKUP(TRIM(D4201), CATALOGO!A:B, 2, FALSE) * C4201)*(1-VALUE(SUBSTITUTE(VLOOKUP(TRIM(A4201),'RESTAURANTESDESCUENTOS 2026'!A:B,2,FALSE),"%",""))/100)+I4201),(VLOOKUP(TRIM(D4201), CATALOGO!A:B, 2, FALSE) * C4201+I4201)),""))</f>
        <v/>
      </c>
      <c r="K4201" s="196"/>
      <c r="L4201" s="87"/>
      <c r="M4201" s="245"/>
      <c r="N4201" s="168"/>
    </row>
    <row r="4202" ht="22.5" hidden="1" customHeight="1">
      <c r="A4202" s="137"/>
      <c r="B4202" s="90"/>
      <c r="C4202" s="55"/>
      <c r="D4202" s="193"/>
      <c r="E4202" s="201"/>
      <c r="F4202" s="202"/>
      <c r="G4202" s="194"/>
      <c r="H4202" s="198"/>
      <c r="I4202" s="196"/>
      <c r="J4202" s="179" t="str">
        <f>IF(A4202="RAPPI",(VLOOKUP(TRIM(D4202), CATALOGO!F:G, 2, FALSE) * C4202)+I4202,IFERROR(IF(COUNTIF('RESTAURANTESDESCUENTOS 2026'!A:A,TRIM(A4202))&gt;0,((VLOOKUP(TRIM(D4202), CATALOGO!A:B, 2, FALSE) * C4202)*(1-VALUE(SUBSTITUTE(VLOOKUP(TRIM(A4202),'RESTAURANTESDESCUENTOS 2026'!A:B,2,FALSE),"%",""))/100)+I4202),(VLOOKUP(TRIM(D4202), CATALOGO!A:B, 2, FALSE) * C4202+I4202)),""))</f>
        <v/>
      </c>
      <c r="K4202" s="196"/>
      <c r="L4202" s="87"/>
      <c r="M4202" s="245"/>
      <c r="N4202" s="168"/>
    </row>
    <row r="4203" ht="22.5" hidden="1" customHeight="1">
      <c r="A4203" s="137"/>
      <c r="B4203" s="90"/>
      <c r="C4203" s="55"/>
      <c r="D4203" s="193"/>
      <c r="E4203" s="201"/>
      <c r="F4203" s="202"/>
      <c r="G4203" s="194"/>
      <c r="H4203" s="198"/>
      <c r="I4203" s="196"/>
      <c r="J4203" s="179" t="str">
        <f>IF(A4203="RAPPI",(VLOOKUP(TRIM(D4203), CATALOGO!F:G, 2, FALSE) * C4203)+I4203,IFERROR(IF(COUNTIF('RESTAURANTESDESCUENTOS 2026'!A:A,TRIM(A4203))&gt;0,((VLOOKUP(TRIM(D4203), CATALOGO!A:B, 2, FALSE) * C4203)*(1-VALUE(SUBSTITUTE(VLOOKUP(TRIM(A4203),'RESTAURANTESDESCUENTOS 2026'!A:B,2,FALSE),"%",""))/100)+I4203),(VLOOKUP(TRIM(D4203), CATALOGO!A:B, 2, FALSE) * C4203+I4203)),""))</f>
        <v/>
      </c>
      <c r="K4203" s="196"/>
      <c r="L4203" s="87"/>
      <c r="M4203" s="245"/>
      <c r="N4203" s="168"/>
    </row>
    <row r="4204" ht="22.5" hidden="1" customHeight="1">
      <c r="A4204" s="137"/>
      <c r="B4204" s="90"/>
      <c r="C4204" s="55"/>
      <c r="D4204" s="193"/>
      <c r="E4204" s="201"/>
      <c r="F4204" s="202"/>
      <c r="G4204" s="194"/>
      <c r="H4204" s="198"/>
      <c r="I4204" s="196"/>
      <c r="J4204" s="179" t="str">
        <f>IF(A4204="RAPPI",(VLOOKUP(TRIM(D4204), CATALOGO!F:G, 2, FALSE) * C4204)+I4204,IFERROR(IF(COUNTIF('RESTAURANTESDESCUENTOS 2026'!A:A,TRIM(A4204))&gt;0,((VLOOKUP(TRIM(D4204), CATALOGO!A:B, 2, FALSE) * C4204)*(1-VALUE(SUBSTITUTE(VLOOKUP(TRIM(A4204),'RESTAURANTESDESCUENTOS 2026'!A:B,2,FALSE),"%",""))/100)+I4204),(VLOOKUP(TRIM(D4204), CATALOGO!A:B, 2, FALSE) * C4204+I4204)),""))</f>
        <v/>
      </c>
      <c r="K4204" s="196"/>
      <c r="L4204" s="87"/>
      <c r="M4204" s="245"/>
      <c r="N4204" s="168"/>
    </row>
    <row r="4205" ht="22.5" hidden="1" customHeight="1">
      <c r="A4205" s="137"/>
      <c r="B4205" s="90"/>
      <c r="C4205" s="55"/>
      <c r="D4205" s="193"/>
      <c r="E4205" s="201"/>
      <c r="F4205" s="202"/>
      <c r="G4205" s="194"/>
      <c r="H4205" s="198"/>
      <c r="I4205" s="196"/>
      <c r="J4205" s="179" t="str">
        <f>IF(A4205="RAPPI",(VLOOKUP(TRIM(D4205), CATALOGO!F:G, 2, FALSE) * C4205)+I4205,IFERROR(IF(COUNTIF('RESTAURANTESDESCUENTOS 2026'!A:A,TRIM(A4205))&gt;0,((VLOOKUP(TRIM(D4205), CATALOGO!A:B, 2, FALSE) * C4205)*(1-VALUE(SUBSTITUTE(VLOOKUP(TRIM(A4205),'RESTAURANTESDESCUENTOS 2026'!A:B,2,FALSE),"%",""))/100)+I4205),(VLOOKUP(TRIM(D4205), CATALOGO!A:B, 2, FALSE) * C4205+I4205)),""))</f>
        <v/>
      </c>
      <c r="K4205" s="196"/>
      <c r="L4205" s="87"/>
      <c r="M4205" s="245"/>
      <c r="N4205" s="168"/>
    </row>
    <row r="4206" ht="22.5" hidden="1" customHeight="1">
      <c r="A4206" s="137"/>
      <c r="B4206" s="90"/>
      <c r="C4206" s="55"/>
      <c r="D4206" s="193"/>
      <c r="E4206" s="201"/>
      <c r="F4206" s="202"/>
      <c r="G4206" s="194"/>
      <c r="H4206" s="198"/>
      <c r="I4206" s="196"/>
      <c r="J4206" s="179" t="str">
        <f>IF(A4206="RAPPI",(VLOOKUP(TRIM(D4206), CATALOGO!F:G, 2, FALSE) * C4206)+I4206,IFERROR(IF(COUNTIF('RESTAURANTESDESCUENTOS 2026'!A:A,TRIM(A4206))&gt;0,((VLOOKUP(TRIM(D4206), CATALOGO!A:B, 2, FALSE) * C4206)*(1-VALUE(SUBSTITUTE(VLOOKUP(TRIM(A4206),'RESTAURANTESDESCUENTOS 2026'!A:B,2,FALSE),"%",""))/100)+I4206),(VLOOKUP(TRIM(D4206), CATALOGO!A:B, 2, FALSE) * C4206+I4206)),""))</f>
        <v/>
      </c>
      <c r="K4206" s="196"/>
      <c r="L4206" s="87"/>
      <c r="M4206" s="245"/>
      <c r="N4206" s="168"/>
    </row>
    <row r="4207" ht="22.5" hidden="1" customHeight="1">
      <c r="A4207" s="137"/>
      <c r="B4207" s="90"/>
      <c r="C4207" s="55"/>
      <c r="D4207" s="193"/>
      <c r="E4207" s="201"/>
      <c r="F4207" s="202"/>
      <c r="G4207" s="194"/>
      <c r="H4207" s="198"/>
      <c r="I4207" s="196"/>
      <c r="J4207" s="179" t="str">
        <f>IF(A4207="RAPPI",(VLOOKUP(TRIM(D4207), CATALOGO!F:G, 2, FALSE) * C4207)+I4207,IFERROR(IF(COUNTIF('RESTAURANTESDESCUENTOS 2026'!A:A,TRIM(A4207))&gt;0,((VLOOKUP(TRIM(D4207), CATALOGO!A:B, 2, FALSE) * C4207)*(1-VALUE(SUBSTITUTE(VLOOKUP(TRIM(A4207),'RESTAURANTESDESCUENTOS 2026'!A:B,2,FALSE),"%",""))/100)+I4207),(VLOOKUP(TRIM(D4207), CATALOGO!A:B, 2, FALSE) * C4207+I4207)),""))</f>
        <v/>
      </c>
      <c r="K4207" s="196"/>
      <c r="L4207" s="87"/>
      <c r="M4207" s="245"/>
      <c r="N4207" s="168"/>
    </row>
    <row r="4208" ht="22.5" hidden="1" customHeight="1">
      <c r="A4208" s="137"/>
      <c r="B4208" s="90"/>
      <c r="C4208" s="55"/>
      <c r="D4208" s="193"/>
      <c r="E4208" s="201"/>
      <c r="F4208" s="202"/>
      <c r="G4208" s="194"/>
      <c r="H4208" s="198"/>
      <c r="I4208" s="196"/>
      <c r="J4208" s="179" t="str">
        <f>IF(A4208="RAPPI",(VLOOKUP(TRIM(D4208), CATALOGO!F:G, 2, FALSE) * C4208)+I4208,IFERROR(IF(COUNTIF('RESTAURANTESDESCUENTOS 2026'!A:A,TRIM(A4208))&gt;0,((VLOOKUP(TRIM(D4208), CATALOGO!A:B, 2, FALSE) * C4208)*(1-VALUE(SUBSTITUTE(VLOOKUP(TRIM(A4208),'RESTAURANTESDESCUENTOS 2026'!A:B,2,FALSE),"%",""))/100)+I4208),(VLOOKUP(TRIM(D4208), CATALOGO!A:B, 2, FALSE) * C4208+I4208)),""))</f>
        <v/>
      </c>
      <c r="K4208" s="196"/>
      <c r="L4208" s="87"/>
      <c r="M4208" s="245"/>
      <c r="N4208" s="168"/>
    </row>
    <row r="4209" ht="22.5" hidden="1" customHeight="1">
      <c r="A4209" s="137"/>
      <c r="B4209" s="90"/>
      <c r="C4209" s="55"/>
      <c r="D4209" s="193"/>
      <c r="E4209" s="201"/>
      <c r="F4209" s="202"/>
      <c r="G4209" s="194"/>
      <c r="H4209" s="198"/>
      <c r="I4209" s="196"/>
      <c r="J4209" s="179" t="str">
        <f>IF(A4209="RAPPI",(VLOOKUP(TRIM(D4209), CATALOGO!F:G, 2, FALSE) * C4209)+I4209,IFERROR(IF(COUNTIF('RESTAURANTESDESCUENTOS 2026'!A:A,TRIM(A4209))&gt;0,((VLOOKUP(TRIM(D4209), CATALOGO!A:B, 2, FALSE) * C4209)*(1-VALUE(SUBSTITUTE(VLOOKUP(TRIM(A4209),'RESTAURANTESDESCUENTOS 2026'!A:B,2,FALSE),"%",""))/100)+I4209),(VLOOKUP(TRIM(D4209), CATALOGO!A:B, 2, FALSE) * C4209+I4209)),""))</f>
        <v/>
      </c>
      <c r="K4209" s="196"/>
      <c r="L4209" s="87"/>
      <c r="M4209" s="245"/>
      <c r="N4209" s="168"/>
    </row>
    <row r="4210" ht="22.5" hidden="1" customHeight="1">
      <c r="A4210" s="137"/>
      <c r="B4210" s="90"/>
      <c r="C4210" s="55"/>
      <c r="D4210" s="193"/>
      <c r="E4210" s="201"/>
      <c r="F4210" s="202"/>
      <c r="G4210" s="194"/>
      <c r="H4210" s="198"/>
      <c r="I4210" s="196"/>
      <c r="J4210" s="179" t="str">
        <f>IF(A4210="RAPPI",(VLOOKUP(TRIM(D4210), CATALOGO!F:G, 2, FALSE) * C4210)+I4210,IFERROR(IF(COUNTIF('RESTAURANTESDESCUENTOS 2026'!A:A,TRIM(A4210))&gt;0,((VLOOKUP(TRIM(D4210), CATALOGO!A:B, 2, FALSE) * C4210)*(1-VALUE(SUBSTITUTE(VLOOKUP(TRIM(A4210),'RESTAURANTESDESCUENTOS 2026'!A:B,2,FALSE),"%",""))/100)+I4210),(VLOOKUP(TRIM(D4210), CATALOGO!A:B, 2, FALSE) * C4210+I4210)),""))</f>
        <v/>
      </c>
      <c r="K4210" s="196"/>
      <c r="L4210" s="87"/>
      <c r="M4210" s="245"/>
      <c r="N4210" s="168"/>
    </row>
    <row r="4211" ht="22.5" hidden="1" customHeight="1">
      <c r="A4211" s="137"/>
      <c r="B4211" s="90"/>
      <c r="C4211" s="55"/>
      <c r="D4211" s="193"/>
      <c r="E4211" s="201"/>
      <c r="F4211" s="202"/>
      <c r="G4211" s="194"/>
      <c r="H4211" s="198"/>
      <c r="I4211" s="196"/>
      <c r="J4211" s="179" t="str">
        <f>IF(A4211="RAPPI",(VLOOKUP(TRIM(D4211), CATALOGO!F:G, 2, FALSE) * C4211)+I4211,IFERROR(IF(COUNTIF('RESTAURANTESDESCUENTOS 2026'!A:A,TRIM(A4211))&gt;0,((VLOOKUP(TRIM(D4211), CATALOGO!A:B, 2, FALSE) * C4211)*(1-VALUE(SUBSTITUTE(VLOOKUP(TRIM(A4211),'RESTAURANTESDESCUENTOS 2026'!A:B,2,FALSE),"%",""))/100)+I4211),(VLOOKUP(TRIM(D4211), CATALOGO!A:B, 2, FALSE) * C4211+I4211)),""))</f>
        <v/>
      </c>
      <c r="K4211" s="196"/>
      <c r="L4211" s="87"/>
      <c r="M4211" s="245"/>
      <c r="N4211" s="168"/>
    </row>
    <row r="4212" ht="22.5" hidden="1" customHeight="1">
      <c r="A4212" s="137"/>
      <c r="B4212" s="90"/>
      <c r="C4212" s="55"/>
      <c r="D4212" s="193"/>
      <c r="E4212" s="201"/>
      <c r="F4212" s="202"/>
      <c r="G4212" s="194"/>
      <c r="H4212" s="198"/>
      <c r="I4212" s="196"/>
      <c r="J4212" s="179" t="str">
        <f>IF(A4212="RAPPI",(VLOOKUP(TRIM(D4212), CATALOGO!F:G, 2, FALSE) * C4212)+I4212,IFERROR(IF(COUNTIF('RESTAURANTESDESCUENTOS 2026'!A:A,TRIM(A4212))&gt;0,((VLOOKUP(TRIM(D4212), CATALOGO!A:B, 2, FALSE) * C4212)*(1-VALUE(SUBSTITUTE(VLOOKUP(TRIM(A4212),'RESTAURANTESDESCUENTOS 2026'!A:B,2,FALSE),"%",""))/100)+I4212),(VLOOKUP(TRIM(D4212), CATALOGO!A:B, 2, FALSE) * C4212+I4212)),""))</f>
        <v/>
      </c>
      <c r="K4212" s="196"/>
      <c r="L4212" s="87"/>
      <c r="M4212" s="245"/>
      <c r="N4212" s="168"/>
    </row>
    <row r="4213" ht="22.5" hidden="1" customHeight="1">
      <c r="A4213" s="137"/>
      <c r="B4213" s="90"/>
      <c r="C4213" s="55"/>
      <c r="D4213" s="193"/>
      <c r="E4213" s="201"/>
      <c r="F4213" s="202"/>
      <c r="G4213" s="194"/>
      <c r="H4213" s="198"/>
      <c r="I4213" s="196"/>
      <c r="J4213" s="179" t="str">
        <f>IF(A4213="RAPPI",(VLOOKUP(TRIM(D4213), CATALOGO!F:G, 2, FALSE) * C4213)+I4213,IFERROR(IF(COUNTIF('RESTAURANTESDESCUENTOS 2026'!A:A,TRIM(A4213))&gt;0,((VLOOKUP(TRIM(D4213), CATALOGO!A:B, 2, FALSE) * C4213)*(1-VALUE(SUBSTITUTE(VLOOKUP(TRIM(A4213),'RESTAURANTESDESCUENTOS 2026'!A:B,2,FALSE),"%",""))/100)+I4213),(VLOOKUP(TRIM(D4213), CATALOGO!A:B, 2, FALSE) * C4213+I4213)),""))</f>
        <v/>
      </c>
      <c r="K4213" s="196"/>
      <c r="L4213" s="87"/>
      <c r="M4213" s="245"/>
      <c r="N4213" s="168"/>
    </row>
    <row r="4214" ht="22.5" hidden="1" customHeight="1">
      <c r="A4214" s="137"/>
      <c r="B4214" s="90"/>
      <c r="C4214" s="55"/>
      <c r="D4214" s="193"/>
      <c r="E4214" s="201"/>
      <c r="F4214" s="202"/>
      <c r="G4214" s="194"/>
      <c r="H4214" s="198"/>
      <c r="I4214" s="196"/>
      <c r="J4214" s="179" t="str">
        <f>IF(A4214="RAPPI",(VLOOKUP(TRIM(D4214), CATALOGO!F:G, 2, FALSE) * C4214)+I4214,IFERROR(IF(COUNTIF('RESTAURANTESDESCUENTOS 2026'!A:A,TRIM(A4214))&gt;0,((VLOOKUP(TRIM(D4214), CATALOGO!A:B, 2, FALSE) * C4214)*(1-VALUE(SUBSTITUTE(VLOOKUP(TRIM(A4214),'RESTAURANTESDESCUENTOS 2026'!A:B,2,FALSE),"%",""))/100)+I4214),(VLOOKUP(TRIM(D4214), CATALOGO!A:B, 2, FALSE) * C4214+I4214)),""))</f>
        <v/>
      </c>
      <c r="K4214" s="196"/>
      <c r="L4214" s="87"/>
      <c r="M4214" s="245"/>
      <c r="N4214" s="168"/>
    </row>
    <row r="4215" ht="22.5" hidden="1" customHeight="1">
      <c r="A4215" s="137"/>
      <c r="B4215" s="90"/>
      <c r="C4215" s="55"/>
      <c r="D4215" s="193"/>
      <c r="E4215" s="201"/>
      <c r="F4215" s="202"/>
      <c r="G4215" s="194"/>
      <c r="H4215" s="198"/>
      <c r="I4215" s="196"/>
      <c r="J4215" s="179" t="str">
        <f>IF(A4215="RAPPI",(VLOOKUP(TRIM(D4215), CATALOGO!F:G, 2, FALSE) * C4215)+I4215,IFERROR(IF(COUNTIF('RESTAURANTESDESCUENTOS 2026'!A:A,TRIM(A4215))&gt;0,((VLOOKUP(TRIM(D4215), CATALOGO!A:B, 2, FALSE) * C4215)*(1-VALUE(SUBSTITUTE(VLOOKUP(TRIM(A4215),'RESTAURANTESDESCUENTOS 2026'!A:B,2,FALSE),"%",""))/100)+I4215),(VLOOKUP(TRIM(D4215), CATALOGO!A:B, 2, FALSE) * C4215+I4215)),""))</f>
        <v/>
      </c>
      <c r="K4215" s="196"/>
      <c r="L4215" s="87"/>
      <c r="M4215" s="245"/>
      <c r="N4215" s="168"/>
    </row>
    <row r="4216" ht="22.5" hidden="1" customHeight="1">
      <c r="A4216" s="137"/>
      <c r="B4216" s="90"/>
      <c r="C4216" s="55"/>
      <c r="D4216" s="193"/>
      <c r="E4216" s="201"/>
      <c r="F4216" s="202"/>
      <c r="G4216" s="194"/>
      <c r="H4216" s="198"/>
      <c r="I4216" s="196"/>
      <c r="J4216" s="179" t="str">
        <f>IF(A4216="RAPPI",(VLOOKUP(TRIM(D4216), CATALOGO!F:G, 2, FALSE) * C4216)+I4216,IFERROR(IF(COUNTIF('RESTAURANTESDESCUENTOS 2026'!A:A,TRIM(A4216))&gt;0,((VLOOKUP(TRIM(D4216), CATALOGO!A:B, 2, FALSE) * C4216)*(1-VALUE(SUBSTITUTE(VLOOKUP(TRIM(A4216),'RESTAURANTESDESCUENTOS 2026'!A:B,2,FALSE),"%",""))/100)+I4216),(VLOOKUP(TRIM(D4216), CATALOGO!A:B, 2, FALSE) * C4216+I4216)),""))</f>
        <v/>
      </c>
      <c r="K4216" s="196"/>
      <c r="L4216" s="87"/>
      <c r="M4216" s="245"/>
      <c r="N4216" s="168"/>
    </row>
    <row r="4217" ht="22.5" hidden="1" customHeight="1">
      <c r="A4217" s="137"/>
      <c r="B4217" s="90"/>
      <c r="C4217" s="55"/>
      <c r="D4217" s="193"/>
      <c r="E4217" s="201"/>
      <c r="F4217" s="202"/>
      <c r="G4217" s="194"/>
      <c r="H4217" s="198"/>
      <c r="I4217" s="196"/>
      <c r="J4217" s="179" t="str">
        <f>IF(A4217="RAPPI",(VLOOKUP(TRIM(D4217), CATALOGO!F:G, 2, FALSE) * C4217)+I4217,IFERROR(IF(COUNTIF('RESTAURANTESDESCUENTOS 2026'!A:A,TRIM(A4217))&gt;0,((VLOOKUP(TRIM(D4217), CATALOGO!A:B, 2, FALSE) * C4217)*(1-VALUE(SUBSTITUTE(VLOOKUP(TRIM(A4217),'RESTAURANTESDESCUENTOS 2026'!A:B,2,FALSE),"%",""))/100)+I4217),(VLOOKUP(TRIM(D4217), CATALOGO!A:B, 2, FALSE) * C4217+I4217)),""))</f>
        <v/>
      </c>
      <c r="K4217" s="196"/>
      <c r="L4217" s="87"/>
      <c r="M4217" s="245"/>
      <c r="N4217" s="168"/>
    </row>
    <row r="4218" ht="22.5" hidden="1" customHeight="1">
      <c r="A4218" s="137"/>
      <c r="B4218" s="90"/>
      <c r="C4218" s="55"/>
      <c r="D4218" s="193"/>
      <c r="E4218" s="201"/>
      <c r="F4218" s="202"/>
      <c r="G4218" s="194"/>
      <c r="H4218" s="198"/>
      <c r="I4218" s="196"/>
      <c r="J4218" s="179" t="str">
        <f>IF(A4218="RAPPI",(VLOOKUP(TRIM(D4218), CATALOGO!F:G, 2, FALSE) * C4218)+I4218,IFERROR(IF(COUNTIF('RESTAURANTESDESCUENTOS 2026'!A:A,TRIM(A4218))&gt;0,((VLOOKUP(TRIM(D4218), CATALOGO!A:B, 2, FALSE) * C4218)*(1-VALUE(SUBSTITUTE(VLOOKUP(TRIM(A4218),'RESTAURANTESDESCUENTOS 2026'!A:B,2,FALSE),"%",""))/100)+I4218),(VLOOKUP(TRIM(D4218), CATALOGO!A:B, 2, FALSE) * C4218+I4218)),""))</f>
        <v/>
      </c>
      <c r="K4218" s="196"/>
      <c r="L4218" s="87"/>
      <c r="M4218" s="245"/>
      <c r="N4218" s="168"/>
    </row>
    <row r="4219" ht="22.5" hidden="1" customHeight="1">
      <c r="A4219" s="137"/>
      <c r="B4219" s="90"/>
      <c r="C4219" s="55"/>
      <c r="D4219" s="193"/>
      <c r="E4219" s="201"/>
      <c r="F4219" s="202"/>
      <c r="G4219" s="194"/>
      <c r="H4219" s="198"/>
      <c r="I4219" s="196"/>
      <c r="J4219" s="179" t="str">
        <f>IF(A4219="RAPPI",(VLOOKUP(TRIM(D4219), CATALOGO!F:G, 2, FALSE) * C4219)+I4219,IFERROR(IF(COUNTIF('RESTAURANTESDESCUENTOS 2026'!A:A,TRIM(A4219))&gt;0,((VLOOKUP(TRIM(D4219), CATALOGO!A:B, 2, FALSE) * C4219)*(1-VALUE(SUBSTITUTE(VLOOKUP(TRIM(A4219),'RESTAURANTESDESCUENTOS 2026'!A:B,2,FALSE),"%",""))/100)+I4219),(VLOOKUP(TRIM(D4219), CATALOGO!A:B, 2, FALSE) * C4219+I4219)),""))</f>
        <v/>
      </c>
      <c r="K4219" s="196"/>
      <c r="L4219" s="87"/>
      <c r="M4219" s="245"/>
      <c r="N4219" s="168"/>
    </row>
    <row r="4220" ht="22.5" hidden="1" customHeight="1">
      <c r="A4220" s="137"/>
      <c r="B4220" s="90"/>
      <c r="C4220" s="55"/>
      <c r="D4220" s="193"/>
      <c r="E4220" s="201"/>
      <c r="F4220" s="202"/>
      <c r="G4220" s="194"/>
      <c r="H4220" s="198"/>
      <c r="I4220" s="196"/>
      <c r="J4220" s="179" t="str">
        <f>IF(A4220="RAPPI",(VLOOKUP(TRIM(D4220), CATALOGO!F:G, 2, FALSE) * C4220)+I4220,IFERROR(IF(COUNTIF('RESTAURANTESDESCUENTOS 2026'!A:A,TRIM(A4220))&gt;0,((VLOOKUP(TRIM(D4220), CATALOGO!A:B, 2, FALSE) * C4220)*(1-VALUE(SUBSTITUTE(VLOOKUP(TRIM(A4220),'RESTAURANTESDESCUENTOS 2026'!A:B,2,FALSE),"%",""))/100)+I4220),(VLOOKUP(TRIM(D4220), CATALOGO!A:B, 2, FALSE) * C4220+I4220)),""))</f>
        <v/>
      </c>
      <c r="K4220" s="196"/>
      <c r="L4220" s="87"/>
      <c r="M4220" s="245"/>
      <c r="N4220" s="168"/>
    </row>
    <row r="4221" ht="22.5" hidden="1" customHeight="1">
      <c r="A4221" s="137"/>
      <c r="B4221" s="90"/>
      <c r="C4221" s="55"/>
      <c r="D4221" s="193"/>
      <c r="E4221" s="201"/>
      <c r="F4221" s="202"/>
      <c r="G4221" s="194"/>
      <c r="H4221" s="198"/>
      <c r="I4221" s="196"/>
      <c r="J4221" s="179" t="str">
        <f>IF(A4221="RAPPI",(VLOOKUP(TRIM(D4221), CATALOGO!F:G, 2, FALSE) * C4221)+I4221,IFERROR(IF(COUNTIF('RESTAURANTESDESCUENTOS 2026'!A:A,TRIM(A4221))&gt;0,((VLOOKUP(TRIM(D4221), CATALOGO!A:B, 2, FALSE) * C4221)*(1-VALUE(SUBSTITUTE(VLOOKUP(TRIM(A4221),'RESTAURANTESDESCUENTOS 2026'!A:B,2,FALSE),"%",""))/100)+I4221),(VLOOKUP(TRIM(D4221), CATALOGO!A:B, 2, FALSE) * C4221+I4221)),""))</f>
        <v/>
      </c>
      <c r="K4221" s="196"/>
      <c r="L4221" s="87"/>
      <c r="M4221" s="245"/>
      <c r="N4221" s="168"/>
    </row>
    <row r="4222" ht="22.5" hidden="1" customHeight="1">
      <c r="A4222" s="137"/>
      <c r="B4222" s="90"/>
      <c r="C4222" s="55"/>
      <c r="D4222" s="193"/>
      <c r="E4222" s="201"/>
      <c r="F4222" s="202"/>
      <c r="G4222" s="194"/>
      <c r="H4222" s="198"/>
      <c r="I4222" s="196"/>
      <c r="J4222" s="179" t="str">
        <f>IF(A4222="RAPPI",(VLOOKUP(TRIM(D4222), CATALOGO!F:G, 2, FALSE) * C4222)+I4222,IFERROR(IF(COUNTIF('RESTAURANTESDESCUENTOS 2026'!A:A,TRIM(A4222))&gt;0,((VLOOKUP(TRIM(D4222), CATALOGO!A:B, 2, FALSE) * C4222)*(1-VALUE(SUBSTITUTE(VLOOKUP(TRIM(A4222),'RESTAURANTESDESCUENTOS 2026'!A:B,2,FALSE),"%",""))/100)+I4222),(VLOOKUP(TRIM(D4222), CATALOGO!A:B, 2, FALSE) * C4222+I4222)),""))</f>
        <v/>
      </c>
      <c r="K4222" s="196"/>
      <c r="L4222" s="87"/>
      <c r="M4222" s="245"/>
      <c r="N4222" s="168"/>
    </row>
    <row r="4223" ht="22.5" hidden="1" customHeight="1">
      <c r="A4223" s="137"/>
      <c r="B4223" s="90"/>
      <c r="C4223" s="55"/>
      <c r="D4223" s="193"/>
      <c r="E4223" s="201"/>
      <c r="F4223" s="202"/>
      <c r="G4223" s="194"/>
      <c r="H4223" s="198"/>
      <c r="I4223" s="196"/>
      <c r="J4223" s="179" t="str">
        <f>IF(A4223="RAPPI",(VLOOKUP(TRIM(D4223), CATALOGO!F:G, 2, FALSE) * C4223)+I4223,IFERROR(IF(COUNTIF('RESTAURANTESDESCUENTOS 2026'!A:A,TRIM(A4223))&gt;0,((VLOOKUP(TRIM(D4223), CATALOGO!A:B, 2, FALSE) * C4223)*(1-VALUE(SUBSTITUTE(VLOOKUP(TRIM(A4223),'RESTAURANTESDESCUENTOS 2026'!A:B,2,FALSE),"%",""))/100)+I4223),(VLOOKUP(TRIM(D4223), CATALOGO!A:B, 2, FALSE) * C4223+I4223)),""))</f>
        <v/>
      </c>
      <c r="K4223" s="196"/>
      <c r="L4223" s="87"/>
      <c r="M4223" s="245"/>
      <c r="N4223" s="168"/>
    </row>
    <row r="4224" ht="22.5" hidden="1" customHeight="1">
      <c r="A4224" s="137"/>
      <c r="B4224" s="90"/>
      <c r="C4224" s="55"/>
      <c r="D4224" s="193"/>
      <c r="E4224" s="201"/>
      <c r="F4224" s="202"/>
      <c r="G4224" s="194"/>
      <c r="H4224" s="198"/>
      <c r="I4224" s="196"/>
      <c r="J4224" s="179" t="str">
        <f>IF(A4224="RAPPI",(VLOOKUP(TRIM(D4224), CATALOGO!F:G, 2, FALSE) * C4224)+I4224,IFERROR(IF(COUNTIF('RESTAURANTESDESCUENTOS 2026'!A:A,TRIM(A4224))&gt;0,((VLOOKUP(TRIM(D4224), CATALOGO!A:B, 2, FALSE) * C4224)*(1-VALUE(SUBSTITUTE(VLOOKUP(TRIM(A4224),'RESTAURANTESDESCUENTOS 2026'!A:B,2,FALSE),"%",""))/100)+I4224),(VLOOKUP(TRIM(D4224), CATALOGO!A:B, 2, FALSE) * C4224+I4224)),""))</f>
        <v/>
      </c>
      <c r="K4224" s="196"/>
      <c r="L4224" s="87"/>
      <c r="M4224" s="245"/>
      <c r="N4224" s="168"/>
    </row>
    <row r="4225" ht="22.5" hidden="1" customHeight="1">
      <c r="A4225" s="137"/>
      <c r="B4225" s="90"/>
      <c r="C4225" s="55"/>
      <c r="D4225" s="193"/>
      <c r="E4225" s="201"/>
      <c r="F4225" s="202"/>
      <c r="G4225" s="194"/>
      <c r="H4225" s="198"/>
      <c r="I4225" s="196"/>
      <c r="J4225" s="179" t="str">
        <f>IF(A4225="RAPPI",(VLOOKUP(TRIM(D4225), CATALOGO!F:G, 2, FALSE) * C4225)+I4225,IFERROR(IF(COUNTIF('RESTAURANTESDESCUENTOS 2026'!A:A,TRIM(A4225))&gt;0,((VLOOKUP(TRIM(D4225), CATALOGO!A:B, 2, FALSE) * C4225)*(1-VALUE(SUBSTITUTE(VLOOKUP(TRIM(A4225),'RESTAURANTESDESCUENTOS 2026'!A:B,2,FALSE),"%",""))/100)+I4225),(VLOOKUP(TRIM(D4225), CATALOGO!A:B, 2, FALSE) * C4225+I4225)),""))</f>
        <v/>
      </c>
      <c r="K4225" s="196"/>
      <c r="L4225" s="87"/>
      <c r="M4225" s="245"/>
      <c r="N4225" s="168"/>
    </row>
    <row r="4226" ht="22.5" hidden="1" customHeight="1">
      <c r="A4226" s="137"/>
      <c r="B4226" s="90"/>
      <c r="C4226" s="55"/>
      <c r="D4226" s="193"/>
      <c r="E4226" s="201"/>
      <c r="F4226" s="202"/>
      <c r="G4226" s="194"/>
      <c r="H4226" s="198"/>
      <c r="I4226" s="196"/>
      <c r="J4226" s="179" t="str">
        <f>IF(A4226="RAPPI",(VLOOKUP(TRIM(D4226), CATALOGO!F:G, 2, FALSE) * C4226)+I4226,IFERROR(IF(COUNTIF('RESTAURANTESDESCUENTOS 2026'!A:A,TRIM(A4226))&gt;0,((VLOOKUP(TRIM(D4226), CATALOGO!A:B, 2, FALSE) * C4226)*(1-VALUE(SUBSTITUTE(VLOOKUP(TRIM(A4226),'RESTAURANTESDESCUENTOS 2026'!A:B,2,FALSE),"%",""))/100)+I4226),(VLOOKUP(TRIM(D4226), CATALOGO!A:B, 2, FALSE) * C4226+I4226)),""))</f>
        <v/>
      </c>
      <c r="K4226" s="196"/>
      <c r="L4226" s="87"/>
      <c r="M4226" s="245"/>
      <c r="N4226" s="168"/>
    </row>
    <row r="4227" ht="22.5" hidden="1" customHeight="1">
      <c r="A4227" s="137"/>
      <c r="B4227" s="90"/>
      <c r="C4227" s="55"/>
      <c r="D4227" s="193"/>
      <c r="E4227" s="201"/>
      <c r="F4227" s="202"/>
      <c r="G4227" s="194"/>
      <c r="H4227" s="198"/>
      <c r="I4227" s="196"/>
      <c r="J4227" s="179" t="str">
        <f>IF(A4227="RAPPI",(VLOOKUP(TRIM(D4227), CATALOGO!F:G, 2, FALSE) * C4227)+I4227,IFERROR(IF(COUNTIF('RESTAURANTESDESCUENTOS 2026'!A:A,TRIM(A4227))&gt;0,((VLOOKUP(TRIM(D4227), CATALOGO!A:B, 2, FALSE) * C4227)*(1-VALUE(SUBSTITUTE(VLOOKUP(TRIM(A4227),'RESTAURANTESDESCUENTOS 2026'!A:B,2,FALSE),"%",""))/100)+I4227),(VLOOKUP(TRIM(D4227), CATALOGO!A:B, 2, FALSE) * C4227+I4227)),""))</f>
        <v/>
      </c>
      <c r="K4227" s="196"/>
      <c r="L4227" s="87"/>
      <c r="M4227" s="245"/>
      <c r="N4227" s="168"/>
    </row>
    <row r="4228" ht="22.5" hidden="1" customHeight="1">
      <c r="A4228" s="137"/>
      <c r="B4228" s="90"/>
      <c r="C4228" s="55"/>
      <c r="D4228" s="193"/>
      <c r="E4228" s="201"/>
      <c r="F4228" s="202"/>
      <c r="G4228" s="194"/>
      <c r="H4228" s="198"/>
      <c r="I4228" s="196"/>
      <c r="J4228" s="179" t="str">
        <f>IF(A4228="RAPPI",(VLOOKUP(TRIM(D4228), CATALOGO!F:G, 2, FALSE) * C4228)+I4228,IFERROR(IF(COUNTIF('RESTAURANTESDESCUENTOS 2026'!A:A,TRIM(A4228))&gt;0,((VLOOKUP(TRIM(D4228), CATALOGO!A:B, 2, FALSE) * C4228)*(1-VALUE(SUBSTITUTE(VLOOKUP(TRIM(A4228),'RESTAURANTESDESCUENTOS 2026'!A:B,2,FALSE),"%",""))/100)+I4228),(VLOOKUP(TRIM(D4228), CATALOGO!A:B, 2, FALSE) * C4228+I4228)),""))</f>
        <v/>
      </c>
      <c r="K4228" s="196"/>
      <c r="L4228" s="87"/>
      <c r="M4228" s="245"/>
      <c r="N4228" s="168"/>
    </row>
    <row r="4229" ht="22.5" hidden="1" customHeight="1">
      <c r="A4229" s="137"/>
      <c r="B4229" s="90"/>
      <c r="C4229" s="55"/>
      <c r="D4229" s="193"/>
      <c r="E4229" s="201"/>
      <c r="F4229" s="202"/>
      <c r="G4229" s="194"/>
      <c r="H4229" s="198"/>
      <c r="I4229" s="196"/>
      <c r="J4229" s="179" t="str">
        <f>IF(A4229="RAPPI",(VLOOKUP(TRIM(D4229), CATALOGO!F:G, 2, FALSE) * C4229)+I4229,IFERROR(IF(COUNTIF('RESTAURANTESDESCUENTOS 2026'!A:A,TRIM(A4229))&gt;0,((VLOOKUP(TRIM(D4229), CATALOGO!A:B, 2, FALSE) * C4229)*(1-VALUE(SUBSTITUTE(VLOOKUP(TRIM(A4229),'RESTAURANTESDESCUENTOS 2026'!A:B,2,FALSE),"%",""))/100)+I4229),(VLOOKUP(TRIM(D4229), CATALOGO!A:B, 2, FALSE) * C4229+I4229)),""))</f>
        <v/>
      </c>
      <c r="K4229" s="196"/>
      <c r="L4229" s="87"/>
      <c r="M4229" s="245"/>
      <c r="N4229" s="168"/>
    </row>
    <row r="4230" ht="22.5" hidden="1" customHeight="1">
      <c r="A4230" s="137"/>
      <c r="B4230" s="90"/>
      <c r="C4230" s="55"/>
      <c r="D4230" s="193"/>
      <c r="E4230" s="201"/>
      <c r="F4230" s="202"/>
      <c r="G4230" s="194"/>
      <c r="H4230" s="198"/>
      <c r="I4230" s="196"/>
      <c r="J4230" s="179" t="str">
        <f>IF(A4230="RAPPI",(VLOOKUP(TRIM(D4230), CATALOGO!F:G, 2, FALSE) * C4230)+I4230,IFERROR(IF(COUNTIF('RESTAURANTESDESCUENTOS 2026'!A:A,TRIM(A4230))&gt;0,((VLOOKUP(TRIM(D4230), CATALOGO!A:B, 2, FALSE) * C4230)*(1-VALUE(SUBSTITUTE(VLOOKUP(TRIM(A4230),'RESTAURANTESDESCUENTOS 2026'!A:B,2,FALSE),"%",""))/100)+I4230),(VLOOKUP(TRIM(D4230), CATALOGO!A:B, 2, FALSE) * C4230+I4230)),""))</f>
        <v/>
      </c>
      <c r="K4230" s="196"/>
      <c r="L4230" s="87"/>
      <c r="M4230" s="245"/>
      <c r="N4230" s="168"/>
    </row>
    <row r="4231" ht="22.5" hidden="1" customHeight="1">
      <c r="A4231" s="137"/>
      <c r="B4231" s="90"/>
      <c r="C4231" s="55"/>
      <c r="D4231" s="193"/>
      <c r="E4231" s="201"/>
      <c r="F4231" s="202"/>
      <c r="G4231" s="194"/>
      <c r="H4231" s="198"/>
      <c r="I4231" s="196"/>
      <c r="J4231" s="179" t="str">
        <f>IF(A4231="RAPPI",(VLOOKUP(TRIM(D4231), CATALOGO!F:G, 2, FALSE) * C4231)+I4231,IFERROR(IF(COUNTIF('RESTAURANTESDESCUENTOS 2026'!A:A,TRIM(A4231))&gt;0,((VLOOKUP(TRIM(D4231), CATALOGO!A:B, 2, FALSE) * C4231)*(1-VALUE(SUBSTITUTE(VLOOKUP(TRIM(A4231),'RESTAURANTESDESCUENTOS 2026'!A:B,2,FALSE),"%",""))/100)+I4231),(VLOOKUP(TRIM(D4231), CATALOGO!A:B, 2, FALSE) * C4231+I4231)),""))</f>
        <v/>
      </c>
      <c r="K4231" s="196"/>
      <c r="L4231" s="87"/>
      <c r="M4231" s="245"/>
      <c r="N4231" s="168"/>
    </row>
    <row r="4232" ht="22.5" hidden="1" customHeight="1">
      <c r="A4232" s="137"/>
      <c r="B4232" s="90"/>
      <c r="C4232" s="55"/>
      <c r="D4232" s="193"/>
      <c r="E4232" s="201"/>
      <c r="F4232" s="202"/>
      <c r="G4232" s="194"/>
      <c r="H4232" s="198"/>
      <c r="I4232" s="196"/>
      <c r="J4232" s="179" t="str">
        <f>IF(A4232="RAPPI",(VLOOKUP(TRIM(D4232), CATALOGO!F:G, 2, FALSE) * C4232)+I4232,IFERROR(IF(COUNTIF('RESTAURANTESDESCUENTOS 2026'!A:A,TRIM(A4232))&gt;0,((VLOOKUP(TRIM(D4232), CATALOGO!A:B, 2, FALSE) * C4232)*(1-VALUE(SUBSTITUTE(VLOOKUP(TRIM(A4232),'RESTAURANTESDESCUENTOS 2026'!A:B,2,FALSE),"%",""))/100)+I4232),(VLOOKUP(TRIM(D4232), CATALOGO!A:B, 2, FALSE) * C4232+I4232)),""))</f>
        <v/>
      </c>
      <c r="K4232" s="196"/>
      <c r="L4232" s="87"/>
      <c r="M4232" s="245"/>
      <c r="N4232" s="168"/>
    </row>
    <row r="4233" ht="22.5" hidden="1" customHeight="1">
      <c r="A4233" s="137"/>
      <c r="B4233" s="90"/>
      <c r="C4233" s="55"/>
      <c r="D4233" s="193"/>
      <c r="E4233" s="201"/>
      <c r="F4233" s="202"/>
      <c r="G4233" s="194"/>
      <c r="H4233" s="198"/>
      <c r="I4233" s="196"/>
      <c r="J4233" s="179" t="str">
        <f>IF(A4233="RAPPI",(VLOOKUP(TRIM(D4233), CATALOGO!F:G, 2, FALSE) * C4233)+I4233,IFERROR(IF(COUNTIF('RESTAURANTESDESCUENTOS 2026'!A:A,TRIM(A4233))&gt;0,((VLOOKUP(TRIM(D4233), CATALOGO!A:B, 2, FALSE) * C4233)*(1-VALUE(SUBSTITUTE(VLOOKUP(TRIM(A4233),'RESTAURANTESDESCUENTOS 2026'!A:B,2,FALSE),"%",""))/100)+I4233),(VLOOKUP(TRIM(D4233), CATALOGO!A:B, 2, FALSE) * C4233+I4233)),""))</f>
        <v/>
      </c>
      <c r="K4233" s="196"/>
      <c r="L4233" s="87"/>
      <c r="M4233" s="245"/>
      <c r="N4233" s="168"/>
    </row>
    <row r="4234" ht="22.5" hidden="1" customHeight="1">
      <c r="A4234" s="137"/>
      <c r="B4234" s="90"/>
      <c r="C4234" s="55"/>
      <c r="D4234" s="193"/>
      <c r="E4234" s="201"/>
      <c r="F4234" s="202"/>
      <c r="G4234" s="194"/>
      <c r="H4234" s="198"/>
      <c r="I4234" s="196"/>
      <c r="J4234" s="179" t="str">
        <f>IF(A4234="RAPPI",(VLOOKUP(TRIM(D4234), CATALOGO!F:G, 2, FALSE) * C4234)+I4234,IFERROR(IF(COUNTIF('RESTAURANTESDESCUENTOS 2026'!A:A,TRIM(A4234))&gt;0,((VLOOKUP(TRIM(D4234), CATALOGO!A:B, 2, FALSE) * C4234)*(1-VALUE(SUBSTITUTE(VLOOKUP(TRIM(A4234),'RESTAURANTESDESCUENTOS 2026'!A:B,2,FALSE),"%",""))/100)+I4234),(VLOOKUP(TRIM(D4234), CATALOGO!A:B, 2, FALSE) * C4234+I4234)),""))</f>
        <v/>
      </c>
      <c r="K4234" s="196"/>
      <c r="L4234" s="87"/>
      <c r="M4234" s="245"/>
      <c r="N4234" s="168"/>
    </row>
    <row r="4235" ht="22.5" hidden="1" customHeight="1">
      <c r="A4235" s="137"/>
      <c r="B4235" s="90"/>
      <c r="C4235" s="55"/>
      <c r="D4235" s="193"/>
      <c r="E4235" s="201"/>
      <c r="F4235" s="202"/>
      <c r="G4235" s="194"/>
      <c r="H4235" s="198"/>
      <c r="I4235" s="196"/>
      <c r="J4235" s="179" t="str">
        <f>IF(A4235="RAPPI",(VLOOKUP(TRIM(D4235), CATALOGO!F:G, 2, FALSE) * C4235)+I4235,IFERROR(IF(COUNTIF('RESTAURANTESDESCUENTOS 2026'!A:A,TRIM(A4235))&gt;0,((VLOOKUP(TRIM(D4235), CATALOGO!A:B, 2, FALSE) * C4235)*(1-VALUE(SUBSTITUTE(VLOOKUP(TRIM(A4235),'RESTAURANTESDESCUENTOS 2026'!A:B,2,FALSE),"%",""))/100)+I4235),(VLOOKUP(TRIM(D4235), CATALOGO!A:B, 2, FALSE) * C4235+I4235)),""))</f>
        <v/>
      </c>
      <c r="K4235" s="196"/>
      <c r="L4235" s="87"/>
      <c r="M4235" s="245"/>
      <c r="N4235" s="168"/>
    </row>
    <row r="4236" ht="22.5" hidden="1" customHeight="1">
      <c r="A4236" s="137"/>
      <c r="B4236" s="90"/>
      <c r="C4236" s="55"/>
      <c r="D4236" s="193"/>
      <c r="E4236" s="201"/>
      <c r="F4236" s="202"/>
      <c r="G4236" s="194"/>
      <c r="H4236" s="198"/>
      <c r="I4236" s="196"/>
      <c r="J4236" s="179" t="str">
        <f>IF(A4236="RAPPI",(VLOOKUP(TRIM(D4236), CATALOGO!F:G, 2, FALSE) * C4236)+I4236,IFERROR(IF(COUNTIF('RESTAURANTESDESCUENTOS 2026'!A:A,TRIM(A4236))&gt;0,((VLOOKUP(TRIM(D4236), CATALOGO!A:B, 2, FALSE) * C4236)*(1-VALUE(SUBSTITUTE(VLOOKUP(TRIM(A4236),'RESTAURANTESDESCUENTOS 2026'!A:B,2,FALSE),"%",""))/100)+I4236),(VLOOKUP(TRIM(D4236), CATALOGO!A:B, 2, FALSE) * C4236+I4236)),""))</f>
        <v/>
      </c>
      <c r="K4236" s="196"/>
      <c r="L4236" s="87"/>
      <c r="M4236" s="245"/>
      <c r="N4236" s="168"/>
    </row>
    <row r="4237" ht="22.5" hidden="1" customHeight="1">
      <c r="A4237" s="137"/>
      <c r="B4237" s="90"/>
      <c r="C4237" s="55"/>
      <c r="D4237" s="193"/>
      <c r="E4237" s="201"/>
      <c r="F4237" s="202"/>
      <c r="G4237" s="194"/>
      <c r="H4237" s="198"/>
      <c r="I4237" s="196"/>
      <c r="J4237" s="179" t="str">
        <f>IF(A4237="RAPPI",(VLOOKUP(TRIM(D4237), CATALOGO!F:G, 2, FALSE) * C4237)+I4237,IFERROR(IF(COUNTIF('RESTAURANTESDESCUENTOS 2026'!A:A,TRIM(A4237))&gt;0,((VLOOKUP(TRIM(D4237), CATALOGO!A:B, 2, FALSE) * C4237)*(1-VALUE(SUBSTITUTE(VLOOKUP(TRIM(A4237),'RESTAURANTESDESCUENTOS 2026'!A:B,2,FALSE),"%",""))/100)+I4237),(VLOOKUP(TRIM(D4237), CATALOGO!A:B, 2, FALSE) * C4237+I4237)),""))</f>
        <v/>
      </c>
      <c r="K4237" s="196"/>
      <c r="L4237" s="87"/>
      <c r="M4237" s="245"/>
      <c r="N4237" s="168"/>
    </row>
    <row r="4238" ht="22.5" hidden="1" customHeight="1">
      <c r="A4238" s="137"/>
      <c r="B4238" s="90"/>
      <c r="C4238" s="55"/>
      <c r="D4238" s="193"/>
      <c r="E4238" s="201"/>
      <c r="F4238" s="202"/>
      <c r="G4238" s="194"/>
      <c r="H4238" s="198"/>
      <c r="I4238" s="196"/>
      <c r="J4238" s="179" t="str">
        <f>IF(A4238="RAPPI",(VLOOKUP(TRIM(D4238), CATALOGO!F:G, 2, FALSE) * C4238)+I4238,IFERROR(IF(COUNTIF('RESTAURANTESDESCUENTOS 2026'!A:A,TRIM(A4238))&gt;0,((VLOOKUP(TRIM(D4238), CATALOGO!A:B, 2, FALSE) * C4238)*(1-VALUE(SUBSTITUTE(VLOOKUP(TRIM(A4238),'RESTAURANTESDESCUENTOS 2026'!A:B,2,FALSE),"%",""))/100)+I4238),(VLOOKUP(TRIM(D4238), CATALOGO!A:B, 2, FALSE) * C4238+I4238)),""))</f>
        <v/>
      </c>
      <c r="K4238" s="196"/>
      <c r="L4238" s="87"/>
      <c r="M4238" s="245"/>
      <c r="N4238" s="168"/>
    </row>
    <row r="4239" ht="22.5" hidden="1" customHeight="1">
      <c r="A4239" s="137"/>
      <c r="B4239" s="90"/>
      <c r="C4239" s="55"/>
      <c r="D4239" s="193"/>
      <c r="E4239" s="201"/>
      <c r="F4239" s="202"/>
      <c r="G4239" s="194"/>
      <c r="H4239" s="198"/>
      <c r="I4239" s="196"/>
      <c r="J4239" s="179" t="str">
        <f>IF(A4239="RAPPI",(VLOOKUP(TRIM(D4239), CATALOGO!F:G, 2, FALSE) * C4239)+I4239,IFERROR(IF(COUNTIF('RESTAURANTESDESCUENTOS 2026'!A:A,TRIM(A4239))&gt;0,((VLOOKUP(TRIM(D4239), CATALOGO!A:B, 2, FALSE) * C4239)*(1-VALUE(SUBSTITUTE(VLOOKUP(TRIM(A4239),'RESTAURANTESDESCUENTOS 2026'!A:B,2,FALSE),"%",""))/100)+I4239),(VLOOKUP(TRIM(D4239), CATALOGO!A:B, 2, FALSE) * C4239+I4239)),""))</f>
        <v/>
      </c>
      <c r="K4239" s="196"/>
      <c r="L4239" s="87"/>
      <c r="M4239" s="245"/>
      <c r="N4239" s="168"/>
    </row>
    <row r="4240" ht="22.5" hidden="1" customHeight="1">
      <c r="A4240" s="137"/>
      <c r="B4240" s="90"/>
      <c r="C4240" s="55"/>
      <c r="D4240" s="193"/>
      <c r="E4240" s="201"/>
      <c r="F4240" s="202"/>
      <c r="G4240" s="194"/>
      <c r="H4240" s="198"/>
      <c r="I4240" s="196"/>
      <c r="J4240" s="179" t="str">
        <f>IF(A4240="RAPPI",(VLOOKUP(TRIM(D4240), CATALOGO!F:G, 2, FALSE) * C4240)+I4240,IFERROR(IF(COUNTIF('RESTAURANTESDESCUENTOS 2026'!A:A,TRIM(A4240))&gt;0,((VLOOKUP(TRIM(D4240), CATALOGO!A:B, 2, FALSE) * C4240)*(1-VALUE(SUBSTITUTE(VLOOKUP(TRIM(A4240),'RESTAURANTESDESCUENTOS 2026'!A:B,2,FALSE),"%",""))/100)+I4240),(VLOOKUP(TRIM(D4240), CATALOGO!A:B, 2, FALSE) * C4240+I4240)),""))</f>
        <v/>
      </c>
      <c r="K4240" s="196"/>
      <c r="L4240" s="87"/>
      <c r="M4240" s="245"/>
      <c r="N4240" s="168"/>
    </row>
    <row r="4241" ht="22.5" hidden="1" customHeight="1">
      <c r="A4241" s="137"/>
      <c r="B4241" s="90"/>
      <c r="C4241" s="55"/>
      <c r="D4241" s="193"/>
      <c r="E4241" s="201"/>
      <c r="F4241" s="202"/>
      <c r="G4241" s="194"/>
      <c r="H4241" s="198"/>
      <c r="I4241" s="196"/>
      <c r="J4241" s="179" t="str">
        <f>IF(A4241="RAPPI",(VLOOKUP(TRIM(D4241), CATALOGO!F:G, 2, FALSE) * C4241)+I4241,IFERROR(IF(COUNTIF('RESTAURANTESDESCUENTOS 2026'!A:A,TRIM(A4241))&gt;0,((VLOOKUP(TRIM(D4241), CATALOGO!A:B, 2, FALSE) * C4241)*(1-VALUE(SUBSTITUTE(VLOOKUP(TRIM(A4241),'RESTAURANTESDESCUENTOS 2026'!A:B,2,FALSE),"%",""))/100)+I4241),(VLOOKUP(TRIM(D4241), CATALOGO!A:B, 2, FALSE) * C4241+I4241)),""))</f>
        <v/>
      </c>
      <c r="K4241" s="196"/>
      <c r="L4241" s="87"/>
      <c r="M4241" s="245"/>
      <c r="N4241" s="168"/>
    </row>
    <row r="4242" ht="22.5" hidden="1" customHeight="1">
      <c r="A4242" s="137"/>
      <c r="B4242" s="90"/>
      <c r="C4242" s="55"/>
      <c r="D4242" s="193"/>
      <c r="E4242" s="201"/>
      <c r="F4242" s="202"/>
      <c r="G4242" s="194"/>
      <c r="H4242" s="198"/>
      <c r="I4242" s="196"/>
      <c r="J4242" s="179" t="str">
        <f>IF(A4242="RAPPI",(VLOOKUP(TRIM(D4242), CATALOGO!F:G, 2, FALSE) * C4242)+I4242,IFERROR(IF(COUNTIF('RESTAURANTESDESCUENTOS 2026'!A:A,TRIM(A4242))&gt;0,((VLOOKUP(TRIM(D4242), CATALOGO!A:B, 2, FALSE) * C4242)*(1-VALUE(SUBSTITUTE(VLOOKUP(TRIM(A4242),'RESTAURANTESDESCUENTOS 2026'!A:B,2,FALSE),"%",""))/100)+I4242),(VLOOKUP(TRIM(D4242), CATALOGO!A:B, 2, FALSE) * C4242+I4242)),""))</f>
        <v/>
      </c>
      <c r="K4242" s="196"/>
      <c r="L4242" s="87"/>
      <c r="M4242" s="245"/>
      <c r="N4242" s="168"/>
    </row>
    <row r="4243" ht="22.5" hidden="1" customHeight="1">
      <c r="A4243" s="137"/>
      <c r="B4243" s="90"/>
      <c r="C4243" s="55"/>
      <c r="D4243" s="193"/>
      <c r="E4243" s="201"/>
      <c r="F4243" s="202"/>
      <c r="G4243" s="194"/>
      <c r="H4243" s="198"/>
      <c r="I4243" s="196"/>
      <c r="J4243" s="179" t="str">
        <f>IF(A4243="RAPPI",(VLOOKUP(TRIM(D4243), CATALOGO!F:G, 2, FALSE) * C4243)+I4243,IFERROR(IF(COUNTIF('RESTAURANTESDESCUENTOS 2026'!A:A,TRIM(A4243))&gt;0,((VLOOKUP(TRIM(D4243), CATALOGO!A:B, 2, FALSE) * C4243)*(1-VALUE(SUBSTITUTE(VLOOKUP(TRIM(A4243),'RESTAURANTESDESCUENTOS 2026'!A:B,2,FALSE),"%",""))/100)+I4243),(VLOOKUP(TRIM(D4243), CATALOGO!A:B, 2, FALSE) * C4243+I4243)),""))</f>
        <v/>
      </c>
      <c r="K4243" s="196"/>
      <c r="L4243" s="87"/>
      <c r="M4243" s="245"/>
      <c r="N4243" s="168"/>
    </row>
    <row r="4244" ht="22.5" hidden="1" customHeight="1">
      <c r="A4244" s="137"/>
      <c r="B4244" s="90"/>
      <c r="C4244" s="55"/>
      <c r="D4244" s="193"/>
      <c r="E4244" s="201"/>
      <c r="F4244" s="202"/>
      <c r="G4244" s="194"/>
      <c r="H4244" s="198"/>
      <c r="I4244" s="196"/>
      <c r="J4244" s="179" t="str">
        <f>IF(A4244="RAPPI",(VLOOKUP(TRIM(D4244), CATALOGO!F:G, 2, FALSE) * C4244)+I4244,IFERROR(IF(COUNTIF('RESTAURANTESDESCUENTOS 2026'!A:A,TRIM(A4244))&gt;0,((VLOOKUP(TRIM(D4244), CATALOGO!A:B, 2, FALSE) * C4244)*(1-VALUE(SUBSTITUTE(VLOOKUP(TRIM(A4244),'RESTAURANTESDESCUENTOS 2026'!A:B,2,FALSE),"%",""))/100)+I4244),(VLOOKUP(TRIM(D4244), CATALOGO!A:B, 2, FALSE) * C4244+I4244)),""))</f>
        <v/>
      </c>
      <c r="K4244" s="196"/>
      <c r="L4244" s="87"/>
      <c r="M4244" s="245"/>
      <c r="N4244" s="168"/>
    </row>
    <row r="4245" ht="22.5" hidden="1" customHeight="1">
      <c r="A4245" s="137"/>
      <c r="B4245" s="90"/>
      <c r="C4245" s="55"/>
      <c r="D4245" s="193"/>
      <c r="E4245" s="201"/>
      <c r="F4245" s="202"/>
      <c r="G4245" s="194"/>
      <c r="H4245" s="198"/>
      <c r="I4245" s="196"/>
      <c r="J4245" s="179" t="str">
        <f>IF(A4245="RAPPI",(VLOOKUP(TRIM(D4245), CATALOGO!F:G, 2, FALSE) * C4245)+I4245,IFERROR(IF(COUNTIF('RESTAURANTESDESCUENTOS 2026'!A:A,TRIM(A4245))&gt;0,((VLOOKUP(TRIM(D4245), CATALOGO!A:B, 2, FALSE) * C4245)*(1-VALUE(SUBSTITUTE(VLOOKUP(TRIM(A4245),'RESTAURANTESDESCUENTOS 2026'!A:B,2,FALSE),"%",""))/100)+I4245),(VLOOKUP(TRIM(D4245), CATALOGO!A:B, 2, FALSE) * C4245+I4245)),""))</f>
        <v/>
      </c>
      <c r="K4245" s="196"/>
      <c r="L4245" s="87"/>
      <c r="M4245" s="245"/>
      <c r="N4245" s="168"/>
    </row>
    <row r="4246" ht="22.5" hidden="1" customHeight="1">
      <c r="A4246" s="137"/>
      <c r="B4246" s="90"/>
      <c r="C4246" s="55"/>
      <c r="D4246" s="193"/>
      <c r="E4246" s="201"/>
      <c r="F4246" s="202"/>
      <c r="G4246" s="194"/>
      <c r="H4246" s="198"/>
      <c r="I4246" s="196"/>
      <c r="J4246" s="179" t="str">
        <f>IF(A4246="RAPPI",(VLOOKUP(TRIM(D4246), CATALOGO!F:G, 2, FALSE) * C4246)+I4246,IFERROR(IF(COUNTIF('RESTAURANTESDESCUENTOS 2026'!A:A,TRIM(A4246))&gt;0,((VLOOKUP(TRIM(D4246), CATALOGO!A:B, 2, FALSE) * C4246)*(1-VALUE(SUBSTITUTE(VLOOKUP(TRIM(A4246),'RESTAURANTESDESCUENTOS 2026'!A:B,2,FALSE),"%",""))/100)+I4246),(VLOOKUP(TRIM(D4246), CATALOGO!A:B, 2, FALSE) * C4246+I4246)),""))</f>
        <v/>
      </c>
      <c r="K4246" s="196"/>
      <c r="L4246" s="87"/>
      <c r="M4246" s="245"/>
      <c r="N4246" s="168"/>
    </row>
    <row r="4247" ht="22.5" hidden="1" customHeight="1">
      <c r="A4247" s="137"/>
      <c r="B4247" s="90"/>
      <c r="C4247" s="55"/>
      <c r="D4247" s="193"/>
      <c r="E4247" s="201"/>
      <c r="F4247" s="202"/>
      <c r="G4247" s="194"/>
      <c r="H4247" s="198"/>
      <c r="I4247" s="196"/>
      <c r="J4247" s="179" t="str">
        <f>IF(A4247="RAPPI",(VLOOKUP(TRIM(D4247), CATALOGO!F:G, 2, FALSE) * C4247)+I4247,IFERROR(IF(COUNTIF('RESTAURANTESDESCUENTOS 2026'!A:A,TRIM(A4247))&gt;0,((VLOOKUP(TRIM(D4247), CATALOGO!A:B, 2, FALSE) * C4247)*(1-VALUE(SUBSTITUTE(VLOOKUP(TRIM(A4247),'RESTAURANTESDESCUENTOS 2026'!A:B,2,FALSE),"%",""))/100)+I4247),(VLOOKUP(TRIM(D4247), CATALOGO!A:B, 2, FALSE) * C4247+I4247)),""))</f>
        <v/>
      </c>
      <c r="K4247" s="196"/>
      <c r="L4247" s="87"/>
      <c r="M4247" s="245"/>
      <c r="N4247" s="168"/>
    </row>
    <row r="4248" ht="22.5" hidden="1" customHeight="1">
      <c r="A4248" s="137"/>
      <c r="B4248" s="90"/>
      <c r="C4248" s="55"/>
      <c r="D4248" s="193"/>
      <c r="E4248" s="201"/>
      <c r="F4248" s="202"/>
      <c r="G4248" s="194"/>
      <c r="H4248" s="198"/>
      <c r="I4248" s="196"/>
      <c r="J4248" s="179" t="str">
        <f>IF(A4248="RAPPI",(VLOOKUP(TRIM(D4248), CATALOGO!F:G, 2, FALSE) * C4248)+I4248,IFERROR(IF(COUNTIF('RESTAURANTESDESCUENTOS 2026'!A:A,TRIM(A4248))&gt;0,((VLOOKUP(TRIM(D4248), CATALOGO!A:B, 2, FALSE) * C4248)*(1-VALUE(SUBSTITUTE(VLOOKUP(TRIM(A4248),'RESTAURANTESDESCUENTOS 2026'!A:B,2,FALSE),"%",""))/100)+I4248),(VLOOKUP(TRIM(D4248), CATALOGO!A:B, 2, FALSE) * C4248+I4248)),""))</f>
        <v/>
      </c>
      <c r="K4248" s="196"/>
      <c r="L4248" s="87"/>
      <c r="M4248" s="245"/>
      <c r="N4248" s="168"/>
    </row>
    <row r="4249" ht="22.5" hidden="1" customHeight="1">
      <c r="A4249" s="137"/>
      <c r="B4249" s="90"/>
      <c r="C4249" s="55"/>
      <c r="D4249" s="193"/>
      <c r="E4249" s="201"/>
      <c r="F4249" s="202"/>
      <c r="G4249" s="194"/>
      <c r="H4249" s="198"/>
      <c r="I4249" s="196"/>
      <c r="J4249" s="179" t="str">
        <f>IF(A4249="RAPPI",(VLOOKUP(TRIM(D4249), CATALOGO!F:G, 2, FALSE) * C4249)+I4249,IFERROR(IF(COUNTIF('RESTAURANTESDESCUENTOS 2026'!A:A,TRIM(A4249))&gt;0,((VLOOKUP(TRIM(D4249), CATALOGO!A:B, 2, FALSE) * C4249)*(1-VALUE(SUBSTITUTE(VLOOKUP(TRIM(A4249),'RESTAURANTESDESCUENTOS 2026'!A:B,2,FALSE),"%",""))/100)+I4249),(VLOOKUP(TRIM(D4249), CATALOGO!A:B, 2, FALSE) * C4249+I4249)),""))</f>
        <v/>
      </c>
      <c r="K4249" s="196"/>
      <c r="L4249" s="87"/>
      <c r="M4249" s="245"/>
      <c r="N4249" s="168"/>
    </row>
    <row r="4250" ht="22.5" hidden="1" customHeight="1">
      <c r="A4250" s="137"/>
      <c r="B4250" s="90"/>
      <c r="C4250" s="55"/>
      <c r="D4250" s="193"/>
      <c r="E4250" s="201"/>
      <c r="F4250" s="202"/>
      <c r="G4250" s="194"/>
      <c r="H4250" s="198"/>
      <c r="I4250" s="196"/>
      <c r="J4250" s="179" t="str">
        <f>IF(A4250="RAPPI",(VLOOKUP(TRIM(D4250), CATALOGO!F:G, 2, FALSE) * C4250)+I4250,IFERROR(IF(COUNTIF('RESTAURANTESDESCUENTOS 2026'!A:A,TRIM(A4250))&gt;0,((VLOOKUP(TRIM(D4250), CATALOGO!A:B, 2, FALSE) * C4250)*(1-VALUE(SUBSTITUTE(VLOOKUP(TRIM(A4250),'RESTAURANTESDESCUENTOS 2026'!A:B,2,FALSE),"%",""))/100)+I4250),(VLOOKUP(TRIM(D4250), CATALOGO!A:B, 2, FALSE) * C4250+I4250)),""))</f>
        <v/>
      </c>
      <c r="K4250" s="196"/>
      <c r="L4250" s="87"/>
      <c r="M4250" s="245"/>
      <c r="N4250" s="168"/>
    </row>
    <row r="4251" ht="22.5" hidden="1" customHeight="1">
      <c r="A4251" s="137"/>
      <c r="B4251" s="90"/>
      <c r="C4251" s="55"/>
      <c r="D4251" s="193"/>
      <c r="E4251" s="201"/>
      <c r="F4251" s="202"/>
      <c r="G4251" s="194"/>
      <c r="H4251" s="198"/>
      <c r="I4251" s="196"/>
      <c r="J4251" s="179" t="str">
        <f>IF(A4251="RAPPI",(VLOOKUP(TRIM(D4251), CATALOGO!F:G, 2, FALSE) * C4251)+I4251,IFERROR(IF(COUNTIF('RESTAURANTESDESCUENTOS 2026'!A:A,TRIM(A4251))&gt;0,((VLOOKUP(TRIM(D4251), CATALOGO!A:B, 2, FALSE) * C4251)*(1-VALUE(SUBSTITUTE(VLOOKUP(TRIM(A4251),'RESTAURANTESDESCUENTOS 2026'!A:B,2,FALSE),"%",""))/100)+I4251),(VLOOKUP(TRIM(D4251), CATALOGO!A:B, 2, FALSE) * C4251+I4251)),""))</f>
        <v/>
      </c>
      <c r="K4251" s="196"/>
      <c r="L4251" s="87"/>
      <c r="M4251" s="245"/>
      <c r="N4251" s="168"/>
    </row>
    <row r="4252" ht="22.5" hidden="1" customHeight="1">
      <c r="A4252" s="137"/>
      <c r="B4252" s="90"/>
      <c r="C4252" s="55"/>
      <c r="D4252" s="193"/>
      <c r="E4252" s="201"/>
      <c r="F4252" s="202"/>
      <c r="G4252" s="194"/>
      <c r="H4252" s="198"/>
      <c r="I4252" s="196"/>
      <c r="J4252" s="179" t="str">
        <f>IF(A4252="RAPPI",(VLOOKUP(TRIM(D4252), CATALOGO!F:G, 2, FALSE) * C4252)+I4252,IFERROR(IF(COUNTIF('RESTAURANTESDESCUENTOS 2026'!A:A,TRIM(A4252))&gt;0,((VLOOKUP(TRIM(D4252), CATALOGO!A:B, 2, FALSE) * C4252)*(1-VALUE(SUBSTITUTE(VLOOKUP(TRIM(A4252),'RESTAURANTESDESCUENTOS 2026'!A:B,2,FALSE),"%",""))/100)+I4252),(VLOOKUP(TRIM(D4252), CATALOGO!A:B, 2, FALSE) * C4252+I4252)),""))</f>
        <v/>
      </c>
      <c r="K4252" s="196"/>
      <c r="L4252" s="87"/>
      <c r="M4252" s="245"/>
      <c r="N4252" s="168"/>
    </row>
    <row r="4253" ht="22.5" hidden="1" customHeight="1">
      <c r="A4253" s="137"/>
      <c r="B4253" s="90"/>
      <c r="C4253" s="55"/>
      <c r="D4253" s="193"/>
      <c r="E4253" s="201"/>
      <c r="F4253" s="202"/>
      <c r="G4253" s="194"/>
      <c r="H4253" s="198"/>
      <c r="I4253" s="196"/>
      <c r="J4253" s="179" t="str">
        <f>IF(A4253="RAPPI",(VLOOKUP(TRIM(D4253), CATALOGO!F:G, 2, FALSE) * C4253)+I4253,IFERROR(IF(COUNTIF('RESTAURANTESDESCUENTOS 2026'!A:A,TRIM(A4253))&gt;0,((VLOOKUP(TRIM(D4253), CATALOGO!A:B, 2, FALSE) * C4253)*(1-VALUE(SUBSTITUTE(VLOOKUP(TRIM(A4253),'RESTAURANTESDESCUENTOS 2026'!A:B,2,FALSE),"%",""))/100)+I4253),(VLOOKUP(TRIM(D4253), CATALOGO!A:B, 2, FALSE) * C4253+I4253)),""))</f>
        <v/>
      </c>
      <c r="K4253" s="196"/>
      <c r="L4253" s="87"/>
      <c r="M4253" s="245"/>
      <c r="N4253" s="168"/>
    </row>
    <row r="4254" ht="22.5" hidden="1" customHeight="1">
      <c r="A4254" s="137"/>
      <c r="B4254" s="90"/>
      <c r="C4254" s="55"/>
      <c r="D4254" s="193"/>
      <c r="E4254" s="201"/>
      <c r="F4254" s="202"/>
      <c r="G4254" s="194"/>
      <c r="H4254" s="198"/>
      <c r="I4254" s="196"/>
      <c r="J4254" s="179" t="str">
        <f>IF(A4254="RAPPI",(VLOOKUP(TRIM(D4254), CATALOGO!F:G, 2, FALSE) * C4254)+I4254,IFERROR(IF(COUNTIF('RESTAURANTESDESCUENTOS 2026'!A:A,TRIM(A4254))&gt;0,((VLOOKUP(TRIM(D4254), CATALOGO!A:B, 2, FALSE) * C4254)*(1-VALUE(SUBSTITUTE(VLOOKUP(TRIM(A4254),'RESTAURANTESDESCUENTOS 2026'!A:B,2,FALSE),"%",""))/100)+I4254),(VLOOKUP(TRIM(D4254), CATALOGO!A:B, 2, FALSE) * C4254+I4254)),""))</f>
        <v/>
      </c>
      <c r="K4254" s="196"/>
      <c r="L4254" s="87"/>
      <c r="M4254" s="245"/>
      <c r="N4254" s="168"/>
    </row>
    <row r="4255" ht="22.5" hidden="1" customHeight="1">
      <c r="A4255" s="137"/>
      <c r="B4255" s="90"/>
      <c r="C4255" s="55"/>
      <c r="D4255" s="193"/>
      <c r="E4255" s="201"/>
      <c r="F4255" s="202"/>
      <c r="G4255" s="194"/>
      <c r="H4255" s="198"/>
      <c r="I4255" s="196"/>
      <c r="J4255" s="179" t="str">
        <f>IF(A4255="RAPPI",(VLOOKUP(TRIM(D4255), CATALOGO!F:G, 2, FALSE) * C4255)+I4255,IFERROR(IF(COUNTIF('RESTAURANTESDESCUENTOS 2026'!A:A,TRIM(A4255))&gt;0,((VLOOKUP(TRIM(D4255), CATALOGO!A:B, 2, FALSE) * C4255)*(1-VALUE(SUBSTITUTE(VLOOKUP(TRIM(A4255),'RESTAURANTESDESCUENTOS 2026'!A:B,2,FALSE),"%",""))/100)+I4255),(VLOOKUP(TRIM(D4255), CATALOGO!A:B, 2, FALSE) * C4255+I4255)),""))</f>
        <v/>
      </c>
      <c r="K4255" s="196"/>
      <c r="L4255" s="87"/>
      <c r="M4255" s="245"/>
      <c r="N4255" s="168"/>
    </row>
    <row r="4256" ht="22.5" hidden="1" customHeight="1">
      <c r="A4256" s="137"/>
      <c r="B4256" s="90"/>
      <c r="C4256" s="55"/>
      <c r="D4256" s="193"/>
      <c r="E4256" s="201"/>
      <c r="F4256" s="202"/>
      <c r="G4256" s="194"/>
      <c r="H4256" s="198"/>
      <c r="I4256" s="196"/>
      <c r="J4256" s="179" t="str">
        <f>IF(A4256="RAPPI",(VLOOKUP(TRIM(D4256), CATALOGO!F:G, 2, FALSE) * C4256)+I4256,IFERROR(IF(COUNTIF('RESTAURANTESDESCUENTOS 2026'!A:A,TRIM(A4256))&gt;0,((VLOOKUP(TRIM(D4256), CATALOGO!A:B, 2, FALSE) * C4256)*(1-VALUE(SUBSTITUTE(VLOOKUP(TRIM(A4256),'RESTAURANTESDESCUENTOS 2026'!A:B,2,FALSE),"%",""))/100)+I4256),(VLOOKUP(TRIM(D4256), CATALOGO!A:B, 2, FALSE) * C4256+I4256)),""))</f>
        <v/>
      </c>
      <c r="K4256" s="196"/>
      <c r="L4256" s="87"/>
      <c r="M4256" s="245"/>
      <c r="N4256" s="168"/>
    </row>
    <row r="4257" ht="22.5" hidden="1" customHeight="1">
      <c r="A4257" s="137"/>
      <c r="B4257" s="90"/>
      <c r="C4257" s="55"/>
      <c r="D4257" s="193"/>
      <c r="E4257" s="201"/>
      <c r="F4257" s="202"/>
      <c r="G4257" s="194"/>
      <c r="H4257" s="198"/>
      <c r="I4257" s="196"/>
      <c r="J4257" s="179" t="str">
        <f>IF(A4257="RAPPI",(VLOOKUP(TRIM(D4257), CATALOGO!F:G, 2, FALSE) * C4257)+I4257,IFERROR(IF(COUNTIF('RESTAURANTESDESCUENTOS 2026'!A:A,TRIM(A4257))&gt;0,((VLOOKUP(TRIM(D4257), CATALOGO!A:B, 2, FALSE) * C4257)*(1-VALUE(SUBSTITUTE(VLOOKUP(TRIM(A4257),'RESTAURANTESDESCUENTOS 2026'!A:B,2,FALSE),"%",""))/100)+I4257),(VLOOKUP(TRIM(D4257), CATALOGO!A:B, 2, FALSE) * C4257+I4257)),""))</f>
        <v/>
      </c>
      <c r="K4257" s="196"/>
      <c r="L4257" s="87"/>
      <c r="M4257" s="245"/>
      <c r="N4257" s="168"/>
    </row>
    <row r="4258" ht="22.5" hidden="1" customHeight="1">
      <c r="A4258" s="137"/>
      <c r="B4258" s="90"/>
      <c r="C4258" s="55"/>
      <c r="D4258" s="193"/>
      <c r="E4258" s="201"/>
      <c r="F4258" s="202"/>
      <c r="G4258" s="194"/>
      <c r="H4258" s="198"/>
      <c r="I4258" s="196"/>
      <c r="J4258" s="179" t="str">
        <f>IF(A4258="RAPPI",(VLOOKUP(TRIM(D4258), CATALOGO!F:G, 2, FALSE) * C4258)+I4258,IFERROR(IF(COUNTIF('RESTAURANTESDESCUENTOS 2026'!A:A,TRIM(A4258))&gt;0,((VLOOKUP(TRIM(D4258), CATALOGO!A:B, 2, FALSE) * C4258)*(1-VALUE(SUBSTITUTE(VLOOKUP(TRIM(A4258),'RESTAURANTESDESCUENTOS 2026'!A:B,2,FALSE),"%",""))/100)+I4258),(VLOOKUP(TRIM(D4258), CATALOGO!A:B, 2, FALSE) * C4258+I4258)),""))</f>
        <v/>
      </c>
      <c r="K4258" s="196"/>
      <c r="L4258" s="87"/>
      <c r="M4258" s="245"/>
      <c r="N4258" s="168"/>
    </row>
    <row r="4259" ht="22.5" hidden="1" customHeight="1">
      <c r="A4259" s="137"/>
      <c r="B4259" s="90"/>
      <c r="C4259" s="55"/>
      <c r="D4259" s="193"/>
      <c r="E4259" s="201"/>
      <c r="F4259" s="202"/>
      <c r="G4259" s="194"/>
      <c r="H4259" s="198"/>
      <c r="I4259" s="196"/>
      <c r="J4259" s="179" t="str">
        <f>IF(A4259="RAPPI",(VLOOKUP(TRIM(D4259), CATALOGO!F:G, 2, FALSE) * C4259)+I4259,IFERROR(IF(COUNTIF('RESTAURANTESDESCUENTOS 2026'!A:A,TRIM(A4259))&gt;0,((VLOOKUP(TRIM(D4259), CATALOGO!A:B, 2, FALSE) * C4259)*(1-VALUE(SUBSTITUTE(VLOOKUP(TRIM(A4259),'RESTAURANTESDESCUENTOS 2026'!A:B,2,FALSE),"%",""))/100)+I4259),(VLOOKUP(TRIM(D4259), CATALOGO!A:B, 2, FALSE) * C4259+I4259)),""))</f>
        <v/>
      </c>
      <c r="K4259" s="196"/>
      <c r="L4259" s="87"/>
      <c r="M4259" s="245"/>
      <c r="N4259" s="168"/>
    </row>
    <row r="4260" ht="22.5" hidden="1" customHeight="1">
      <c r="A4260" s="137"/>
      <c r="B4260" s="90"/>
      <c r="C4260" s="55"/>
      <c r="D4260" s="193"/>
      <c r="E4260" s="201"/>
      <c r="F4260" s="202"/>
      <c r="G4260" s="194"/>
      <c r="H4260" s="198"/>
      <c r="I4260" s="196"/>
      <c r="J4260" s="179" t="str">
        <f>IF(A4260="RAPPI",(VLOOKUP(TRIM(D4260), CATALOGO!F:G, 2, FALSE) * C4260)+I4260,IFERROR(IF(COUNTIF('RESTAURANTESDESCUENTOS 2026'!A:A,TRIM(A4260))&gt;0,((VLOOKUP(TRIM(D4260), CATALOGO!A:B, 2, FALSE) * C4260)*(1-VALUE(SUBSTITUTE(VLOOKUP(TRIM(A4260),'RESTAURANTESDESCUENTOS 2026'!A:B,2,FALSE),"%",""))/100)+I4260),(VLOOKUP(TRIM(D4260), CATALOGO!A:B, 2, FALSE) * C4260+I4260)),""))</f>
        <v/>
      </c>
      <c r="K4260" s="196"/>
      <c r="L4260" s="87"/>
      <c r="M4260" s="245"/>
      <c r="N4260" s="168"/>
    </row>
    <row r="4261" ht="22.5" hidden="1" customHeight="1">
      <c r="A4261" s="137"/>
      <c r="B4261" s="90"/>
      <c r="C4261" s="55"/>
      <c r="D4261" s="193"/>
      <c r="E4261" s="201"/>
      <c r="F4261" s="202"/>
      <c r="G4261" s="194"/>
      <c r="H4261" s="198"/>
      <c r="I4261" s="196"/>
      <c r="J4261" s="179" t="str">
        <f>IF(A4261="RAPPI",(VLOOKUP(TRIM(D4261), CATALOGO!F:G, 2, FALSE) * C4261)+I4261,IFERROR(IF(COUNTIF('RESTAURANTESDESCUENTOS 2026'!A:A,TRIM(A4261))&gt;0,((VLOOKUP(TRIM(D4261), CATALOGO!A:B, 2, FALSE) * C4261)*(1-VALUE(SUBSTITUTE(VLOOKUP(TRIM(A4261),'RESTAURANTESDESCUENTOS 2026'!A:B,2,FALSE),"%",""))/100)+I4261),(VLOOKUP(TRIM(D4261), CATALOGO!A:B, 2, FALSE) * C4261+I4261)),""))</f>
        <v/>
      </c>
      <c r="K4261" s="196"/>
      <c r="L4261" s="87"/>
      <c r="M4261" s="245"/>
      <c r="N4261" s="168"/>
    </row>
    <row r="4262" ht="22.5" hidden="1" customHeight="1">
      <c r="A4262" s="137"/>
      <c r="B4262" s="90"/>
      <c r="C4262" s="55"/>
      <c r="D4262" s="193"/>
      <c r="E4262" s="201"/>
      <c r="F4262" s="202"/>
      <c r="G4262" s="194"/>
      <c r="H4262" s="198"/>
      <c r="I4262" s="196"/>
      <c r="J4262" s="179" t="str">
        <f>IF(A4262="RAPPI",(VLOOKUP(TRIM(D4262), CATALOGO!F:G, 2, FALSE) * C4262)+I4262,IFERROR(IF(COUNTIF('RESTAURANTESDESCUENTOS 2026'!A:A,TRIM(A4262))&gt;0,((VLOOKUP(TRIM(D4262), CATALOGO!A:B, 2, FALSE) * C4262)*(1-VALUE(SUBSTITUTE(VLOOKUP(TRIM(A4262),'RESTAURANTESDESCUENTOS 2026'!A:B,2,FALSE),"%",""))/100)+I4262),(VLOOKUP(TRIM(D4262), CATALOGO!A:B, 2, FALSE) * C4262+I4262)),""))</f>
        <v/>
      </c>
      <c r="K4262" s="196"/>
      <c r="L4262" s="87"/>
      <c r="M4262" s="245"/>
      <c r="N4262" s="168"/>
    </row>
    <row r="4263" ht="22.5" hidden="1" customHeight="1">
      <c r="A4263" s="137"/>
      <c r="B4263" s="90"/>
      <c r="C4263" s="55"/>
      <c r="D4263" s="193"/>
      <c r="E4263" s="201"/>
      <c r="F4263" s="202"/>
      <c r="G4263" s="194"/>
      <c r="H4263" s="198"/>
      <c r="I4263" s="196"/>
      <c r="J4263" s="179" t="str">
        <f>IF(A4263="RAPPI",(VLOOKUP(TRIM(D4263), CATALOGO!F:G, 2, FALSE) * C4263)+I4263,IFERROR(IF(COUNTIF('RESTAURANTESDESCUENTOS 2026'!A:A,TRIM(A4263))&gt;0,((VLOOKUP(TRIM(D4263), CATALOGO!A:B, 2, FALSE) * C4263)*(1-VALUE(SUBSTITUTE(VLOOKUP(TRIM(A4263),'RESTAURANTESDESCUENTOS 2026'!A:B,2,FALSE),"%",""))/100)+I4263),(VLOOKUP(TRIM(D4263), CATALOGO!A:B, 2, FALSE) * C4263+I4263)),""))</f>
        <v/>
      </c>
      <c r="K4263" s="196"/>
      <c r="L4263" s="87"/>
      <c r="M4263" s="245"/>
      <c r="N4263" s="168"/>
    </row>
    <row r="4264" ht="22.5" hidden="1" customHeight="1">
      <c r="A4264" s="137"/>
      <c r="B4264" s="90"/>
      <c r="C4264" s="55"/>
      <c r="D4264" s="193"/>
      <c r="E4264" s="201"/>
      <c r="F4264" s="202"/>
      <c r="G4264" s="194"/>
      <c r="H4264" s="198"/>
      <c r="I4264" s="196"/>
      <c r="J4264" s="179" t="str">
        <f>IF(A4264="RAPPI",(VLOOKUP(TRIM(D4264), CATALOGO!F:G, 2, FALSE) * C4264)+I4264,IFERROR(IF(COUNTIF('RESTAURANTESDESCUENTOS 2026'!A:A,TRIM(A4264))&gt;0,((VLOOKUP(TRIM(D4264), CATALOGO!A:B, 2, FALSE) * C4264)*(1-VALUE(SUBSTITUTE(VLOOKUP(TRIM(A4264),'RESTAURANTESDESCUENTOS 2026'!A:B,2,FALSE),"%",""))/100)+I4264),(VLOOKUP(TRIM(D4264), CATALOGO!A:B, 2, FALSE) * C4264+I4264)),""))</f>
        <v/>
      </c>
      <c r="K4264" s="196"/>
      <c r="L4264" s="87"/>
      <c r="M4264" s="245"/>
      <c r="N4264" s="168"/>
    </row>
    <row r="4265" ht="22.5" hidden="1" customHeight="1">
      <c r="A4265" s="137"/>
      <c r="B4265" s="90"/>
      <c r="C4265" s="55"/>
      <c r="D4265" s="193"/>
      <c r="E4265" s="201"/>
      <c r="F4265" s="202"/>
      <c r="G4265" s="194"/>
      <c r="H4265" s="198"/>
      <c r="I4265" s="196"/>
      <c r="J4265" s="179" t="str">
        <f>IF(A4265="RAPPI",(VLOOKUP(TRIM(D4265), CATALOGO!F:G, 2, FALSE) * C4265)+I4265,IFERROR(IF(COUNTIF('RESTAURANTESDESCUENTOS 2026'!A:A,TRIM(A4265))&gt;0,((VLOOKUP(TRIM(D4265), CATALOGO!A:B, 2, FALSE) * C4265)*(1-VALUE(SUBSTITUTE(VLOOKUP(TRIM(A4265),'RESTAURANTESDESCUENTOS 2026'!A:B,2,FALSE),"%",""))/100)+I4265),(VLOOKUP(TRIM(D4265), CATALOGO!A:B, 2, FALSE) * C4265+I4265)),""))</f>
        <v/>
      </c>
      <c r="K4265" s="196"/>
      <c r="L4265" s="87"/>
      <c r="M4265" s="245"/>
      <c r="N4265" s="168"/>
    </row>
    <row r="4266" ht="22.5" hidden="1" customHeight="1">
      <c r="A4266" s="137"/>
      <c r="B4266" s="90"/>
      <c r="C4266" s="55"/>
      <c r="D4266" s="193"/>
      <c r="E4266" s="201"/>
      <c r="F4266" s="202"/>
      <c r="G4266" s="194"/>
      <c r="H4266" s="198"/>
      <c r="I4266" s="196"/>
      <c r="J4266" s="179" t="str">
        <f>IF(A4266="RAPPI",(VLOOKUP(TRIM(D4266), CATALOGO!F:G, 2, FALSE) * C4266)+I4266,IFERROR(IF(COUNTIF('RESTAURANTESDESCUENTOS 2026'!A:A,TRIM(A4266))&gt;0,((VLOOKUP(TRIM(D4266), CATALOGO!A:B, 2, FALSE) * C4266)*(1-VALUE(SUBSTITUTE(VLOOKUP(TRIM(A4266),'RESTAURANTESDESCUENTOS 2026'!A:B,2,FALSE),"%",""))/100)+I4266),(VLOOKUP(TRIM(D4266), CATALOGO!A:B, 2, FALSE) * C4266+I4266)),""))</f>
        <v/>
      </c>
      <c r="K4266" s="196"/>
      <c r="L4266" s="87"/>
      <c r="M4266" s="245"/>
      <c r="N4266" s="168"/>
    </row>
    <row r="4267" ht="22.5" hidden="1" customHeight="1">
      <c r="A4267" s="137"/>
      <c r="B4267" s="90"/>
      <c r="C4267" s="55"/>
      <c r="D4267" s="193"/>
      <c r="E4267" s="201"/>
      <c r="F4267" s="202"/>
      <c r="G4267" s="194"/>
      <c r="H4267" s="198"/>
      <c r="I4267" s="196"/>
      <c r="J4267" s="179" t="str">
        <f>IF(A4267="RAPPI",(VLOOKUP(TRIM(D4267), CATALOGO!F:G, 2, FALSE) * C4267)+I4267,IFERROR(IF(COUNTIF('RESTAURANTESDESCUENTOS 2026'!A:A,TRIM(A4267))&gt;0,((VLOOKUP(TRIM(D4267), CATALOGO!A:B, 2, FALSE) * C4267)*(1-VALUE(SUBSTITUTE(VLOOKUP(TRIM(A4267),'RESTAURANTESDESCUENTOS 2026'!A:B,2,FALSE),"%",""))/100)+I4267),(VLOOKUP(TRIM(D4267), CATALOGO!A:B, 2, FALSE) * C4267+I4267)),""))</f>
        <v/>
      </c>
      <c r="K4267" s="196"/>
      <c r="L4267" s="87"/>
      <c r="M4267" s="245"/>
      <c r="N4267" s="168"/>
    </row>
    <row r="4268" ht="22.5" hidden="1" customHeight="1">
      <c r="A4268" s="137"/>
      <c r="B4268" s="90"/>
      <c r="C4268" s="55"/>
      <c r="D4268" s="193"/>
      <c r="E4268" s="201"/>
      <c r="F4268" s="202"/>
      <c r="G4268" s="194"/>
      <c r="H4268" s="198"/>
      <c r="I4268" s="196"/>
      <c r="J4268" s="179" t="str">
        <f>IF(A4268="RAPPI",(VLOOKUP(TRIM(D4268), CATALOGO!F:G, 2, FALSE) * C4268)+I4268,IFERROR(IF(COUNTIF('RESTAURANTESDESCUENTOS 2026'!A:A,TRIM(A4268))&gt;0,((VLOOKUP(TRIM(D4268), CATALOGO!A:B, 2, FALSE) * C4268)*(1-VALUE(SUBSTITUTE(VLOOKUP(TRIM(A4268),'RESTAURANTESDESCUENTOS 2026'!A:B,2,FALSE),"%",""))/100)+I4268),(VLOOKUP(TRIM(D4268), CATALOGO!A:B, 2, FALSE) * C4268+I4268)),""))</f>
        <v/>
      </c>
      <c r="K4268" s="196"/>
      <c r="L4268" s="87"/>
      <c r="M4268" s="245"/>
      <c r="N4268" s="168"/>
    </row>
    <row r="4269" ht="22.5" hidden="1" customHeight="1">
      <c r="A4269" s="137"/>
      <c r="B4269" s="90"/>
      <c r="C4269" s="55"/>
      <c r="D4269" s="193"/>
      <c r="E4269" s="201"/>
      <c r="F4269" s="202"/>
      <c r="G4269" s="194"/>
      <c r="H4269" s="198"/>
      <c r="I4269" s="196"/>
      <c r="J4269" s="179" t="str">
        <f>IF(A4269="RAPPI",(VLOOKUP(TRIM(D4269), CATALOGO!F:G, 2, FALSE) * C4269)+I4269,IFERROR(IF(COUNTIF('RESTAURANTESDESCUENTOS 2026'!A:A,TRIM(A4269))&gt;0,((VLOOKUP(TRIM(D4269), CATALOGO!A:B, 2, FALSE) * C4269)*(1-VALUE(SUBSTITUTE(VLOOKUP(TRIM(A4269),'RESTAURANTESDESCUENTOS 2026'!A:B,2,FALSE),"%",""))/100)+I4269),(VLOOKUP(TRIM(D4269), CATALOGO!A:B, 2, FALSE) * C4269+I4269)),""))</f>
        <v/>
      </c>
      <c r="K4269" s="196"/>
      <c r="L4269" s="87"/>
      <c r="M4269" s="245"/>
      <c r="N4269" s="168"/>
    </row>
    <row r="4270" ht="22.5" hidden="1" customHeight="1">
      <c r="A4270" s="137"/>
      <c r="B4270" s="90"/>
      <c r="C4270" s="55"/>
      <c r="D4270" s="193"/>
      <c r="E4270" s="201"/>
      <c r="F4270" s="202"/>
      <c r="G4270" s="194"/>
      <c r="H4270" s="198"/>
      <c r="I4270" s="196"/>
      <c r="J4270" s="179" t="str">
        <f>IF(A4270="RAPPI",(VLOOKUP(TRIM(D4270), CATALOGO!F:G, 2, FALSE) * C4270)+I4270,IFERROR(IF(COUNTIF('RESTAURANTESDESCUENTOS 2026'!A:A,TRIM(A4270))&gt;0,((VLOOKUP(TRIM(D4270), CATALOGO!A:B, 2, FALSE) * C4270)*(1-VALUE(SUBSTITUTE(VLOOKUP(TRIM(A4270),'RESTAURANTESDESCUENTOS 2026'!A:B,2,FALSE),"%",""))/100)+I4270),(VLOOKUP(TRIM(D4270), CATALOGO!A:B, 2, FALSE) * C4270+I4270)),""))</f>
        <v/>
      </c>
      <c r="K4270" s="196"/>
      <c r="L4270" s="87"/>
      <c r="M4270" s="245"/>
      <c r="N4270" s="168"/>
    </row>
    <row r="4271" ht="22.5" hidden="1" customHeight="1">
      <c r="A4271" s="137"/>
      <c r="B4271" s="90"/>
      <c r="C4271" s="55"/>
      <c r="D4271" s="193"/>
      <c r="E4271" s="201"/>
      <c r="F4271" s="202"/>
      <c r="G4271" s="194"/>
      <c r="H4271" s="198"/>
      <c r="I4271" s="196"/>
      <c r="J4271" s="179" t="str">
        <f>IF(A4271="RAPPI",(VLOOKUP(TRIM(D4271), CATALOGO!F:G, 2, FALSE) * C4271)+I4271,IFERROR(IF(COUNTIF('RESTAURANTESDESCUENTOS 2026'!A:A,TRIM(A4271))&gt;0,((VLOOKUP(TRIM(D4271), CATALOGO!A:B, 2, FALSE) * C4271)*(1-VALUE(SUBSTITUTE(VLOOKUP(TRIM(A4271),'RESTAURANTESDESCUENTOS 2026'!A:B,2,FALSE),"%",""))/100)+I4271),(VLOOKUP(TRIM(D4271), CATALOGO!A:B, 2, FALSE) * C4271+I4271)),""))</f>
        <v/>
      </c>
      <c r="K4271" s="196"/>
      <c r="L4271" s="87"/>
      <c r="M4271" s="245"/>
      <c r="N4271" s="168"/>
    </row>
    <row r="4272" ht="22.5" hidden="1" customHeight="1">
      <c r="A4272" s="137"/>
      <c r="B4272" s="90"/>
      <c r="C4272" s="55"/>
      <c r="D4272" s="193"/>
      <c r="E4272" s="201"/>
      <c r="F4272" s="202"/>
      <c r="G4272" s="194"/>
      <c r="H4272" s="198"/>
      <c r="I4272" s="196"/>
      <c r="J4272" s="179" t="str">
        <f>IF(A4272="RAPPI",(VLOOKUP(TRIM(D4272), CATALOGO!F:G, 2, FALSE) * C4272)+I4272,IFERROR(IF(COUNTIF('RESTAURANTESDESCUENTOS 2026'!A:A,TRIM(A4272))&gt;0,((VLOOKUP(TRIM(D4272), CATALOGO!A:B, 2, FALSE) * C4272)*(1-VALUE(SUBSTITUTE(VLOOKUP(TRIM(A4272),'RESTAURANTESDESCUENTOS 2026'!A:B,2,FALSE),"%",""))/100)+I4272),(VLOOKUP(TRIM(D4272), CATALOGO!A:B, 2, FALSE) * C4272+I4272)),""))</f>
        <v/>
      </c>
      <c r="K4272" s="196"/>
      <c r="L4272" s="87"/>
      <c r="M4272" s="245"/>
      <c r="N4272" s="168"/>
    </row>
    <row r="4273" ht="22.5" hidden="1" customHeight="1">
      <c r="A4273" s="137"/>
      <c r="B4273" s="90"/>
      <c r="C4273" s="55"/>
      <c r="D4273" s="193"/>
      <c r="E4273" s="201"/>
      <c r="F4273" s="202"/>
      <c r="G4273" s="194"/>
      <c r="H4273" s="198"/>
      <c r="I4273" s="196"/>
      <c r="J4273" s="179" t="str">
        <f>IF(A4273="RAPPI",(VLOOKUP(TRIM(D4273), CATALOGO!F:G, 2, FALSE) * C4273)+I4273,IFERROR(IF(COUNTIF('RESTAURANTESDESCUENTOS 2026'!A:A,TRIM(A4273))&gt;0,((VLOOKUP(TRIM(D4273), CATALOGO!A:B, 2, FALSE) * C4273)*(1-VALUE(SUBSTITUTE(VLOOKUP(TRIM(A4273),'RESTAURANTESDESCUENTOS 2026'!A:B,2,FALSE),"%",""))/100)+I4273),(VLOOKUP(TRIM(D4273), CATALOGO!A:B, 2, FALSE) * C4273+I4273)),""))</f>
        <v/>
      </c>
      <c r="K4273" s="196"/>
      <c r="L4273" s="87"/>
      <c r="M4273" s="245"/>
      <c r="N4273" s="168"/>
    </row>
    <row r="4274" ht="22.5" hidden="1" customHeight="1">
      <c r="A4274" s="137"/>
      <c r="B4274" s="90"/>
      <c r="C4274" s="55"/>
      <c r="D4274" s="193"/>
      <c r="E4274" s="201"/>
      <c r="F4274" s="202"/>
      <c r="G4274" s="194"/>
      <c r="H4274" s="198"/>
      <c r="I4274" s="196"/>
      <c r="J4274" s="179" t="str">
        <f>IF(A4274="RAPPI",(VLOOKUP(TRIM(D4274), CATALOGO!F:G, 2, FALSE) * C4274)+I4274,IFERROR(IF(COUNTIF('RESTAURANTESDESCUENTOS 2026'!A:A,TRIM(A4274))&gt;0,((VLOOKUP(TRIM(D4274), CATALOGO!A:B, 2, FALSE) * C4274)*(1-VALUE(SUBSTITUTE(VLOOKUP(TRIM(A4274),'RESTAURANTESDESCUENTOS 2026'!A:B,2,FALSE),"%",""))/100)+I4274),(VLOOKUP(TRIM(D4274), CATALOGO!A:B, 2, FALSE) * C4274+I4274)),""))</f>
        <v/>
      </c>
      <c r="K4274" s="196"/>
      <c r="L4274" s="87"/>
      <c r="M4274" s="245"/>
      <c r="N4274" s="168"/>
    </row>
    <row r="4275" ht="22.5" hidden="1" customHeight="1">
      <c r="A4275" s="137"/>
      <c r="B4275" s="90"/>
      <c r="C4275" s="55"/>
      <c r="D4275" s="193"/>
      <c r="E4275" s="201"/>
      <c r="F4275" s="202"/>
      <c r="G4275" s="194"/>
      <c r="H4275" s="198"/>
      <c r="I4275" s="196"/>
      <c r="J4275" s="179" t="str">
        <f>IF(A4275="RAPPI",(VLOOKUP(TRIM(D4275), CATALOGO!F:G, 2, FALSE) * C4275)+I4275,IFERROR(IF(COUNTIF('RESTAURANTESDESCUENTOS 2026'!A:A,TRIM(A4275))&gt;0,((VLOOKUP(TRIM(D4275), CATALOGO!A:B, 2, FALSE) * C4275)*(1-VALUE(SUBSTITUTE(VLOOKUP(TRIM(A4275),'RESTAURANTESDESCUENTOS 2026'!A:B,2,FALSE),"%",""))/100)+I4275),(VLOOKUP(TRIM(D4275), CATALOGO!A:B, 2, FALSE) * C4275+I4275)),""))</f>
        <v/>
      </c>
      <c r="K4275" s="196"/>
      <c r="L4275" s="87"/>
      <c r="M4275" s="245"/>
      <c r="N4275" s="168"/>
    </row>
    <row r="4276" ht="22.5" hidden="1" customHeight="1">
      <c r="A4276" s="137"/>
      <c r="B4276" s="90"/>
      <c r="C4276" s="55"/>
      <c r="D4276" s="193"/>
      <c r="E4276" s="201"/>
      <c r="F4276" s="202"/>
      <c r="G4276" s="194"/>
      <c r="H4276" s="198"/>
      <c r="I4276" s="196"/>
      <c r="J4276" s="179" t="str">
        <f>IF(A4276="RAPPI",(VLOOKUP(TRIM(D4276), CATALOGO!F:G, 2, FALSE) * C4276)+I4276,IFERROR(IF(COUNTIF('RESTAURANTESDESCUENTOS 2026'!A:A,TRIM(A4276))&gt;0,((VLOOKUP(TRIM(D4276), CATALOGO!A:B, 2, FALSE) * C4276)*(1-VALUE(SUBSTITUTE(VLOOKUP(TRIM(A4276),'RESTAURANTESDESCUENTOS 2026'!A:B,2,FALSE),"%",""))/100)+I4276),(VLOOKUP(TRIM(D4276), CATALOGO!A:B, 2, FALSE) * C4276+I4276)),""))</f>
        <v/>
      </c>
      <c r="K4276" s="196"/>
      <c r="L4276" s="87"/>
      <c r="M4276" s="245"/>
      <c r="N4276" s="168"/>
    </row>
    <row r="4277" ht="22.5" hidden="1" customHeight="1">
      <c r="A4277" s="137"/>
      <c r="B4277" s="90"/>
      <c r="C4277" s="55"/>
      <c r="D4277" s="193"/>
      <c r="E4277" s="201"/>
      <c r="F4277" s="202"/>
      <c r="G4277" s="194"/>
      <c r="H4277" s="198"/>
      <c r="I4277" s="196"/>
      <c r="J4277" s="179" t="str">
        <f>IF(A4277="RAPPI",(VLOOKUP(TRIM(D4277), CATALOGO!F:G, 2, FALSE) * C4277)+I4277,IFERROR(IF(COUNTIF('RESTAURANTESDESCUENTOS 2026'!A:A,TRIM(A4277))&gt;0,((VLOOKUP(TRIM(D4277), CATALOGO!A:B, 2, FALSE) * C4277)*(1-VALUE(SUBSTITUTE(VLOOKUP(TRIM(A4277),'RESTAURANTESDESCUENTOS 2026'!A:B,2,FALSE),"%",""))/100)+I4277),(VLOOKUP(TRIM(D4277), CATALOGO!A:B, 2, FALSE) * C4277+I4277)),""))</f>
        <v/>
      </c>
      <c r="K4277" s="196"/>
      <c r="L4277" s="87"/>
      <c r="M4277" s="245"/>
      <c r="N4277" s="168"/>
    </row>
    <row r="4278" ht="22.5" hidden="1" customHeight="1">
      <c r="A4278" s="137"/>
      <c r="B4278" s="90"/>
      <c r="C4278" s="55"/>
      <c r="D4278" s="193"/>
      <c r="E4278" s="201"/>
      <c r="F4278" s="202"/>
      <c r="G4278" s="194"/>
      <c r="H4278" s="198"/>
      <c r="I4278" s="196"/>
      <c r="J4278" s="179" t="str">
        <f>IF(A4278="RAPPI",(VLOOKUP(TRIM(D4278), CATALOGO!F:G, 2, FALSE) * C4278)+I4278,IFERROR(IF(COUNTIF('RESTAURANTESDESCUENTOS 2026'!A:A,TRIM(A4278))&gt;0,((VLOOKUP(TRIM(D4278), CATALOGO!A:B, 2, FALSE) * C4278)*(1-VALUE(SUBSTITUTE(VLOOKUP(TRIM(A4278),'RESTAURANTESDESCUENTOS 2026'!A:B,2,FALSE),"%",""))/100)+I4278),(VLOOKUP(TRIM(D4278), CATALOGO!A:B, 2, FALSE) * C4278+I4278)),""))</f>
        <v/>
      </c>
      <c r="K4278" s="196"/>
      <c r="L4278" s="87"/>
      <c r="M4278" s="245"/>
      <c r="N4278" s="168"/>
    </row>
    <row r="4279" ht="22.5" hidden="1" customHeight="1">
      <c r="A4279" s="137"/>
      <c r="B4279" s="90"/>
      <c r="C4279" s="55"/>
      <c r="D4279" s="193"/>
      <c r="E4279" s="201"/>
      <c r="F4279" s="202"/>
      <c r="G4279" s="194"/>
      <c r="H4279" s="198"/>
      <c r="I4279" s="196"/>
      <c r="J4279" s="179" t="str">
        <f>IF(A4279="RAPPI",(VLOOKUP(TRIM(D4279), CATALOGO!F:G, 2, FALSE) * C4279)+I4279,IFERROR(IF(COUNTIF('RESTAURANTESDESCUENTOS 2026'!A:A,TRIM(A4279))&gt;0,((VLOOKUP(TRIM(D4279), CATALOGO!A:B, 2, FALSE) * C4279)*(1-VALUE(SUBSTITUTE(VLOOKUP(TRIM(A4279),'RESTAURANTESDESCUENTOS 2026'!A:B,2,FALSE),"%",""))/100)+I4279),(VLOOKUP(TRIM(D4279), CATALOGO!A:B, 2, FALSE) * C4279+I4279)),""))</f>
        <v/>
      </c>
      <c r="K4279" s="196"/>
      <c r="L4279" s="87"/>
      <c r="M4279" s="245"/>
      <c r="N4279" s="168"/>
    </row>
    <row r="4280" ht="22.5" hidden="1" customHeight="1">
      <c r="A4280" s="137"/>
      <c r="B4280" s="90"/>
      <c r="C4280" s="55"/>
      <c r="D4280" s="193"/>
      <c r="E4280" s="201"/>
      <c r="F4280" s="202"/>
      <c r="G4280" s="194"/>
      <c r="H4280" s="198"/>
      <c r="I4280" s="196"/>
      <c r="J4280" s="179" t="str">
        <f>IF(A4280="RAPPI",(VLOOKUP(TRIM(D4280), CATALOGO!F:G, 2, FALSE) * C4280)+I4280,IFERROR(IF(COUNTIF('RESTAURANTESDESCUENTOS 2026'!A:A,TRIM(A4280))&gt;0,((VLOOKUP(TRIM(D4280), CATALOGO!A:B, 2, FALSE) * C4280)*(1-VALUE(SUBSTITUTE(VLOOKUP(TRIM(A4280),'RESTAURANTESDESCUENTOS 2026'!A:B,2,FALSE),"%",""))/100)+I4280),(VLOOKUP(TRIM(D4280), CATALOGO!A:B, 2, FALSE) * C4280+I4280)),""))</f>
        <v/>
      </c>
      <c r="K4280" s="196"/>
      <c r="L4280" s="87"/>
      <c r="M4280" s="245"/>
      <c r="N4280" s="168"/>
    </row>
    <row r="4281" ht="22.5" hidden="1" customHeight="1">
      <c r="A4281" s="137"/>
      <c r="B4281" s="90"/>
      <c r="C4281" s="55"/>
      <c r="D4281" s="193"/>
      <c r="E4281" s="201"/>
      <c r="F4281" s="202"/>
      <c r="G4281" s="194"/>
      <c r="H4281" s="198"/>
      <c r="I4281" s="196"/>
      <c r="J4281" s="179" t="str">
        <f>IF(A4281="RAPPI",(VLOOKUP(TRIM(D4281), CATALOGO!F:G, 2, FALSE) * C4281)+I4281,IFERROR(IF(COUNTIF('RESTAURANTESDESCUENTOS 2026'!A:A,TRIM(A4281))&gt;0,((VLOOKUP(TRIM(D4281), CATALOGO!A:B, 2, FALSE) * C4281)*(1-VALUE(SUBSTITUTE(VLOOKUP(TRIM(A4281),'RESTAURANTESDESCUENTOS 2026'!A:B,2,FALSE),"%",""))/100)+I4281),(VLOOKUP(TRIM(D4281), CATALOGO!A:B, 2, FALSE) * C4281+I4281)),""))</f>
        <v/>
      </c>
      <c r="K4281" s="196"/>
      <c r="L4281" s="87"/>
      <c r="M4281" s="245"/>
      <c r="N4281" s="168"/>
    </row>
    <row r="4282" ht="22.5" hidden="1" customHeight="1">
      <c r="A4282" s="137"/>
      <c r="B4282" s="90"/>
      <c r="C4282" s="55"/>
      <c r="D4282" s="193"/>
      <c r="E4282" s="201"/>
      <c r="F4282" s="202"/>
      <c r="G4282" s="194"/>
      <c r="H4282" s="198"/>
      <c r="I4282" s="196"/>
      <c r="J4282" s="179" t="str">
        <f>IF(A4282="RAPPI",(VLOOKUP(TRIM(D4282), CATALOGO!F:G, 2, FALSE) * C4282)+I4282,IFERROR(IF(COUNTIF('RESTAURANTESDESCUENTOS 2026'!A:A,TRIM(A4282))&gt;0,((VLOOKUP(TRIM(D4282), CATALOGO!A:B, 2, FALSE) * C4282)*(1-VALUE(SUBSTITUTE(VLOOKUP(TRIM(A4282),'RESTAURANTESDESCUENTOS 2026'!A:B,2,FALSE),"%",""))/100)+I4282),(VLOOKUP(TRIM(D4282), CATALOGO!A:B, 2, FALSE) * C4282+I4282)),""))</f>
        <v/>
      </c>
      <c r="K4282" s="196"/>
      <c r="L4282" s="87"/>
      <c r="M4282" s="245"/>
      <c r="N4282" s="168"/>
    </row>
    <row r="4283" ht="22.5" hidden="1" customHeight="1">
      <c r="A4283" s="137"/>
      <c r="B4283" s="90"/>
      <c r="C4283" s="55"/>
      <c r="D4283" s="193"/>
      <c r="E4283" s="201"/>
      <c r="F4283" s="202"/>
      <c r="G4283" s="194"/>
      <c r="H4283" s="198"/>
      <c r="I4283" s="196"/>
      <c r="J4283" s="179" t="str">
        <f>IF(A4283="RAPPI",(VLOOKUP(TRIM(D4283), CATALOGO!F:G, 2, FALSE) * C4283)+I4283,IFERROR(IF(COUNTIF('RESTAURANTESDESCUENTOS 2026'!A:A,TRIM(A4283))&gt;0,((VLOOKUP(TRIM(D4283), CATALOGO!A:B, 2, FALSE) * C4283)*(1-VALUE(SUBSTITUTE(VLOOKUP(TRIM(A4283),'RESTAURANTESDESCUENTOS 2026'!A:B,2,FALSE),"%",""))/100)+I4283),(VLOOKUP(TRIM(D4283), CATALOGO!A:B, 2, FALSE) * C4283+I4283)),""))</f>
        <v/>
      </c>
      <c r="K4283" s="196"/>
      <c r="L4283" s="87"/>
      <c r="M4283" s="245"/>
      <c r="N4283" s="168"/>
    </row>
    <row r="4284" ht="22.5" hidden="1" customHeight="1">
      <c r="A4284" s="137"/>
      <c r="B4284" s="90"/>
      <c r="C4284" s="55"/>
      <c r="D4284" s="193"/>
      <c r="E4284" s="201"/>
      <c r="F4284" s="202"/>
      <c r="G4284" s="194"/>
      <c r="H4284" s="198"/>
      <c r="I4284" s="196"/>
      <c r="J4284" s="179" t="str">
        <f>IF(A4284="RAPPI",(VLOOKUP(TRIM(D4284), CATALOGO!F:G, 2, FALSE) * C4284)+I4284,IFERROR(IF(COUNTIF('RESTAURANTESDESCUENTOS 2026'!A:A,TRIM(A4284))&gt;0,((VLOOKUP(TRIM(D4284), CATALOGO!A:B, 2, FALSE) * C4284)*(1-VALUE(SUBSTITUTE(VLOOKUP(TRIM(A4284),'RESTAURANTESDESCUENTOS 2026'!A:B,2,FALSE),"%",""))/100)+I4284),(VLOOKUP(TRIM(D4284), CATALOGO!A:B, 2, FALSE) * C4284+I4284)),""))</f>
        <v/>
      </c>
      <c r="K4284" s="196"/>
      <c r="L4284" s="87"/>
      <c r="M4284" s="245"/>
      <c r="N4284" s="168"/>
    </row>
    <row r="4285" ht="22.5" hidden="1" customHeight="1">
      <c r="A4285" s="137"/>
      <c r="B4285" s="90"/>
      <c r="C4285" s="55"/>
      <c r="D4285" s="193"/>
      <c r="E4285" s="201"/>
      <c r="F4285" s="202"/>
      <c r="G4285" s="194"/>
      <c r="H4285" s="198"/>
      <c r="I4285" s="196"/>
      <c r="J4285" s="179" t="str">
        <f>IF(A4285="RAPPI",(VLOOKUP(TRIM(D4285), CATALOGO!F:G, 2, FALSE) * C4285)+I4285,IFERROR(IF(COUNTIF('RESTAURANTESDESCUENTOS 2026'!A:A,TRIM(A4285))&gt;0,((VLOOKUP(TRIM(D4285), CATALOGO!A:B, 2, FALSE) * C4285)*(1-VALUE(SUBSTITUTE(VLOOKUP(TRIM(A4285),'RESTAURANTESDESCUENTOS 2026'!A:B,2,FALSE),"%",""))/100)+I4285),(VLOOKUP(TRIM(D4285), CATALOGO!A:B, 2, FALSE) * C4285+I4285)),""))</f>
        <v/>
      </c>
      <c r="K4285" s="196"/>
      <c r="L4285" s="87"/>
      <c r="M4285" s="245"/>
      <c r="N4285" s="168"/>
    </row>
    <row r="4286" ht="22.5" hidden="1" customHeight="1">
      <c r="A4286" s="137"/>
      <c r="B4286" s="90"/>
      <c r="C4286" s="55"/>
      <c r="D4286" s="193"/>
      <c r="E4286" s="201"/>
      <c r="F4286" s="202"/>
      <c r="G4286" s="194"/>
      <c r="H4286" s="198"/>
      <c r="I4286" s="196"/>
      <c r="J4286" s="179" t="str">
        <f>IF(A4286="RAPPI",(VLOOKUP(TRIM(D4286), CATALOGO!F:G, 2, FALSE) * C4286)+I4286,IFERROR(IF(COUNTIF('RESTAURANTESDESCUENTOS 2026'!A:A,TRIM(A4286))&gt;0,((VLOOKUP(TRIM(D4286), CATALOGO!A:B, 2, FALSE) * C4286)*(1-VALUE(SUBSTITUTE(VLOOKUP(TRIM(A4286),'RESTAURANTESDESCUENTOS 2026'!A:B,2,FALSE),"%",""))/100)+I4286),(VLOOKUP(TRIM(D4286), CATALOGO!A:B, 2, FALSE) * C4286+I4286)),""))</f>
        <v/>
      </c>
      <c r="K4286" s="196"/>
      <c r="L4286" s="87"/>
      <c r="M4286" s="245"/>
      <c r="N4286" s="168"/>
    </row>
    <row r="4287" ht="22.5" hidden="1" customHeight="1">
      <c r="A4287" s="137"/>
      <c r="B4287" s="90"/>
      <c r="C4287" s="55"/>
      <c r="D4287" s="193"/>
      <c r="E4287" s="201"/>
      <c r="F4287" s="202"/>
      <c r="G4287" s="194"/>
      <c r="H4287" s="198"/>
      <c r="I4287" s="196"/>
      <c r="J4287" s="179" t="str">
        <f>IF(A4287="RAPPI",(VLOOKUP(TRIM(D4287), CATALOGO!F:G, 2, FALSE) * C4287)+I4287,IFERROR(IF(COUNTIF('RESTAURANTESDESCUENTOS 2026'!A:A,TRIM(A4287))&gt;0,((VLOOKUP(TRIM(D4287), CATALOGO!A:B, 2, FALSE) * C4287)*(1-VALUE(SUBSTITUTE(VLOOKUP(TRIM(A4287),'RESTAURANTESDESCUENTOS 2026'!A:B,2,FALSE),"%",""))/100)+I4287),(VLOOKUP(TRIM(D4287), CATALOGO!A:B, 2, FALSE) * C4287+I4287)),""))</f>
        <v/>
      </c>
      <c r="K4287" s="196"/>
      <c r="L4287" s="87"/>
      <c r="M4287" s="245"/>
      <c r="N4287" s="168"/>
    </row>
    <row r="4288" ht="22.5" hidden="1" customHeight="1">
      <c r="A4288" s="137"/>
      <c r="B4288" s="90"/>
      <c r="C4288" s="55"/>
      <c r="D4288" s="193"/>
      <c r="E4288" s="201"/>
      <c r="F4288" s="202"/>
      <c r="G4288" s="194"/>
      <c r="H4288" s="198"/>
      <c r="I4288" s="196"/>
      <c r="J4288" s="179" t="str">
        <f>IF(A4288="RAPPI",(VLOOKUP(TRIM(D4288), CATALOGO!F:G, 2, FALSE) * C4288)+I4288,IFERROR(IF(COUNTIF('RESTAURANTESDESCUENTOS 2026'!A:A,TRIM(A4288))&gt;0,((VLOOKUP(TRIM(D4288), CATALOGO!A:B, 2, FALSE) * C4288)*(1-VALUE(SUBSTITUTE(VLOOKUP(TRIM(A4288),'RESTAURANTESDESCUENTOS 2026'!A:B,2,FALSE),"%",""))/100)+I4288),(VLOOKUP(TRIM(D4288), CATALOGO!A:B, 2, FALSE) * C4288+I4288)),""))</f>
        <v/>
      </c>
      <c r="K4288" s="196"/>
      <c r="L4288" s="87"/>
      <c r="M4288" s="245"/>
      <c r="N4288" s="168"/>
    </row>
    <row r="4289" ht="22.5" hidden="1" customHeight="1">
      <c r="A4289" s="137"/>
      <c r="B4289" s="90"/>
      <c r="C4289" s="55"/>
      <c r="D4289" s="193"/>
      <c r="E4289" s="201"/>
      <c r="F4289" s="202"/>
      <c r="G4289" s="194"/>
      <c r="H4289" s="198"/>
      <c r="I4289" s="196"/>
      <c r="J4289" s="179" t="str">
        <f>IF(A4289="RAPPI",(VLOOKUP(TRIM(D4289), CATALOGO!F:G, 2, FALSE) * C4289)+I4289,IFERROR(IF(COUNTIF('RESTAURANTESDESCUENTOS 2026'!A:A,TRIM(A4289))&gt;0,((VLOOKUP(TRIM(D4289), CATALOGO!A:B, 2, FALSE) * C4289)*(1-VALUE(SUBSTITUTE(VLOOKUP(TRIM(A4289),'RESTAURANTESDESCUENTOS 2026'!A:B,2,FALSE),"%",""))/100)+I4289),(VLOOKUP(TRIM(D4289), CATALOGO!A:B, 2, FALSE) * C4289+I4289)),""))</f>
        <v/>
      </c>
      <c r="K4289" s="196"/>
      <c r="L4289" s="87"/>
      <c r="M4289" s="245"/>
      <c r="N4289" s="168"/>
    </row>
    <row r="4290" ht="22.5" hidden="1" customHeight="1">
      <c r="A4290" s="137"/>
      <c r="B4290" s="90"/>
      <c r="C4290" s="55"/>
      <c r="D4290" s="193"/>
      <c r="E4290" s="201"/>
      <c r="F4290" s="202"/>
      <c r="G4290" s="194"/>
      <c r="H4290" s="198"/>
      <c r="I4290" s="196"/>
      <c r="J4290" s="179" t="str">
        <f>IF(A4290="RAPPI",(VLOOKUP(TRIM(D4290), CATALOGO!F:G, 2, FALSE) * C4290)+I4290,IFERROR(IF(COUNTIF('RESTAURANTESDESCUENTOS 2026'!A:A,TRIM(A4290))&gt;0,((VLOOKUP(TRIM(D4290), CATALOGO!A:B, 2, FALSE) * C4290)*(1-VALUE(SUBSTITUTE(VLOOKUP(TRIM(A4290),'RESTAURANTESDESCUENTOS 2026'!A:B,2,FALSE),"%",""))/100)+I4290),(VLOOKUP(TRIM(D4290), CATALOGO!A:B, 2, FALSE) * C4290+I4290)),""))</f>
        <v/>
      </c>
      <c r="K4290" s="196"/>
      <c r="L4290" s="87"/>
      <c r="M4290" s="245"/>
      <c r="N4290" s="168"/>
    </row>
    <row r="4291" ht="22.5" hidden="1" customHeight="1">
      <c r="A4291" s="137"/>
      <c r="B4291" s="90"/>
      <c r="C4291" s="55"/>
      <c r="D4291" s="193"/>
      <c r="E4291" s="201"/>
      <c r="F4291" s="202"/>
      <c r="G4291" s="194"/>
      <c r="H4291" s="198"/>
      <c r="I4291" s="196"/>
      <c r="J4291" s="179" t="str">
        <f>IF(A4291="RAPPI",(VLOOKUP(TRIM(D4291), CATALOGO!F:G, 2, FALSE) * C4291)+I4291,IFERROR(IF(COUNTIF('RESTAURANTESDESCUENTOS 2026'!A:A,TRIM(A4291))&gt;0,((VLOOKUP(TRIM(D4291), CATALOGO!A:B, 2, FALSE) * C4291)*(1-VALUE(SUBSTITUTE(VLOOKUP(TRIM(A4291),'RESTAURANTESDESCUENTOS 2026'!A:B,2,FALSE),"%",""))/100)+I4291),(VLOOKUP(TRIM(D4291), CATALOGO!A:B, 2, FALSE) * C4291+I4291)),""))</f>
        <v/>
      </c>
      <c r="K4291" s="196"/>
      <c r="L4291" s="87"/>
      <c r="M4291" s="245"/>
      <c r="N4291" s="168"/>
    </row>
    <row r="4292" ht="22.5" hidden="1" customHeight="1">
      <c r="A4292" s="137"/>
      <c r="B4292" s="90"/>
      <c r="C4292" s="55"/>
      <c r="D4292" s="193"/>
      <c r="E4292" s="201"/>
      <c r="F4292" s="202"/>
      <c r="G4292" s="194"/>
      <c r="H4292" s="198"/>
      <c r="I4292" s="196"/>
      <c r="J4292" s="179" t="str">
        <f>IF(A4292="RAPPI",(VLOOKUP(TRIM(D4292), CATALOGO!F:G, 2, FALSE) * C4292)+I4292,IFERROR(IF(COUNTIF('RESTAURANTESDESCUENTOS 2026'!A:A,TRIM(A4292))&gt;0,((VLOOKUP(TRIM(D4292), CATALOGO!A:B, 2, FALSE) * C4292)*(1-VALUE(SUBSTITUTE(VLOOKUP(TRIM(A4292),'RESTAURANTESDESCUENTOS 2026'!A:B,2,FALSE),"%",""))/100)+I4292),(VLOOKUP(TRIM(D4292), CATALOGO!A:B, 2, FALSE) * C4292+I4292)),""))</f>
        <v/>
      </c>
      <c r="K4292" s="196"/>
      <c r="L4292" s="87"/>
      <c r="M4292" s="245"/>
      <c r="N4292" s="168"/>
    </row>
    <row r="4293" ht="22.5" hidden="1" customHeight="1">
      <c r="A4293" s="137"/>
      <c r="B4293" s="90"/>
      <c r="C4293" s="55"/>
      <c r="D4293" s="193"/>
      <c r="E4293" s="201"/>
      <c r="F4293" s="202"/>
      <c r="G4293" s="194"/>
      <c r="H4293" s="198"/>
      <c r="I4293" s="196"/>
      <c r="J4293" s="179" t="str">
        <f>IF(A4293="RAPPI",(VLOOKUP(TRIM(D4293), CATALOGO!F:G, 2, FALSE) * C4293)+I4293,IFERROR(IF(COUNTIF('RESTAURANTESDESCUENTOS 2026'!A:A,TRIM(A4293))&gt;0,((VLOOKUP(TRIM(D4293), CATALOGO!A:B, 2, FALSE) * C4293)*(1-VALUE(SUBSTITUTE(VLOOKUP(TRIM(A4293),'RESTAURANTESDESCUENTOS 2026'!A:B,2,FALSE),"%",""))/100)+I4293),(VLOOKUP(TRIM(D4293), CATALOGO!A:B, 2, FALSE) * C4293+I4293)),""))</f>
        <v/>
      </c>
      <c r="K4293" s="196"/>
      <c r="L4293" s="87"/>
      <c r="M4293" s="245"/>
      <c r="N4293" s="168"/>
    </row>
    <row r="4294" ht="22.5" hidden="1" customHeight="1">
      <c r="A4294" s="137"/>
      <c r="B4294" s="90"/>
      <c r="C4294" s="55"/>
      <c r="D4294" s="193"/>
      <c r="E4294" s="201"/>
      <c r="F4294" s="202"/>
      <c r="G4294" s="194"/>
      <c r="H4294" s="198"/>
      <c r="I4294" s="196"/>
      <c r="J4294" s="179" t="str">
        <f>IF(A4294="RAPPI",(VLOOKUP(TRIM(D4294), CATALOGO!F:G, 2, FALSE) * C4294)+I4294,IFERROR(IF(COUNTIF('RESTAURANTESDESCUENTOS 2026'!A:A,TRIM(A4294))&gt;0,((VLOOKUP(TRIM(D4294), CATALOGO!A:B, 2, FALSE) * C4294)*(1-VALUE(SUBSTITUTE(VLOOKUP(TRIM(A4294),'RESTAURANTESDESCUENTOS 2026'!A:B,2,FALSE),"%",""))/100)+I4294),(VLOOKUP(TRIM(D4294), CATALOGO!A:B, 2, FALSE) * C4294+I4294)),""))</f>
        <v/>
      </c>
      <c r="K4294" s="196"/>
      <c r="L4294" s="87"/>
      <c r="M4294" s="245"/>
      <c r="N4294" s="168"/>
    </row>
    <row r="4295" ht="22.5" hidden="1" customHeight="1">
      <c r="A4295" s="137"/>
      <c r="B4295" s="90"/>
      <c r="C4295" s="55"/>
      <c r="D4295" s="193"/>
      <c r="E4295" s="201"/>
      <c r="F4295" s="202"/>
      <c r="G4295" s="194"/>
      <c r="H4295" s="198"/>
      <c r="I4295" s="196"/>
      <c r="J4295" s="179" t="str">
        <f>IF(A4295="RAPPI",(VLOOKUP(TRIM(D4295), CATALOGO!F:G, 2, FALSE) * C4295)+I4295,IFERROR(IF(COUNTIF('RESTAURANTESDESCUENTOS 2026'!A:A,TRIM(A4295))&gt;0,((VLOOKUP(TRIM(D4295), CATALOGO!A:B, 2, FALSE) * C4295)*(1-VALUE(SUBSTITUTE(VLOOKUP(TRIM(A4295),'RESTAURANTESDESCUENTOS 2026'!A:B,2,FALSE),"%",""))/100)+I4295),(VLOOKUP(TRIM(D4295), CATALOGO!A:B, 2, FALSE) * C4295+I4295)),""))</f>
        <v/>
      </c>
      <c r="K4295" s="196"/>
      <c r="L4295" s="87"/>
      <c r="M4295" s="245"/>
      <c r="N4295" s="168"/>
    </row>
    <row r="4296" ht="22.5" hidden="1" customHeight="1">
      <c r="A4296" s="137"/>
      <c r="B4296" s="90"/>
      <c r="C4296" s="55"/>
      <c r="D4296" s="193"/>
      <c r="E4296" s="201"/>
      <c r="F4296" s="202"/>
      <c r="G4296" s="194"/>
      <c r="H4296" s="198"/>
      <c r="I4296" s="196"/>
      <c r="J4296" s="179" t="str">
        <f>IF(A4296="RAPPI",(VLOOKUP(TRIM(D4296), CATALOGO!F:G, 2, FALSE) * C4296)+I4296,IFERROR(IF(COUNTIF('RESTAURANTESDESCUENTOS 2026'!A:A,TRIM(A4296))&gt;0,((VLOOKUP(TRIM(D4296), CATALOGO!A:B, 2, FALSE) * C4296)*(1-VALUE(SUBSTITUTE(VLOOKUP(TRIM(A4296),'RESTAURANTESDESCUENTOS 2026'!A:B,2,FALSE),"%",""))/100)+I4296),(VLOOKUP(TRIM(D4296), CATALOGO!A:B, 2, FALSE) * C4296+I4296)),""))</f>
        <v/>
      </c>
      <c r="K4296" s="196"/>
      <c r="L4296" s="87"/>
      <c r="M4296" s="245"/>
      <c r="N4296" s="168"/>
    </row>
    <row r="4297" ht="22.5" hidden="1" customHeight="1">
      <c r="A4297" s="137"/>
      <c r="B4297" s="90"/>
      <c r="C4297" s="55"/>
      <c r="D4297" s="193"/>
      <c r="E4297" s="201"/>
      <c r="F4297" s="202"/>
      <c r="G4297" s="194"/>
      <c r="H4297" s="198"/>
      <c r="I4297" s="196"/>
      <c r="J4297" s="179" t="str">
        <f>IF(A4297="RAPPI",(VLOOKUP(TRIM(D4297), CATALOGO!F:G, 2, FALSE) * C4297)+I4297,IFERROR(IF(COUNTIF('RESTAURANTESDESCUENTOS 2026'!A:A,TRIM(A4297))&gt;0,((VLOOKUP(TRIM(D4297), CATALOGO!A:B, 2, FALSE) * C4297)*(1-VALUE(SUBSTITUTE(VLOOKUP(TRIM(A4297),'RESTAURANTESDESCUENTOS 2026'!A:B,2,FALSE),"%",""))/100)+I4297),(VLOOKUP(TRIM(D4297), CATALOGO!A:B, 2, FALSE) * C4297+I4297)),""))</f>
        <v/>
      </c>
      <c r="K4297" s="196"/>
      <c r="L4297" s="87"/>
      <c r="M4297" s="245"/>
      <c r="N4297" s="168"/>
    </row>
    <row r="4298" ht="22.5" hidden="1" customHeight="1">
      <c r="A4298" s="137"/>
      <c r="B4298" s="90"/>
      <c r="C4298" s="55"/>
      <c r="D4298" s="193"/>
      <c r="E4298" s="201"/>
      <c r="F4298" s="202"/>
      <c r="G4298" s="194"/>
      <c r="H4298" s="198"/>
      <c r="I4298" s="196"/>
      <c r="J4298" s="179" t="str">
        <f>IF(A4298="RAPPI",(VLOOKUP(TRIM(D4298), CATALOGO!F:G, 2, FALSE) * C4298)+I4298,IFERROR(IF(COUNTIF('RESTAURANTESDESCUENTOS 2026'!A:A,TRIM(A4298))&gt;0,((VLOOKUP(TRIM(D4298), CATALOGO!A:B, 2, FALSE) * C4298)*(1-VALUE(SUBSTITUTE(VLOOKUP(TRIM(A4298),'RESTAURANTESDESCUENTOS 2026'!A:B,2,FALSE),"%",""))/100)+I4298),(VLOOKUP(TRIM(D4298), CATALOGO!A:B, 2, FALSE) * C4298+I4298)),""))</f>
        <v/>
      </c>
      <c r="K4298" s="196"/>
      <c r="L4298" s="87"/>
      <c r="M4298" s="245"/>
      <c r="N4298" s="168"/>
    </row>
    <row r="4299" ht="22.5" hidden="1" customHeight="1">
      <c r="A4299" s="137"/>
      <c r="B4299" s="90"/>
      <c r="C4299" s="55"/>
      <c r="D4299" s="193"/>
      <c r="E4299" s="201"/>
      <c r="F4299" s="202"/>
      <c r="G4299" s="194"/>
      <c r="H4299" s="198"/>
      <c r="I4299" s="196"/>
      <c r="J4299" s="179" t="str">
        <f>IF(A4299="RAPPI",(VLOOKUP(TRIM(D4299), CATALOGO!F:G, 2, FALSE) * C4299)+I4299,IFERROR(IF(COUNTIF('RESTAURANTESDESCUENTOS 2026'!A:A,TRIM(A4299))&gt;0,((VLOOKUP(TRIM(D4299), CATALOGO!A:B, 2, FALSE) * C4299)*(1-VALUE(SUBSTITUTE(VLOOKUP(TRIM(A4299),'RESTAURANTESDESCUENTOS 2026'!A:B,2,FALSE),"%",""))/100)+I4299),(VLOOKUP(TRIM(D4299), CATALOGO!A:B, 2, FALSE) * C4299+I4299)),""))</f>
        <v/>
      </c>
      <c r="K4299" s="196"/>
      <c r="L4299" s="87"/>
      <c r="M4299" s="245"/>
      <c r="N4299" s="168"/>
    </row>
    <row r="4300" ht="22.5" hidden="1" customHeight="1">
      <c r="A4300" s="137"/>
      <c r="B4300" s="90"/>
      <c r="C4300" s="55"/>
      <c r="D4300" s="193"/>
      <c r="E4300" s="201"/>
      <c r="F4300" s="202"/>
      <c r="G4300" s="194"/>
      <c r="H4300" s="198"/>
      <c r="I4300" s="196"/>
      <c r="J4300" s="179" t="str">
        <f>IF(A4300="RAPPI",(VLOOKUP(TRIM(D4300), CATALOGO!F:G, 2, FALSE) * C4300)+I4300,IFERROR(IF(COUNTIF('RESTAURANTESDESCUENTOS 2026'!A:A,TRIM(A4300))&gt;0,((VLOOKUP(TRIM(D4300), CATALOGO!A:B, 2, FALSE) * C4300)*(1-VALUE(SUBSTITUTE(VLOOKUP(TRIM(A4300),'RESTAURANTESDESCUENTOS 2026'!A:B,2,FALSE),"%",""))/100)+I4300),(VLOOKUP(TRIM(D4300), CATALOGO!A:B, 2, FALSE) * C4300+I4300)),""))</f>
        <v/>
      </c>
      <c r="K4300" s="196"/>
      <c r="L4300" s="87"/>
      <c r="M4300" s="245"/>
      <c r="N4300" s="168"/>
    </row>
    <row r="4301" ht="22.5" hidden="1" customHeight="1">
      <c r="A4301" s="137"/>
      <c r="B4301" s="90"/>
      <c r="C4301" s="55"/>
      <c r="D4301" s="193"/>
      <c r="E4301" s="201"/>
      <c r="F4301" s="202"/>
      <c r="G4301" s="194"/>
      <c r="H4301" s="198"/>
      <c r="I4301" s="196"/>
      <c r="J4301" s="179" t="str">
        <f>IF(A4301="RAPPI",(VLOOKUP(TRIM(D4301), CATALOGO!F:G, 2, FALSE) * C4301)+I4301,IFERROR(IF(COUNTIF('RESTAURANTESDESCUENTOS 2026'!A:A,TRIM(A4301))&gt;0,((VLOOKUP(TRIM(D4301), CATALOGO!A:B, 2, FALSE) * C4301)*(1-VALUE(SUBSTITUTE(VLOOKUP(TRIM(A4301),'RESTAURANTESDESCUENTOS 2026'!A:B,2,FALSE),"%",""))/100)+I4301),(VLOOKUP(TRIM(D4301), CATALOGO!A:B, 2, FALSE) * C4301+I4301)),""))</f>
        <v/>
      </c>
      <c r="K4301" s="196"/>
      <c r="L4301" s="87"/>
      <c r="M4301" s="245"/>
      <c r="N4301" s="168"/>
    </row>
    <row r="4302" ht="22.5" hidden="1" customHeight="1">
      <c r="A4302" s="137"/>
      <c r="B4302" s="90"/>
      <c r="C4302" s="55"/>
      <c r="D4302" s="193"/>
      <c r="E4302" s="201"/>
      <c r="F4302" s="202"/>
      <c r="G4302" s="194"/>
      <c r="H4302" s="198"/>
      <c r="I4302" s="196"/>
      <c r="J4302" s="179" t="str">
        <f>IF(A4302="RAPPI",(VLOOKUP(TRIM(D4302), CATALOGO!F:G, 2, FALSE) * C4302)+I4302,IFERROR(IF(COUNTIF('RESTAURANTESDESCUENTOS 2026'!A:A,TRIM(A4302))&gt;0,((VLOOKUP(TRIM(D4302), CATALOGO!A:B, 2, FALSE) * C4302)*(1-VALUE(SUBSTITUTE(VLOOKUP(TRIM(A4302),'RESTAURANTESDESCUENTOS 2026'!A:B,2,FALSE),"%",""))/100)+I4302),(VLOOKUP(TRIM(D4302), CATALOGO!A:B, 2, FALSE) * C4302+I4302)),""))</f>
        <v/>
      </c>
      <c r="K4302" s="196"/>
      <c r="L4302" s="87"/>
      <c r="M4302" s="245"/>
      <c r="N4302" s="168"/>
    </row>
    <row r="4303" ht="22.5" hidden="1" customHeight="1">
      <c r="A4303" s="137"/>
      <c r="B4303" s="90"/>
      <c r="C4303" s="55"/>
      <c r="D4303" s="193"/>
      <c r="E4303" s="201"/>
      <c r="F4303" s="202"/>
      <c r="G4303" s="194"/>
      <c r="H4303" s="198"/>
      <c r="I4303" s="196"/>
      <c r="J4303" s="179" t="str">
        <f>IF(A4303="RAPPI",(VLOOKUP(TRIM(D4303), CATALOGO!F:G, 2, FALSE) * C4303)+I4303,IFERROR(IF(COUNTIF('RESTAURANTESDESCUENTOS 2026'!A:A,TRIM(A4303))&gt;0,((VLOOKUP(TRIM(D4303), CATALOGO!A:B, 2, FALSE) * C4303)*(1-VALUE(SUBSTITUTE(VLOOKUP(TRIM(A4303),'RESTAURANTESDESCUENTOS 2026'!A:B,2,FALSE),"%",""))/100)+I4303),(VLOOKUP(TRIM(D4303), CATALOGO!A:B, 2, FALSE) * C4303+I4303)),""))</f>
        <v/>
      </c>
      <c r="K4303" s="196"/>
      <c r="L4303" s="87"/>
      <c r="M4303" s="245"/>
      <c r="N4303" s="168"/>
    </row>
    <row r="4304" ht="22.5" hidden="1" customHeight="1">
      <c r="A4304" s="137"/>
      <c r="B4304" s="90"/>
      <c r="C4304" s="55"/>
      <c r="D4304" s="193"/>
      <c r="E4304" s="201"/>
      <c r="F4304" s="202"/>
      <c r="G4304" s="194"/>
      <c r="H4304" s="198"/>
      <c r="I4304" s="196"/>
      <c r="J4304" s="179" t="str">
        <f>IF(A4304="RAPPI",(VLOOKUP(TRIM(D4304), CATALOGO!F:G, 2, FALSE) * C4304)+I4304,IFERROR(IF(COUNTIF('RESTAURANTESDESCUENTOS 2026'!A:A,TRIM(A4304))&gt;0,((VLOOKUP(TRIM(D4304), CATALOGO!A:B, 2, FALSE) * C4304)*(1-VALUE(SUBSTITUTE(VLOOKUP(TRIM(A4304),'RESTAURANTESDESCUENTOS 2026'!A:B,2,FALSE),"%",""))/100)+I4304),(VLOOKUP(TRIM(D4304), CATALOGO!A:B, 2, FALSE) * C4304+I4304)),""))</f>
        <v/>
      </c>
      <c r="K4304" s="196"/>
      <c r="L4304" s="87"/>
      <c r="M4304" s="245"/>
      <c r="N4304" s="168"/>
    </row>
    <row r="4305" ht="22.5" hidden="1" customHeight="1">
      <c r="A4305" s="137"/>
      <c r="B4305" s="90"/>
      <c r="C4305" s="55"/>
      <c r="D4305" s="193"/>
      <c r="E4305" s="201"/>
      <c r="F4305" s="202"/>
      <c r="G4305" s="194"/>
      <c r="H4305" s="198"/>
      <c r="I4305" s="196"/>
      <c r="J4305" s="179" t="str">
        <f>IF(A4305="RAPPI",(VLOOKUP(TRIM(D4305), CATALOGO!F:G, 2, FALSE) * C4305)+I4305,IFERROR(IF(COUNTIF('RESTAURANTESDESCUENTOS 2026'!A:A,TRIM(A4305))&gt;0,((VLOOKUP(TRIM(D4305), CATALOGO!A:B, 2, FALSE) * C4305)*(1-VALUE(SUBSTITUTE(VLOOKUP(TRIM(A4305),'RESTAURANTESDESCUENTOS 2026'!A:B,2,FALSE),"%",""))/100)+I4305),(VLOOKUP(TRIM(D4305), CATALOGO!A:B, 2, FALSE) * C4305+I4305)),""))</f>
        <v/>
      </c>
      <c r="K4305" s="196"/>
      <c r="L4305" s="87"/>
      <c r="M4305" s="245"/>
      <c r="N4305" s="168"/>
    </row>
    <row r="4306" ht="22.5" hidden="1" customHeight="1">
      <c r="A4306" s="137"/>
      <c r="B4306" s="90"/>
      <c r="C4306" s="55"/>
      <c r="D4306" s="193"/>
      <c r="E4306" s="201"/>
      <c r="F4306" s="202"/>
      <c r="G4306" s="194"/>
      <c r="H4306" s="198"/>
      <c r="I4306" s="196"/>
      <c r="J4306" s="179" t="str">
        <f>IF(A4306="RAPPI",(VLOOKUP(TRIM(D4306), CATALOGO!F:G, 2, FALSE) * C4306)+I4306,IFERROR(IF(COUNTIF('RESTAURANTESDESCUENTOS 2026'!A:A,TRIM(A4306))&gt;0,((VLOOKUP(TRIM(D4306), CATALOGO!A:B, 2, FALSE) * C4306)*(1-VALUE(SUBSTITUTE(VLOOKUP(TRIM(A4306),'RESTAURANTESDESCUENTOS 2026'!A:B,2,FALSE),"%",""))/100)+I4306),(VLOOKUP(TRIM(D4306), CATALOGO!A:B, 2, FALSE) * C4306+I4306)),""))</f>
        <v/>
      </c>
      <c r="K4306" s="196"/>
      <c r="L4306" s="87"/>
      <c r="M4306" s="245"/>
      <c r="N4306" s="168"/>
    </row>
    <row r="4307" ht="22.5" hidden="1" customHeight="1">
      <c r="A4307" s="137"/>
      <c r="B4307" s="90"/>
      <c r="C4307" s="55"/>
      <c r="D4307" s="193"/>
      <c r="E4307" s="201"/>
      <c r="F4307" s="202"/>
      <c r="G4307" s="194"/>
      <c r="H4307" s="198"/>
      <c r="I4307" s="196"/>
      <c r="J4307" s="179" t="str">
        <f>IF(A4307="RAPPI",(VLOOKUP(TRIM(D4307), CATALOGO!F:G, 2, FALSE) * C4307)+I4307,IFERROR(IF(COUNTIF('RESTAURANTESDESCUENTOS 2026'!A:A,TRIM(A4307))&gt;0,((VLOOKUP(TRIM(D4307), CATALOGO!A:B, 2, FALSE) * C4307)*(1-VALUE(SUBSTITUTE(VLOOKUP(TRIM(A4307),'RESTAURANTESDESCUENTOS 2026'!A:B,2,FALSE),"%",""))/100)+I4307),(VLOOKUP(TRIM(D4307), CATALOGO!A:B, 2, FALSE) * C4307+I4307)),""))</f>
        <v/>
      </c>
      <c r="K4307" s="196"/>
      <c r="L4307" s="87"/>
      <c r="M4307" s="245"/>
      <c r="N4307" s="168"/>
    </row>
    <row r="4308" ht="22.5" hidden="1" customHeight="1">
      <c r="A4308" s="137"/>
      <c r="B4308" s="90"/>
      <c r="C4308" s="55"/>
      <c r="D4308" s="193"/>
      <c r="E4308" s="201"/>
      <c r="F4308" s="202"/>
      <c r="G4308" s="194"/>
      <c r="H4308" s="198"/>
      <c r="I4308" s="196"/>
      <c r="J4308" s="179" t="str">
        <f>IF(A4308="RAPPI",(VLOOKUP(TRIM(D4308), CATALOGO!F:G, 2, FALSE) * C4308)+I4308,IFERROR(IF(COUNTIF('RESTAURANTESDESCUENTOS 2026'!A:A,TRIM(A4308))&gt;0,((VLOOKUP(TRIM(D4308), CATALOGO!A:B, 2, FALSE) * C4308)*(1-VALUE(SUBSTITUTE(VLOOKUP(TRIM(A4308),'RESTAURANTESDESCUENTOS 2026'!A:B,2,FALSE),"%",""))/100)+I4308),(VLOOKUP(TRIM(D4308), CATALOGO!A:B, 2, FALSE) * C4308+I4308)),""))</f>
        <v/>
      </c>
      <c r="K4308" s="196"/>
      <c r="L4308" s="87"/>
      <c r="M4308" s="245"/>
      <c r="N4308" s="168"/>
    </row>
    <row r="4309" ht="22.5" hidden="1" customHeight="1">
      <c r="A4309" s="137"/>
      <c r="B4309" s="90"/>
      <c r="C4309" s="55"/>
      <c r="D4309" s="193"/>
      <c r="E4309" s="201"/>
      <c r="F4309" s="202"/>
      <c r="G4309" s="194"/>
      <c r="H4309" s="198"/>
      <c r="I4309" s="196"/>
      <c r="J4309" s="179" t="str">
        <f>IF(A4309="RAPPI",(VLOOKUP(TRIM(D4309), CATALOGO!F:G, 2, FALSE) * C4309)+I4309,IFERROR(IF(COUNTIF('RESTAURANTESDESCUENTOS 2026'!A:A,TRIM(A4309))&gt;0,((VLOOKUP(TRIM(D4309), CATALOGO!A:B, 2, FALSE) * C4309)*(1-VALUE(SUBSTITUTE(VLOOKUP(TRIM(A4309),'RESTAURANTESDESCUENTOS 2026'!A:B,2,FALSE),"%",""))/100)+I4309),(VLOOKUP(TRIM(D4309), CATALOGO!A:B, 2, FALSE) * C4309+I4309)),""))</f>
        <v/>
      </c>
      <c r="K4309" s="196"/>
      <c r="L4309" s="87"/>
      <c r="M4309" s="245"/>
      <c r="N4309" s="168"/>
    </row>
    <row r="4310" ht="22.5" hidden="1" customHeight="1">
      <c r="A4310" s="137"/>
      <c r="B4310" s="90"/>
      <c r="C4310" s="55"/>
      <c r="D4310" s="193"/>
      <c r="E4310" s="201"/>
      <c r="F4310" s="202"/>
      <c r="G4310" s="194"/>
      <c r="H4310" s="198"/>
      <c r="I4310" s="196"/>
      <c r="J4310" s="179" t="str">
        <f>IF(A4310="RAPPI",(VLOOKUP(TRIM(D4310), CATALOGO!F:G, 2, FALSE) * C4310)+I4310,IFERROR(IF(COUNTIF('RESTAURANTESDESCUENTOS 2026'!A:A,TRIM(A4310))&gt;0,((VLOOKUP(TRIM(D4310), CATALOGO!A:B, 2, FALSE) * C4310)*(1-VALUE(SUBSTITUTE(VLOOKUP(TRIM(A4310),'RESTAURANTESDESCUENTOS 2026'!A:B,2,FALSE),"%",""))/100)+I4310),(VLOOKUP(TRIM(D4310), CATALOGO!A:B, 2, FALSE) * C4310+I4310)),""))</f>
        <v/>
      </c>
      <c r="K4310" s="196"/>
      <c r="L4310" s="87"/>
      <c r="M4310" s="245"/>
      <c r="N4310" s="168"/>
    </row>
    <row r="4311" ht="22.5" hidden="1" customHeight="1">
      <c r="A4311" s="137"/>
      <c r="B4311" s="90"/>
      <c r="C4311" s="55"/>
      <c r="D4311" s="193"/>
      <c r="E4311" s="201"/>
      <c r="F4311" s="202"/>
      <c r="G4311" s="194"/>
      <c r="H4311" s="198"/>
      <c r="I4311" s="196"/>
      <c r="J4311" s="179" t="str">
        <f>IF(A4311="RAPPI",(VLOOKUP(TRIM(D4311), CATALOGO!F:G, 2, FALSE) * C4311)+I4311,IFERROR(IF(COUNTIF('RESTAURANTESDESCUENTOS 2026'!A:A,TRIM(A4311))&gt;0,((VLOOKUP(TRIM(D4311), CATALOGO!A:B, 2, FALSE) * C4311)*(1-VALUE(SUBSTITUTE(VLOOKUP(TRIM(A4311),'RESTAURANTESDESCUENTOS 2026'!A:B,2,FALSE),"%",""))/100)+I4311),(VLOOKUP(TRIM(D4311), CATALOGO!A:B, 2, FALSE) * C4311+I4311)),""))</f>
        <v/>
      </c>
      <c r="K4311" s="196"/>
      <c r="L4311" s="87"/>
      <c r="M4311" s="245"/>
      <c r="N4311" s="168"/>
    </row>
    <row r="4312" ht="22.5" hidden="1" customHeight="1">
      <c r="A4312" s="137"/>
      <c r="B4312" s="90"/>
      <c r="C4312" s="55"/>
      <c r="D4312" s="193"/>
      <c r="E4312" s="201"/>
      <c r="F4312" s="202"/>
      <c r="G4312" s="194"/>
      <c r="H4312" s="198"/>
      <c r="I4312" s="196"/>
      <c r="J4312" s="179" t="str">
        <f>IF(A4312="RAPPI",(VLOOKUP(TRIM(D4312), CATALOGO!F:G, 2, FALSE) * C4312)+I4312,IFERROR(IF(COUNTIF('RESTAURANTESDESCUENTOS 2026'!A:A,TRIM(A4312))&gt;0,((VLOOKUP(TRIM(D4312), CATALOGO!A:B, 2, FALSE) * C4312)*(1-VALUE(SUBSTITUTE(VLOOKUP(TRIM(A4312),'RESTAURANTESDESCUENTOS 2026'!A:B,2,FALSE),"%",""))/100)+I4312),(VLOOKUP(TRIM(D4312), CATALOGO!A:B, 2, FALSE) * C4312+I4312)),""))</f>
        <v/>
      </c>
      <c r="K4312" s="196"/>
      <c r="L4312" s="87"/>
      <c r="M4312" s="245"/>
      <c r="N4312" s="168"/>
    </row>
    <row r="4313" ht="22.5" hidden="1" customHeight="1">
      <c r="A4313" s="137"/>
      <c r="B4313" s="90"/>
      <c r="C4313" s="55"/>
      <c r="D4313" s="193"/>
      <c r="E4313" s="201"/>
      <c r="F4313" s="202"/>
      <c r="G4313" s="194"/>
      <c r="H4313" s="198"/>
      <c r="I4313" s="196"/>
      <c r="J4313" s="179" t="str">
        <f>IF(A4313="RAPPI",(VLOOKUP(TRIM(D4313), CATALOGO!F:G, 2, FALSE) * C4313)+I4313,IFERROR(IF(COUNTIF('RESTAURANTESDESCUENTOS 2026'!A:A,TRIM(A4313))&gt;0,((VLOOKUP(TRIM(D4313), CATALOGO!A:B, 2, FALSE) * C4313)*(1-VALUE(SUBSTITUTE(VLOOKUP(TRIM(A4313),'RESTAURANTESDESCUENTOS 2026'!A:B,2,FALSE),"%",""))/100)+I4313),(VLOOKUP(TRIM(D4313), CATALOGO!A:B, 2, FALSE) * C4313+I4313)),""))</f>
        <v/>
      </c>
      <c r="K4313" s="196"/>
      <c r="L4313" s="87"/>
      <c r="M4313" s="245"/>
      <c r="N4313" s="168"/>
    </row>
    <row r="4314" ht="22.5" hidden="1" customHeight="1">
      <c r="A4314" s="137"/>
      <c r="B4314" s="90"/>
      <c r="C4314" s="55"/>
      <c r="D4314" s="193"/>
      <c r="E4314" s="201"/>
      <c r="F4314" s="202"/>
      <c r="G4314" s="194"/>
      <c r="H4314" s="198"/>
      <c r="I4314" s="196"/>
      <c r="J4314" s="179" t="str">
        <f>IF(A4314="RAPPI",(VLOOKUP(TRIM(D4314), CATALOGO!F:G, 2, FALSE) * C4314)+I4314,IFERROR(IF(COUNTIF('RESTAURANTESDESCUENTOS 2026'!A:A,TRIM(A4314))&gt;0,((VLOOKUP(TRIM(D4314), CATALOGO!A:B, 2, FALSE) * C4314)*(1-VALUE(SUBSTITUTE(VLOOKUP(TRIM(A4314),'RESTAURANTESDESCUENTOS 2026'!A:B,2,FALSE),"%",""))/100)+I4314),(VLOOKUP(TRIM(D4314), CATALOGO!A:B, 2, FALSE) * C4314+I4314)),""))</f>
        <v/>
      </c>
      <c r="K4314" s="196"/>
      <c r="L4314" s="87"/>
      <c r="M4314" s="245"/>
      <c r="N4314" s="168"/>
    </row>
    <row r="4315" ht="22.5" hidden="1" customHeight="1">
      <c r="A4315" s="137"/>
      <c r="B4315" s="90"/>
      <c r="C4315" s="55"/>
      <c r="D4315" s="193"/>
      <c r="E4315" s="201"/>
      <c r="F4315" s="202"/>
      <c r="G4315" s="194"/>
      <c r="H4315" s="198"/>
      <c r="I4315" s="196"/>
      <c r="J4315" s="179" t="str">
        <f>IF(A4315="RAPPI",(VLOOKUP(TRIM(D4315), CATALOGO!F:G, 2, FALSE) * C4315)+I4315,IFERROR(IF(COUNTIF('RESTAURANTESDESCUENTOS 2026'!A:A,TRIM(A4315))&gt;0,((VLOOKUP(TRIM(D4315), CATALOGO!A:B, 2, FALSE) * C4315)*(1-VALUE(SUBSTITUTE(VLOOKUP(TRIM(A4315),'RESTAURANTESDESCUENTOS 2026'!A:B,2,FALSE),"%",""))/100)+I4315),(VLOOKUP(TRIM(D4315), CATALOGO!A:B, 2, FALSE) * C4315+I4315)),""))</f>
        <v/>
      </c>
      <c r="K4315" s="196"/>
      <c r="L4315" s="87"/>
      <c r="M4315" s="245"/>
      <c r="N4315" s="168"/>
    </row>
    <row r="4316" ht="22.5" hidden="1" customHeight="1">
      <c r="A4316" s="137"/>
      <c r="B4316" s="90"/>
      <c r="C4316" s="55"/>
      <c r="D4316" s="193"/>
      <c r="E4316" s="201"/>
      <c r="F4316" s="202"/>
      <c r="G4316" s="194"/>
      <c r="H4316" s="198"/>
      <c r="I4316" s="196"/>
      <c r="J4316" s="179" t="str">
        <f>IF(A4316="RAPPI",(VLOOKUP(TRIM(D4316), CATALOGO!F:G, 2, FALSE) * C4316)+I4316,IFERROR(IF(COUNTIF('RESTAURANTESDESCUENTOS 2026'!A:A,TRIM(A4316))&gt;0,((VLOOKUP(TRIM(D4316), CATALOGO!A:B, 2, FALSE) * C4316)*(1-VALUE(SUBSTITUTE(VLOOKUP(TRIM(A4316),'RESTAURANTESDESCUENTOS 2026'!A:B,2,FALSE),"%",""))/100)+I4316),(VLOOKUP(TRIM(D4316), CATALOGO!A:B, 2, FALSE) * C4316+I4316)),""))</f>
        <v/>
      </c>
      <c r="K4316" s="196"/>
      <c r="L4316" s="87"/>
      <c r="M4316" s="245"/>
      <c r="N4316" s="168"/>
    </row>
    <row r="4317" ht="22.5" hidden="1" customHeight="1">
      <c r="A4317" s="137"/>
      <c r="B4317" s="90"/>
      <c r="C4317" s="55"/>
      <c r="D4317" s="193"/>
      <c r="E4317" s="201"/>
      <c r="F4317" s="202"/>
      <c r="G4317" s="194"/>
      <c r="H4317" s="198"/>
      <c r="I4317" s="196"/>
      <c r="J4317" s="179" t="str">
        <f>IF(A4317="RAPPI",(VLOOKUP(TRIM(D4317), CATALOGO!F:G, 2, FALSE) * C4317)+I4317,IFERROR(IF(COUNTIF('RESTAURANTESDESCUENTOS 2026'!A:A,TRIM(A4317))&gt;0,((VLOOKUP(TRIM(D4317), CATALOGO!A:B, 2, FALSE) * C4317)*(1-VALUE(SUBSTITUTE(VLOOKUP(TRIM(A4317),'RESTAURANTESDESCUENTOS 2026'!A:B,2,FALSE),"%",""))/100)+I4317),(VLOOKUP(TRIM(D4317), CATALOGO!A:B, 2, FALSE) * C4317+I4317)),""))</f>
        <v/>
      </c>
      <c r="K4317" s="196"/>
      <c r="L4317" s="87"/>
      <c r="M4317" s="245"/>
      <c r="N4317" s="168"/>
    </row>
    <row r="4318" ht="22.5" hidden="1" customHeight="1">
      <c r="A4318" s="137"/>
      <c r="B4318" s="90"/>
      <c r="C4318" s="55"/>
      <c r="D4318" s="193"/>
      <c r="E4318" s="201"/>
      <c r="F4318" s="202"/>
      <c r="G4318" s="194"/>
      <c r="H4318" s="198"/>
      <c r="I4318" s="196"/>
      <c r="J4318" s="179" t="str">
        <f>IF(A4318="RAPPI",(VLOOKUP(TRIM(D4318), CATALOGO!F:G, 2, FALSE) * C4318)+I4318,IFERROR(IF(COUNTIF('RESTAURANTESDESCUENTOS 2026'!A:A,TRIM(A4318))&gt;0,((VLOOKUP(TRIM(D4318), CATALOGO!A:B, 2, FALSE) * C4318)*(1-VALUE(SUBSTITUTE(VLOOKUP(TRIM(A4318),'RESTAURANTESDESCUENTOS 2026'!A:B,2,FALSE),"%",""))/100)+I4318),(VLOOKUP(TRIM(D4318), CATALOGO!A:B, 2, FALSE) * C4318+I4318)),""))</f>
        <v/>
      </c>
      <c r="K4318" s="196"/>
      <c r="L4318" s="87"/>
      <c r="M4318" s="245"/>
      <c r="N4318" s="168"/>
    </row>
    <row r="4319" ht="22.5" hidden="1" customHeight="1">
      <c r="A4319" s="137"/>
      <c r="B4319" s="90"/>
      <c r="C4319" s="55"/>
      <c r="D4319" s="193"/>
      <c r="E4319" s="201"/>
      <c r="F4319" s="202"/>
      <c r="G4319" s="194"/>
      <c r="H4319" s="198"/>
      <c r="I4319" s="196"/>
      <c r="J4319" s="179" t="str">
        <f>IF(A4319="RAPPI",(VLOOKUP(TRIM(D4319), CATALOGO!F:G, 2, FALSE) * C4319)+I4319,IFERROR(IF(COUNTIF('RESTAURANTESDESCUENTOS 2026'!A:A,TRIM(A4319))&gt;0,((VLOOKUP(TRIM(D4319), CATALOGO!A:B, 2, FALSE) * C4319)*(1-VALUE(SUBSTITUTE(VLOOKUP(TRIM(A4319),'RESTAURANTESDESCUENTOS 2026'!A:B,2,FALSE),"%",""))/100)+I4319),(VLOOKUP(TRIM(D4319), CATALOGO!A:B, 2, FALSE) * C4319+I4319)),""))</f>
        <v/>
      </c>
      <c r="K4319" s="196"/>
      <c r="L4319" s="87"/>
      <c r="M4319" s="245"/>
      <c r="N4319" s="168"/>
    </row>
    <row r="4320" ht="22.5" hidden="1" customHeight="1">
      <c r="A4320" s="137"/>
      <c r="B4320" s="90"/>
      <c r="C4320" s="55"/>
      <c r="D4320" s="193"/>
      <c r="E4320" s="201"/>
      <c r="F4320" s="202"/>
      <c r="G4320" s="194"/>
      <c r="H4320" s="198"/>
      <c r="I4320" s="196"/>
      <c r="J4320" s="179" t="str">
        <f>IF(A4320="RAPPI",(VLOOKUP(TRIM(D4320), CATALOGO!F:G, 2, FALSE) * C4320)+I4320,IFERROR(IF(COUNTIF('RESTAURANTESDESCUENTOS 2026'!A:A,TRIM(A4320))&gt;0,((VLOOKUP(TRIM(D4320), CATALOGO!A:B, 2, FALSE) * C4320)*(1-VALUE(SUBSTITUTE(VLOOKUP(TRIM(A4320),'RESTAURANTESDESCUENTOS 2026'!A:B,2,FALSE),"%",""))/100)+I4320),(VLOOKUP(TRIM(D4320), CATALOGO!A:B, 2, FALSE) * C4320+I4320)),""))</f>
        <v/>
      </c>
      <c r="K4320" s="196"/>
      <c r="L4320" s="87"/>
      <c r="M4320" s="245"/>
      <c r="N4320" s="168"/>
    </row>
    <row r="4321" ht="22.5" hidden="1" customHeight="1">
      <c r="A4321" s="137"/>
      <c r="B4321" s="90"/>
      <c r="C4321" s="55"/>
      <c r="D4321" s="193"/>
      <c r="E4321" s="201"/>
      <c r="F4321" s="202"/>
      <c r="G4321" s="194"/>
      <c r="H4321" s="198"/>
      <c r="I4321" s="196"/>
      <c r="J4321" s="179" t="str">
        <f>IF(A4321="RAPPI",(VLOOKUP(TRIM(D4321), CATALOGO!F:G, 2, FALSE) * C4321)+I4321,IFERROR(IF(COUNTIF('RESTAURANTESDESCUENTOS 2026'!A:A,TRIM(A4321))&gt;0,((VLOOKUP(TRIM(D4321), CATALOGO!A:B, 2, FALSE) * C4321)*(1-VALUE(SUBSTITUTE(VLOOKUP(TRIM(A4321),'RESTAURANTESDESCUENTOS 2026'!A:B,2,FALSE),"%",""))/100)+I4321),(VLOOKUP(TRIM(D4321), CATALOGO!A:B, 2, FALSE) * C4321+I4321)),""))</f>
        <v/>
      </c>
      <c r="K4321" s="196"/>
      <c r="L4321" s="87"/>
      <c r="M4321" s="245"/>
      <c r="N4321" s="168"/>
    </row>
    <row r="4322" ht="22.5" hidden="1" customHeight="1">
      <c r="A4322" s="137"/>
      <c r="B4322" s="90"/>
      <c r="C4322" s="55"/>
      <c r="D4322" s="193"/>
      <c r="E4322" s="201"/>
      <c r="F4322" s="202"/>
      <c r="G4322" s="194"/>
      <c r="H4322" s="198"/>
      <c r="I4322" s="196"/>
      <c r="J4322" s="179" t="str">
        <f>IF(A4322="RAPPI",(VLOOKUP(TRIM(D4322), CATALOGO!F:G, 2, FALSE) * C4322)+I4322,IFERROR(IF(COUNTIF('RESTAURANTESDESCUENTOS 2026'!A:A,TRIM(A4322))&gt;0,((VLOOKUP(TRIM(D4322), CATALOGO!A:B, 2, FALSE) * C4322)*(1-VALUE(SUBSTITUTE(VLOOKUP(TRIM(A4322),'RESTAURANTESDESCUENTOS 2026'!A:B,2,FALSE),"%",""))/100)+I4322),(VLOOKUP(TRIM(D4322), CATALOGO!A:B, 2, FALSE) * C4322+I4322)),""))</f>
        <v/>
      </c>
      <c r="K4322" s="196"/>
      <c r="L4322" s="87"/>
      <c r="M4322" s="245"/>
      <c r="N4322" s="168"/>
    </row>
    <row r="4323" ht="22.5" hidden="1" customHeight="1">
      <c r="A4323" s="137"/>
      <c r="B4323" s="90"/>
      <c r="C4323" s="55"/>
      <c r="D4323" s="193"/>
      <c r="E4323" s="201"/>
      <c r="F4323" s="202"/>
      <c r="G4323" s="194"/>
      <c r="H4323" s="198"/>
      <c r="I4323" s="196"/>
      <c r="J4323" s="179" t="str">
        <f>IF(A4323="RAPPI",(VLOOKUP(TRIM(D4323), CATALOGO!F:G, 2, FALSE) * C4323)+I4323,IFERROR(IF(COUNTIF('RESTAURANTESDESCUENTOS 2026'!A:A,TRIM(A4323))&gt;0,((VLOOKUP(TRIM(D4323), CATALOGO!A:B, 2, FALSE) * C4323)*(1-VALUE(SUBSTITUTE(VLOOKUP(TRIM(A4323),'RESTAURANTESDESCUENTOS 2026'!A:B,2,FALSE),"%",""))/100)+I4323),(VLOOKUP(TRIM(D4323), CATALOGO!A:B, 2, FALSE) * C4323+I4323)),""))</f>
        <v/>
      </c>
      <c r="K4323" s="196"/>
      <c r="L4323" s="87"/>
      <c r="M4323" s="245"/>
      <c r="N4323" s="168"/>
    </row>
    <row r="4324" ht="22.5" hidden="1" customHeight="1">
      <c r="A4324" s="137"/>
      <c r="B4324" s="90"/>
      <c r="C4324" s="55"/>
      <c r="D4324" s="193"/>
      <c r="E4324" s="201"/>
      <c r="F4324" s="202"/>
      <c r="G4324" s="194"/>
      <c r="H4324" s="198"/>
      <c r="I4324" s="196"/>
      <c r="J4324" s="179" t="str">
        <f>IF(A4324="RAPPI",(VLOOKUP(TRIM(D4324), CATALOGO!F:G, 2, FALSE) * C4324)+I4324,IFERROR(IF(COUNTIF('RESTAURANTESDESCUENTOS 2026'!A:A,TRIM(A4324))&gt;0,((VLOOKUP(TRIM(D4324), CATALOGO!A:B, 2, FALSE) * C4324)*(1-VALUE(SUBSTITUTE(VLOOKUP(TRIM(A4324),'RESTAURANTESDESCUENTOS 2026'!A:B,2,FALSE),"%",""))/100)+I4324),(VLOOKUP(TRIM(D4324), CATALOGO!A:B, 2, FALSE) * C4324+I4324)),""))</f>
        <v/>
      </c>
      <c r="K4324" s="196"/>
      <c r="L4324" s="87"/>
      <c r="M4324" s="245"/>
      <c r="N4324" s="168"/>
    </row>
    <row r="4325" ht="22.5" hidden="1" customHeight="1">
      <c r="A4325" s="137"/>
      <c r="B4325" s="90"/>
      <c r="C4325" s="55"/>
      <c r="D4325" s="193"/>
      <c r="E4325" s="201"/>
      <c r="F4325" s="202"/>
      <c r="G4325" s="194"/>
      <c r="H4325" s="198"/>
      <c r="I4325" s="196"/>
      <c r="J4325" s="179" t="str">
        <f>IF(A4325="RAPPI",(VLOOKUP(TRIM(D4325), CATALOGO!F:G, 2, FALSE) * C4325)+I4325,IFERROR(IF(COUNTIF('RESTAURANTESDESCUENTOS 2026'!A:A,TRIM(A4325))&gt;0,((VLOOKUP(TRIM(D4325), CATALOGO!A:B, 2, FALSE) * C4325)*(1-VALUE(SUBSTITUTE(VLOOKUP(TRIM(A4325),'RESTAURANTESDESCUENTOS 2026'!A:B,2,FALSE),"%",""))/100)+I4325),(VLOOKUP(TRIM(D4325), CATALOGO!A:B, 2, FALSE) * C4325+I4325)),""))</f>
        <v/>
      </c>
      <c r="K4325" s="196"/>
      <c r="L4325" s="87"/>
      <c r="M4325" s="245"/>
      <c r="N4325" s="168"/>
    </row>
    <row r="4326" ht="22.5" hidden="1" customHeight="1">
      <c r="A4326" s="137"/>
      <c r="B4326" s="90"/>
      <c r="C4326" s="55"/>
      <c r="D4326" s="193"/>
      <c r="E4326" s="201"/>
      <c r="F4326" s="202"/>
      <c r="G4326" s="194"/>
      <c r="H4326" s="198"/>
      <c r="I4326" s="196"/>
      <c r="J4326" s="179" t="str">
        <f>IF(A4326="RAPPI",(VLOOKUP(TRIM(D4326), CATALOGO!F:G, 2, FALSE) * C4326)+I4326,IFERROR(IF(COUNTIF('RESTAURANTESDESCUENTOS 2026'!A:A,TRIM(A4326))&gt;0,((VLOOKUP(TRIM(D4326), CATALOGO!A:B, 2, FALSE) * C4326)*(1-VALUE(SUBSTITUTE(VLOOKUP(TRIM(A4326),'RESTAURANTESDESCUENTOS 2026'!A:B,2,FALSE),"%",""))/100)+I4326),(VLOOKUP(TRIM(D4326), CATALOGO!A:B, 2, FALSE) * C4326+I4326)),""))</f>
        <v/>
      </c>
      <c r="K4326" s="196"/>
      <c r="L4326" s="87"/>
      <c r="M4326" s="245"/>
      <c r="N4326" s="168"/>
    </row>
    <row r="4327" ht="22.5" hidden="1" customHeight="1">
      <c r="A4327" s="137"/>
      <c r="B4327" s="90"/>
      <c r="C4327" s="55"/>
      <c r="D4327" s="193"/>
      <c r="E4327" s="201"/>
      <c r="F4327" s="202"/>
      <c r="G4327" s="194"/>
      <c r="H4327" s="198"/>
      <c r="I4327" s="196"/>
      <c r="J4327" s="179" t="str">
        <f>IF(A4327="RAPPI",(VLOOKUP(TRIM(D4327), CATALOGO!F:G, 2, FALSE) * C4327)+I4327,IFERROR(IF(COUNTIF('RESTAURANTESDESCUENTOS 2026'!A:A,TRIM(A4327))&gt;0,((VLOOKUP(TRIM(D4327), CATALOGO!A:B, 2, FALSE) * C4327)*(1-VALUE(SUBSTITUTE(VLOOKUP(TRIM(A4327),'RESTAURANTESDESCUENTOS 2026'!A:B,2,FALSE),"%",""))/100)+I4327),(VLOOKUP(TRIM(D4327), CATALOGO!A:B, 2, FALSE) * C4327+I4327)),""))</f>
        <v/>
      </c>
      <c r="K4327" s="196"/>
      <c r="L4327" s="87"/>
      <c r="M4327" s="245"/>
      <c r="N4327" s="168"/>
    </row>
    <row r="4328" ht="22.5" hidden="1" customHeight="1">
      <c r="A4328" s="137"/>
      <c r="B4328" s="90"/>
      <c r="C4328" s="55"/>
      <c r="D4328" s="193"/>
      <c r="E4328" s="201"/>
      <c r="F4328" s="202"/>
      <c r="G4328" s="194"/>
      <c r="H4328" s="198"/>
      <c r="I4328" s="196"/>
      <c r="J4328" s="179" t="str">
        <f>IF(A4328="RAPPI",(VLOOKUP(TRIM(D4328), CATALOGO!F:G, 2, FALSE) * C4328)+I4328,IFERROR(IF(COUNTIF('RESTAURANTESDESCUENTOS 2026'!A:A,TRIM(A4328))&gt;0,((VLOOKUP(TRIM(D4328), CATALOGO!A:B, 2, FALSE) * C4328)*(1-VALUE(SUBSTITUTE(VLOOKUP(TRIM(A4328),'RESTAURANTESDESCUENTOS 2026'!A:B,2,FALSE),"%",""))/100)+I4328),(VLOOKUP(TRIM(D4328), CATALOGO!A:B, 2, FALSE) * C4328+I4328)),""))</f>
        <v/>
      </c>
      <c r="K4328" s="196"/>
      <c r="L4328" s="87"/>
      <c r="M4328" s="245"/>
      <c r="N4328" s="168"/>
    </row>
    <row r="4329" ht="22.5" hidden="1" customHeight="1">
      <c r="A4329" s="137"/>
      <c r="B4329" s="90"/>
      <c r="C4329" s="55"/>
      <c r="D4329" s="193"/>
      <c r="E4329" s="201"/>
      <c r="F4329" s="202"/>
      <c r="G4329" s="194"/>
      <c r="H4329" s="198"/>
      <c r="I4329" s="196"/>
      <c r="J4329" s="179" t="str">
        <f>IF(A4329="RAPPI",(VLOOKUP(TRIM(D4329), CATALOGO!F:G, 2, FALSE) * C4329)+I4329,IFERROR(IF(COUNTIF('RESTAURANTESDESCUENTOS 2026'!A:A,TRIM(A4329))&gt;0,((VLOOKUP(TRIM(D4329), CATALOGO!A:B, 2, FALSE) * C4329)*(1-VALUE(SUBSTITUTE(VLOOKUP(TRIM(A4329),'RESTAURANTESDESCUENTOS 2026'!A:B,2,FALSE),"%",""))/100)+I4329),(VLOOKUP(TRIM(D4329), CATALOGO!A:B, 2, FALSE) * C4329+I4329)),""))</f>
        <v/>
      </c>
      <c r="K4329" s="196"/>
      <c r="L4329" s="87"/>
      <c r="M4329" s="245"/>
      <c r="N4329" s="168"/>
    </row>
    <row r="4330" ht="22.5" hidden="1" customHeight="1">
      <c r="A4330" s="137"/>
      <c r="B4330" s="90"/>
      <c r="C4330" s="55"/>
      <c r="D4330" s="193"/>
      <c r="E4330" s="201"/>
      <c r="F4330" s="202"/>
      <c r="G4330" s="194"/>
      <c r="H4330" s="198"/>
      <c r="I4330" s="196"/>
      <c r="J4330" s="179" t="str">
        <f>IF(A4330="RAPPI",(VLOOKUP(TRIM(D4330), CATALOGO!F:G, 2, FALSE) * C4330)+I4330,IFERROR(IF(COUNTIF('RESTAURANTESDESCUENTOS 2026'!A:A,TRIM(A4330))&gt;0,((VLOOKUP(TRIM(D4330), CATALOGO!A:B, 2, FALSE) * C4330)*(1-VALUE(SUBSTITUTE(VLOOKUP(TRIM(A4330),'RESTAURANTESDESCUENTOS 2026'!A:B,2,FALSE),"%",""))/100)+I4330),(VLOOKUP(TRIM(D4330), CATALOGO!A:B, 2, FALSE) * C4330+I4330)),""))</f>
        <v/>
      </c>
      <c r="K4330" s="196"/>
      <c r="L4330" s="87"/>
      <c r="M4330" s="245"/>
      <c r="N4330" s="168"/>
    </row>
    <row r="4331" ht="22.5" hidden="1" customHeight="1">
      <c r="A4331" s="137"/>
      <c r="B4331" s="90"/>
      <c r="C4331" s="55"/>
      <c r="D4331" s="193"/>
      <c r="E4331" s="201"/>
      <c r="F4331" s="202"/>
      <c r="G4331" s="194"/>
      <c r="H4331" s="198"/>
      <c r="I4331" s="196"/>
      <c r="J4331" s="179" t="str">
        <f>IF(A4331="RAPPI",(VLOOKUP(TRIM(D4331), CATALOGO!F:G, 2, FALSE) * C4331)+I4331,IFERROR(IF(COUNTIF('RESTAURANTESDESCUENTOS 2026'!A:A,TRIM(A4331))&gt;0,((VLOOKUP(TRIM(D4331), CATALOGO!A:B, 2, FALSE) * C4331)*(1-VALUE(SUBSTITUTE(VLOOKUP(TRIM(A4331),'RESTAURANTESDESCUENTOS 2026'!A:B,2,FALSE),"%",""))/100)+I4331),(VLOOKUP(TRIM(D4331), CATALOGO!A:B, 2, FALSE) * C4331+I4331)),""))</f>
        <v/>
      </c>
      <c r="K4331" s="196"/>
      <c r="L4331" s="87"/>
      <c r="M4331" s="245"/>
      <c r="N4331" s="168"/>
    </row>
    <row r="4332" ht="22.5" hidden="1" customHeight="1">
      <c r="A4332" s="137"/>
      <c r="B4332" s="90"/>
      <c r="C4332" s="55"/>
      <c r="D4332" s="193"/>
      <c r="E4332" s="201"/>
      <c r="F4332" s="202"/>
      <c r="G4332" s="194"/>
      <c r="H4332" s="198"/>
      <c r="I4332" s="196"/>
      <c r="J4332" s="179" t="str">
        <f>IF(A4332="RAPPI",(VLOOKUP(TRIM(D4332), CATALOGO!F:G, 2, FALSE) * C4332)+I4332,IFERROR(IF(COUNTIF('RESTAURANTESDESCUENTOS 2026'!A:A,TRIM(A4332))&gt;0,((VLOOKUP(TRIM(D4332), CATALOGO!A:B, 2, FALSE) * C4332)*(1-VALUE(SUBSTITUTE(VLOOKUP(TRIM(A4332),'RESTAURANTESDESCUENTOS 2026'!A:B,2,FALSE),"%",""))/100)+I4332),(VLOOKUP(TRIM(D4332), CATALOGO!A:B, 2, FALSE) * C4332+I4332)),""))</f>
        <v/>
      </c>
      <c r="K4332" s="196"/>
      <c r="L4332" s="87"/>
      <c r="M4332" s="245"/>
      <c r="N4332" s="168"/>
    </row>
    <row r="4333" ht="22.5" hidden="1" customHeight="1">
      <c r="A4333" s="137"/>
      <c r="B4333" s="90"/>
      <c r="C4333" s="55"/>
      <c r="D4333" s="193"/>
      <c r="E4333" s="201"/>
      <c r="F4333" s="202"/>
      <c r="G4333" s="194"/>
      <c r="H4333" s="198"/>
      <c r="I4333" s="196"/>
      <c r="J4333" s="179" t="str">
        <f>IF(A4333="RAPPI",(VLOOKUP(TRIM(D4333), CATALOGO!F:G, 2, FALSE) * C4333)+I4333,IFERROR(IF(COUNTIF('RESTAURANTESDESCUENTOS 2026'!A:A,TRIM(A4333))&gt;0,((VLOOKUP(TRIM(D4333), CATALOGO!A:B, 2, FALSE) * C4333)*(1-VALUE(SUBSTITUTE(VLOOKUP(TRIM(A4333),'RESTAURANTESDESCUENTOS 2026'!A:B,2,FALSE),"%",""))/100)+I4333),(VLOOKUP(TRIM(D4333), CATALOGO!A:B, 2, FALSE) * C4333+I4333)),""))</f>
        <v/>
      </c>
      <c r="K4333" s="196"/>
      <c r="L4333" s="87"/>
      <c r="M4333" s="245"/>
      <c r="N4333" s="168"/>
    </row>
    <row r="4334" ht="22.5" hidden="1" customHeight="1">
      <c r="A4334" s="137"/>
      <c r="B4334" s="90"/>
      <c r="C4334" s="55"/>
      <c r="D4334" s="193"/>
      <c r="E4334" s="201"/>
      <c r="F4334" s="202"/>
      <c r="G4334" s="194"/>
      <c r="H4334" s="198"/>
      <c r="I4334" s="196"/>
      <c r="J4334" s="179" t="str">
        <f>IF(A4334="RAPPI",(VLOOKUP(TRIM(D4334), CATALOGO!F:G, 2, FALSE) * C4334)+I4334,IFERROR(IF(COUNTIF('RESTAURANTESDESCUENTOS 2026'!A:A,TRIM(A4334))&gt;0,((VLOOKUP(TRIM(D4334), CATALOGO!A:B, 2, FALSE) * C4334)*(1-VALUE(SUBSTITUTE(VLOOKUP(TRIM(A4334),'RESTAURANTESDESCUENTOS 2026'!A:B,2,FALSE),"%",""))/100)+I4334),(VLOOKUP(TRIM(D4334), CATALOGO!A:B, 2, FALSE) * C4334+I4334)),""))</f>
        <v/>
      </c>
      <c r="K4334" s="196"/>
      <c r="L4334" s="87"/>
      <c r="M4334" s="245"/>
      <c r="N4334" s="168"/>
    </row>
    <row r="4335" ht="22.5" hidden="1" customHeight="1">
      <c r="A4335" s="137"/>
      <c r="B4335" s="90"/>
      <c r="C4335" s="55"/>
      <c r="D4335" s="193"/>
      <c r="E4335" s="201"/>
      <c r="F4335" s="202"/>
      <c r="G4335" s="194"/>
      <c r="H4335" s="198"/>
      <c r="I4335" s="196"/>
      <c r="J4335" s="179" t="str">
        <f>IF(A4335="RAPPI",(VLOOKUP(TRIM(D4335), CATALOGO!F:G, 2, FALSE) * C4335)+I4335,IFERROR(IF(COUNTIF('RESTAURANTESDESCUENTOS 2026'!A:A,TRIM(A4335))&gt;0,((VLOOKUP(TRIM(D4335), CATALOGO!A:B, 2, FALSE) * C4335)*(1-VALUE(SUBSTITUTE(VLOOKUP(TRIM(A4335),'RESTAURANTESDESCUENTOS 2026'!A:B,2,FALSE),"%",""))/100)+I4335),(VLOOKUP(TRIM(D4335), CATALOGO!A:B, 2, FALSE) * C4335+I4335)),""))</f>
        <v/>
      </c>
      <c r="K4335" s="196"/>
      <c r="L4335" s="87"/>
      <c r="M4335" s="245"/>
      <c r="N4335" s="168"/>
    </row>
    <row r="4336" ht="22.5" hidden="1" customHeight="1">
      <c r="A4336" s="137"/>
      <c r="B4336" s="90"/>
      <c r="C4336" s="55"/>
      <c r="D4336" s="193"/>
      <c r="E4336" s="201"/>
      <c r="F4336" s="202"/>
      <c r="G4336" s="194"/>
      <c r="H4336" s="198"/>
      <c r="I4336" s="196"/>
      <c r="J4336" s="179" t="str">
        <f>IF(A4336="RAPPI",(VLOOKUP(TRIM(D4336), CATALOGO!F:G, 2, FALSE) * C4336)+I4336,IFERROR(IF(COUNTIF('RESTAURANTESDESCUENTOS 2026'!A:A,TRIM(A4336))&gt;0,((VLOOKUP(TRIM(D4336), CATALOGO!A:B, 2, FALSE) * C4336)*(1-VALUE(SUBSTITUTE(VLOOKUP(TRIM(A4336),'RESTAURANTESDESCUENTOS 2026'!A:B,2,FALSE),"%",""))/100)+I4336),(VLOOKUP(TRIM(D4336), CATALOGO!A:B, 2, FALSE) * C4336+I4336)),""))</f>
        <v/>
      </c>
      <c r="K4336" s="196"/>
      <c r="L4336" s="87"/>
      <c r="M4336" s="245"/>
      <c r="N4336" s="168"/>
    </row>
    <row r="4337" ht="22.5" hidden="1" customHeight="1">
      <c r="A4337" s="137"/>
      <c r="B4337" s="90"/>
      <c r="C4337" s="55"/>
      <c r="D4337" s="193"/>
      <c r="E4337" s="201"/>
      <c r="F4337" s="202"/>
      <c r="G4337" s="194"/>
      <c r="H4337" s="198"/>
      <c r="I4337" s="196"/>
      <c r="J4337" s="179" t="str">
        <f>IF(A4337="RAPPI",(VLOOKUP(TRIM(D4337), CATALOGO!F:G, 2, FALSE) * C4337)+I4337,IFERROR(IF(COUNTIF('RESTAURANTESDESCUENTOS 2026'!A:A,TRIM(A4337))&gt;0,((VLOOKUP(TRIM(D4337), CATALOGO!A:B, 2, FALSE) * C4337)*(1-VALUE(SUBSTITUTE(VLOOKUP(TRIM(A4337),'RESTAURANTESDESCUENTOS 2026'!A:B,2,FALSE),"%",""))/100)+I4337),(VLOOKUP(TRIM(D4337), CATALOGO!A:B, 2, FALSE) * C4337+I4337)),""))</f>
        <v/>
      </c>
      <c r="K4337" s="196"/>
      <c r="L4337" s="87"/>
      <c r="M4337" s="245"/>
      <c r="N4337" s="168"/>
    </row>
    <row r="4338" ht="22.5" hidden="1" customHeight="1">
      <c r="A4338" s="137"/>
      <c r="B4338" s="90"/>
      <c r="C4338" s="55"/>
      <c r="D4338" s="193"/>
      <c r="E4338" s="201"/>
      <c r="F4338" s="202"/>
      <c r="G4338" s="194"/>
      <c r="H4338" s="198"/>
      <c r="I4338" s="196"/>
      <c r="J4338" s="179" t="str">
        <f>IF(A4338="RAPPI",(VLOOKUP(TRIM(D4338), CATALOGO!F:G, 2, FALSE) * C4338)+I4338,IFERROR(IF(COUNTIF('RESTAURANTESDESCUENTOS 2026'!A:A,TRIM(A4338))&gt;0,((VLOOKUP(TRIM(D4338), CATALOGO!A:B, 2, FALSE) * C4338)*(1-VALUE(SUBSTITUTE(VLOOKUP(TRIM(A4338),'RESTAURANTESDESCUENTOS 2026'!A:B,2,FALSE),"%",""))/100)+I4338),(VLOOKUP(TRIM(D4338), CATALOGO!A:B, 2, FALSE) * C4338+I4338)),""))</f>
        <v/>
      </c>
      <c r="K4338" s="196"/>
      <c r="L4338" s="87"/>
      <c r="M4338" s="245"/>
      <c r="N4338" s="168"/>
    </row>
    <row r="4339" ht="22.5" hidden="1" customHeight="1">
      <c r="A4339" s="137"/>
      <c r="B4339" s="90"/>
      <c r="C4339" s="55"/>
      <c r="D4339" s="193"/>
      <c r="E4339" s="201"/>
      <c r="F4339" s="202"/>
      <c r="G4339" s="194"/>
      <c r="H4339" s="198"/>
      <c r="I4339" s="196"/>
      <c r="J4339" s="179" t="str">
        <f>IF(A4339="RAPPI",(VLOOKUP(TRIM(D4339), CATALOGO!F:G, 2, FALSE) * C4339)+I4339,IFERROR(IF(COUNTIF('RESTAURANTESDESCUENTOS 2026'!A:A,TRIM(A4339))&gt;0,((VLOOKUP(TRIM(D4339), CATALOGO!A:B, 2, FALSE) * C4339)*(1-VALUE(SUBSTITUTE(VLOOKUP(TRIM(A4339),'RESTAURANTESDESCUENTOS 2026'!A:B,2,FALSE),"%",""))/100)+I4339),(VLOOKUP(TRIM(D4339), CATALOGO!A:B, 2, FALSE) * C4339+I4339)),""))</f>
        <v/>
      </c>
      <c r="K4339" s="196"/>
      <c r="L4339" s="87"/>
      <c r="M4339" s="245"/>
      <c r="N4339" s="168"/>
    </row>
    <row r="4340" ht="22.5" hidden="1" customHeight="1">
      <c r="A4340" s="137"/>
      <c r="B4340" s="90"/>
      <c r="C4340" s="55"/>
      <c r="D4340" s="193"/>
      <c r="E4340" s="201"/>
      <c r="F4340" s="202"/>
      <c r="G4340" s="194"/>
      <c r="H4340" s="198"/>
      <c r="I4340" s="196"/>
      <c r="J4340" s="179" t="str">
        <f>IF(A4340="RAPPI",(VLOOKUP(TRIM(D4340), CATALOGO!F:G, 2, FALSE) * C4340)+I4340,IFERROR(IF(COUNTIF('RESTAURANTESDESCUENTOS 2026'!A:A,TRIM(A4340))&gt;0,((VLOOKUP(TRIM(D4340), CATALOGO!A:B, 2, FALSE) * C4340)*(1-VALUE(SUBSTITUTE(VLOOKUP(TRIM(A4340),'RESTAURANTESDESCUENTOS 2026'!A:B,2,FALSE),"%",""))/100)+I4340),(VLOOKUP(TRIM(D4340), CATALOGO!A:B, 2, FALSE) * C4340+I4340)),""))</f>
        <v/>
      </c>
      <c r="K4340" s="196"/>
      <c r="L4340" s="87"/>
      <c r="M4340" s="245"/>
      <c r="N4340" s="168"/>
    </row>
    <row r="4341" ht="22.5" hidden="1" customHeight="1">
      <c r="A4341" s="137"/>
      <c r="B4341" s="90"/>
      <c r="C4341" s="55"/>
      <c r="D4341" s="193"/>
      <c r="E4341" s="201"/>
      <c r="F4341" s="202"/>
      <c r="G4341" s="194"/>
      <c r="H4341" s="198"/>
      <c r="I4341" s="196"/>
      <c r="J4341" s="179" t="str">
        <f>IF(A4341="RAPPI",(VLOOKUP(TRIM(D4341), CATALOGO!F:G, 2, FALSE) * C4341)+I4341,IFERROR(IF(COUNTIF('RESTAURANTESDESCUENTOS 2026'!A:A,TRIM(A4341))&gt;0,((VLOOKUP(TRIM(D4341), CATALOGO!A:B, 2, FALSE) * C4341)*(1-VALUE(SUBSTITUTE(VLOOKUP(TRIM(A4341),'RESTAURANTESDESCUENTOS 2026'!A:B,2,FALSE),"%",""))/100)+I4341),(VLOOKUP(TRIM(D4341), CATALOGO!A:B, 2, FALSE) * C4341+I4341)),""))</f>
        <v/>
      </c>
      <c r="K4341" s="196"/>
      <c r="L4341" s="87"/>
      <c r="M4341" s="245"/>
      <c r="N4341" s="168"/>
    </row>
    <row r="4342" ht="22.5" hidden="1" customHeight="1">
      <c r="A4342" s="137"/>
      <c r="B4342" s="90"/>
      <c r="C4342" s="55"/>
      <c r="D4342" s="193"/>
      <c r="E4342" s="201"/>
      <c r="F4342" s="202"/>
      <c r="G4342" s="194"/>
      <c r="H4342" s="198"/>
      <c r="I4342" s="196"/>
      <c r="J4342" s="179" t="str">
        <f>IF(A4342="RAPPI",(VLOOKUP(TRIM(D4342), CATALOGO!F:G, 2, FALSE) * C4342)+I4342,IFERROR(IF(COUNTIF('RESTAURANTESDESCUENTOS 2026'!A:A,TRIM(A4342))&gt;0,((VLOOKUP(TRIM(D4342), CATALOGO!A:B, 2, FALSE) * C4342)*(1-VALUE(SUBSTITUTE(VLOOKUP(TRIM(A4342),'RESTAURANTESDESCUENTOS 2026'!A:B,2,FALSE),"%",""))/100)+I4342),(VLOOKUP(TRIM(D4342), CATALOGO!A:B, 2, FALSE) * C4342+I4342)),""))</f>
        <v/>
      </c>
      <c r="K4342" s="196"/>
      <c r="L4342" s="87"/>
      <c r="M4342" s="245"/>
      <c r="N4342" s="168"/>
    </row>
    <row r="4343" ht="22.5" hidden="1" customHeight="1">
      <c r="A4343" s="137"/>
      <c r="B4343" s="90"/>
      <c r="C4343" s="55"/>
      <c r="D4343" s="193"/>
      <c r="E4343" s="201"/>
      <c r="F4343" s="202"/>
      <c r="G4343" s="194"/>
      <c r="H4343" s="198"/>
      <c r="I4343" s="196"/>
      <c r="J4343" s="179" t="str">
        <f>IF(A4343="RAPPI",(VLOOKUP(TRIM(D4343), CATALOGO!F:G, 2, FALSE) * C4343)+I4343,IFERROR(IF(COUNTIF('RESTAURANTESDESCUENTOS 2026'!A:A,TRIM(A4343))&gt;0,((VLOOKUP(TRIM(D4343), CATALOGO!A:B, 2, FALSE) * C4343)*(1-VALUE(SUBSTITUTE(VLOOKUP(TRIM(A4343),'RESTAURANTESDESCUENTOS 2026'!A:B,2,FALSE),"%",""))/100)+I4343),(VLOOKUP(TRIM(D4343), CATALOGO!A:B, 2, FALSE) * C4343+I4343)),""))</f>
        <v/>
      </c>
      <c r="K4343" s="196"/>
      <c r="L4343" s="87"/>
      <c r="M4343" s="245"/>
      <c r="N4343" s="168"/>
    </row>
    <row r="4344" ht="22.5" hidden="1" customHeight="1">
      <c r="A4344" s="137"/>
      <c r="B4344" s="90"/>
      <c r="C4344" s="55"/>
      <c r="D4344" s="193"/>
      <c r="E4344" s="201"/>
      <c r="F4344" s="202"/>
      <c r="G4344" s="194"/>
      <c r="H4344" s="198"/>
      <c r="I4344" s="196"/>
      <c r="J4344" s="179" t="str">
        <f>IF(A4344="RAPPI",(VLOOKUP(TRIM(D4344), CATALOGO!F:G, 2, FALSE) * C4344)+I4344,IFERROR(IF(COUNTIF('RESTAURANTESDESCUENTOS 2026'!A:A,TRIM(A4344))&gt;0,((VLOOKUP(TRIM(D4344), CATALOGO!A:B, 2, FALSE) * C4344)*(1-VALUE(SUBSTITUTE(VLOOKUP(TRIM(A4344),'RESTAURANTESDESCUENTOS 2026'!A:B,2,FALSE),"%",""))/100)+I4344),(VLOOKUP(TRIM(D4344), CATALOGO!A:B, 2, FALSE) * C4344+I4344)),""))</f>
        <v/>
      </c>
      <c r="K4344" s="196"/>
      <c r="L4344" s="87"/>
      <c r="M4344" s="245"/>
      <c r="N4344" s="168"/>
    </row>
    <row r="4345" ht="22.5" hidden="1" customHeight="1">
      <c r="A4345" s="137"/>
      <c r="B4345" s="90"/>
      <c r="C4345" s="55"/>
      <c r="D4345" s="193"/>
      <c r="E4345" s="201"/>
      <c r="F4345" s="202"/>
      <c r="G4345" s="194"/>
      <c r="H4345" s="198"/>
      <c r="I4345" s="196"/>
      <c r="J4345" s="179" t="str">
        <f>IF(A4345="RAPPI",(VLOOKUP(TRIM(D4345), CATALOGO!F:G, 2, FALSE) * C4345)+I4345,IFERROR(IF(COUNTIF('RESTAURANTESDESCUENTOS 2026'!A:A,TRIM(A4345))&gt;0,((VLOOKUP(TRIM(D4345), CATALOGO!A:B, 2, FALSE) * C4345)*(1-VALUE(SUBSTITUTE(VLOOKUP(TRIM(A4345),'RESTAURANTESDESCUENTOS 2026'!A:B,2,FALSE),"%",""))/100)+I4345),(VLOOKUP(TRIM(D4345), CATALOGO!A:B, 2, FALSE) * C4345+I4345)),""))</f>
        <v/>
      </c>
      <c r="K4345" s="196"/>
      <c r="L4345" s="87"/>
      <c r="M4345" s="245"/>
      <c r="N4345" s="168"/>
    </row>
    <row r="4346" ht="22.5" hidden="1" customHeight="1">
      <c r="A4346" s="137"/>
      <c r="B4346" s="90"/>
      <c r="C4346" s="55"/>
      <c r="D4346" s="193"/>
      <c r="E4346" s="201"/>
      <c r="F4346" s="202"/>
      <c r="G4346" s="194"/>
      <c r="H4346" s="198"/>
      <c r="I4346" s="196"/>
      <c r="J4346" s="179" t="str">
        <f>IF(A4346="RAPPI",(VLOOKUP(TRIM(D4346), CATALOGO!F:G, 2, FALSE) * C4346)+I4346,IFERROR(IF(COUNTIF('RESTAURANTESDESCUENTOS 2026'!A:A,TRIM(A4346))&gt;0,((VLOOKUP(TRIM(D4346), CATALOGO!A:B, 2, FALSE) * C4346)*(1-VALUE(SUBSTITUTE(VLOOKUP(TRIM(A4346),'RESTAURANTESDESCUENTOS 2026'!A:B,2,FALSE),"%",""))/100)+I4346),(VLOOKUP(TRIM(D4346), CATALOGO!A:B, 2, FALSE) * C4346+I4346)),""))</f>
        <v/>
      </c>
      <c r="K4346" s="196"/>
      <c r="L4346" s="87"/>
      <c r="M4346" s="245"/>
      <c r="N4346" s="168"/>
    </row>
    <row r="4347" ht="22.5" hidden="1" customHeight="1">
      <c r="A4347" s="137"/>
      <c r="B4347" s="90"/>
      <c r="C4347" s="55"/>
      <c r="D4347" s="193"/>
      <c r="E4347" s="201"/>
      <c r="F4347" s="202"/>
      <c r="G4347" s="194"/>
      <c r="H4347" s="198"/>
      <c r="I4347" s="196"/>
      <c r="J4347" s="179" t="str">
        <f>IF(A4347="RAPPI",(VLOOKUP(TRIM(D4347), CATALOGO!F:G, 2, FALSE) * C4347)+I4347,IFERROR(IF(COUNTIF('RESTAURANTESDESCUENTOS 2026'!A:A,TRIM(A4347))&gt;0,((VLOOKUP(TRIM(D4347), CATALOGO!A:B, 2, FALSE) * C4347)*(1-VALUE(SUBSTITUTE(VLOOKUP(TRIM(A4347),'RESTAURANTESDESCUENTOS 2026'!A:B,2,FALSE),"%",""))/100)+I4347),(VLOOKUP(TRIM(D4347), CATALOGO!A:B, 2, FALSE) * C4347+I4347)),""))</f>
        <v/>
      </c>
      <c r="K4347" s="196"/>
      <c r="L4347" s="87"/>
      <c r="M4347" s="245"/>
      <c r="N4347" s="168"/>
    </row>
    <row r="4348" ht="22.5" hidden="1" customHeight="1">
      <c r="A4348" s="137"/>
      <c r="B4348" s="90"/>
      <c r="C4348" s="55"/>
      <c r="D4348" s="193"/>
      <c r="E4348" s="201"/>
      <c r="F4348" s="202"/>
      <c r="G4348" s="194"/>
      <c r="H4348" s="198"/>
      <c r="I4348" s="196"/>
      <c r="J4348" s="179" t="str">
        <f>IF(A4348="RAPPI",(VLOOKUP(TRIM(D4348), CATALOGO!F:G, 2, FALSE) * C4348)+I4348,IFERROR(IF(COUNTIF('RESTAURANTESDESCUENTOS 2026'!A:A,TRIM(A4348))&gt;0,((VLOOKUP(TRIM(D4348), CATALOGO!A:B, 2, FALSE) * C4348)*(1-VALUE(SUBSTITUTE(VLOOKUP(TRIM(A4348),'RESTAURANTESDESCUENTOS 2026'!A:B,2,FALSE),"%",""))/100)+I4348),(VLOOKUP(TRIM(D4348), CATALOGO!A:B, 2, FALSE) * C4348+I4348)),""))</f>
        <v/>
      </c>
      <c r="K4348" s="196"/>
      <c r="L4348" s="87"/>
      <c r="M4348" s="245"/>
      <c r="N4348" s="168"/>
    </row>
    <row r="4349" ht="22.5" hidden="1" customHeight="1">
      <c r="A4349" s="137"/>
      <c r="B4349" s="90"/>
      <c r="C4349" s="55"/>
      <c r="D4349" s="193"/>
      <c r="E4349" s="201"/>
      <c r="F4349" s="202"/>
      <c r="G4349" s="194"/>
      <c r="H4349" s="198"/>
      <c r="I4349" s="196"/>
      <c r="J4349" s="179" t="str">
        <f>IF(A4349="RAPPI",(VLOOKUP(TRIM(D4349), CATALOGO!F:G, 2, FALSE) * C4349)+I4349,IFERROR(IF(COUNTIF('RESTAURANTESDESCUENTOS 2026'!A:A,TRIM(A4349))&gt;0,((VLOOKUP(TRIM(D4349), CATALOGO!A:B, 2, FALSE) * C4349)*(1-VALUE(SUBSTITUTE(VLOOKUP(TRIM(A4349),'RESTAURANTESDESCUENTOS 2026'!A:B,2,FALSE),"%",""))/100)+I4349),(VLOOKUP(TRIM(D4349), CATALOGO!A:B, 2, FALSE) * C4349+I4349)),""))</f>
        <v/>
      </c>
      <c r="K4349" s="196"/>
      <c r="L4349" s="87"/>
      <c r="M4349" s="245"/>
      <c r="N4349" s="168"/>
    </row>
    <row r="4350" ht="22.5" hidden="1" customHeight="1">
      <c r="A4350" s="137"/>
      <c r="B4350" s="90"/>
      <c r="C4350" s="55"/>
      <c r="D4350" s="193"/>
      <c r="E4350" s="201"/>
      <c r="F4350" s="202"/>
      <c r="G4350" s="194"/>
      <c r="H4350" s="198"/>
      <c r="I4350" s="196"/>
      <c r="J4350" s="179" t="str">
        <f>IF(A4350="RAPPI",(VLOOKUP(TRIM(D4350), CATALOGO!F:G, 2, FALSE) * C4350)+I4350,IFERROR(IF(COUNTIF('RESTAURANTESDESCUENTOS 2026'!A:A,TRIM(A4350))&gt;0,((VLOOKUP(TRIM(D4350), CATALOGO!A:B, 2, FALSE) * C4350)*(1-VALUE(SUBSTITUTE(VLOOKUP(TRIM(A4350),'RESTAURANTESDESCUENTOS 2026'!A:B,2,FALSE),"%",""))/100)+I4350),(VLOOKUP(TRIM(D4350), CATALOGO!A:B, 2, FALSE) * C4350+I4350)),""))</f>
        <v/>
      </c>
      <c r="K4350" s="196"/>
      <c r="L4350" s="87"/>
      <c r="M4350" s="245"/>
      <c r="N4350" s="168"/>
    </row>
    <row r="4351" ht="22.5" hidden="1" customHeight="1">
      <c r="A4351" s="137"/>
      <c r="B4351" s="90"/>
      <c r="C4351" s="55"/>
      <c r="D4351" s="193"/>
      <c r="E4351" s="201"/>
      <c r="F4351" s="202"/>
      <c r="G4351" s="194"/>
      <c r="H4351" s="198"/>
      <c r="I4351" s="196"/>
      <c r="J4351" s="179" t="str">
        <f>IF(A4351="RAPPI",(VLOOKUP(TRIM(D4351), CATALOGO!F:G, 2, FALSE) * C4351)+I4351,IFERROR(IF(COUNTIF('RESTAURANTESDESCUENTOS 2026'!A:A,TRIM(A4351))&gt;0,((VLOOKUP(TRIM(D4351), CATALOGO!A:B, 2, FALSE) * C4351)*(1-VALUE(SUBSTITUTE(VLOOKUP(TRIM(A4351),'RESTAURANTESDESCUENTOS 2026'!A:B,2,FALSE),"%",""))/100)+I4351),(VLOOKUP(TRIM(D4351), CATALOGO!A:B, 2, FALSE) * C4351+I4351)),""))</f>
        <v/>
      </c>
      <c r="K4351" s="196"/>
      <c r="L4351" s="87"/>
      <c r="M4351" s="245"/>
      <c r="N4351" s="168"/>
    </row>
    <row r="4352" ht="22.5" hidden="1" customHeight="1">
      <c r="A4352" s="137"/>
      <c r="B4352" s="90"/>
      <c r="C4352" s="55"/>
      <c r="D4352" s="193"/>
      <c r="E4352" s="201"/>
      <c r="F4352" s="202"/>
      <c r="G4352" s="194"/>
      <c r="H4352" s="198"/>
      <c r="I4352" s="196"/>
      <c r="J4352" s="179" t="str">
        <f>IF(A4352="RAPPI",(VLOOKUP(TRIM(D4352), CATALOGO!F:G, 2, FALSE) * C4352)+I4352,IFERROR(IF(COUNTIF('RESTAURANTESDESCUENTOS 2026'!A:A,TRIM(A4352))&gt;0,((VLOOKUP(TRIM(D4352), CATALOGO!A:B, 2, FALSE) * C4352)*(1-VALUE(SUBSTITUTE(VLOOKUP(TRIM(A4352),'RESTAURANTESDESCUENTOS 2026'!A:B,2,FALSE),"%",""))/100)+I4352),(VLOOKUP(TRIM(D4352), CATALOGO!A:B, 2, FALSE) * C4352+I4352)),""))</f>
        <v/>
      </c>
      <c r="K4352" s="196"/>
      <c r="L4352" s="87"/>
      <c r="M4352" s="245"/>
      <c r="N4352" s="168"/>
    </row>
    <row r="4353" ht="22.5" hidden="1" customHeight="1">
      <c r="A4353" s="137"/>
      <c r="B4353" s="90"/>
      <c r="C4353" s="55"/>
      <c r="D4353" s="193"/>
      <c r="E4353" s="201"/>
      <c r="F4353" s="202"/>
      <c r="G4353" s="194"/>
      <c r="H4353" s="198"/>
      <c r="I4353" s="196"/>
      <c r="J4353" s="179" t="str">
        <f>IF(A4353="RAPPI",(VLOOKUP(TRIM(D4353), CATALOGO!F:G, 2, FALSE) * C4353)+I4353,IFERROR(IF(COUNTIF('RESTAURANTESDESCUENTOS 2026'!A:A,TRIM(A4353))&gt;0,((VLOOKUP(TRIM(D4353), CATALOGO!A:B, 2, FALSE) * C4353)*(1-VALUE(SUBSTITUTE(VLOOKUP(TRIM(A4353),'RESTAURANTESDESCUENTOS 2026'!A:B,2,FALSE),"%",""))/100)+I4353),(VLOOKUP(TRIM(D4353), CATALOGO!A:B, 2, FALSE) * C4353+I4353)),""))</f>
        <v/>
      </c>
      <c r="K4353" s="196"/>
      <c r="L4353" s="87"/>
      <c r="M4353" s="245"/>
      <c r="N4353" s="168"/>
    </row>
    <row r="4354" ht="22.5" hidden="1" customHeight="1">
      <c r="A4354" s="137"/>
      <c r="B4354" s="90"/>
      <c r="C4354" s="55"/>
      <c r="D4354" s="193"/>
      <c r="E4354" s="201"/>
      <c r="F4354" s="202"/>
      <c r="G4354" s="194"/>
      <c r="H4354" s="198"/>
      <c r="I4354" s="196"/>
      <c r="J4354" s="179" t="str">
        <f>IF(A4354="RAPPI",(VLOOKUP(TRIM(D4354), CATALOGO!F:G, 2, FALSE) * C4354)+I4354,IFERROR(IF(COUNTIF('RESTAURANTESDESCUENTOS 2026'!A:A,TRIM(A4354))&gt;0,((VLOOKUP(TRIM(D4354), CATALOGO!A:B, 2, FALSE) * C4354)*(1-VALUE(SUBSTITUTE(VLOOKUP(TRIM(A4354),'RESTAURANTESDESCUENTOS 2026'!A:B,2,FALSE),"%",""))/100)+I4354),(VLOOKUP(TRIM(D4354), CATALOGO!A:B, 2, FALSE) * C4354+I4354)),""))</f>
        <v/>
      </c>
      <c r="K4354" s="196"/>
      <c r="L4354" s="87"/>
      <c r="M4354" s="245"/>
      <c r="N4354" s="168"/>
    </row>
    <row r="4355" ht="22.5" hidden="1" customHeight="1">
      <c r="A4355" s="137"/>
      <c r="B4355" s="90"/>
      <c r="C4355" s="55"/>
      <c r="D4355" s="193"/>
      <c r="E4355" s="201"/>
      <c r="F4355" s="202"/>
      <c r="G4355" s="194"/>
      <c r="H4355" s="198"/>
      <c r="I4355" s="196"/>
      <c r="J4355" s="179" t="str">
        <f>IF(A4355="RAPPI",(VLOOKUP(TRIM(D4355), CATALOGO!F:G, 2, FALSE) * C4355)+I4355,IFERROR(IF(COUNTIF('RESTAURANTESDESCUENTOS 2026'!A:A,TRIM(A4355))&gt;0,((VLOOKUP(TRIM(D4355), CATALOGO!A:B, 2, FALSE) * C4355)*(1-VALUE(SUBSTITUTE(VLOOKUP(TRIM(A4355),'RESTAURANTESDESCUENTOS 2026'!A:B,2,FALSE),"%",""))/100)+I4355),(VLOOKUP(TRIM(D4355), CATALOGO!A:B, 2, FALSE) * C4355+I4355)),""))</f>
        <v/>
      </c>
      <c r="K4355" s="196"/>
      <c r="L4355" s="87"/>
      <c r="M4355" s="245"/>
      <c r="N4355" s="168"/>
    </row>
    <row r="4356" ht="22.5" hidden="1" customHeight="1">
      <c r="A4356" s="137"/>
      <c r="B4356" s="90"/>
      <c r="C4356" s="55"/>
      <c r="D4356" s="193"/>
      <c r="E4356" s="201"/>
      <c r="F4356" s="202"/>
      <c r="G4356" s="194"/>
      <c r="H4356" s="198"/>
      <c r="I4356" s="196"/>
      <c r="J4356" s="179" t="str">
        <f>IF(A4356="RAPPI",(VLOOKUP(TRIM(D4356), CATALOGO!F:G, 2, FALSE) * C4356)+I4356,IFERROR(IF(COUNTIF('RESTAURANTESDESCUENTOS 2026'!A:A,TRIM(A4356))&gt;0,((VLOOKUP(TRIM(D4356), CATALOGO!A:B, 2, FALSE) * C4356)*(1-VALUE(SUBSTITUTE(VLOOKUP(TRIM(A4356),'RESTAURANTESDESCUENTOS 2026'!A:B,2,FALSE),"%",""))/100)+I4356),(VLOOKUP(TRIM(D4356), CATALOGO!A:B, 2, FALSE) * C4356+I4356)),""))</f>
        <v/>
      </c>
      <c r="K4356" s="196"/>
      <c r="L4356" s="87"/>
      <c r="M4356" s="245"/>
      <c r="N4356" s="168"/>
    </row>
    <row r="4357" ht="22.5" hidden="1" customHeight="1">
      <c r="A4357" s="137"/>
      <c r="B4357" s="90"/>
      <c r="C4357" s="55"/>
      <c r="D4357" s="193"/>
      <c r="E4357" s="201"/>
      <c r="F4357" s="202"/>
      <c r="G4357" s="194"/>
      <c r="H4357" s="198"/>
      <c r="I4357" s="196"/>
      <c r="J4357" s="179" t="str">
        <f>IF(A4357="RAPPI",(VLOOKUP(TRIM(D4357), CATALOGO!F:G, 2, FALSE) * C4357)+I4357,IFERROR(IF(COUNTIF('RESTAURANTESDESCUENTOS 2026'!A:A,TRIM(A4357))&gt;0,((VLOOKUP(TRIM(D4357), CATALOGO!A:B, 2, FALSE) * C4357)*(1-VALUE(SUBSTITUTE(VLOOKUP(TRIM(A4357),'RESTAURANTESDESCUENTOS 2026'!A:B,2,FALSE),"%",""))/100)+I4357),(VLOOKUP(TRIM(D4357), CATALOGO!A:B, 2, FALSE) * C4357+I4357)),""))</f>
        <v/>
      </c>
      <c r="K4357" s="196"/>
      <c r="L4357" s="87"/>
      <c r="M4357" s="245"/>
      <c r="N4357" s="168"/>
    </row>
    <row r="4358" ht="22.5" hidden="1" customHeight="1">
      <c r="A4358" s="137"/>
      <c r="B4358" s="90"/>
      <c r="C4358" s="55"/>
      <c r="D4358" s="193"/>
      <c r="E4358" s="201"/>
      <c r="F4358" s="202"/>
      <c r="G4358" s="194"/>
      <c r="H4358" s="198"/>
      <c r="I4358" s="196"/>
      <c r="J4358" s="179" t="str">
        <f>IF(A4358="RAPPI",(VLOOKUP(TRIM(D4358), CATALOGO!F:G, 2, FALSE) * C4358)+I4358,IFERROR(IF(COUNTIF('RESTAURANTESDESCUENTOS 2026'!A:A,TRIM(A4358))&gt;0,((VLOOKUP(TRIM(D4358), CATALOGO!A:B, 2, FALSE) * C4358)*(1-VALUE(SUBSTITUTE(VLOOKUP(TRIM(A4358),'RESTAURANTESDESCUENTOS 2026'!A:B,2,FALSE),"%",""))/100)+I4358),(VLOOKUP(TRIM(D4358), CATALOGO!A:B, 2, FALSE) * C4358+I4358)),""))</f>
        <v/>
      </c>
      <c r="K4358" s="196"/>
      <c r="L4358" s="87"/>
      <c r="M4358" s="245"/>
      <c r="N4358" s="168"/>
    </row>
    <row r="4359" ht="22.5" hidden="1" customHeight="1">
      <c r="A4359" s="137"/>
      <c r="B4359" s="90"/>
      <c r="C4359" s="55"/>
      <c r="D4359" s="193"/>
      <c r="E4359" s="201"/>
      <c r="F4359" s="202"/>
      <c r="G4359" s="194"/>
      <c r="H4359" s="198"/>
      <c r="I4359" s="196"/>
      <c r="J4359" s="179" t="str">
        <f>IF(A4359="RAPPI",(VLOOKUP(TRIM(D4359), CATALOGO!F:G, 2, FALSE) * C4359)+I4359,IFERROR(IF(COUNTIF('RESTAURANTESDESCUENTOS 2026'!A:A,TRIM(A4359))&gt;0,((VLOOKUP(TRIM(D4359), CATALOGO!A:B, 2, FALSE) * C4359)*(1-VALUE(SUBSTITUTE(VLOOKUP(TRIM(A4359),'RESTAURANTESDESCUENTOS 2026'!A:B,2,FALSE),"%",""))/100)+I4359),(VLOOKUP(TRIM(D4359), CATALOGO!A:B, 2, FALSE) * C4359+I4359)),""))</f>
        <v/>
      </c>
      <c r="K4359" s="196"/>
      <c r="L4359" s="87"/>
      <c r="M4359" s="245"/>
      <c r="N4359" s="168"/>
    </row>
    <row r="4360" ht="22.5" hidden="1" customHeight="1">
      <c r="A4360" s="137"/>
      <c r="B4360" s="90"/>
      <c r="C4360" s="55"/>
      <c r="D4360" s="193"/>
      <c r="E4360" s="201"/>
      <c r="F4360" s="202"/>
      <c r="G4360" s="194"/>
      <c r="H4360" s="198"/>
      <c r="I4360" s="196"/>
      <c r="J4360" s="179" t="str">
        <f>IF(A4360="RAPPI",(VLOOKUP(TRIM(D4360), CATALOGO!F:G, 2, FALSE) * C4360)+I4360,IFERROR(IF(COUNTIF('RESTAURANTESDESCUENTOS 2026'!A:A,TRIM(A4360))&gt;0,((VLOOKUP(TRIM(D4360), CATALOGO!A:B, 2, FALSE) * C4360)*(1-VALUE(SUBSTITUTE(VLOOKUP(TRIM(A4360),'RESTAURANTESDESCUENTOS 2026'!A:B,2,FALSE),"%",""))/100)+I4360),(VLOOKUP(TRIM(D4360), CATALOGO!A:B, 2, FALSE) * C4360+I4360)),""))</f>
        <v/>
      </c>
      <c r="K4360" s="196"/>
      <c r="L4360" s="87"/>
      <c r="M4360" s="245"/>
      <c r="N4360" s="168"/>
    </row>
    <row r="4361" ht="22.5" hidden="1" customHeight="1">
      <c r="A4361" s="137"/>
      <c r="B4361" s="90"/>
      <c r="C4361" s="55"/>
      <c r="D4361" s="193"/>
      <c r="E4361" s="201"/>
      <c r="F4361" s="202"/>
      <c r="G4361" s="194"/>
      <c r="H4361" s="198"/>
      <c r="I4361" s="196"/>
      <c r="J4361" s="179" t="str">
        <f>IF(A4361="RAPPI",(VLOOKUP(TRIM(D4361), CATALOGO!F:G, 2, FALSE) * C4361)+I4361,IFERROR(IF(COUNTIF('RESTAURANTESDESCUENTOS 2026'!A:A,TRIM(A4361))&gt;0,((VLOOKUP(TRIM(D4361), CATALOGO!A:B, 2, FALSE) * C4361)*(1-VALUE(SUBSTITUTE(VLOOKUP(TRIM(A4361),'RESTAURANTESDESCUENTOS 2026'!A:B,2,FALSE),"%",""))/100)+I4361),(VLOOKUP(TRIM(D4361), CATALOGO!A:B, 2, FALSE) * C4361+I4361)),""))</f>
        <v/>
      </c>
      <c r="K4361" s="196"/>
      <c r="L4361" s="87"/>
      <c r="M4361" s="245"/>
      <c r="N4361" s="168"/>
    </row>
    <row r="4362" ht="22.5" hidden="1" customHeight="1">
      <c r="A4362" s="137"/>
      <c r="B4362" s="90"/>
      <c r="C4362" s="55"/>
      <c r="D4362" s="193"/>
      <c r="E4362" s="201"/>
      <c r="F4362" s="202"/>
      <c r="G4362" s="194"/>
      <c r="H4362" s="198"/>
      <c r="I4362" s="196"/>
      <c r="J4362" s="179" t="str">
        <f>IF(A4362="RAPPI",(VLOOKUP(TRIM(D4362), CATALOGO!F:G, 2, FALSE) * C4362)+I4362,IFERROR(IF(COUNTIF('RESTAURANTESDESCUENTOS 2026'!A:A,TRIM(A4362))&gt;0,((VLOOKUP(TRIM(D4362), CATALOGO!A:B, 2, FALSE) * C4362)*(1-VALUE(SUBSTITUTE(VLOOKUP(TRIM(A4362),'RESTAURANTESDESCUENTOS 2026'!A:B,2,FALSE),"%",""))/100)+I4362),(VLOOKUP(TRIM(D4362), CATALOGO!A:B, 2, FALSE) * C4362+I4362)),""))</f>
        <v/>
      </c>
      <c r="K4362" s="196"/>
      <c r="L4362" s="87"/>
      <c r="M4362" s="245"/>
      <c r="N4362" s="168"/>
    </row>
    <row r="4363" ht="22.5" hidden="1" customHeight="1">
      <c r="A4363" s="137"/>
      <c r="B4363" s="90"/>
      <c r="C4363" s="55"/>
      <c r="D4363" s="193"/>
      <c r="E4363" s="201"/>
      <c r="F4363" s="202"/>
      <c r="G4363" s="194"/>
      <c r="H4363" s="198"/>
      <c r="I4363" s="196"/>
      <c r="J4363" s="179" t="str">
        <f>IF(A4363="RAPPI",(VLOOKUP(TRIM(D4363), CATALOGO!F:G, 2, FALSE) * C4363)+I4363,IFERROR(IF(COUNTIF('RESTAURANTESDESCUENTOS 2026'!A:A,TRIM(A4363))&gt;0,((VLOOKUP(TRIM(D4363), CATALOGO!A:B, 2, FALSE) * C4363)*(1-VALUE(SUBSTITUTE(VLOOKUP(TRIM(A4363),'RESTAURANTESDESCUENTOS 2026'!A:B,2,FALSE),"%",""))/100)+I4363),(VLOOKUP(TRIM(D4363), CATALOGO!A:B, 2, FALSE) * C4363+I4363)),""))</f>
        <v/>
      </c>
      <c r="K4363" s="196"/>
      <c r="L4363" s="87"/>
      <c r="M4363" s="245"/>
      <c r="N4363" s="168"/>
    </row>
    <row r="4364" ht="22.5" hidden="1" customHeight="1">
      <c r="A4364" s="137"/>
      <c r="B4364" s="90"/>
      <c r="C4364" s="55"/>
      <c r="D4364" s="193"/>
      <c r="E4364" s="201"/>
      <c r="F4364" s="202"/>
      <c r="G4364" s="194"/>
      <c r="H4364" s="198"/>
      <c r="I4364" s="196"/>
      <c r="J4364" s="179" t="str">
        <f>IF(A4364="RAPPI",(VLOOKUP(TRIM(D4364), CATALOGO!F:G, 2, FALSE) * C4364)+I4364,IFERROR(IF(COUNTIF('RESTAURANTESDESCUENTOS 2026'!A:A,TRIM(A4364))&gt;0,((VLOOKUP(TRIM(D4364), CATALOGO!A:B, 2, FALSE) * C4364)*(1-VALUE(SUBSTITUTE(VLOOKUP(TRIM(A4364),'RESTAURANTESDESCUENTOS 2026'!A:B,2,FALSE),"%",""))/100)+I4364),(VLOOKUP(TRIM(D4364), CATALOGO!A:B, 2, FALSE) * C4364+I4364)),""))</f>
        <v/>
      </c>
      <c r="K4364" s="196"/>
      <c r="L4364" s="87"/>
      <c r="M4364" s="245"/>
      <c r="N4364" s="168"/>
    </row>
    <row r="4365" ht="22.5" hidden="1" customHeight="1">
      <c r="A4365" s="137"/>
      <c r="B4365" s="90"/>
      <c r="C4365" s="55"/>
      <c r="D4365" s="193"/>
      <c r="E4365" s="201"/>
      <c r="F4365" s="202"/>
      <c r="G4365" s="194"/>
      <c r="H4365" s="198"/>
      <c r="I4365" s="196"/>
      <c r="J4365" s="179" t="str">
        <f>IF(A4365="RAPPI",(VLOOKUP(TRIM(D4365), CATALOGO!F:G, 2, FALSE) * C4365)+I4365,IFERROR(IF(COUNTIF('RESTAURANTESDESCUENTOS 2026'!A:A,TRIM(A4365))&gt;0,((VLOOKUP(TRIM(D4365), CATALOGO!A:B, 2, FALSE) * C4365)*(1-VALUE(SUBSTITUTE(VLOOKUP(TRIM(A4365),'RESTAURANTESDESCUENTOS 2026'!A:B,2,FALSE),"%",""))/100)+I4365),(VLOOKUP(TRIM(D4365), CATALOGO!A:B, 2, FALSE) * C4365+I4365)),""))</f>
        <v/>
      </c>
      <c r="K4365" s="196"/>
      <c r="L4365" s="87"/>
      <c r="M4365" s="245"/>
      <c r="N4365" s="168"/>
    </row>
    <row r="4366" ht="22.5" hidden="1" customHeight="1">
      <c r="A4366" s="137"/>
      <c r="B4366" s="90"/>
      <c r="C4366" s="55"/>
      <c r="D4366" s="193"/>
      <c r="E4366" s="201"/>
      <c r="F4366" s="202"/>
      <c r="G4366" s="194"/>
      <c r="H4366" s="198"/>
      <c r="I4366" s="196"/>
      <c r="J4366" s="179" t="str">
        <f>IF(A4366="RAPPI",(VLOOKUP(TRIM(D4366), CATALOGO!F:G, 2, FALSE) * C4366)+I4366,IFERROR(IF(COUNTIF('RESTAURANTESDESCUENTOS 2026'!A:A,TRIM(A4366))&gt;0,((VLOOKUP(TRIM(D4366), CATALOGO!A:B, 2, FALSE) * C4366)*(1-VALUE(SUBSTITUTE(VLOOKUP(TRIM(A4366),'RESTAURANTESDESCUENTOS 2026'!A:B,2,FALSE),"%",""))/100)+I4366),(VLOOKUP(TRIM(D4366), CATALOGO!A:B, 2, FALSE) * C4366+I4366)),""))</f>
        <v/>
      </c>
      <c r="K4366" s="196"/>
      <c r="L4366" s="87"/>
      <c r="M4366" s="245"/>
      <c r="N4366" s="168"/>
    </row>
    <row r="4367" ht="22.5" hidden="1" customHeight="1">
      <c r="A4367" s="137"/>
      <c r="B4367" s="90"/>
      <c r="C4367" s="55"/>
      <c r="D4367" s="193"/>
      <c r="E4367" s="201"/>
      <c r="F4367" s="202"/>
      <c r="G4367" s="194"/>
      <c r="H4367" s="198"/>
      <c r="I4367" s="196"/>
      <c r="J4367" s="179" t="str">
        <f>IF(A4367="RAPPI",(VLOOKUP(TRIM(D4367), CATALOGO!F:G, 2, FALSE) * C4367)+I4367,IFERROR(IF(COUNTIF('RESTAURANTESDESCUENTOS 2026'!A:A,TRIM(A4367))&gt;0,((VLOOKUP(TRIM(D4367), CATALOGO!A:B, 2, FALSE) * C4367)*(1-VALUE(SUBSTITUTE(VLOOKUP(TRIM(A4367),'RESTAURANTESDESCUENTOS 2026'!A:B,2,FALSE),"%",""))/100)+I4367),(VLOOKUP(TRIM(D4367), CATALOGO!A:B, 2, FALSE) * C4367+I4367)),""))</f>
        <v/>
      </c>
      <c r="K4367" s="196"/>
      <c r="L4367" s="87"/>
      <c r="M4367" s="245"/>
      <c r="N4367" s="168"/>
    </row>
    <row r="4368" ht="22.5" hidden="1" customHeight="1">
      <c r="A4368" s="137"/>
      <c r="B4368" s="90"/>
      <c r="C4368" s="55"/>
      <c r="D4368" s="193"/>
      <c r="E4368" s="201"/>
      <c r="F4368" s="202"/>
      <c r="G4368" s="194"/>
      <c r="H4368" s="198"/>
      <c r="I4368" s="196"/>
      <c r="J4368" s="179" t="str">
        <f>IF(A4368="RAPPI",(VLOOKUP(TRIM(D4368), CATALOGO!F:G, 2, FALSE) * C4368)+I4368,IFERROR(IF(COUNTIF('RESTAURANTESDESCUENTOS 2026'!A:A,TRIM(A4368))&gt;0,((VLOOKUP(TRIM(D4368), CATALOGO!A:B, 2, FALSE) * C4368)*(1-VALUE(SUBSTITUTE(VLOOKUP(TRIM(A4368),'RESTAURANTESDESCUENTOS 2026'!A:B,2,FALSE),"%",""))/100)+I4368),(VLOOKUP(TRIM(D4368), CATALOGO!A:B, 2, FALSE) * C4368+I4368)),""))</f>
        <v/>
      </c>
      <c r="K4368" s="196"/>
      <c r="L4368" s="87"/>
      <c r="M4368" s="245"/>
      <c r="N4368" s="168"/>
    </row>
    <row r="4369" ht="22.5" hidden="1" customHeight="1">
      <c r="A4369" s="137"/>
      <c r="B4369" s="90"/>
      <c r="C4369" s="55"/>
      <c r="D4369" s="193"/>
      <c r="E4369" s="201"/>
      <c r="F4369" s="202"/>
      <c r="G4369" s="194"/>
      <c r="H4369" s="198"/>
      <c r="I4369" s="196"/>
      <c r="J4369" s="179" t="str">
        <f>IF(A4369="RAPPI",(VLOOKUP(TRIM(D4369), CATALOGO!F:G, 2, FALSE) * C4369)+I4369,IFERROR(IF(COUNTIF('RESTAURANTESDESCUENTOS 2026'!A:A,TRIM(A4369))&gt;0,((VLOOKUP(TRIM(D4369), CATALOGO!A:B, 2, FALSE) * C4369)*(1-VALUE(SUBSTITUTE(VLOOKUP(TRIM(A4369),'RESTAURANTESDESCUENTOS 2026'!A:B,2,FALSE),"%",""))/100)+I4369),(VLOOKUP(TRIM(D4369), CATALOGO!A:B, 2, FALSE) * C4369+I4369)),""))</f>
        <v/>
      </c>
      <c r="K4369" s="196"/>
      <c r="L4369" s="87"/>
      <c r="M4369" s="245"/>
      <c r="N4369" s="168"/>
    </row>
    <row r="4370" ht="22.5" hidden="1" customHeight="1">
      <c r="A4370" s="137"/>
      <c r="B4370" s="90"/>
      <c r="C4370" s="55"/>
      <c r="D4370" s="193"/>
      <c r="E4370" s="201"/>
      <c r="F4370" s="202"/>
      <c r="G4370" s="194"/>
      <c r="H4370" s="198"/>
      <c r="I4370" s="196"/>
      <c r="J4370" s="179" t="str">
        <f>IF(A4370="RAPPI",(VLOOKUP(TRIM(D4370), CATALOGO!F:G, 2, FALSE) * C4370)+I4370,IFERROR(IF(COUNTIF('RESTAURANTESDESCUENTOS 2026'!A:A,TRIM(A4370))&gt;0,((VLOOKUP(TRIM(D4370), CATALOGO!A:B, 2, FALSE) * C4370)*(1-VALUE(SUBSTITUTE(VLOOKUP(TRIM(A4370),'RESTAURANTESDESCUENTOS 2026'!A:B,2,FALSE),"%",""))/100)+I4370),(VLOOKUP(TRIM(D4370), CATALOGO!A:B, 2, FALSE) * C4370+I4370)),""))</f>
        <v/>
      </c>
      <c r="K4370" s="196"/>
      <c r="L4370" s="87"/>
      <c r="M4370" s="245"/>
      <c r="N4370" s="168"/>
    </row>
    <row r="4371" ht="22.5" hidden="1" customHeight="1">
      <c r="A4371" s="137"/>
      <c r="B4371" s="90"/>
      <c r="C4371" s="55"/>
      <c r="D4371" s="193"/>
      <c r="E4371" s="201"/>
      <c r="F4371" s="202"/>
      <c r="G4371" s="194"/>
      <c r="H4371" s="198"/>
      <c r="I4371" s="196"/>
      <c r="J4371" s="179" t="str">
        <f>IF(A4371="RAPPI",(VLOOKUP(TRIM(D4371), CATALOGO!F:G, 2, FALSE) * C4371)+I4371,IFERROR(IF(COUNTIF('RESTAURANTESDESCUENTOS 2026'!A:A,TRIM(A4371))&gt;0,((VLOOKUP(TRIM(D4371), CATALOGO!A:B, 2, FALSE) * C4371)*(1-VALUE(SUBSTITUTE(VLOOKUP(TRIM(A4371),'RESTAURANTESDESCUENTOS 2026'!A:B,2,FALSE),"%",""))/100)+I4371),(VLOOKUP(TRIM(D4371), CATALOGO!A:B, 2, FALSE) * C4371+I4371)),""))</f>
        <v/>
      </c>
      <c r="K4371" s="196"/>
      <c r="L4371" s="87"/>
      <c r="M4371" s="245"/>
      <c r="N4371" s="168"/>
    </row>
    <row r="4372" ht="22.5" hidden="1" customHeight="1">
      <c r="A4372" s="137"/>
      <c r="B4372" s="90"/>
      <c r="C4372" s="55"/>
      <c r="D4372" s="193"/>
      <c r="E4372" s="201"/>
      <c r="F4372" s="202"/>
      <c r="G4372" s="194"/>
      <c r="H4372" s="198"/>
      <c r="I4372" s="196"/>
      <c r="J4372" s="179" t="str">
        <f>IF(A4372="RAPPI",(VLOOKUP(TRIM(D4372), CATALOGO!F:G, 2, FALSE) * C4372)+I4372,IFERROR(IF(COUNTIF('RESTAURANTESDESCUENTOS 2026'!A:A,TRIM(A4372))&gt;0,((VLOOKUP(TRIM(D4372), CATALOGO!A:B, 2, FALSE) * C4372)*(1-VALUE(SUBSTITUTE(VLOOKUP(TRIM(A4372),'RESTAURANTESDESCUENTOS 2026'!A:B,2,FALSE),"%",""))/100)+I4372),(VLOOKUP(TRIM(D4372), CATALOGO!A:B, 2, FALSE) * C4372+I4372)),""))</f>
        <v/>
      </c>
      <c r="K4372" s="196"/>
      <c r="L4372" s="87"/>
      <c r="M4372" s="245"/>
      <c r="N4372" s="168"/>
    </row>
    <row r="4373" ht="22.5" hidden="1" customHeight="1">
      <c r="A4373" s="137"/>
      <c r="B4373" s="90"/>
      <c r="C4373" s="55"/>
      <c r="D4373" s="193"/>
      <c r="E4373" s="201"/>
      <c r="F4373" s="202"/>
      <c r="G4373" s="194"/>
      <c r="H4373" s="198"/>
      <c r="I4373" s="196"/>
      <c r="J4373" s="179" t="str">
        <f>IF(A4373="RAPPI",(VLOOKUP(TRIM(D4373), CATALOGO!F:G, 2, FALSE) * C4373)+I4373,IFERROR(IF(COUNTIF('RESTAURANTESDESCUENTOS 2026'!A:A,TRIM(A4373))&gt;0,((VLOOKUP(TRIM(D4373), CATALOGO!A:B, 2, FALSE) * C4373)*(1-VALUE(SUBSTITUTE(VLOOKUP(TRIM(A4373),'RESTAURANTESDESCUENTOS 2026'!A:B,2,FALSE),"%",""))/100)+I4373),(VLOOKUP(TRIM(D4373), CATALOGO!A:B, 2, FALSE) * C4373+I4373)),""))</f>
        <v/>
      </c>
      <c r="K4373" s="196"/>
      <c r="L4373" s="87"/>
      <c r="M4373" s="245"/>
      <c r="N4373" s="168"/>
    </row>
    <row r="4374" ht="22.5" hidden="1" customHeight="1">
      <c r="A4374" s="137"/>
      <c r="B4374" s="90"/>
      <c r="C4374" s="55"/>
      <c r="D4374" s="193"/>
      <c r="E4374" s="201"/>
      <c r="F4374" s="202"/>
      <c r="G4374" s="194"/>
      <c r="H4374" s="198"/>
      <c r="I4374" s="196"/>
      <c r="J4374" s="179" t="str">
        <f>IF(A4374="RAPPI",(VLOOKUP(TRIM(D4374), CATALOGO!F:G, 2, FALSE) * C4374)+I4374,IFERROR(IF(COUNTIF('RESTAURANTESDESCUENTOS 2026'!A:A,TRIM(A4374))&gt;0,((VLOOKUP(TRIM(D4374), CATALOGO!A:B, 2, FALSE) * C4374)*(1-VALUE(SUBSTITUTE(VLOOKUP(TRIM(A4374),'RESTAURANTESDESCUENTOS 2026'!A:B,2,FALSE),"%",""))/100)+I4374),(VLOOKUP(TRIM(D4374), CATALOGO!A:B, 2, FALSE) * C4374+I4374)),""))</f>
        <v/>
      </c>
      <c r="K4374" s="196"/>
      <c r="L4374" s="87"/>
      <c r="M4374" s="245"/>
      <c r="N4374" s="168"/>
    </row>
    <row r="4375" ht="22.5" hidden="1" customHeight="1">
      <c r="A4375" s="137"/>
      <c r="B4375" s="90"/>
      <c r="C4375" s="55"/>
      <c r="D4375" s="193"/>
      <c r="E4375" s="201"/>
      <c r="F4375" s="202"/>
      <c r="G4375" s="194"/>
      <c r="H4375" s="198"/>
      <c r="I4375" s="196"/>
      <c r="J4375" s="179" t="str">
        <f>IF(A4375="RAPPI",(VLOOKUP(TRIM(D4375), CATALOGO!F:G, 2, FALSE) * C4375)+I4375,IFERROR(IF(COUNTIF('RESTAURANTESDESCUENTOS 2026'!A:A,TRIM(A4375))&gt;0,((VLOOKUP(TRIM(D4375), CATALOGO!A:B, 2, FALSE) * C4375)*(1-VALUE(SUBSTITUTE(VLOOKUP(TRIM(A4375),'RESTAURANTESDESCUENTOS 2026'!A:B,2,FALSE),"%",""))/100)+I4375),(VLOOKUP(TRIM(D4375), CATALOGO!A:B, 2, FALSE) * C4375+I4375)),""))</f>
        <v/>
      </c>
      <c r="K4375" s="196"/>
      <c r="L4375" s="87"/>
      <c r="M4375" s="245"/>
      <c r="N4375" s="168"/>
    </row>
    <row r="4376" ht="22.5" hidden="1" customHeight="1">
      <c r="A4376" s="137"/>
      <c r="B4376" s="90"/>
      <c r="C4376" s="55"/>
      <c r="D4376" s="193"/>
      <c r="E4376" s="201"/>
      <c r="F4376" s="202"/>
      <c r="G4376" s="194"/>
      <c r="H4376" s="198"/>
      <c r="I4376" s="196"/>
      <c r="J4376" s="179" t="str">
        <f>IF(A4376="RAPPI",(VLOOKUP(TRIM(D4376), CATALOGO!F:G, 2, FALSE) * C4376)+I4376,IFERROR(IF(COUNTIF('RESTAURANTESDESCUENTOS 2026'!A:A,TRIM(A4376))&gt;0,((VLOOKUP(TRIM(D4376), CATALOGO!A:B, 2, FALSE) * C4376)*(1-VALUE(SUBSTITUTE(VLOOKUP(TRIM(A4376),'RESTAURANTESDESCUENTOS 2026'!A:B,2,FALSE),"%",""))/100)+I4376),(VLOOKUP(TRIM(D4376), CATALOGO!A:B, 2, FALSE) * C4376+I4376)),""))</f>
        <v/>
      </c>
      <c r="K4376" s="196"/>
      <c r="L4376" s="87"/>
      <c r="M4376" s="245"/>
      <c r="N4376" s="168"/>
    </row>
    <row r="4377" ht="22.5" hidden="1" customHeight="1">
      <c r="A4377" s="137"/>
      <c r="B4377" s="90"/>
      <c r="C4377" s="55"/>
      <c r="D4377" s="193"/>
      <c r="E4377" s="201"/>
      <c r="F4377" s="202"/>
      <c r="G4377" s="194"/>
      <c r="H4377" s="198"/>
      <c r="I4377" s="196"/>
      <c r="J4377" s="179" t="str">
        <f>IF(A4377="RAPPI",(VLOOKUP(TRIM(D4377), CATALOGO!F:G, 2, FALSE) * C4377)+I4377,IFERROR(IF(COUNTIF('RESTAURANTESDESCUENTOS 2026'!A:A,TRIM(A4377))&gt;0,((VLOOKUP(TRIM(D4377), CATALOGO!A:B, 2, FALSE) * C4377)*(1-VALUE(SUBSTITUTE(VLOOKUP(TRIM(A4377),'RESTAURANTESDESCUENTOS 2026'!A:B,2,FALSE),"%",""))/100)+I4377),(VLOOKUP(TRIM(D4377), CATALOGO!A:B, 2, FALSE) * C4377+I4377)),""))</f>
        <v/>
      </c>
      <c r="K4377" s="196"/>
      <c r="L4377" s="87"/>
      <c r="M4377" s="245"/>
      <c r="N4377" s="168"/>
    </row>
    <row r="4378" ht="22.5" hidden="1" customHeight="1">
      <c r="A4378" s="137"/>
      <c r="B4378" s="90"/>
      <c r="C4378" s="55"/>
      <c r="D4378" s="193"/>
      <c r="E4378" s="201"/>
      <c r="F4378" s="202"/>
      <c r="G4378" s="194"/>
      <c r="H4378" s="198"/>
      <c r="I4378" s="196"/>
      <c r="J4378" s="179" t="str">
        <f>IF(A4378="RAPPI",(VLOOKUP(TRIM(D4378), CATALOGO!F:G, 2, FALSE) * C4378)+I4378,IFERROR(IF(COUNTIF('RESTAURANTESDESCUENTOS 2026'!A:A,TRIM(A4378))&gt;0,((VLOOKUP(TRIM(D4378), CATALOGO!A:B, 2, FALSE) * C4378)*(1-VALUE(SUBSTITUTE(VLOOKUP(TRIM(A4378),'RESTAURANTESDESCUENTOS 2026'!A:B,2,FALSE),"%",""))/100)+I4378),(VLOOKUP(TRIM(D4378), CATALOGO!A:B, 2, FALSE) * C4378+I4378)),""))</f>
        <v/>
      </c>
      <c r="K4378" s="196"/>
      <c r="L4378" s="87"/>
      <c r="M4378" s="245"/>
      <c r="N4378" s="168"/>
    </row>
    <row r="4379" ht="22.5" hidden="1" customHeight="1">
      <c r="A4379" s="137"/>
      <c r="B4379" s="90"/>
      <c r="C4379" s="55"/>
      <c r="D4379" s="193"/>
      <c r="E4379" s="201"/>
      <c r="F4379" s="202"/>
      <c r="G4379" s="194"/>
      <c r="H4379" s="198"/>
      <c r="I4379" s="196"/>
      <c r="J4379" s="179" t="str">
        <f>IF(A4379="RAPPI",(VLOOKUP(TRIM(D4379), CATALOGO!F:G, 2, FALSE) * C4379)+I4379,IFERROR(IF(COUNTIF('RESTAURANTESDESCUENTOS 2026'!A:A,TRIM(A4379))&gt;0,((VLOOKUP(TRIM(D4379), CATALOGO!A:B, 2, FALSE) * C4379)*(1-VALUE(SUBSTITUTE(VLOOKUP(TRIM(A4379),'RESTAURANTESDESCUENTOS 2026'!A:B,2,FALSE),"%",""))/100)+I4379),(VLOOKUP(TRIM(D4379), CATALOGO!A:B, 2, FALSE) * C4379+I4379)),""))</f>
        <v/>
      </c>
      <c r="K4379" s="196"/>
      <c r="L4379" s="87"/>
      <c r="M4379" s="245"/>
      <c r="N4379" s="168"/>
    </row>
    <row r="4380" ht="22.5" hidden="1" customHeight="1">
      <c r="A4380" s="137"/>
      <c r="B4380" s="90"/>
      <c r="C4380" s="55"/>
      <c r="D4380" s="193"/>
      <c r="E4380" s="201"/>
      <c r="F4380" s="202"/>
      <c r="G4380" s="194"/>
      <c r="H4380" s="198"/>
      <c r="I4380" s="196"/>
      <c r="J4380" s="179" t="str">
        <f>IF(A4380="RAPPI",(VLOOKUP(TRIM(D4380), CATALOGO!F:G, 2, FALSE) * C4380)+I4380,IFERROR(IF(COUNTIF('RESTAURANTESDESCUENTOS 2026'!A:A,TRIM(A4380))&gt;0,((VLOOKUP(TRIM(D4380), CATALOGO!A:B, 2, FALSE) * C4380)*(1-VALUE(SUBSTITUTE(VLOOKUP(TRIM(A4380),'RESTAURANTESDESCUENTOS 2026'!A:B,2,FALSE),"%",""))/100)+I4380),(VLOOKUP(TRIM(D4380), CATALOGO!A:B, 2, FALSE) * C4380+I4380)),""))</f>
        <v/>
      </c>
      <c r="K4380" s="196"/>
      <c r="L4380" s="87"/>
      <c r="M4380" s="245"/>
      <c r="N4380" s="168"/>
    </row>
    <row r="4381" ht="22.5" hidden="1" customHeight="1">
      <c r="A4381" s="137"/>
      <c r="B4381" s="90"/>
      <c r="C4381" s="55"/>
      <c r="D4381" s="193"/>
      <c r="E4381" s="201"/>
      <c r="F4381" s="202"/>
      <c r="G4381" s="194"/>
      <c r="H4381" s="198"/>
      <c r="I4381" s="196"/>
      <c r="J4381" s="179" t="str">
        <f>IF(A4381="RAPPI",(VLOOKUP(TRIM(D4381), CATALOGO!F:G, 2, FALSE) * C4381)+I4381,IFERROR(IF(COUNTIF('RESTAURANTESDESCUENTOS 2026'!A:A,TRIM(A4381))&gt;0,((VLOOKUP(TRIM(D4381), CATALOGO!A:B, 2, FALSE) * C4381)*(1-VALUE(SUBSTITUTE(VLOOKUP(TRIM(A4381),'RESTAURANTESDESCUENTOS 2026'!A:B,2,FALSE),"%",""))/100)+I4381),(VLOOKUP(TRIM(D4381), CATALOGO!A:B, 2, FALSE) * C4381+I4381)),""))</f>
        <v/>
      </c>
      <c r="K4381" s="196"/>
      <c r="L4381" s="87"/>
      <c r="M4381" s="245"/>
      <c r="N4381" s="168"/>
    </row>
    <row r="4382" ht="22.5" hidden="1" customHeight="1">
      <c r="A4382" s="137"/>
      <c r="B4382" s="90"/>
      <c r="C4382" s="55"/>
      <c r="D4382" s="193"/>
      <c r="E4382" s="201"/>
      <c r="F4382" s="202"/>
      <c r="G4382" s="194"/>
      <c r="H4382" s="198"/>
      <c r="I4382" s="196"/>
      <c r="J4382" s="179" t="str">
        <f>IF(A4382="RAPPI",(VLOOKUP(TRIM(D4382), CATALOGO!F:G, 2, FALSE) * C4382)+I4382,IFERROR(IF(COUNTIF('RESTAURANTESDESCUENTOS 2026'!A:A,TRIM(A4382))&gt;0,((VLOOKUP(TRIM(D4382), CATALOGO!A:B, 2, FALSE) * C4382)*(1-VALUE(SUBSTITUTE(VLOOKUP(TRIM(A4382),'RESTAURANTESDESCUENTOS 2026'!A:B,2,FALSE),"%",""))/100)+I4382),(VLOOKUP(TRIM(D4382), CATALOGO!A:B, 2, FALSE) * C4382+I4382)),""))</f>
        <v/>
      </c>
      <c r="K4382" s="196"/>
      <c r="L4382" s="87"/>
      <c r="M4382" s="245"/>
      <c r="N4382" s="168"/>
    </row>
    <row r="4383" ht="22.5" hidden="1" customHeight="1">
      <c r="A4383" s="137"/>
      <c r="B4383" s="90"/>
      <c r="C4383" s="55"/>
      <c r="D4383" s="193"/>
      <c r="E4383" s="201"/>
      <c r="F4383" s="202"/>
      <c r="G4383" s="194"/>
      <c r="H4383" s="198"/>
      <c r="I4383" s="196"/>
      <c r="J4383" s="179" t="str">
        <f>IF(A4383="RAPPI",(VLOOKUP(TRIM(D4383), CATALOGO!F:G, 2, FALSE) * C4383)+I4383,IFERROR(IF(COUNTIF('RESTAURANTESDESCUENTOS 2026'!A:A,TRIM(A4383))&gt;0,((VLOOKUP(TRIM(D4383), CATALOGO!A:B, 2, FALSE) * C4383)*(1-VALUE(SUBSTITUTE(VLOOKUP(TRIM(A4383),'RESTAURANTESDESCUENTOS 2026'!A:B,2,FALSE),"%",""))/100)+I4383),(VLOOKUP(TRIM(D4383), CATALOGO!A:B, 2, FALSE) * C4383+I4383)),""))</f>
        <v/>
      </c>
      <c r="K4383" s="196"/>
      <c r="L4383" s="87"/>
      <c r="M4383" s="245"/>
      <c r="N4383" s="168"/>
    </row>
    <row r="4384" ht="22.5" hidden="1" customHeight="1">
      <c r="A4384" s="137"/>
      <c r="B4384" s="90"/>
      <c r="C4384" s="55"/>
      <c r="D4384" s="193"/>
      <c r="E4384" s="201"/>
      <c r="F4384" s="202"/>
      <c r="G4384" s="194"/>
      <c r="H4384" s="198"/>
      <c r="I4384" s="196"/>
      <c r="J4384" s="179" t="str">
        <f>IF(A4384="RAPPI",(VLOOKUP(TRIM(D4384), CATALOGO!F:G, 2, FALSE) * C4384)+I4384,IFERROR(IF(COUNTIF('RESTAURANTESDESCUENTOS 2026'!A:A,TRIM(A4384))&gt;0,((VLOOKUP(TRIM(D4384), CATALOGO!A:B, 2, FALSE) * C4384)*(1-VALUE(SUBSTITUTE(VLOOKUP(TRIM(A4384),'RESTAURANTESDESCUENTOS 2026'!A:B,2,FALSE),"%",""))/100)+I4384),(VLOOKUP(TRIM(D4384), CATALOGO!A:B, 2, FALSE) * C4384+I4384)),""))</f>
        <v/>
      </c>
      <c r="K4384" s="196"/>
      <c r="L4384" s="87"/>
      <c r="M4384" s="245"/>
      <c r="N4384" s="168"/>
    </row>
    <row r="4385" ht="22.5" hidden="1" customHeight="1">
      <c r="A4385" s="137"/>
      <c r="B4385" s="90"/>
      <c r="C4385" s="55"/>
      <c r="D4385" s="193"/>
      <c r="E4385" s="201"/>
      <c r="F4385" s="202"/>
      <c r="G4385" s="194"/>
      <c r="H4385" s="198"/>
      <c r="I4385" s="196"/>
      <c r="J4385" s="179" t="str">
        <f>IF(A4385="RAPPI",(VLOOKUP(TRIM(D4385), CATALOGO!F:G, 2, FALSE) * C4385)+I4385,IFERROR(IF(COUNTIF('RESTAURANTESDESCUENTOS 2026'!A:A,TRIM(A4385))&gt;0,((VLOOKUP(TRIM(D4385), CATALOGO!A:B, 2, FALSE) * C4385)*(1-VALUE(SUBSTITUTE(VLOOKUP(TRIM(A4385),'RESTAURANTESDESCUENTOS 2026'!A:B,2,FALSE),"%",""))/100)+I4385),(VLOOKUP(TRIM(D4385), CATALOGO!A:B, 2, FALSE) * C4385+I4385)),""))</f>
        <v/>
      </c>
      <c r="K4385" s="196"/>
      <c r="L4385" s="87"/>
      <c r="M4385" s="245"/>
      <c r="N4385" s="168"/>
    </row>
    <row r="4386" ht="22.5" hidden="1" customHeight="1">
      <c r="A4386" s="137"/>
      <c r="B4386" s="90"/>
      <c r="C4386" s="55"/>
      <c r="D4386" s="193"/>
      <c r="E4386" s="201"/>
      <c r="F4386" s="202"/>
      <c r="G4386" s="194"/>
      <c r="H4386" s="198"/>
      <c r="I4386" s="196"/>
      <c r="J4386" s="179" t="str">
        <f>IF(A4386="RAPPI",(VLOOKUP(TRIM(D4386), CATALOGO!F:G, 2, FALSE) * C4386)+I4386,IFERROR(IF(COUNTIF('RESTAURANTESDESCUENTOS 2026'!A:A,TRIM(A4386))&gt;0,((VLOOKUP(TRIM(D4386), CATALOGO!A:B, 2, FALSE) * C4386)*(1-VALUE(SUBSTITUTE(VLOOKUP(TRIM(A4386),'RESTAURANTESDESCUENTOS 2026'!A:B,2,FALSE),"%",""))/100)+I4386),(VLOOKUP(TRIM(D4386), CATALOGO!A:B, 2, FALSE) * C4386+I4386)),""))</f>
        <v/>
      </c>
      <c r="K4386" s="196"/>
      <c r="L4386" s="87"/>
      <c r="M4386" s="245"/>
      <c r="N4386" s="168"/>
    </row>
    <row r="4387" ht="22.5" hidden="1" customHeight="1">
      <c r="A4387" s="137"/>
      <c r="B4387" s="90"/>
      <c r="C4387" s="55"/>
      <c r="D4387" s="193"/>
      <c r="E4387" s="201"/>
      <c r="F4387" s="202"/>
      <c r="G4387" s="194"/>
      <c r="H4387" s="198"/>
      <c r="I4387" s="196"/>
      <c r="J4387" s="179" t="str">
        <f>IF(A4387="RAPPI",(VLOOKUP(TRIM(D4387), CATALOGO!F:G, 2, FALSE) * C4387)+I4387,IFERROR(IF(COUNTIF('RESTAURANTESDESCUENTOS 2026'!A:A,TRIM(A4387))&gt;0,((VLOOKUP(TRIM(D4387), CATALOGO!A:B, 2, FALSE) * C4387)*(1-VALUE(SUBSTITUTE(VLOOKUP(TRIM(A4387),'RESTAURANTESDESCUENTOS 2026'!A:B,2,FALSE),"%",""))/100)+I4387),(VLOOKUP(TRIM(D4387), CATALOGO!A:B, 2, FALSE) * C4387+I4387)),""))</f>
        <v/>
      </c>
      <c r="K4387" s="196"/>
      <c r="L4387" s="87"/>
      <c r="M4387" s="245"/>
      <c r="N4387" s="168"/>
    </row>
    <row r="4388" ht="22.5" hidden="1" customHeight="1">
      <c r="A4388" s="137"/>
      <c r="B4388" s="90"/>
      <c r="C4388" s="55"/>
      <c r="D4388" s="193"/>
      <c r="E4388" s="201"/>
      <c r="F4388" s="202"/>
      <c r="G4388" s="194"/>
      <c r="H4388" s="198"/>
      <c r="I4388" s="196"/>
      <c r="J4388" s="179" t="str">
        <f>IF(A4388="RAPPI",(VLOOKUP(TRIM(D4388), CATALOGO!F:G, 2, FALSE) * C4388)+I4388,IFERROR(IF(COUNTIF('RESTAURANTESDESCUENTOS 2026'!A:A,TRIM(A4388))&gt;0,((VLOOKUP(TRIM(D4388), CATALOGO!A:B, 2, FALSE) * C4388)*(1-VALUE(SUBSTITUTE(VLOOKUP(TRIM(A4388),'RESTAURANTESDESCUENTOS 2026'!A:B,2,FALSE),"%",""))/100)+I4388),(VLOOKUP(TRIM(D4388), CATALOGO!A:B, 2, FALSE) * C4388+I4388)),""))</f>
        <v/>
      </c>
      <c r="K4388" s="196"/>
      <c r="L4388" s="87"/>
      <c r="M4388" s="245"/>
      <c r="N4388" s="168"/>
    </row>
    <row r="4389" ht="22.5" hidden="1" customHeight="1">
      <c r="A4389" s="137"/>
      <c r="B4389" s="90"/>
      <c r="C4389" s="55"/>
      <c r="D4389" s="193"/>
      <c r="E4389" s="201"/>
      <c r="F4389" s="202"/>
      <c r="G4389" s="194"/>
      <c r="H4389" s="198"/>
      <c r="I4389" s="196"/>
      <c r="J4389" s="179" t="str">
        <f>IF(A4389="RAPPI",(VLOOKUP(TRIM(D4389), CATALOGO!F:G, 2, FALSE) * C4389)+I4389,IFERROR(IF(COUNTIF('RESTAURANTESDESCUENTOS 2026'!A:A,TRIM(A4389))&gt;0,((VLOOKUP(TRIM(D4389), CATALOGO!A:B, 2, FALSE) * C4389)*(1-VALUE(SUBSTITUTE(VLOOKUP(TRIM(A4389),'RESTAURANTESDESCUENTOS 2026'!A:B,2,FALSE),"%",""))/100)+I4389),(VLOOKUP(TRIM(D4389), CATALOGO!A:B, 2, FALSE) * C4389+I4389)),""))</f>
        <v/>
      </c>
      <c r="K4389" s="196"/>
      <c r="L4389" s="87"/>
      <c r="M4389" s="245"/>
      <c r="N4389" s="168"/>
    </row>
    <row r="4390" ht="22.5" hidden="1" customHeight="1">
      <c r="A4390" s="137"/>
      <c r="B4390" s="90"/>
      <c r="C4390" s="55"/>
      <c r="D4390" s="193"/>
      <c r="E4390" s="201"/>
      <c r="F4390" s="202"/>
      <c r="G4390" s="194"/>
      <c r="H4390" s="198"/>
      <c r="I4390" s="196"/>
      <c r="J4390" s="179" t="str">
        <f>IF(A4390="RAPPI",(VLOOKUP(TRIM(D4390), CATALOGO!F:G, 2, FALSE) * C4390)+I4390,IFERROR(IF(COUNTIF('RESTAURANTESDESCUENTOS 2026'!A:A,TRIM(A4390))&gt;0,((VLOOKUP(TRIM(D4390), CATALOGO!A:B, 2, FALSE) * C4390)*(1-VALUE(SUBSTITUTE(VLOOKUP(TRIM(A4390),'RESTAURANTESDESCUENTOS 2026'!A:B,2,FALSE),"%",""))/100)+I4390),(VLOOKUP(TRIM(D4390), CATALOGO!A:B, 2, FALSE) * C4390+I4390)),""))</f>
        <v/>
      </c>
      <c r="K4390" s="196"/>
      <c r="L4390" s="87"/>
      <c r="M4390" s="245"/>
      <c r="N4390" s="168"/>
    </row>
    <row r="4391" ht="22.5" hidden="1" customHeight="1">
      <c r="A4391" s="137"/>
      <c r="B4391" s="90"/>
      <c r="C4391" s="55"/>
      <c r="D4391" s="193"/>
      <c r="E4391" s="201"/>
      <c r="F4391" s="202"/>
      <c r="G4391" s="194"/>
      <c r="H4391" s="198"/>
      <c r="I4391" s="196"/>
      <c r="J4391" s="179" t="str">
        <f>IF(A4391="RAPPI",(VLOOKUP(TRIM(D4391), CATALOGO!F:G, 2, FALSE) * C4391)+I4391,IFERROR(IF(COUNTIF('RESTAURANTESDESCUENTOS 2026'!A:A,TRIM(A4391))&gt;0,((VLOOKUP(TRIM(D4391), CATALOGO!A:B, 2, FALSE) * C4391)*(1-VALUE(SUBSTITUTE(VLOOKUP(TRIM(A4391),'RESTAURANTESDESCUENTOS 2026'!A:B,2,FALSE),"%",""))/100)+I4391),(VLOOKUP(TRIM(D4391), CATALOGO!A:B, 2, FALSE) * C4391+I4391)),""))</f>
        <v/>
      </c>
      <c r="K4391" s="196"/>
      <c r="L4391" s="87"/>
      <c r="M4391" s="245"/>
      <c r="N4391" s="168"/>
    </row>
    <row r="4392" ht="22.5" hidden="1" customHeight="1">
      <c r="A4392" s="137"/>
      <c r="B4392" s="90"/>
      <c r="C4392" s="55"/>
      <c r="D4392" s="193"/>
      <c r="E4392" s="201"/>
      <c r="F4392" s="202"/>
      <c r="G4392" s="194"/>
      <c r="H4392" s="198"/>
      <c r="I4392" s="196"/>
      <c r="J4392" s="179" t="str">
        <f>IF(A4392="RAPPI",(VLOOKUP(TRIM(D4392), CATALOGO!F:G, 2, FALSE) * C4392)+I4392,IFERROR(IF(COUNTIF('RESTAURANTESDESCUENTOS 2026'!A:A,TRIM(A4392))&gt;0,((VLOOKUP(TRIM(D4392), CATALOGO!A:B, 2, FALSE) * C4392)*(1-VALUE(SUBSTITUTE(VLOOKUP(TRIM(A4392),'RESTAURANTESDESCUENTOS 2026'!A:B,2,FALSE),"%",""))/100)+I4392),(VLOOKUP(TRIM(D4392), CATALOGO!A:B, 2, FALSE) * C4392+I4392)),""))</f>
        <v/>
      </c>
      <c r="K4392" s="196"/>
      <c r="L4392" s="87"/>
      <c r="M4392" s="245"/>
      <c r="N4392" s="168"/>
    </row>
    <row r="4393" ht="22.5" hidden="1" customHeight="1">
      <c r="A4393" s="137"/>
      <c r="B4393" s="90"/>
      <c r="C4393" s="55"/>
      <c r="D4393" s="193"/>
      <c r="E4393" s="201"/>
      <c r="F4393" s="202"/>
      <c r="G4393" s="194"/>
      <c r="H4393" s="198"/>
      <c r="I4393" s="196"/>
      <c r="J4393" s="179" t="str">
        <f>IF(A4393="RAPPI",(VLOOKUP(TRIM(D4393), CATALOGO!F:G, 2, FALSE) * C4393)+I4393,IFERROR(IF(COUNTIF('RESTAURANTESDESCUENTOS 2026'!A:A,TRIM(A4393))&gt;0,((VLOOKUP(TRIM(D4393), CATALOGO!A:B, 2, FALSE) * C4393)*(1-VALUE(SUBSTITUTE(VLOOKUP(TRIM(A4393),'RESTAURANTESDESCUENTOS 2026'!A:B,2,FALSE),"%",""))/100)+I4393),(VLOOKUP(TRIM(D4393), CATALOGO!A:B, 2, FALSE) * C4393+I4393)),""))</f>
        <v/>
      </c>
      <c r="K4393" s="196"/>
      <c r="L4393" s="87"/>
      <c r="M4393" s="245"/>
      <c r="N4393" s="168"/>
    </row>
    <row r="4394" ht="22.5" hidden="1" customHeight="1">
      <c r="A4394" s="137"/>
      <c r="B4394" s="90"/>
      <c r="C4394" s="55"/>
      <c r="D4394" s="193"/>
      <c r="E4394" s="201"/>
      <c r="F4394" s="202"/>
      <c r="G4394" s="194"/>
      <c r="H4394" s="198"/>
      <c r="I4394" s="196"/>
      <c r="J4394" s="179" t="str">
        <f>IF(A4394="RAPPI",(VLOOKUP(TRIM(D4394), CATALOGO!F:G, 2, FALSE) * C4394)+I4394,IFERROR(IF(COUNTIF('RESTAURANTESDESCUENTOS 2026'!A:A,TRIM(A4394))&gt;0,((VLOOKUP(TRIM(D4394), CATALOGO!A:B, 2, FALSE) * C4394)*(1-VALUE(SUBSTITUTE(VLOOKUP(TRIM(A4394),'RESTAURANTESDESCUENTOS 2026'!A:B,2,FALSE),"%",""))/100)+I4394),(VLOOKUP(TRIM(D4394), CATALOGO!A:B, 2, FALSE) * C4394+I4394)),""))</f>
        <v/>
      </c>
      <c r="K4394" s="196"/>
      <c r="L4394" s="87"/>
      <c r="M4394" s="245"/>
      <c r="N4394" s="168"/>
    </row>
    <row r="4395" ht="22.5" hidden="1" customHeight="1">
      <c r="A4395" s="137"/>
      <c r="B4395" s="90"/>
      <c r="C4395" s="55"/>
      <c r="D4395" s="193"/>
      <c r="E4395" s="201"/>
      <c r="F4395" s="202"/>
      <c r="G4395" s="194"/>
      <c r="H4395" s="198"/>
      <c r="I4395" s="196"/>
      <c r="J4395" s="179" t="str">
        <f>IF(A4395="RAPPI",(VLOOKUP(TRIM(D4395), CATALOGO!F:G, 2, FALSE) * C4395)+I4395,IFERROR(IF(COUNTIF('RESTAURANTESDESCUENTOS 2026'!A:A,TRIM(A4395))&gt;0,((VLOOKUP(TRIM(D4395), CATALOGO!A:B, 2, FALSE) * C4395)*(1-VALUE(SUBSTITUTE(VLOOKUP(TRIM(A4395),'RESTAURANTESDESCUENTOS 2026'!A:B,2,FALSE),"%",""))/100)+I4395),(VLOOKUP(TRIM(D4395), CATALOGO!A:B, 2, FALSE) * C4395+I4395)),""))</f>
        <v/>
      </c>
      <c r="K4395" s="196"/>
      <c r="L4395" s="87"/>
      <c r="M4395" s="245"/>
      <c r="N4395" s="168"/>
    </row>
    <row r="4396" ht="22.5" hidden="1" customHeight="1">
      <c r="A4396" s="137"/>
      <c r="B4396" s="90"/>
      <c r="C4396" s="55"/>
      <c r="D4396" s="193"/>
      <c r="E4396" s="201"/>
      <c r="F4396" s="202"/>
      <c r="G4396" s="194"/>
      <c r="H4396" s="198"/>
      <c r="I4396" s="196"/>
      <c r="J4396" s="179" t="str">
        <f>IF(A4396="RAPPI",(VLOOKUP(TRIM(D4396), CATALOGO!F:G, 2, FALSE) * C4396)+I4396,IFERROR(IF(COUNTIF('RESTAURANTESDESCUENTOS 2026'!A:A,TRIM(A4396))&gt;0,((VLOOKUP(TRIM(D4396), CATALOGO!A:B, 2, FALSE) * C4396)*(1-VALUE(SUBSTITUTE(VLOOKUP(TRIM(A4396),'RESTAURANTESDESCUENTOS 2026'!A:B,2,FALSE),"%",""))/100)+I4396),(VLOOKUP(TRIM(D4396), CATALOGO!A:B, 2, FALSE) * C4396+I4396)),""))</f>
        <v/>
      </c>
      <c r="K4396" s="196"/>
      <c r="L4396" s="87"/>
      <c r="M4396" s="245"/>
      <c r="N4396" s="168"/>
    </row>
    <row r="4397" ht="22.5" hidden="1" customHeight="1">
      <c r="A4397" s="137"/>
      <c r="B4397" s="90"/>
      <c r="C4397" s="55"/>
      <c r="D4397" s="193"/>
      <c r="E4397" s="201"/>
      <c r="F4397" s="202"/>
      <c r="G4397" s="194"/>
      <c r="H4397" s="198"/>
      <c r="I4397" s="196"/>
      <c r="J4397" s="179" t="str">
        <f>IF(A4397="RAPPI",(VLOOKUP(TRIM(D4397), CATALOGO!F:G, 2, FALSE) * C4397)+I4397,IFERROR(IF(COUNTIF('RESTAURANTESDESCUENTOS 2026'!A:A,TRIM(A4397))&gt;0,((VLOOKUP(TRIM(D4397), CATALOGO!A:B, 2, FALSE) * C4397)*(1-VALUE(SUBSTITUTE(VLOOKUP(TRIM(A4397),'RESTAURANTESDESCUENTOS 2026'!A:B,2,FALSE),"%",""))/100)+I4397),(VLOOKUP(TRIM(D4397), CATALOGO!A:B, 2, FALSE) * C4397+I4397)),""))</f>
        <v/>
      </c>
      <c r="K4397" s="196"/>
      <c r="L4397" s="87"/>
      <c r="M4397" s="245"/>
      <c r="N4397" s="168"/>
    </row>
    <row r="4398" ht="22.5" hidden="1" customHeight="1">
      <c r="A4398" s="137"/>
      <c r="B4398" s="90"/>
      <c r="C4398" s="55"/>
      <c r="D4398" s="193"/>
      <c r="E4398" s="201"/>
      <c r="F4398" s="202"/>
      <c r="G4398" s="194"/>
      <c r="H4398" s="198"/>
      <c r="I4398" s="196"/>
      <c r="J4398" s="179" t="str">
        <f>IF(A4398="RAPPI",(VLOOKUP(TRIM(D4398), CATALOGO!F:G, 2, FALSE) * C4398)+I4398,IFERROR(IF(COUNTIF('RESTAURANTESDESCUENTOS 2026'!A:A,TRIM(A4398))&gt;0,((VLOOKUP(TRIM(D4398), CATALOGO!A:B, 2, FALSE) * C4398)*(1-VALUE(SUBSTITUTE(VLOOKUP(TRIM(A4398),'RESTAURANTESDESCUENTOS 2026'!A:B,2,FALSE),"%",""))/100)+I4398),(VLOOKUP(TRIM(D4398), CATALOGO!A:B, 2, FALSE) * C4398+I4398)),""))</f>
        <v/>
      </c>
      <c r="K4398" s="196"/>
      <c r="L4398" s="87"/>
      <c r="M4398" s="245"/>
      <c r="N4398" s="168"/>
    </row>
    <row r="4399" ht="22.5" hidden="1" customHeight="1">
      <c r="A4399" s="137"/>
      <c r="B4399" s="90"/>
      <c r="C4399" s="55"/>
      <c r="D4399" s="193"/>
      <c r="E4399" s="201"/>
      <c r="F4399" s="202"/>
      <c r="G4399" s="194"/>
      <c r="H4399" s="198"/>
      <c r="I4399" s="196"/>
      <c r="J4399" s="179" t="str">
        <f>IF(A4399="RAPPI",(VLOOKUP(TRIM(D4399), CATALOGO!F:G, 2, FALSE) * C4399)+I4399,IFERROR(IF(COUNTIF('RESTAURANTESDESCUENTOS 2026'!A:A,TRIM(A4399))&gt;0,((VLOOKUP(TRIM(D4399), CATALOGO!A:B, 2, FALSE) * C4399)*(1-VALUE(SUBSTITUTE(VLOOKUP(TRIM(A4399),'RESTAURANTESDESCUENTOS 2026'!A:B,2,FALSE),"%",""))/100)+I4399),(VLOOKUP(TRIM(D4399), CATALOGO!A:B, 2, FALSE) * C4399+I4399)),""))</f>
        <v/>
      </c>
      <c r="K4399" s="196"/>
      <c r="L4399" s="87"/>
      <c r="M4399" s="245"/>
      <c r="N4399" s="168"/>
    </row>
    <row r="4400" ht="22.5" hidden="1" customHeight="1">
      <c r="A4400" s="137"/>
      <c r="B4400" s="90"/>
      <c r="C4400" s="55"/>
      <c r="D4400" s="193"/>
      <c r="E4400" s="201"/>
      <c r="F4400" s="202"/>
      <c r="G4400" s="194"/>
      <c r="H4400" s="198"/>
      <c r="I4400" s="196"/>
      <c r="J4400" s="179" t="str">
        <f>IF(A4400="RAPPI",(VLOOKUP(TRIM(D4400), CATALOGO!F:G, 2, FALSE) * C4400)+I4400,IFERROR(IF(COUNTIF('RESTAURANTESDESCUENTOS 2026'!A:A,TRIM(A4400))&gt;0,((VLOOKUP(TRIM(D4400), CATALOGO!A:B, 2, FALSE) * C4400)*(1-VALUE(SUBSTITUTE(VLOOKUP(TRIM(A4400),'RESTAURANTESDESCUENTOS 2026'!A:B,2,FALSE),"%",""))/100)+I4400),(VLOOKUP(TRIM(D4400), CATALOGO!A:B, 2, FALSE) * C4400+I4400)),""))</f>
        <v/>
      </c>
      <c r="K4400" s="196"/>
      <c r="L4400" s="87"/>
      <c r="M4400" s="245"/>
      <c r="N4400" s="168"/>
    </row>
    <row r="4401" ht="22.5" hidden="1" customHeight="1">
      <c r="A4401" s="137"/>
      <c r="B4401" s="90"/>
      <c r="C4401" s="55"/>
      <c r="D4401" s="193"/>
      <c r="E4401" s="201"/>
      <c r="F4401" s="202"/>
      <c r="G4401" s="194"/>
      <c r="H4401" s="198"/>
      <c r="I4401" s="196"/>
      <c r="J4401" s="179" t="str">
        <f>IF(A4401="RAPPI",(VLOOKUP(TRIM(D4401), CATALOGO!F:G, 2, FALSE) * C4401)+I4401,IFERROR(IF(COUNTIF('RESTAURANTESDESCUENTOS 2026'!A:A,TRIM(A4401))&gt;0,((VLOOKUP(TRIM(D4401), CATALOGO!A:B, 2, FALSE) * C4401)*(1-VALUE(SUBSTITUTE(VLOOKUP(TRIM(A4401),'RESTAURANTESDESCUENTOS 2026'!A:B,2,FALSE),"%",""))/100)+I4401),(VLOOKUP(TRIM(D4401), CATALOGO!A:B, 2, FALSE) * C4401+I4401)),""))</f>
        <v/>
      </c>
      <c r="K4401" s="196"/>
      <c r="L4401" s="87"/>
      <c r="M4401" s="245"/>
      <c r="N4401" s="168"/>
    </row>
    <row r="4402" ht="22.5" hidden="1" customHeight="1">
      <c r="A4402" s="137"/>
      <c r="B4402" s="90"/>
      <c r="C4402" s="55"/>
      <c r="D4402" s="193"/>
      <c r="E4402" s="201"/>
      <c r="F4402" s="202"/>
      <c r="G4402" s="194"/>
      <c r="H4402" s="198"/>
      <c r="I4402" s="196"/>
      <c r="J4402" s="179" t="str">
        <f>IF(A4402="RAPPI",(VLOOKUP(TRIM(D4402), CATALOGO!F:G, 2, FALSE) * C4402)+I4402,IFERROR(IF(COUNTIF('RESTAURANTESDESCUENTOS 2026'!A:A,TRIM(A4402))&gt;0,((VLOOKUP(TRIM(D4402), CATALOGO!A:B, 2, FALSE) * C4402)*(1-VALUE(SUBSTITUTE(VLOOKUP(TRIM(A4402),'RESTAURANTESDESCUENTOS 2026'!A:B,2,FALSE),"%",""))/100)+I4402),(VLOOKUP(TRIM(D4402), CATALOGO!A:B, 2, FALSE) * C4402+I4402)),""))</f>
        <v/>
      </c>
      <c r="K4402" s="196"/>
      <c r="L4402" s="87"/>
      <c r="M4402" s="245"/>
      <c r="N4402" s="168"/>
    </row>
    <row r="4403" ht="22.5" hidden="1" customHeight="1">
      <c r="A4403" s="137"/>
      <c r="B4403" s="90"/>
      <c r="C4403" s="55"/>
      <c r="D4403" s="193"/>
      <c r="E4403" s="201"/>
      <c r="F4403" s="202"/>
      <c r="G4403" s="194"/>
      <c r="H4403" s="198"/>
      <c r="I4403" s="196"/>
      <c r="J4403" s="179" t="str">
        <f>IF(A4403="RAPPI",(VLOOKUP(TRIM(D4403), CATALOGO!F:G, 2, FALSE) * C4403)+I4403,IFERROR(IF(COUNTIF('RESTAURANTESDESCUENTOS 2026'!A:A,TRIM(A4403))&gt;0,((VLOOKUP(TRIM(D4403), CATALOGO!A:B, 2, FALSE) * C4403)*(1-VALUE(SUBSTITUTE(VLOOKUP(TRIM(A4403),'RESTAURANTESDESCUENTOS 2026'!A:B,2,FALSE),"%",""))/100)+I4403),(VLOOKUP(TRIM(D4403), CATALOGO!A:B, 2, FALSE) * C4403+I4403)),""))</f>
        <v/>
      </c>
      <c r="K4403" s="196"/>
      <c r="L4403" s="87"/>
      <c r="M4403" s="245"/>
      <c r="N4403" s="168"/>
    </row>
    <row r="4404" ht="22.5" hidden="1" customHeight="1">
      <c r="A4404" s="137"/>
      <c r="B4404" s="90"/>
      <c r="C4404" s="55"/>
      <c r="D4404" s="193"/>
      <c r="E4404" s="201"/>
      <c r="F4404" s="202"/>
      <c r="G4404" s="194"/>
      <c r="H4404" s="198"/>
      <c r="I4404" s="196"/>
      <c r="J4404" s="179" t="str">
        <f>IF(A4404="RAPPI",(VLOOKUP(TRIM(D4404), CATALOGO!F:G, 2, FALSE) * C4404)+I4404,IFERROR(IF(COUNTIF('RESTAURANTESDESCUENTOS 2026'!A:A,TRIM(A4404))&gt;0,((VLOOKUP(TRIM(D4404), CATALOGO!A:B, 2, FALSE) * C4404)*(1-VALUE(SUBSTITUTE(VLOOKUP(TRIM(A4404),'RESTAURANTESDESCUENTOS 2026'!A:B,2,FALSE),"%",""))/100)+I4404),(VLOOKUP(TRIM(D4404), CATALOGO!A:B, 2, FALSE) * C4404+I4404)),""))</f>
        <v/>
      </c>
      <c r="K4404" s="196"/>
      <c r="L4404" s="87"/>
      <c r="M4404" s="245"/>
      <c r="N4404" s="168"/>
    </row>
    <row r="4405" ht="22.5" hidden="1" customHeight="1">
      <c r="A4405" s="137"/>
      <c r="B4405" s="90"/>
      <c r="C4405" s="55"/>
      <c r="D4405" s="193"/>
      <c r="E4405" s="201"/>
      <c r="F4405" s="202"/>
      <c r="G4405" s="194"/>
      <c r="H4405" s="198"/>
      <c r="I4405" s="196"/>
      <c r="J4405" s="179" t="str">
        <f>IF(A4405="RAPPI",(VLOOKUP(TRIM(D4405), CATALOGO!F:G, 2, FALSE) * C4405)+I4405,IFERROR(IF(COUNTIF('RESTAURANTESDESCUENTOS 2026'!A:A,TRIM(A4405))&gt;0,((VLOOKUP(TRIM(D4405), CATALOGO!A:B, 2, FALSE) * C4405)*(1-VALUE(SUBSTITUTE(VLOOKUP(TRIM(A4405),'RESTAURANTESDESCUENTOS 2026'!A:B,2,FALSE),"%",""))/100)+I4405),(VLOOKUP(TRIM(D4405), CATALOGO!A:B, 2, FALSE) * C4405+I4405)),""))</f>
        <v/>
      </c>
      <c r="K4405" s="196"/>
      <c r="L4405" s="87"/>
      <c r="M4405" s="245"/>
      <c r="N4405" s="168"/>
    </row>
    <row r="4406" ht="22.5" hidden="1" customHeight="1">
      <c r="A4406" s="137"/>
      <c r="B4406" s="90"/>
      <c r="C4406" s="55"/>
      <c r="D4406" s="193"/>
      <c r="E4406" s="201"/>
      <c r="F4406" s="202"/>
      <c r="G4406" s="194"/>
      <c r="H4406" s="198"/>
      <c r="I4406" s="196"/>
      <c r="J4406" s="179" t="str">
        <f>IF(A4406="RAPPI",(VLOOKUP(TRIM(D4406), CATALOGO!F:G, 2, FALSE) * C4406)+I4406,IFERROR(IF(COUNTIF('RESTAURANTESDESCUENTOS 2026'!A:A,TRIM(A4406))&gt;0,((VLOOKUP(TRIM(D4406), CATALOGO!A:B, 2, FALSE) * C4406)*(1-VALUE(SUBSTITUTE(VLOOKUP(TRIM(A4406),'RESTAURANTESDESCUENTOS 2026'!A:B,2,FALSE),"%",""))/100)+I4406),(VLOOKUP(TRIM(D4406), CATALOGO!A:B, 2, FALSE) * C4406+I4406)),""))</f>
        <v/>
      </c>
      <c r="K4406" s="196"/>
      <c r="L4406" s="87"/>
      <c r="M4406" s="245"/>
      <c r="N4406" s="168"/>
    </row>
    <row r="4407" ht="22.5" hidden="1" customHeight="1">
      <c r="A4407" s="137"/>
      <c r="B4407" s="90"/>
      <c r="C4407" s="55"/>
      <c r="D4407" s="193"/>
      <c r="E4407" s="201"/>
      <c r="F4407" s="202"/>
      <c r="G4407" s="194"/>
      <c r="H4407" s="198"/>
      <c r="I4407" s="196"/>
      <c r="J4407" s="179" t="str">
        <f>IF(A4407="RAPPI",(VLOOKUP(TRIM(D4407), CATALOGO!F:G, 2, FALSE) * C4407)+I4407,IFERROR(IF(COUNTIF('RESTAURANTESDESCUENTOS 2026'!A:A,TRIM(A4407))&gt;0,((VLOOKUP(TRIM(D4407), CATALOGO!A:B, 2, FALSE) * C4407)*(1-VALUE(SUBSTITUTE(VLOOKUP(TRIM(A4407),'RESTAURANTESDESCUENTOS 2026'!A:B,2,FALSE),"%",""))/100)+I4407),(VLOOKUP(TRIM(D4407), CATALOGO!A:B, 2, FALSE) * C4407+I4407)),""))</f>
        <v/>
      </c>
      <c r="K4407" s="196"/>
      <c r="L4407" s="87"/>
      <c r="M4407" s="245"/>
      <c r="N4407" s="168"/>
    </row>
    <row r="4408" ht="22.5" hidden="1" customHeight="1">
      <c r="A4408" s="137"/>
      <c r="B4408" s="90"/>
      <c r="C4408" s="55"/>
      <c r="D4408" s="193"/>
      <c r="E4408" s="201"/>
      <c r="F4408" s="202"/>
      <c r="G4408" s="194"/>
      <c r="H4408" s="198"/>
      <c r="I4408" s="196"/>
      <c r="J4408" s="179" t="str">
        <f>IF(A4408="RAPPI",(VLOOKUP(TRIM(D4408), CATALOGO!F:G, 2, FALSE) * C4408)+I4408,IFERROR(IF(COUNTIF('RESTAURANTESDESCUENTOS 2026'!A:A,TRIM(A4408))&gt;0,((VLOOKUP(TRIM(D4408), CATALOGO!A:B, 2, FALSE) * C4408)*(1-VALUE(SUBSTITUTE(VLOOKUP(TRIM(A4408),'RESTAURANTESDESCUENTOS 2026'!A:B,2,FALSE),"%",""))/100)+I4408),(VLOOKUP(TRIM(D4408), CATALOGO!A:B, 2, FALSE) * C4408+I4408)),""))</f>
        <v/>
      </c>
      <c r="K4408" s="196"/>
      <c r="L4408" s="87"/>
      <c r="M4408" s="245"/>
      <c r="N4408" s="168"/>
    </row>
    <row r="4409" ht="22.5" hidden="1" customHeight="1">
      <c r="A4409" s="137"/>
      <c r="B4409" s="90"/>
      <c r="C4409" s="55"/>
      <c r="D4409" s="193"/>
      <c r="E4409" s="201"/>
      <c r="F4409" s="202"/>
      <c r="G4409" s="194"/>
      <c r="H4409" s="198"/>
      <c r="I4409" s="196"/>
      <c r="J4409" s="179" t="str">
        <f>IF(A4409="RAPPI",(VLOOKUP(TRIM(D4409), CATALOGO!F:G, 2, FALSE) * C4409)+I4409,IFERROR(IF(COUNTIF('RESTAURANTESDESCUENTOS 2026'!A:A,TRIM(A4409))&gt;0,((VLOOKUP(TRIM(D4409), CATALOGO!A:B, 2, FALSE) * C4409)*(1-VALUE(SUBSTITUTE(VLOOKUP(TRIM(A4409),'RESTAURANTESDESCUENTOS 2026'!A:B,2,FALSE),"%",""))/100)+I4409),(VLOOKUP(TRIM(D4409), CATALOGO!A:B, 2, FALSE) * C4409+I4409)),""))</f>
        <v/>
      </c>
      <c r="K4409" s="196"/>
      <c r="L4409" s="87"/>
      <c r="M4409" s="245"/>
      <c r="N4409" s="168"/>
    </row>
    <row r="4410" ht="22.5" hidden="1" customHeight="1">
      <c r="A4410" s="137"/>
      <c r="B4410" s="90"/>
      <c r="C4410" s="55"/>
      <c r="D4410" s="193"/>
      <c r="E4410" s="201"/>
      <c r="F4410" s="202"/>
      <c r="G4410" s="194"/>
      <c r="H4410" s="198"/>
      <c r="I4410" s="196"/>
      <c r="J4410" s="179" t="str">
        <f>IF(A4410="RAPPI",(VLOOKUP(TRIM(D4410), CATALOGO!F:G, 2, FALSE) * C4410)+I4410,IFERROR(IF(COUNTIF('RESTAURANTESDESCUENTOS 2026'!A:A,TRIM(A4410))&gt;0,((VLOOKUP(TRIM(D4410), CATALOGO!A:B, 2, FALSE) * C4410)*(1-VALUE(SUBSTITUTE(VLOOKUP(TRIM(A4410),'RESTAURANTESDESCUENTOS 2026'!A:B,2,FALSE),"%",""))/100)+I4410),(VLOOKUP(TRIM(D4410), CATALOGO!A:B, 2, FALSE) * C4410+I4410)),""))</f>
        <v/>
      </c>
      <c r="K4410" s="196"/>
      <c r="L4410" s="87"/>
      <c r="M4410" s="245"/>
      <c r="N4410" s="168"/>
    </row>
    <row r="4411" ht="22.5" hidden="1" customHeight="1">
      <c r="A4411" s="137"/>
      <c r="B4411" s="90"/>
      <c r="C4411" s="55"/>
      <c r="D4411" s="193"/>
      <c r="E4411" s="201"/>
      <c r="F4411" s="202"/>
      <c r="G4411" s="194"/>
      <c r="H4411" s="198"/>
      <c r="I4411" s="196"/>
      <c r="J4411" s="179" t="str">
        <f>IF(A4411="RAPPI",(VLOOKUP(TRIM(D4411), CATALOGO!F:G, 2, FALSE) * C4411)+I4411,IFERROR(IF(COUNTIF('RESTAURANTESDESCUENTOS 2026'!A:A,TRIM(A4411))&gt;0,((VLOOKUP(TRIM(D4411), CATALOGO!A:B, 2, FALSE) * C4411)*(1-VALUE(SUBSTITUTE(VLOOKUP(TRIM(A4411),'RESTAURANTESDESCUENTOS 2026'!A:B,2,FALSE),"%",""))/100)+I4411),(VLOOKUP(TRIM(D4411), CATALOGO!A:B, 2, FALSE) * C4411+I4411)),""))</f>
        <v/>
      </c>
      <c r="K4411" s="196"/>
      <c r="L4411" s="87"/>
      <c r="M4411" s="245"/>
      <c r="N4411" s="168"/>
    </row>
    <row r="4412" ht="22.5" hidden="1" customHeight="1">
      <c r="A4412" s="137"/>
      <c r="B4412" s="90"/>
      <c r="C4412" s="55"/>
      <c r="D4412" s="193"/>
      <c r="E4412" s="201"/>
      <c r="F4412" s="202"/>
      <c r="G4412" s="194"/>
      <c r="H4412" s="198"/>
      <c r="I4412" s="196"/>
      <c r="J4412" s="179" t="str">
        <f>IF(A4412="RAPPI",(VLOOKUP(TRIM(D4412), CATALOGO!F:G, 2, FALSE) * C4412)+I4412,IFERROR(IF(COUNTIF('RESTAURANTESDESCUENTOS 2026'!A:A,TRIM(A4412))&gt;0,((VLOOKUP(TRIM(D4412), CATALOGO!A:B, 2, FALSE) * C4412)*(1-VALUE(SUBSTITUTE(VLOOKUP(TRIM(A4412),'RESTAURANTESDESCUENTOS 2026'!A:B,2,FALSE),"%",""))/100)+I4412),(VLOOKUP(TRIM(D4412), CATALOGO!A:B, 2, FALSE) * C4412+I4412)),""))</f>
        <v/>
      </c>
      <c r="K4412" s="196"/>
      <c r="L4412" s="87"/>
      <c r="M4412" s="245"/>
      <c r="N4412" s="168"/>
    </row>
    <row r="4413" ht="22.5" hidden="1" customHeight="1">
      <c r="A4413" s="137"/>
      <c r="B4413" s="90"/>
      <c r="C4413" s="55"/>
      <c r="D4413" s="193"/>
      <c r="E4413" s="201"/>
      <c r="F4413" s="202"/>
      <c r="G4413" s="194"/>
      <c r="H4413" s="198"/>
      <c r="I4413" s="196"/>
      <c r="J4413" s="179" t="str">
        <f>IF(A4413="RAPPI",(VLOOKUP(TRIM(D4413), CATALOGO!F:G, 2, FALSE) * C4413)+I4413,IFERROR(IF(COUNTIF('RESTAURANTESDESCUENTOS 2026'!A:A,TRIM(A4413))&gt;0,((VLOOKUP(TRIM(D4413), CATALOGO!A:B, 2, FALSE) * C4413)*(1-VALUE(SUBSTITUTE(VLOOKUP(TRIM(A4413),'RESTAURANTESDESCUENTOS 2026'!A:B,2,FALSE),"%",""))/100)+I4413),(VLOOKUP(TRIM(D4413), CATALOGO!A:B, 2, FALSE) * C4413+I4413)),""))</f>
        <v/>
      </c>
      <c r="K4413" s="196"/>
      <c r="L4413" s="87"/>
      <c r="M4413" s="245"/>
      <c r="N4413" s="168"/>
    </row>
    <row r="4414" ht="22.5" hidden="1" customHeight="1">
      <c r="A4414" s="137"/>
      <c r="B4414" s="90"/>
      <c r="C4414" s="55"/>
      <c r="D4414" s="193"/>
      <c r="E4414" s="201"/>
      <c r="F4414" s="202"/>
      <c r="G4414" s="194"/>
      <c r="H4414" s="198"/>
      <c r="I4414" s="196"/>
      <c r="J4414" s="179" t="str">
        <f>IF(A4414="RAPPI",(VLOOKUP(TRIM(D4414), CATALOGO!F:G, 2, FALSE) * C4414)+I4414,IFERROR(IF(COUNTIF('RESTAURANTESDESCUENTOS 2026'!A:A,TRIM(A4414))&gt;0,((VLOOKUP(TRIM(D4414), CATALOGO!A:B, 2, FALSE) * C4414)*(1-VALUE(SUBSTITUTE(VLOOKUP(TRIM(A4414),'RESTAURANTESDESCUENTOS 2026'!A:B,2,FALSE),"%",""))/100)+I4414),(VLOOKUP(TRIM(D4414), CATALOGO!A:B, 2, FALSE) * C4414+I4414)),""))</f>
        <v/>
      </c>
      <c r="K4414" s="196"/>
      <c r="L4414" s="87"/>
      <c r="M4414" s="245"/>
      <c r="N4414" s="168"/>
    </row>
    <row r="4415" ht="22.5" hidden="1" customHeight="1">
      <c r="A4415" s="137"/>
      <c r="B4415" s="90"/>
      <c r="C4415" s="55"/>
      <c r="D4415" s="193"/>
      <c r="E4415" s="201"/>
      <c r="F4415" s="202"/>
      <c r="G4415" s="194"/>
      <c r="H4415" s="198"/>
      <c r="I4415" s="196"/>
      <c r="J4415" s="179" t="str">
        <f>IF(A4415="RAPPI",(VLOOKUP(TRIM(D4415), CATALOGO!F:G, 2, FALSE) * C4415)+I4415,IFERROR(IF(COUNTIF('RESTAURANTESDESCUENTOS 2026'!A:A,TRIM(A4415))&gt;0,((VLOOKUP(TRIM(D4415), CATALOGO!A:B, 2, FALSE) * C4415)*(1-VALUE(SUBSTITUTE(VLOOKUP(TRIM(A4415),'RESTAURANTESDESCUENTOS 2026'!A:B,2,FALSE),"%",""))/100)+I4415),(VLOOKUP(TRIM(D4415), CATALOGO!A:B, 2, FALSE) * C4415+I4415)),""))</f>
        <v/>
      </c>
      <c r="K4415" s="196"/>
      <c r="L4415" s="87"/>
      <c r="M4415" s="245"/>
      <c r="N4415" s="168"/>
    </row>
    <row r="4416" ht="22.5" hidden="1" customHeight="1">
      <c r="A4416" s="137"/>
      <c r="B4416" s="90"/>
      <c r="C4416" s="55"/>
      <c r="D4416" s="193"/>
      <c r="E4416" s="201"/>
      <c r="F4416" s="202"/>
      <c r="G4416" s="194"/>
      <c r="H4416" s="198"/>
      <c r="I4416" s="196"/>
      <c r="J4416" s="179" t="str">
        <f>IF(A4416="RAPPI",(VLOOKUP(TRIM(D4416), CATALOGO!F:G, 2, FALSE) * C4416)+I4416,IFERROR(IF(COUNTIF('RESTAURANTESDESCUENTOS 2026'!A:A,TRIM(A4416))&gt;0,((VLOOKUP(TRIM(D4416), CATALOGO!A:B, 2, FALSE) * C4416)*(1-VALUE(SUBSTITUTE(VLOOKUP(TRIM(A4416),'RESTAURANTESDESCUENTOS 2026'!A:B,2,FALSE),"%",""))/100)+I4416),(VLOOKUP(TRIM(D4416), CATALOGO!A:B, 2, FALSE) * C4416+I4416)),""))</f>
        <v/>
      </c>
      <c r="K4416" s="196"/>
      <c r="L4416" s="87"/>
      <c r="M4416" s="245"/>
      <c r="N4416" s="168"/>
    </row>
    <row r="4417" ht="22.5" hidden="1" customHeight="1">
      <c r="A4417" s="137"/>
      <c r="B4417" s="90"/>
      <c r="C4417" s="55"/>
      <c r="D4417" s="193"/>
      <c r="E4417" s="201"/>
      <c r="F4417" s="202"/>
      <c r="G4417" s="194"/>
      <c r="H4417" s="198"/>
      <c r="I4417" s="196"/>
      <c r="J4417" s="179" t="str">
        <f>IF(A4417="RAPPI",(VLOOKUP(TRIM(D4417), CATALOGO!F:G, 2, FALSE) * C4417)+I4417,IFERROR(IF(COUNTIF('RESTAURANTESDESCUENTOS 2026'!A:A,TRIM(A4417))&gt;0,((VLOOKUP(TRIM(D4417), CATALOGO!A:B, 2, FALSE) * C4417)*(1-VALUE(SUBSTITUTE(VLOOKUP(TRIM(A4417),'RESTAURANTESDESCUENTOS 2026'!A:B,2,FALSE),"%",""))/100)+I4417),(VLOOKUP(TRIM(D4417), CATALOGO!A:B, 2, FALSE) * C4417+I4417)),""))</f>
        <v/>
      </c>
      <c r="K4417" s="196"/>
      <c r="L4417" s="87"/>
      <c r="M4417" s="245"/>
      <c r="N4417" s="168"/>
    </row>
    <row r="4418" ht="22.5" hidden="1" customHeight="1">
      <c r="A4418" s="137"/>
      <c r="B4418" s="90"/>
      <c r="C4418" s="55"/>
      <c r="D4418" s="193"/>
      <c r="E4418" s="201"/>
      <c r="F4418" s="202"/>
      <c r="G4418" s="194"/>
      <c r="H4418" s="198"/>
      <c r="I4418" s="196"/>
      <c r="J4418" s="179" t="str">
        <f>IF(A4418="RAPPI",(VLOOKUP(TRIM(D4418), CATALOGO!F:G, 2, FALSE) * C4418)+I4418,IFERROR(IF(COUNTIF('RESTAURANTESDESCUENTOS 2026'!A:A,TRIM(A4418))&gt;0,((VLOOKUP(TRIM(D4418), CATALOGO!A:B, 2, FALSE) * C4418)*(1-VALUE(SUBSTITUTE(VLOOKUP(TRIM(A4418),'RESTAURANTESDESCUENTOS 2026'!A:B,2,FALSE),"%",""))/100)+I4418),(VLOOKUP(TRIM(D4418), CATALOGO!A:B, 2, FALSE) * C4418+I4418)),""))</f>
        <v/>
      </c>
      <c r="K4418" s="196"/>
      <c r="L4418" s="87"/>
      <c r="M4418" s="245"/>
      <c r="N4418" s="168"/>
    </row>
    <row r="4419" ht="22.5" hidden="1" customHeight="1">
      <c r="A4419" s="137"/>
      <c r="B4419" s="90"/>
      <c r="C4419" s="55"/>
      <c r="D4419" s="193"/>
      <c r="E4419" s="201"/>
      <c r="F4419" s="202"/>
      <c r="G4419" s="194"/>
      <c r="H4419" s="198"/>
      <c r="I4419" s="196"/>
      <c r="J4419" s="179" t="str">
        <f>IF(A4419="RAPPI",(VLOOKUP(TRIM(D4419), CATALOGO!F:G, 2, FALSE) * C4419)+I4419,IFERROR(IF(COUNTIF('RESTAURANTESDESCUENTOS 2026'!A:A,TRIM(A4419))&gt;0,((VLOOKUP(TRIM(D4419), CATALOGO!A:B, 2, FALSE) * C4419)*(1-VALUE(SUBSTITUTE(VLOOKUP(TRIM(A4419),'RESTAURANTESDESCUENTOS 2026'!A:B,2,FALSE),"%",""))/100)+I4419),(VLOOKUP(TRIM(D4419), CATALOGO!A:B, 2, FALSE) * C4419+I4419)),""))</f>
        <v/>
      </c>
      <c r="K4419" s="196"/>
      <c r="L4419" s="87"/>
      <c r="M4419" s="245"/>
      <c r="N4419" s="168"/>
    </row>
    <row r="4420" ht="22.5" hidden="1" customHeight="1">
      <c r="A4420" s="137"/>
      <c r="B4420" s="90"/>
      <c r="C4420" s="55"/>
      <c r="D4420" s="193"/>
      <c r="E4420" s="201"/>
      <c r="F4420" s="202"/>
      <c r="G4420" s="194"/>
      <c r="H4420" s="198"/>
      <c r="I4420" s="196"/>
      <c r="J4420" s="179" t="str">
        <f>IF(A4420="RAPPI",(VLOOKUP(TRIM(D4420), CATALOGO!F:G, 2, FALSE) * C4420)+I4420,IFERROR(IF(COUNTIF('RESTAURANTESDESCUENTOS 2026'!A:A,TRIM(A4420))&gt;0,((VLOOKUP(TRIM(D4420), CATALOGO!A:B, 2, FALSE) * C4420)*(1-VALUE(SUBSTITUTE(VLOOKUP(TRIM(A4420),'RESTAURANTESDESCUENTOS 2026'!A:B,2,FALSE),"%",""))/100)+I4420),(VLOOKUP(TRIM(D4420), CATALOGO!A:B, 2, FALSE) * C4420+I4420)),""))</f>
        <v/>
      </c>
      <c r="K4420" s="196"/>
      <c r="L4420" s="87"/>
      <c r="M4420" s="245"/>
      <c r="N4420" s="168"/>
    </row>
    <row r="4421" ht="22.5" hidden="1" customHeight="1">
      <c r="A4421" s="137"/>
      <c r="B4421" s="90"/>
      <c r="C4421" s="55"/>
      <c r="D4421" s="193"/>
      <c r="E4421" s="201"/>
      <c r="F4421" s="202"/>
      <c r="G4421" s="194"/>
      <c r="H4421" s="198"/>
      <c r="I4421" s="196"/>
      <c r="J4421" s="179" t="str">
        <f>IF(A4421="RAPPI",(VLOOKUP(TRIM(D4421), CATALOGO!F:G, 2, FALSE) * C4421)+I4421,IFERROR(IF(COUNTIF('RESTAURANTESDESCUENTOS 2026'!A:A,TRIM(A4421))&gt;0,((VLOOKUP(TRIM(D4421), CATALOGO!A:B, 2, FALSE) * C4421)*(1-VALUE(SUBSTITUTE(VLOOKUP(TRIM(A4421),'RESTAURANTESDESCUENTOS 2026'!A:B,2,FALSE),"%",""))/100)+I4421),(VLOOKUP(TRIM(D4421), CATALOGO!A:B, 2, FALSE) * C4421+I4421)),""))</f>
        <v/>
      </c>
      <c r="K4421" s="196"/>
      <c r="L4421" s="87"/>
      <c r="M4421" s="245"/>
      <c r="N4421" s="168"/>
    </row>
    <row r="4422" ht="22.5" hidden="1" customHeight="1">
      <c r="A4422" s="137"/>
      <c r="B4422" s="90"/>
      <c r="C4422" s="55"/>
      <c r="D4422" s="193"/>
      <c r="E4422" s="201"/>
      <c r="F4422" s="202"/>
      <c r="G4422" s="194"/>
      <c r="H4422" s="198"/>
      <c r="I4422" s="196"/>
      <c r="J4422" s="179" t="str">
        <f>IF(A4422="RAPPI",(VLOOKUP(TRIM(D4422), CATALOGO!F:G, 2, FALSE) * C4422)+I4422,IFERROR(IF(COUNTIF('RESTAURANTESDESCUENTOS 2026'!A:A,TRIM(A4422))&gt;0,((VLOOKUP(TRIM(D4422), CATALOGO!A:B, 2, FALSE) * C4422)*(1-VALUE(SUBSTITUTE(VLOOKUP(TRIM(A4422),'RESTAURANTESDESCUENTOS 2026'!A:B,2,FALSE),"%",""))/100)+I4422),(VLOOKUP(TRIM(D4422), CATALOGO!A:B, 2, FALSE) * C4422+I4422)),""))</f>
        <v/>
      </c>
      <c r="K4422" s="196"/>
      <c r="L4422" s="87"/>
      <c r="M4422" s="245"/>
      <c r="N4422" s="168"/>
    </row>
    <row r="4423" ht="22.5" hidden="1" customHeight="1">
      <c r="A4423" s="137"/>
      <c r="B4423" s="90"/>
      <c r="C4423" s="55"/>
      <c r="D4423" s="193"/>
      <c r="E4423" s="201"/>
      <c r="F4423" s="202"/>
      <c r="G4423" s="194"/>
      <c r="H4423" s="198"/>
      <c r="I4423" s="196"/>
      <c r="J4423" s="179" t="str">
        <f>IF(A4423="RAPPI",(VLOOKUP(TRIM(D4423), CATALOGO!F:G, 2, FALSE) * C4423)+I4423,IFERROR(IF(COUNTIF('RESTAURANTESDESCUENTOS 2026'!A:A,TRIM(A4423))&gt;0,((VLOOKUP(TRIM(D4423), CATALOGO!A:B, 2, FALSE) * C4423)*(1-VALUE(SUBSTITUTE(VLOOKUP(TRIM(A4423),'RESTAURANTESDESCUENTOS 2026'!A:B,2,FALSE),"%",""))/100)+I4423),(VLOOKUP(TRIM(D4423), CATALOGO!A:B, 2, FALSE) * C4423+I4423)),""))</f>
        <v/>
      </c>
      <c r="K4423" s="196"/>
      <c r="L4423" s="87"/>
      <c r="M4423" s="245"/>
      <c r="N4423" s="168"/>
    </row>
    <row r="4424" ht="22.5" hidden="1" customHeight="1">
      <c r="A4424" s="137"/>
      <c r="B4424" s="90"/>
      <c r="C4424" s="55"/>
      <c r="D4424" s="193"/>
      <c r="E4424" s="201"/>
      <c r="F4424" s="202"/>
      <c r="G4424" s="194"/>
      <c r="H4424" s="198"/>
      <c r="I4424" s="196"/>
      <c r="J4424" s="179" t="str">
        <f>IF(A4424="RAPPI",(VLOOKUP(TRIM(D4424), CATALOGO!F:G, 2, FALSE) * C4424)+I4424,IFERROR(IF(COUNTIF('RESTAURANTESDESCUENTOS 2026'!A:A,TRIM(A4424))&gt;0,((VLOOKUP(TRIM(D4424), CATALOGO!A:B, 2, FALSE) * C4424)*(1-VALUE(SUBSTITUTE(VLOOKUP(TRIM(A4424),'RESTAURANTESDESCUENTOS 2026'!A:B,2,FALSE),"%",""))/100)+I4424),(VLOOKUP(TRIM(D4424), CATALOGO!A:B, 2, FALSE) * C4424+I4424)),""))</f>
        <v/>
      </c>
      <c r="K4424" s="196"/>
      <c r="L4424" s="87"/>
      <c r="M4424" s="245"/>
      <c r="N4424" s="168"/>
    </row>
    <row r="4425" ht="22.5" hidden="1" customHeight="1">
      <c r="A4425" s="137"/>
      <c r="B4425" s="90"/>
      <c r="C4425" s="55"/>
      <c r="D4425" s="193"/>
      <c r="E4425" s="201"/>
      <c r="F4425" s="202"/>
      <c r="G4425" s="194"/>
      <c r="H4425" s="198"/>
      <c r="I4425" s="196"/>
      <c r="J4425" s="179" t="str">
        <f>IF(A4425="RAPPI",(VLOOKUP(TRIM(D4425), CATALOGO!F:G, 2, FALSE) * C4425)+I4425,IFERROR(IF(COUNTIF('RESTAURANTESDESCUENTOS 2026'!A:A,TRIM(A4425))&gt;0,((VLOOKUP(TRIM(D4425), CATALOGO!A:B, 2, FALSE) * C4425)*(1-VALUE(SUBSTITUTE(VLOOKUP(TRIM(A4425),'RESTAURANTESDESCUENTOS 2026'!A:B,2,FALSE),"%",""))/100)+I4425),(VLOOKUP(TRIM(D4425), CATALOGO!A:B, 2, FALSE) * C4425+I4425)),""))</f>
        <v/>
      </c>
      <c r="K4425" s="196"/>
      <c r="L4425" s="87"/>
      <c r="M4425" s="245"/>
      <c r="N4425" s="168"/>
    </row>
    <row r="4426" ht="22.5" hidden="1" customHeight="1">
      <c r="A4426" s="137"/>
      <c r="B4426" s="90"/>
      <c r="C4426" s="55"/>
      <c r="D4426" s="193"/>
      <c r="E4426" s="201"/>
      <c r="F4426" s="202"/>
      <c r="G4426" s="194"/>
      <c r="H4426" s="198"/>
      <c r="I4426" s="196"/>
      <c r="J4426" s="179" t="str">
        <f>IF(A4426="RAPPI",(VLOOKUP(TRIM(D4426), CATALOGO!F:G, 2, FALSE) * C4426)+I4426,IFERROR(IF(COUNTIF('RESTAURANTESDESCUENTOS 2026'!A:A,TRIM(A4426))&gt;0,((VLOOKUP(TRIM(D4426), CATALOGO!A:B, 2, FALSE) * C4426)*(1-VALUE(SUBSTITUTE(VLOOKUP(TRIM(A4426),'RESTAURANTESDESCUENTOS 2026'!A:B,2,FALSE),"%",""))/100)+I4426),(VLOOKUP(TRIM(D4426), CATALOGO!A:B, 2, FALSE) * C4426+I4426)),""))</f>
        <v/>
      </c>
      <c r="K4426" s="196"/>
      <c r="L4426" s="87"/>
      <c r="M4426" s="245"/>
      <c r="N4426" s="168"/>
    </row>
    <row r="4427" ht="22.5" hidden="1" customHeight="1">
      <c r="A4427" s="137"/>
      <c r="B4427" s="90"/>
      <c r="C4427" s="55"/>
      <c r="D4427" s="193"/>
      <c r="E4427" s="201"/>
      <c r="F4427" s="202"/>
      <c r="G4427" s="194"/>
      <c r="H4427" s="198"/>
      <c r="I4427" s="196"/>
      <c r="J4427" s="179" t="str">
        <f>IF(A4427="RAPPI",(VLOOKUP(TRIM(D4427), CATALOGO!F:G, 2, FALSE) * C4427)+I4427,IFERROR(IF(COUNTIF('RESTAURANTESDESCUENTOS 2026'!A:A,TRIM(A4427))&gt;0,((VLOOKUP(TRIM(D4427), CATALOGO!A:B, 2, FALSE) * C4427)*(1-VALUE(SUBSTITUTE(VLOOKUP(TRIM(A4427),'RESTAURANTESDESCUENTOS 2026'!A:B,2,FALSE),"%",""))/100)+I4427),(VLOOKUP(TRIM(D4427), CATALOGO!A:B, 2, FALSE) * C4427+I4427)),""))</f>
        <v/>
      </c>
      <c r="K4427" s="196"/>
      <c r="L4427" s="87"/>
      <c r="M4427" s="245"/>
      <c r="N4427" s="168"/>
    </row>
    <row r="4428" ht="22.5" hidden="1" customHeight="1">
      <c r="A4428" s="137"/>
      <c r="B4428" s="90"/>
      <c r="C4428" s="55"/>
      <c r="D4428" s="193"/>
      <c r="E4428" s="201"/>
      <c r="F4428" s="202"/>
      <c r="G4428" s="194"/>
      <c r="H4428" s="198"/>
      <c r="I4428" s="196"/>
      <c r="J4428" s="179" t="str">
        <f>IF(A4428="RAPPI",(VLOOKUP(TRIM(D4428), CATALOGO!F:G, 2, FALSE) * C4428)+I4428,IFERROR(IF(COUNTIF('RESTAURANTESDESCUENTOS 2026'!A:A,TRIM(A4428))&gt;0,((VLOOKUP(TRIM(D4428), CATALOGO!A:B, 2, FALSE) * C4428)*(1-VALUE(SUBSTITUTE(VLOOKUP(TRIM(A4428),'RESTAURANTESDESCUENTOS 2026'!A:B,2,FALSE),"%",""))/100)+I4428),(VLOOKUP(TRIM(D4428), CATALOGO!A:B, 2, FALSE) * C4428+I4428)),""))</f>
        <v/>
      </c>
      <c r="K4428" s="196"/>
      <c r="L4428" s="87"/>
      <c r="M4428" s="245"/>
      <c r="N4428" s="168"/>
    </row>
    <row r="4429" ht="22.5" hidden="1" customHeight="1">
      <c r="A4429" s="137"/>
      <c r="B4429" s="90"/>
      <c r="C4429" s="55"/>
      <c r="D4429" s="193"/>
      <c r="E4429" s="201"/>
      <c r="F4429" s="202"/>
      <c r="G4429" s="194"/>
      <c r="H4429" s="198"/>
      <c r="I4429" s="196"/>
      <c r="J4429" s="179" t="str">
        <f>IF(A4429="RAPPI",(VLOOKUP(TRIM(D4429), CATALOGO!F:G, 2, FALSE) * C4429)+I4429,IFERROR(IF(COUNTIF('RESTAURANTESDESCUENTOS 2026'!A:A,TRIM(A4429))&gt;0,((VLOOKUP(TRIM(D4429), CATALOGO!A:B, 2, FALSE) * C4429)*(1-VALUE(SUBSTITUTE(VLOOKUP(TRIM(A4429),'RESTAURANTESDESCUENTOS 2026'!A:B,2,FALSE),"%",""))/100)+I4429),(VLOOKUP(TRIM(D4429), CATALOGO!A:B, 2, FALSE) * C4429+I4429)),""))</f>
        <v/>
      </c>
      <c r="K4429" s="196"/>
      <c r="L4429" s="87"/>
      <c r="M4429" s="245"/>
      <c r="N4429" s="168"/>
    </row>
    <row r="4430" ht="22.5" hidden="1" customHeight="1">
      <c r="A4430" s="137"/>
      <c r="B4430" s="90"/>
      <c r="C4430" s="55"/>
      <c r="D4430" s="193"/>
      <c r="E4430" s="201"/>
      <c r="F4430" s="202"/>
      <c r="G4430" s="194"/>
      <c r="H4430" s="198"/>
      <c r="I4430" s="196"/>
      <c r="J4430" s="179" t="str">
        <f>IF(A4430="RAPPI",(VLOOKUP(TRIM(D4430), CATALOGO!F:G, 2, FALSE) * C4430)+I4430,IFERROR(IF(COUNTIF('RESTAURANTESDESCUENTOS 2026'!A:A,TRIM(A4430))&gt;0,((VLOOKUP(TRIM(D4430), CATALOGO!A:B, 2, FALSE) * C4430)*(1-VALUE(SUBSTITUTE(VLOOKUP(TRIM(A4430),'RESTAURANTESDESCUENTOS 2026'!A:B,2,FALSE),"%",""))/100)+I4430),(VLOOKUP(TRIM(D4430), CATALOGO!A:B, 2, FALSE) * C4430+I4430)),""))</f>
        <v/>
      </c>
      <c r="K4430" s="196"/>
      <c r="L4430" s="87"/>
      <c r="M4430" s="245"/>
      <c r="N4430" s="168"/>
    </row>
    <row r="4431" ht="22.5" hidden="1" customHeight="1">
      <c r="A4431" s="137"/>
      <c r="B4431" s="90"/>
      <c r="C4431" s="55"/>
      <c r="D4431" s="193"/>
      <c r="E4431" s="201"/>
      <c r="F4431" s="202"/>
      <c r="G4431" s="194"/>
      <c r="H4431" s="198"/>
      <c r="I4431" s="196"/>
      <c r="J4431" s="179" t="str">
        <f>IF(A4431="RAPPI",(VLOOKUP(TRIM(D4431), CATALOGO!F:G, 2, FALSE) * C4431)+I4431,IFERROR(IF(COUNTIF('RESTAURANTESDESCUENTOS 2026'!A:A,TRIM(A4431))&gt;0,((VLOOKUP(TRIM(D4431), CATALOGO!A:B, 2, FALSE) * C4431)*(1-VALUE(SUBSTITUTE(VLOOKUP(TRIM(A4431),'RESTAURANTESDESCUENTOS 2026'!A:B,2,FALSE),"%",""))/100)+I4431),(VLOOKUP(TRIM(D4431), CATALOGO!A:B, 2, FALSE) * C4431+I4431)),""))</f>
        <v/>
      </c>
      <c r="K4431" s="196"/>
      <c r="L4431" s="87"/>
      <c r="M4431" s="245"/>
      <c r="N4431" s="168"/>
    </row>
    <row r="4432" ht="22.5" hidden="1" customHeight="1">
      <c r="A4432" s="137"/>
      <c r="B4432" s="90"/>
      <c r="C4432" s="55"/>
      <c r="D4432" s="193"/>
      <c r="E4432" s="201"/>
      <c r="F4432" s="202"/>
      <c r="G4432" s="194"/>
      <c r="H4432" s="198"/>
      <c r="I4432" s="196"/>
      <c r="J4432" s="179" t="str">
        <f>IF(A4432="RAPPI",(VLOOKUP(TRIM(D4432), CATALOGO!F:G, 2, FALSE) * C4432)+I4432,IFERROR(IF(COUNTIF('RESTAURANTESDESCUENTOS 2026'!A:A,TRIM(A4432))&gt;0,((VLOOKUP(TRIM(D4432), CATALOGO!A:B, 2, FALSE) * C4432)*(1-VALUE(SUBSTITUTE(VLOOKUP(TRIM(A4432),'RESTAURANTESDESCUENTOS 2026'!A:B,2,FALSE),"%",""))/100)+I4432),(VLOOKUP(TRIM(D4432), CATALOGO!A:B, 2, FALSE) * C4432+I4432)),""))</f>
        <v/>
      </c>
      <c r="K4432" s="196"/>
      <c r="L4432" s="87"/>
      <c r="M4432" s="245"/>
      <c r="N4432" s="168"/>
    </row>
    <row r="4433" ht="22.5" hidden="1" customHeight="1">
      <c r="A4433" s="137"/>
      <c r="B4433" s="90"/>
      <c r="C4433" s="55"/>
      <c r="D4433" s="193"/>
      <c r="E4433" s="201"/>
      <c r="F4433" s="202"/>
      <c r="G4433" s="194"/>
      <c r="H4433" s="198"/>
      <c r="I4433" s="196"/>
      <c r="J4433" s="179" t="str">
        <f>IF(A4433="RAPPI",(VLOOKUP(TRIM(D4433), CATALOGO!F:G, 2, FALSE) * C4433)+I4433,IFERROR(IF(COUNTIF('RESTAURANTESDESCUENTOS 2026'!A:A,TRIM(A4433))&gt;0,((VLOOKUP(TRIM(D4433), CATALOGO!A:B, 2, FALSE) * C4433)*(1-VALUE(SUBSTITUTE(VLOOKUP(TRIM(A4433),'RESTAURANTESDESCUENTOS 2026'!A:B,2,FALSE),"%",""))/100)+I4433),(VLOOKUP(TRIM(D4433), CATALOGO!A:B, 2, FALSE) * C4433+I4433)),""))</f>
        <v/>
      </c>
      <c r="K4433" s="196"/>
      <c r="L4433" s="87"/>
      <c r="M4433" s="245"/>
      <c r="N4433" s="168"/>
    </row>
    <row r="4434" ht="22.5" hidden="1" customHeight="1">
      <c r="A4434" s="137"/>
      <c r="B4434" s="90"/>
      <c r="C4434" s="55"/>
      <c r="D4434" s="193"/>
      <c r="E4434" s="201"/>
      <c r="F4434" s="202"/>
      <c r="G4434" s="194"/>
      <c r="H4434" s="198"/>
      <c r="I4434" s="196"/>
      <c r="J4434" s="179" t="str">
        <f>IF(A4434="RAPPI",(VLOOKUP(TRIM(D4434), CATALOGO!F:G, 2, FALSE) * C4434)+I4434,IFERROR(IF(COUNTIF('RESTAURANTESDESCUENTOS 2026'!A:A,TRIM(A4434))&gt;0,((VLOOKUP(TRIM(D4434), CATALOGO!A:B, 2, FALSE) * C4434)*(1-VALUE(SUBSTITUTE(VLOOKUP(TRIM(A4434),'RESTAURANTESDESCUENTOS 2026'!A:B,2,FALSE),"%",""))/100)+I4434),(VLOOKUP(TRIM(D4434), CATALOGO!A:B, 2, FALSE) * C4434+I4434)),""))</f>
        <v/>
      </c>
      <c r="K4434" s="196"/>
      <c r="L4434" s="87"/>
      <c r="M4434" s="245"/>
      <c r="N4434" s="168"/>
    </row>
    <row r="4435" ht="22.5" hidden="1" customHeight="1">
      <c r="A4435" s="137"/>
      <c r="B4435" s="90"/>
      <c r="C4435" s="55"/>
      <c r="D4435" s="193"/>
      <c r="E4435" s="201"/>
      <c r="F4435" s="202"/>
      <c r="G4435" s="194"/>
      <c r="H4435" s="198"/>
      <c r="I4435" s="196"/>
      <c r="J4435" s="179" t="str">
        <f>IF(A4435="RAPPI",(VLOOKUP(TRIM(D4435), CATALOGO!F:G, 2, FALSE) * C4435)+I4435,IFERROR(IF(COUNTIF('RESTAURANTESDESCUENTOS 2026'!A:A,TRIM(A4435))&gt;0,((VLOOKUP(TRIM(D4435), CATALOGO!A:B, 2, FALSE) * C4435)*(1-VALUE(SUBSTITUTE(VLOOKUP(TRIM(A4435),'RESTAURANTESDESCUENTOS 2026'!A:B,2,FALSE),"%",""))/100)+I4435),(VLOOKUP(TRIM(D4435), CATALOGO!A:B, 2, FALSE) * C4435+I4435)),""))</f>
        <v/>
      </c>
      <c r="K4435" s="196"/>
      <c r="L4435" s="87"/>
      <c r="M4435" s="245"/>
      <c r="N4435" s="168"/>
    </row>
    <row r="4436" ht="22.5" hidden="1" customHeight="1">
      <c r="A4436" s="137"/>
      <c r="B4436" s="90"/>
      <c r="C4436" s="55"/>
      <c r="D4436" s="193"/>
      <c r="E4436" s="201"/>
      <c r="F4436" s="202"/>
      <c r="G4436" s="194"/>
      <c r="H4436" s="198"/>
      <c r="I4436" s="196"/>
      <c r="J4436" s="179" t="str">
        <f>IF(A4436="RAPPI",(VLOOKUP(TRIM(D4436), CATALOGO!F:G, 2, FALSE) * C4436)+I4436,IFERROR(IF(COUNTIF('RESTAURANTESDESCUENTOS 2026'!A:A,TRIM(A4436))&gt;0,((VLOOKUP(TRIM(D4436), CATALOGO!A:B, 2, FALSE) * C4436)*(1-VALUE(SUBSTITUTE(VLOOKUP(TRIM(A4436),'RESTAURANTESDESCUENTOS 2026'!A:B,2,FALSE),"%",""))/100)+I4436),(VLOOKUP(TRIM(D4436), CATALOGO!A:B, 2, FALSE) * C4436+I4436)),""))</f>
        <v/>
      </c>
      <c r="K4436" s="196"/>
      <c r="L4436" s="87"/>
      <c r="M4436" s="245"/>
      <c r="N4436" s="168"/>
    </row>
    <row r="4437" ht="22.5" hidden="1" customHeight="1">
      <c r="A4437" s="137"/>
      <c r="B4437" s="90"/>
      <c r="C4437" s="55"/>
      <c r="D4437" s="193"/>
      <c r="E4437" s="201"/>
      <c r="F4437" s="202"/>
      <c r="G4437" s="194"/>
      <c r="H4437" s="198"/>
      <c r="I4437" s="196"/>
      <c r="J4437" s="179" t="str">
        <f>IF(A4437="RAPPI",(VLOOKUP(TRIM(D4437), CATALOGO!F:G, 2, FALSE) * C4437)+I4437,IFERROR(IF(COUNTIF('RESTAURANTESDESCUENTOS 2026'!A:A,TRIM(A4437))&gt;0,((VLOOKUP(TRIM(D4437), CATALOGO!A:B, 2, FALSE) * C4437)*(1-VALUE(SUBSTITUTE(VLOOKUP(TRIM(A4437),'RESTAURANTESDESCUENTOS 2026'!A:B,2,FALSE),"%",""))/100)+I4437),(VLOOKUP(TRIM(D4437), CATALOGO!A:B, 2, FALSE) * C4437+I4437)),""))</f>
        <v/>
      </c>
      <c r="K4437" s="196"/>
      <c r="L4437" s="87"/>
      <c r="M4437" s="245"/>
      <c r="N4437" s="168"/>
    </row>
    <row r="4438" ht="22.5" hidden="1" customHeight="1">
      <c r="A4438" s="137"/>
      <c r="B4438" s="90"/>
      <c r="C4438" s="55"/>
      <c r="D4438" s="193"/>
      <c r="E4438" s="201"/>
      <c r="F4438" s="202"/>
      <c r="G4438" s="194"/>
      <c r="H4438" s="198"/>
      <c r="I4438" s="196"/>
      <c r="J4438" s="179" t="str">
        <f>IF(A4438="RAPPI",(VLOOKUP(TRIM(D4438), CATALOGO!F:G, 2, FALSE) * C4438)+I4438,IFERROR(IF(COUNTIF('RESTAURANTESDESCUENTOS 2026'!A:A,TRIM(A4438))&gt;0,((VLOOKUP(TRIM(D4438), CATALOGO!A:B, 2, FALSE) * C4438)*(1-VALUE(SUBSTITUTE(VLOOKUP(TRIM(A4438),'RESTAURANTESDESCUENTOS 2026'!A:B,2,FALSE),"%",""))/100)+I4438),(VLOOKUP(TRIM(D4438), CATALOGO!A:B, 2, FALSE) * C4438+I4438)),""))</f>
        <v/>
      </c>
      <c r="K4438" s="196"/>
      <c r="L4438" s="87"/>
      <c r="M4438" s="245"/>
      <c r="N4438" s="168"/>
    </row>
    <row r="4439" ht="22.5" hidden="1" customHeight="1">
      <c r="A4439" s="137"/>
      <c r="B4439" s="90"/>
      <c r="C4439" s="55"/>
      <c r="D4439" s="193"/>
      <c r="E4439" s="201"/>
      <c r="F4439" s="202"/>
      <c r="G4439" s="194"/>
      <c r="H4439" s="198"/>
      <c r="I4439" s="196"/>
      <c r="J4439" s="179" t="str">
        <f>IF(A4439="RAPPI",(VLOOKUP(TRIM(D4439), CATALOGO!F:G, 2, FALSE) * C4439)+I4439,IFERROR(IF(COUNTIF('RESTAURANTESDESCUENTOS 2026'!A:A,TRIM(A4439))&gt;0,((VLOOKUP(TRIM(D4439), CATALOGO!A:B, 2, FALSE) * C4439)*(1-VALUE(SUBSTITUTE(VLOOKUP(TRIM(A4439),'RESTAURANTESDESCUENTOS 2026'!A:B,2,FALSE),"%",""))/100)+I4439),(VLOOKUP(TRIM(D4439), CATALOGO!A:B, 2, FALSE) * C4439+I4439)),""))</f>
        <v/>
      </c>
      <c r="K4439" s="196"/>
      <c r="L4439" s="87"/>
      <c r="M4439" s="245"/>
      <c r="N4439" s="168"/>
    </row>
    <row r="4440" ht="22.5" hidden="1" customHeight="1">
      <c r="A4440" s="137"/>
      <c r="B4440" s="90"/>
      <c r="C4440" s="55"/>
      <c r="D4440" s="193"/>
      <c r="E4440" s="201"/>
      <c r="F4440" s="202"/>
      <c r="G4440" s="194"/>
      <c r="H4440" s="198"/>
      <c r="I4440" s="196"/>
      <c r="J4440" s="179" t="str">
        <f>IF(A4440="RAPPI",(VLOOKUP(TRIM(D4440), CATALOGO!F:G, 2, FALSE) * C4440)+I4440,IFERROR(IF(COUNTIF('RESTAURANTESDESCUENTOS 2026'!A:A,TRIM(A4440))&gt;0,((VLOOKUP(TRIM(D4440), CATALOGO!A:B, 2, FALSE) * C4440)*(1-VALUE(SUBSTITUTE(VLOOKUP(TRIM(A4440),'RESTAURANTESDESCUENTOS 2026'!A:B,2,FALSE),"%",""))/100)+I4440),(VLOOKUP(TRIM(D4440), CATALOGO!A:B, 2, FALSE) * C4440+I4440)),""))</f>
        <v/>
      </c>
      <c r="K4440" s="196"/>
      <c r="L4440" s="87"/>
      <c r="M4440" s="245"/>
      <c r="N4440" s="168"/>
    </row>
    <row r="4441" ht="22.5" hidden="1" customHeight="1">
      <c r="A4441" s="137"/>
      <c r="B4441" s="90"/>
      <c r="C4441" s="55"/>
      <c r="D4441" s="193"/>
      <c r="E4441" s="201"/>
      <c r="F4441" s="202"/>
      <c r="G4441" s="194"/>
      <c r="H4441" s="198"/>
      <c r="I4441" s="196"/>
      <c r="J4441" s="179" t="str">
        <f>IF(A4441="RAPPI",(VLOOKUP(TRIM(D4441), CATALOGO!F:G, 2, FALSE) * C4441)+I4441,IFERROR(IF(COUNTIF('RESTAURANTESDESCUENTOS 2026'!A:A,TRIM(A4441))&gt;0,((VLOOKUP(TRIM(D4441), CATALOGO!A:B, 2, FALSE) * C4441)*(1-VALUE(SUBSTITUTE(VLOOKUP(TRIM(A4441),'RESTAURANTESDESCUENTOS 2026'!A:B,2,FALSE),"%",""))/100)+I4441),(VLOOKUP(TRIM(D4441), CATALOGO!A:B, 2, FALSE) * C4441+I4441)),""))</f>
        <v/>
      </c>
      <c r="K4441" s="196"/>
      <c r="L4441" s="87"/>
      <c r="M4441" s="245"/>
      <c r="N4441" s="168"/>
    </row>
    <row r="4442" ht="22.5" hidden="1" customHeight="1">
      <c r="A4442" s="137"/>
      <c r="B4442" s="90"/>
      <c r="C4442" s="55"/>
      <c r="D4442" s="193"/>
      <c r="E4442" s="201"/>
      <c r="F4442" s="202"/>
      <c r="G4442" s="194"/>
      <c r="H4442" s="198"/>
      <c r="I4442" s="196"/>
      <c r="J4442" s="179" t="str">
        <f>IF(A4442="RAPPI",(VLOOKUP(TRIM(D4442), CATALOGO!F:G, 2, FALSE) * C4442)+I4442,IFERROR(IF(COUNTIF('RESTAURANTESDESCUENTOS 2026'!A:A,TRIM(A4442))&gt;0,((VLOOKUP(TRIM(D4442), CATALOGO!A:B, 2, FALSE) * C4442)*(1-VALUE(SUBSTITUTE(VLOOKUP(TRIM(A4442),'RESTAURANTESDESCUENTOS 2026'!A:B,2,FALSE),"%",""))/100)+I4442),(VLOOKUP(TRIM(D4442), CATALOGO!A:B, 2, FALSE) * C4442+I4442)),""))</f>
        <v/>
      </c>
      <c r="K4442" s="196"/>
      <c r="L4442" s="87"/>
      <c r="M4442" s="245"/>
      <c r="N4442" s="168"/>
    </row>
    <row r="4443" ht="22.5" hidden="1" customHeight="1">
      <c r="A4443" s="137"/>
      <c r="B4443" s="90"/>
      <c r="C4443" s="55"/>
      <c r="D4443" s="193"/>
      <c r="E4443" s="201"/>
      <c r="F4443" s="202"/>
      <c r="G4443" s="194"/>
      <c r="H4443" s="198"/>
      <c r="I4443" s="196"/>
      <c r="J4443" s="179" t="str">
        <f>IF(A4443="RAPPI",(VLOOKUP(TRIM(D4443), CATALOGO!F:G, 2, FALSE) * C4443)+I4443,IFERROR(IF(COUNTIF('RESTAURANTESDESCUENTOS 2026'!A:A,TRIM(A4443))&gt;0,((VLOOKUP(TRIM(D4443), CATALOGO!A:B, 2, FALSE) * C4443)*(1-VALUE(SUBSTITUTE(VLOOKUP(TRIM(A4443),'RESTAURANTESDESCUENTOS 2026'!A:B,2,FALSE),"%",""))/100)+I4443),(VLOOKUP(TRIM(D4443), CATALOGO!A:B, 2, FALSE) * C4443+I4443)),""))</f>
        <v/>
      </c>
      <c r="K4443" s="196"/>
      <c r="L4443" s="87"/>
      <c r="M4443" s="245"/>
      <c r="N4443" s="168"/>
    </row>
    <row r="4444" ht="22.5" hidden="1" customHeight="1">
      <c r="A4444" s="137"/>
      <c r="B4444" s="90"/>
      <c r="C4444" s="55"/>
      <c r="D4444" s="193"/>
      <c r="E4444" s="201"/>
      <c r="F4444" s="202"/>
      <c r="G4444" s="194"/>
      <c r="H4444" s="198"/>
      <c r="I4444" s="196"/>
      <c r="J4444" s="179" t="str">
        <f>IF(A4444="RAPPI",(VLOOKUP(TRIM(D4444), CATALOGO!F:G, 2, FALSE) * C4444)+I4444,IFERROR(IF(COUNTIF('RESTAURANTESDESCUENTOS 2026'!A:A,TRIM(A4444))&gt;0,((VLOOKUP(TRIM(D4444), CATALOGO!A:B, 2, FALSE) * C4444)*(1-VALUE(SUBSTITUTE(VLOOKUP(TRIM(A4444),'RESTAURANTESDESCUENTOS 2026'!A:B,2,FALSE),"%",""))/100)+I4444),(VLOOKUP(TRIM(D4444), CATALOGO!A:B, 2, FALSE) * C4444+I4444)),""))</f>
        <v/>
      </c>
      <c r="K4444" s="196"/>
      <c r="L4444" s="87"/>
      <c r="M4444" s="245"/>
      <c r="N4444" s="168"/>
    </row>
    <row r="4445" ht="22.5" hidden="1" customHeight="1">
      <c r="A4445" s="137"/>
      <c r="B4445" s="90"/>
      <c r="C4445" s="55"/>
      <c r="D4445" s="193"/>
      <c r="E4445" s="201"/>
      <c r="F4445" s="202"/>
      <c r="G4445" s="194"/>
      <c r="H4445" s="198"/>
      <c r="I4445" s="196"/>
      <c r="J4445" s="179" t="str">
        <f>IF(A4445="RAPPI",(VLOOKUP(TRIM(D4445), CATALOGO!F:G, 2, FALSE) * C4445)+I4445,IFERROR(IF(COUNTIF('RESTAURANTESDESCUENTOS 2026'!A:A,TRIM(A4445))&gt;0,((VLOOKUP(TRIM(D4445), CATALOGO!A:B, 2, FALSE) * C4445)*(1-VALUE(SUBSTITUTE(VLOOKUP(TRIM(A4445),'RESTAURANTESDESCUENTOS 2026'!A:B,2,FALSE),"%",""))/100)+I4445),(VLOOKUP(TRIM(D4445), CATALOGO!A:B, 2, FALSE) * C4445+I4445)),""))</f>
        <v/>
      </c>
      <c r="K4445" s="196"/>
      <c r="L4445" s="87"/>
      <c r="M4445" s="245"/>
      <c r="N4445" s="168"/>
    </row>
    <row r="4446" ht="22.5" hidden="1" customHeight="1">
      <c r="A4446" s="137"/>
      <c r="B4446" s="90"/>
      <c r="C4446" s="55"/>
      <c r="D4446" s="193"/>
      <c r="E4446" s="201"/>
      <c r="F4446" s="202"/>
      <c r="G4446" s="194"/>
      <c r="H4446" s="198"/>
      <c r="I4446" s="196"/>
      <c r="J4446" s="179" t="str">
        <f>IF(A4446="RAPPI",(VLOOKUP(TRIM(D4446), CATALOGO!F:G, 2, FALSE) * C4446)+I4446,IFERROR(IF(COUNTIF('RESTAURANTESDESCUENTOS 2026'!A:A,TRIM(A4446))&gt;0,((VLOOKUP(TRIM(D4446), CATALOGO!A:B, 2, FALSE) * C4446)*(1-VALUE(SUBSTITUTE(VLOOKUP(TRIM(A4446),'RESTAURANTESDESCUENTOS 2026'!A:B,2,FALSE),"%",""))/100)+I4446),(VLOOKUP(TRIM(D4446), CATALOGO!A:B, 2, FALSE) * C4446+I4446)),""))</f>
        <v/>
      </c>
      <c r="K4446" s="196"/>
      <c r="L4446" s="87"/>
      <c r="M4446" s="245"/>
      <c r="N4446" s="168"/>
    </row>
    <row r="4447" ht="22.5" hidden="1" customHeight="1">
      <c r="A4447" s="137"/>
      <c r="B4447" s="90"/>
      <c r="C4447" s="55"/>
      <c r="D4447" s="193"/>
      <c r="E4447" s="201"/>
      <c r="F4447" s="202"/>
      <c r="G4447" s="194"/>
      <c r="H4447" s="198"/>
      <c r="I4447" s="196"/>
      <c r="J4447" s="179" t="str">
        <f>IF(A4447="RAPPI",(VLOOKUP(TRIM(D4447), CATALOGO!F:G, 2, FALSE) * C4447)+I4447,IFERROR(IF(COUNTIF('RESTAURANTESDESCUENTOS 2026'!A:A,TRIM(A4447))&gt;0,((VLOOKUP(TRIM(D4447), CATALOGO!A:B, 2, FALSE) * C4447)*(1-VALUE(SUBSTITUTE(VLOOKUP(TRIM(A4447),'RESTAURANTESDESCUENTOS 2026'!A:B,2,FALSE),"%",""))/100)+I4447),(VLOOKUP(TRIM(D4447), CATALOGO!A:B, 2, FALSE) * C4447+I4447)),""))</f>
        <v/>
      </c>
      <c r="K4447" s="196"/>
      <c r="L4447" s="87"/>
      <c r="M4447" s="245"/>
      <c r="N4447" s="168"/>
    </row>
    <row r="4448" ht="22.5" hidden="1" customHeight="1">
      <c r="A4448" s="137"/>
      <c r="B4448" s="90"/>
      <c r="C4448" s="55"/>
      <c r="D4448" s="193"/>
      <c r="E4448" s="201"/>
      <c r="F4448" s="202"/>
      <c r="G4448" s="194"/>
      <c r="H4448" s="198"/>
      <c r="I4448" s="196"/>
      <c r="J4448" s="179" t="str">
        <f>IF(A4448="RAPPI",(VLOOKUP(TRIM(D4448), CATALOGO!F:G, 2, FALSE) * C4448)+I4448,IFERROR(IF(COUNTIF('RESTAURANTESDESCUENTOS 2026'!A:A,TRIM(A4448))&gt;0,((VLOOKUP(TRIM(D4448), CATALOGO!A:B, 2, FALSE) * C4448)*(1-VALUE(SUBSTITUTE(VLOOKUP(TRIM(A4448),'RESTAURANTESDESCUENTOS 2026'!A:B,2,FALSE),"%",""))/100)+I4448),(VLOOKUP(TRIM(D4448), CATALOGO!A:B, 2, FALSE) * C4448+I4448)),""))</f>
        <v/>
      </c>
      <c r="K4448" s="196"/>
      <c r="L4448" s="87"/>
      <c r="M4448" s="245"/>
      <c r="N4448" s="168"/>
    </row>
    <row r="4449" ht="22.5" hidden="1" customHeight="1">
      <c r="A4449" s="137"/>
      <c r="B4449" s="90"/>
      <c r="C4449" s="55"/>
      <c r="D4449" s="193"/>
      <c r="E4449" s="201"/>
      <c r="F4449" s="202"/>
      <c r="G4449" s="194"/>
      <c r="H4449" s="198"/>
      <c r="I4449" s="196"/>
      <c r="J4449" s="179" t="str">
        <f>IF(A4449="RAPPI",(VLOOKUP(TRIM(D4449), CATALOGO!F:G, 2, FALSE) * C4449)+I4449,IFERROR(IF(COUNTIF('RESTAURANTESDESCUENTOS 2026'!A:A,TRIM(A4449))&gt;0,((VLOOKUP(TRIM(D4449), CATALOGO!A:B, 2, FALSE) * C4449)*(1-VALUE(SUBSTITUTE(VLOOKUP(TRIM(A4449),'RESTAURANTESDESCUENTOS 2026'!A:B,2,FALSE),"%",""))/100)+I4449),(VLOOKUP(TRIM(D4449), CATALOGO!A:B, 2, FALSE) * C4449+I4449)),""))</f>
        <v/>
      </c>
      <c r="K4449" s="196"/>
      <c r="L4449" s="87"/>
      <c r="M4449" s="245"/>
      <c r="N4449" s="168"/>
    </row>
    <row r="4450" ht="22.5" hidden="1" customHeight="1">
      <c r="A4450" s="137"/>
      <c r="B4450" s="90"/>
      <c r="C4450" s="55"/>
      <c r="D4450" s="193"/>
      <c r="E4450" s="201"/>
      <c r="F4450" s="202"/>
      <c r="G4450" s="194"/>
      <c r="H4450" s="198"/>
      <c r="I4450" s="196"/>
      <c r="J4450" s="179" t="str">
        <f>IF(A4450="RAPPI",(VLOOKUP(TRIM(D4450), CATALOGO!F:G, 2, FALSE) * C4450)+I4450,IFERROR(IF(COUNTIF('RESTAURANTESDESCUENTOS 2026'!A:A,TRIM(A4450))&gt;0,((VLOOKUP(TRIM(D4450), CATALOGO!A:B, 2, FALSE) * C4450)*(1-VALUE(SUBSTITUTE(VLOOKUP(TRIM(A4450),'RESTAURANTESDESCUENTOS 2026'!A:B,2,FALSE),"%",""))/100)+I4450),(VLOOKUP(TRIM(D4450), CATALOGO!A:B, 2, FALSE) * C4450+I4450)),""))</f>
        <v/>
      </c>
      <c r="K4450" s="196"/>
      <c r="L4450" s="87"/>
      <c r="M4450" s="245"/>
      <c r="N4450" s="168"/>
    </row>
    <row r="4451" ht="22.5" hidden="1" customHeight="1">
      <c r="A4451" s="137"/>
      <c r="B4451" s="90"/>
      <c r="C4451" s="55"/>
      <c r="D4451" s="193"/>
      <c r="E4451" s="201"/>
      <c r="F4451" s="202"/>
      <c r="G4451" s="194"/>
      <c r="H4451" s="198"/>
      <c r="I4451" s="196"/>
      <c r="J4451" s="179" t="str">
        <f>IF(A4451="RAPPI",(VLOOKUP(TRIM(D4451), CATALOGO!F:G, 2, FALSE) * C4451)+I4451,IFERROR(IF(COUNTIF('RESTAURANTESDESCUENTOS 2026'!A:A,TRIM(A4451))&gt;0,((VLOOKUP(TRIM(D4451), CATALOGO!A:B, 2, FALSE) * C4451)*(1-VALUE(SUBSTITUTE(VLOOKUP(TRIM(A4451),'RESTAURANTESDESCUENTOS 2026'!A:B,2,FALSE),"%",""))/100)+I4451),(VLOOKUP(TRIM(D4451), CATALOGO!A:B, 2, FALSE) * C4451+I4451)),""))</f>
        <v/>
      </c>
      <c r="K4451" s="196"/>
      <c r="L4451" s="87"/>
      <c r="M4451" s="245"/>
      <c r="N4451" s="168"/>
    </row>
    <row r="4452" ht="22.5" hidden="1" customHeight="1">
      <c r="A4452" s="137"/>
      <c r="B4452" s="90"/>
      <c r="C4452" s="55"/>
      <c r="D4452" s="193"/>
      <c r="E4452" s="201"/>
      <c r="F4452" s="202"/>
      <c r="G4452" s="194"/>
      <c r="H4452" s="198"/>
      <c r="I4452" s="196"/>
      <c r="J4452" s="179" t="str">
        <f>IF(A4452="RAPPI",(VLOOKUP(TRIM(D4452), CATALOGO!F:G, 2, FALSE) * C4452)+I4452,IFERROR(IF(COUNTIF('RESTAURANTESDESCUENTOS 2026'!A:A,TRIM(A4452))&gt;0,((VLOOKUP(TRIM(D4452), CATALOGO!A:B, 2, FALSE) * C4452)*(1-VALUE(SUBSTITUTE(VLOOKUP(TRIM(A4452),'RESTAURANTESDESCUENTOS 2026'!A:B,2,FALSE),"%",""))/100)+I4452),(VLOOKUP(TRIM(D4452), CATALOGO!A:B, 2, FALSE) * C4452+I4452)),""))</f>
        <v/>
      </c>
      <c r="K4452" s="196"/>
      <c r="L4452" s="87"/>
      <c r="M4452" s="245"/>
      <c r="N4452" s="168"/>
    </row>
    <row r="4453" ht="22.5" hidden="1" customHeight="1">
      <c r="A4453" s="137"/>
      <c r="B4453" s="90"/>
      <c r="C4453" s="55"/>
      <c r="D4453" s="193"/>
      <c r="E4453" s="201"/>
      <c r="F4453" s="202"/>
      <c r="G4453" s="194"/>
      <c r="H4453" s="198"/>
      <c r="I4453" s="196"/>
      <c r="J4453" s="179" t="str">
        <f>IF(A4453="RAPPI",(VLOOKUP(TRIM(D4453), CATALOGO!F:G, 2, FALSE) * C4453)+I4453,IFERROR(IF(COUNTIF('RESTAURANTESDESCUENTOS 2026'!A:A,TRIM(A4453))&gt;0,((VLOOKUP(TRIM(D4453), CATALOGO!A:B, 2, FALSE) * C4453)*(1-VALUE(SUBSTITUTE(VLOOKUP(TRIM(A4453),'RESTAURANTESDESCUENTOS 2026'!A:B,2,FALSE),"%",""))/100)+I4453),(VLOOKUP(TRIM(D4453), CATALOGO!A:B, 2, FALSE) * C4453+I4453)),""))</f>
        <v/>
      </c>
      <c r="K4453" s="196"/>
      <c r="L4453" s="87"/>
      <c r="M4453" s="245"/>
      <c r="N4453" s="168"/>
    </row>
    <row r="4454" ht="22.5" hidden="1" customHeight="1">
      <c r="A4454" s="137"/>
      <c r="B4454" s="90"/>
      <c r="C4454" s="55"/>
      <c r="D4454" s="193"/>
      <c r="E4454" s="201"/>
      <c r="F4454" s="202"/>
      <c r="G4454" s="194"/>
      <c r="H4454" s="198"/>
      <c r="I4454" s="196"/>
      <c r="J4454" s="179" t="str">
        <f>IF(A4454="RAPPI",(VLOOKUP(TRIM(D4454), CATALOGO!F:G, 2, FALSE) * C4454)+I4454,IFERROR(IF(COUNTIF('RESTAURANTESDESCUENTOS 2026'!A:A,TRIM(A4454))&gt;0,((VLOOKUP(TRIM(D4454), CATALOGO!A:B, 2, FALSE) * C4454)*(1-VALUE(SUBSTITUTE(VLOOKUP(TRIM(A4454),'RESTAURANTESDESCUENTOS 2026'!A:B,2,FALSE),"%",""))/100)+I4454),(VLOOKUP(TRIM(D4454), CATALOGO!A:B, 2, FALSE) * C4454+I4454)),""))</f>
        <v/>
      </c>
      <c r="K4454" s="196"/>
      <c r="L4454" s="87"/>
      <c r="M4454" s="245"/>
      <c r="N4454" s="168"/>
    </row>
    <row r="4455" ht="22.5" hidden="1" customHeight="1">
      <c r="A4455" s="137"/>
      <c r="B4455" s="90"/>
      <c r="C4455" s="55"/>
      <c r="D4455" s="193"/>
      <c r="E4455" s="201"/>
      <c r="F4455" s="202"/>
      <c r="G4455" s="194"/>
      <c r="H4455" s="198"/>
      <c r="I4455" s="196"/>
      <c r="J4455" s="179" t="str">
        <f>IF(A4455="RAPPI",(VLOOKUP(TRIM(D4455), CATALOGO!F:G, 2, FALSE) * C4455)+I4455,IFERROR(IF(COUNTIF('RESTAURANTESDESCUENTOS 2026'!A:A,TRIM(A4455))&gt;0,((VLOOKUP(TRIM(D4455), CATALOGO!A:B, 2, FALSE) * C4455)*(1-VALUE(SUBSTITUTE(VLOOKUP(TRIM(A4455),'RESTAURANTESDESCUENTOS 2026'!A:B,2,FALSE),"%",""))/100)+I4455),(VLOOKUP(TRIM(D4455), CATALOGO!A:B, 2, FALSE) * C4455+I4455)),""))</f>
        <v/>
      </c>
      <c r="K4455" s="196"/>
      <c r="L4455" s="87"/>
      <c r="M4455" s="245"/>
      <c r="N4455" s="168"/>
    </row>
    <row r="4456" ht="22.5" hidden="1" customHeight="1">
      <c r="A4456" s="137"/>
      <c r="B4456" s="90"/>
      <c r="C4456" s="55"/>
      <c r="D4456" s="193"/>
      <c r="E4456" s="201"/>
      <c r="F4456" s="202"/>
      <c r="G4456" s="194"/>
      <c r="H4456" s="198"/>
      <c r="I4456" s="196"/>
      <c r="J4456" s="179" t="str">
        <f>IF(A4456="RAPPI",(VLOOKUP(TRIM(D4456), CATALOGO!F:G, 2, FALSE) * C4456)+I4456,IFERROR(IF(COUNTIF('RESTAURANTESDESCUENTOS 2026'!A:A,TRIM(A4456))&gt;0,((VLOOKUP(TRIM(D4456), CATALOGO!A:B, 2, FALSE) * C4456)*(1-VALUE(SUBSTITUTE(VLOOKUP(TRIM(A4456),'RESTAURANTESDESCUENTOS 2026'!A:B,2,FALSE),"%",""))/100)+I4456),(VLOOKUP(TRIM(D4456), CATALOGO!A:B, 2, FALSE) * C4456+I4456)),""))</f>
        <v/>
      </c>
      <c r="K4456" s="196"/>
      <c r="L4456" s="87"/>
      <c r="M4456" s="245"/>
      <c r="N4456" s="168"/>
    </row>
    <row r="4457" ht="22.5" hidden="1" customHeight="1">
      <c r="A4457" s="137"/>
      <c r="B4457" s="90"/>
      <c r="C4457" s="55"/>
      <c r="D4457" s="193"/>
      <c r="E4457" s="201"/>
      <c r="F4457" s="202"/>
      <c r="G4457" s="194"/>
      <c r="H4457" s="198"/>
      <c r="I4457" s="196"/>
      <c r="J4457" s="179" t="str">
        <f>IF(A4457="RAPPI",(VLOOKUP(TRIM(D4457), CATALOGO!F:G, 2, FALSE) * C4457)+I4457,IFERROR(IF(COUNTIF('RESTAURANTESDESCUENTOS 2026'!A:A,TRIM(A4457))&gt;0,((VLOOKUP(TRIM(D4457), CATALOGO!A:B, 2, FALSE) * C4457)*(1-VALUE(SUBSTITUTE(VLOOKUP(TRIM(A4457),'RESTAURANTESDESCUENTOS 2026'!A:B,2,FALSE),"%",""))/100)+I4457),(VLOOKUP(TRIM(D4457), CATALOGO!A:B, 2, FALSE) * C4457+I4457)),""))</f>
        <v/>
      </c>
      <c r="K4457" s="196"/>
      <c r="L4457" s="87"/>
      <c r="M4457" s="245"/>
      <c r="N4457" s="168"/>
    </row>
    <row r="4458" ht="22.5" hidden="1" customHeight="1">
      <c r="A4458" s="137"/>
      <c r="B4458" s="90"/>
      <c r="C4458" s="55"/>
      <c r="D4458" s="193"/>
      <c r="E4458" s="201"/>
      <c r="F4458" s="202"/>
      <c r="G4458" s="194"/>
      <c r="H4458" s="198"/>
      <c r="I4458" s="196"/>
      <c r="J4458" s="179" t="str">
        <f>IF(A4458="RAPPI",(VLOOKUP(TRIM(D4458), CATALOGO!F:G, 2, FALSE) * C4458)+I4458,IFERROR(IF(COUNTIF('RESTAURANTESDESCUENTOS 2026'!A:A,TRIM(A4458))&gt;0,((VLOOKUP(TRIM(D4458), CATALOGO!A:B, 2, FALSE) * C4458)*(1-VALUE(SUBSTITUTE(VLOOKUP(TRIM(A4458),'RESTAURANTESDESCUENTOS 2026'!A:B,2,FALSE),"%",""))/100)+I4458),(VLOOKUP(TRIM(D4458), CATALOGO!A:B, 2, FALSE) * C4458+I4458)),""))</f>
        <v/>
      </c>
      <c r="K4458" s="196"/>
      <c r="L4458" s="87"/>
      <c r="M4458" s="245"/>
      <c r="N4458" s="168"/>
    </row>
    <row r="4459" ht="22.5" hidden="1" customHeight="1">
      <c r="A4459" s="137"/>
      <c r="B4459" s="90"/>
      <c r="C4459" s="55"/>
      <c r="D4459" s="193"/>
      <c r="E4459" s="201"/>
      <c r="F4459" s="202"/>
      <c r="G4459" s="194"/>
      <c r="H4459" s="198"/>
      <c r="I4459" s="196"/>
      <c r="J4459" s="179" t="str">
        <f>IF(A4459="RAPPI",(VLOOKUP(TRIM(D4459), CATALOGO!F:G, 2, FALSE) * C4459)+I4459,IFERROR(IF(COUNTIF('RESTAURANTESDESCUENTOS 2026'!A:A,TRIM(A4459))&gt;0,((VLOOKUP(TRIM(D4459), CATALOGO!A:B, 2, FALSE) * C4459)*(1-VALUE(SUBSTITUTE(VLOOKUP(TRIM(A4459),'RESTAURANTESDESCUENTOS 2026'!A:B,2,FALSE),"%",""))/100)+I4459),(VLOOKUP(TRIM(D4459), CATALOGO!A:B, 2, FALSE) * C4459+I4459)),""))</f>
        <v/>
      </c>
      <c r="K4459" s="196"/>
      <c r="L4459" s="87"/>
      <c r="M4459" s="245"/>
      <c r="N4459" s="168"/>
    </row>
    <row r="4460" ht="22.5" hidden="1" customHeight="1">
      <c r="A4460" s="137"/>
      <c r="B4460" s="90"/>
      <c r="C4460" s="55"/>
      <c r="D4460" s="193"/>
      <c r="E4460" s="201"/>
      <c r="F4460" s="202"/>
      <c r="G4460" s="194"/>
      <c r="H4460" s="198"/>
      <c r="I4460" s="196"/>
      <c r="J4460" s="179" t="str">
        <f>IF(A4460="RAPPI",(VLOOKUP(TRIM(D4460), CATALOGO!F:G, 2, FALSE) * C4460)+I4460,IFERROR(IF(COUNTIF('RESTAURANTESDESCUENTOS 2026'!A:A,TRIM(A4460))&gt;0,((VLOOKUP(TRIM(D4460), CATALOGO!A:B, 2, FALSE) * C4460)*(1-VALUE(SUBSTITUTE(VLOOKUP(TRIM(A4460),'RESTAURANTESDESCUENTOS 2026'!A:B,2,FALSE),"%",""))/100)+I4460),(VLOOKUP(TRIM(D4460), CATALOGO!A:B, 2, FALSE) * C4460+I4460)),""))</f>
        <v/>
      </c>
      <c r="K4460" s="196"/>
      <c r="L4460" s="87"/>
      <c r="M4460" s="245"/>
      <c r="N4460" s="168"/>
    </row>
    <row r="4461" ht="22.5" hidden="1" customHeight="1">
      <c r="A4461" s="137"/>
      <c r="B4461" s="90"/>
      <c r="C4461" s="55"/>
      <c r="D4461" s="193"/>
      <c r="E4461" s="201"/>
      <c r="F4461" s="202"/>
      <c r="G4461" s="194"/>
      <c r="H4461" s="198"/>
      <c r="I4461" s="196"/>
      <c r="J4461" s="179" t="str">
        <f>IF(A4461="RAPPI",(VLOOKUP(TRIM(D4461), CATALOGO!F:G, 2, FALSE) * C4461)+I4461,IFERROR(IF(COUNTIF('RESTAURANTESDESCUENTOS 2026'!A:A,TRIM(A4461))&gt;0,((VLOOKUP(TRIM(D4461), CATALOGO!A:B, 2, FALSE) * C4461)*(1-VALUE(SUBSTITUTE(VLOOKUP(TRIM(A4461),'RESTAURANTESDESCUENTOS 2026'!A:B,2,FALSE),"%",""))/100)+I4461),(VLOOKUP(TRIM(D4461), CATALOGO!A:B, 2, FALSE) * C4461+I4461)),""))</f>
        <v/>
      </c>
      <c r="K4461" s="196"/>
      <c r="L4461" s="87"/>
      <c r="M4461" s="245"/>
      <c r="N4461" s="168"/>
    </row>
    <row r="4462" ht="22.5" hidden="1" customHeight="1">
      <c r="A4462" s="137"/>
      <c r="B4462" s="90"/>
      <c r="C4462" s="55"/>
      <c r="D4462" s="193"/>
      <c r="E4462" s="201"/>
      <c r="F4462" s="202"/>
      <c r="G4462" s="194"/>
      <c r="H4462" s="198"/>
      <c r="I4462" s="196"/>
      <c r="J4462" s="179" t="str">
        <f>IF(A4462="RAPPI",(VLOOKUP(TRIM(D4462), CATALOGO!F:G, 2, FALSE) * C4462)+I4462,IFERROR(IF(COUNTIF('RESTAURANTESDESCUENTOS 2026'!A:A,TRIM(A4462))&gt;0,((VLOOKUP(TRIM(D4462), CATALOGO!A:B, 2, FALSE) * C4462)*(1-VALUE(SUBSTITUTE(VLOOKUP(TRIM(A4462),'RESTAURANTESDESCUENTOS 2026'!A:B,2,FALSE),"%",""))/100)+I4462),(VLOOKUP(TRIM(D4462), CATALOGO!A:B, 2, FALSE) * C4462+I4462)),""))</f>
        <v/>
      </c>
      <c r="K4462" s="196"/>
      <c r="L4462" s="87"/>
      <c r="M4462" s="245"/>
      <c r="N4462" s="168"/>
    </row>
    <row r="4463" ht="22.5" hidden="1" customHeight="1">
      <c r="A4463" s="137"/>
      <c r="B4463" s="90"/>
      <c r="C4463" s="55"/>
      <c r="D4463" s="193"/>
      <c r="E4463" s="201"/>
      <c r="F4463" s="202"/>
      <c r="G4463" s="194"/>
      <c r="H4463" s="198"/>
      <c r="I4463" s="196"/>
      <c r="J4463" s="179" t="str">
        <f>IF(A4463="RAPPI",(VLOOKUP(TRIM(D4463), CATALOGO!F:G, 2, FALSE) * C4463)+I4463,IFERROR(IF(COUNTIF('RESTAURANTESDESCUENTOS 2026'!A:A,TRIM(A4463))&gt;0,((VLOOKUP(TRIM(D4463), CATALOGO!A:B, 2, FALSE) * C4463)*(1-VALUE(SUBSTITUTE(VLOOKUP(TRIM(A4463),'RESTAURANTESDESCUENTOS 2026'!A:B,2,FALSE),"%",""))/100)+I4463),(VLOOKUP(TRIM(D4463), CATALOGO!A:B, 2, FALSE) * C4463+I4463)),""))</f>
        <v/>
      </c>
      <c r="K4463" s="196"/>
      <c r="L4463" s="87"/>
      <c r="M4463" s="245"/>
      <c r="N4463" s="168"/>
    </row>
    <row r="4464" ht="22.5" hidden="1" customHeight="1">
      <c r="A4464" s="137"/>
      <c r="B4464" s="90"/>
      <c r="C4464" s="55"/>
      <c r="D4464" s="193"/>
      <c r="E4464" s="201"/>
      <c r="F4464" s="202"/>
      <c r="G4464" s="194"/>
      <c r="H4464" s="198"/>
      <c r="I4464" s="196"/>
      <c r="J4464" s="179" t="str">
        <f>IF(A4464="RAPPI",(VLOOKUP(TRIM(D4464), CATALOGO!F:G, 2, FALSE) * C4464)+I4464,IFERROR(IF(COUNTIF('RESTAURANTESDESCUENTOS 2026'!A:A,TRIM(A4464))&gt;0,((VLOOKUP(TRIM(D4464), CATALOGO!A:B, 2, FALSE) * C4464)*(1-VALUE(SUBSTITUTE(VLOOKUP(TRIM(A4464),'RESTAURANTESDESCUENTOS 2026'!A:B,2,FALSE),"%",""))/100)+I4464),(VLOOKUP(TRIM(D4464), CATALOGO!A:B, 2, FALSE) * C4464+I4464)),""))</f>
        <v/>
      </c>
      <c r="K4464" s="196"/>
      <c r="L4464" s="87"/>
      <c r="M4464" s="245"/>
      <c r="N4464" s="168"/>
    </row>
    <row r="4465" ht="22.5" hidden="1" customHeight="1">
      <c r="A4465" s="137"/>
      <c r="B4465" s="90"/>
      <c r="C4465" s="55"/>
      <c r="D4465" s="193"/>
      <c r="E4465" s="201"/>
      <c r="F4465" s="202"/>
      <c r="G4465" s="194"/>
      <c r="H4465" s="198"/>
      <c r="I4465" s="196"/>
      <c r="J4465" s="179" t="str">
        <f>IF(A4465="RAPPI",(VLOOKUP(TRIM(D4465), CATALOGO!F:G, 2, FALSE) * C4465)+I4465,IFERROR(IF(COUNTIF('RESTAURANTESDESCUENTOS 2026'!A:A,TRIM(A4465))&gt;0,((VLOOKUP(TRIM(D4465), CATALOGO!A:B, 2, FALSE) * C4465)*(1-VALUE(SUBSTITUTE(VLOOKUP(TRIM(A4465),'RESTAURANTESDESCUENTOS 2026'!A:B,2,FALSE),"%",""))/100)+I4465),(VLOOKUP(TRIM(D4465), CATALOGO!A:B, 2, FALSE) * C4465+I4465)),""))</f>
        <v/>
      </c>
      <c r="K4465" s="196"/>
      <c r="L4465" s="87"/>
      <c r="M4465" s="245"/>
      <c r="N4465" s="168"/>
    </row>
    <row r="4466" ht="22.5" hidden="1" customHeight="1">
      <c r="A4466" s="137"/>
      <c r="B4466" s="90"/>
      <c r="C4466" s="55"/>
      <c r="D4466" s="193"/>
      <c r="E4466" s="201"/>
      <c r="F4466" s="202"/>
      <c r="G4466" s="194"/>
      <c r="H4466" s="198"/>
      <c r="I4466" s="196"/>
      <c r="J4466" s="179" t="str">
        <f>IF(A4466="RAPPI",(VLOOKUP(TRIM(D4466), CATALOGO!F:G, 2, FALSE) * C4466)+I4466,IFERROR(IF(COUNTIF('RESTAURANTESDESCUENTOS 2026'!A:A,TRIM(A4466))&gt;0,((VLOOKUP(TRIM(D4466), CATALOGO!A:B, 2, FALSE) * C4466)*(1-VALUE(SUBSTITUTE(VLOOKUP(TRIM(A4466),'RESTAURANTESDESCUENTOS 2026'!A:B,2,FALSE),"%",""))/100)+I4466),(VLOOKUP(TRIM(D4466), CATALOGO!A:B, 2, FALSE) * C4466+I4466)),""))</f>
        <v/>
      </c>
      <c r="K4466" s="196"/>
      <c r="L4466" s="87"/>
      <c r="M4466" s="245"/>
      <c r="N4466" s="168"/>
    </row>
    <row r="4467" ht="22.5" hidden="1" customHeight="1">
      <c r="A4467" s="137"/>
      <c r="B4467" s="90"/>
      <c r="C4467" s="55"/>
      <c r="D4467" s="193"/>
      <c r="E4467" s="201"/>
      <c r="F4467" s="202"/>
      <c r="G4467" s="194"/>
      <c r="H4467" s="198"/>
      <c r="I4467" s="196"/>
      <c r="J4467" s="179" t="str">
        <f>IF(A4467="RAPPI",(VLOOKUP(TRIM(D4467), CATALOGO!F:G, 2, FALSE) * C4467)+I4467,IFERROR(IF(COUNTIF('RESTAURANTESDESCUENTOS 2026'!A:A,TRIM(A4467))&gt;0,((VLOOKUP(TRIM(D4467), CATALOGO!A:B, 2, FALSE) * C4467)*(1-VALUE(SUBSTITUTE(VLOOKUP(TRIM(A4467),'RESTAURANTESDESCUENTOS 2026'!A:B,2,FALSE),"%",""))/100)+I4467),(VLOOKUP(TRIM(D4467), CATALOGO!A:B, 2, FALSE) * C4467+I4467)),""))</f>
        <v/>
      </c>
      <c r="K4467" s="196"/>
      <c r="L4467" s="87"/>
      <c r="M4467" s="245"/>
      <c r="N4467" s="168"/>
    </row>
    <row r="4468" ht="22.5" hidden="1" customHeight="1">
      <c r="A4468" s="137"/>
      <c r="B4468" s="90"/>
      <c r="C4468" s="55"/>
      <c r="D4468" s="193"/>
      <c r="E4468" s="201"/>
      <c r="F4468" s="202"/>
      <c r="G4468" s="194"/>
      <c r="H4468" s="198"/>
      <c r="I4468" s="196"/>
      <c r="J4468" s="179" t="str">
        <f>IF(A4468="RAPPI",(VLOOKUP(TRIM(D4468), CATALOGO!F:G, 2, FALSE) * C4468)+I4468,IFERROR(IF(COUNTIF('RESTAURANTESDESCUENTOS 2026'!A:A,TRIM(A4468))&gt;0,((VLOOKUP(TRIM(D4468), CATALOGO!A:B, 2, FALSE) * C4468)*(1-VALUE(SUBSTITUTE(VLOOKUP(TRIM(A4468),'RESTAURANTESDESCUENTOS 2026'!A:B,2,FALSE),"%",""))/100)+I4468),(VLOOKUP(TRIM(D4468), CATALOGO!A:B, 2, FALSE) * C4468+I4468)),""))</f>
        <v/>
      </c>
      <c r="K4468" s="196"/>
      <c r="L4468" s="87"/>
      <c r="M4468" s="245"/>
      <c r="N4468" s="168"/>
    </row>
    <row r="4469" ht="22.5" hidden="1" customHeight="1">
      <c r="A4469" s="137"/>
      <c r="B4469" s="90"/>
      <c r="C4469" s="55"/>
      <c r="D4469" s="193"/>
      <c r="E4469" s="201"/>
      <c r="F4469" s="202"/>
      <c r="G4469" s="194"/>
      <c r="H4469" s="198"/>
      <c r="I4469" s="196"/>
      <c r="J4469" s="179" t="str">
        <f>IF(A4469="RAPPI",(VLOOKUP(TRIM(D4469), CATALOGO!F:G, 2, FALSE) * C4469)+I4469,IFERROR(IF(COUNTIF('RESTAURANTESDESCUENTOS 2026'!A:A,TRIM(A4469))&gt;0,((VLOOKUP(TRIM(D4469), CATALOGO!A:B, 2, FALSE) * C4469)*(1-VALUE(SUBSTITUTE(VLOOKUP(TRIM(A4469),'RESTAURANTESDESCUENTOS 2026'!A:B,2,FALSE),"%",""))/100)+I4469),(VLOOKUP(TRIM(D4469), CATALOGO!A:B, 2, FALSE) * C4469+I4469)),""))</f>
        <v/>
      </c>
      <c r="K4469" s="196"/>
      <c r="L4469" s="87"/>
      <c r="M4469" s="245"/>
      <c r="N4469" s="168"/>
    </row>
    <row r="4470" ht="22.5" hidden="1" customHeight="1">
      <c r="A4470" s="137"/>
      <c r="B4470" s="90"/>
      <c r="C4470" s="55"/>
      <c r="D4470" s="193"/>
      <c r="E4470" s="201"/>
      <c r="F4470" s="202"/>
      <c r="G4470" s="194"/>
      <c r="H4470" s="198"/>
      <c r="I4470" s="196"/>
      <c r="J4470" s="179" t="str">
        <f>IF(A4470="RAPPI",(VLOOKUP(TRIM(D4470), CATALOGO!F:G, 2, FALSE) * C4470)+I4470,IFERROR(IF(COUNTIF('RESTAURANTESDESCUENTOS 2026'!A:A,TRIM(A4470))&gt;0,((VLOOKUP(TRIM(D4470), CATALOGO!A:B, 2, FALSE) * C4470)*(1-VALUE(SUBSTITUTE(VLOOKUP(TRIM(A4470),'RESTAURANTESDESCUENTOS 2026'!A:B,2,FALSE),"%",""))/100)+I4470),(VLOOKUP(TRIM(D4470), CATALOGO!A:B, 2, FALSE) * C4470+I4470)),""))</f>
        <v/>
      </c>
      <c r="K4470" s="196"/>
      <c r="L4470" s="87"/>
      <c r="M4470" s="245"/>
      <c r="N4470" s="168"/>
    </row>
    <row r="4471" ht="22.5" hidden="1" customHeight="1">
      <c r="A4471" s="137"/>
      <c r="B4471" s="90"/>
      <c r="C4471" s="55"/>
      <c r="D4471" s="193"/>
      <c r="E4471" s="201"/>
      <c r="F4471" s="202"/>
      <c r="G4471" s="194"/>
      <c r="H4471" s="198"/>
      <c r="I4471" s="196"/>
      <c r="J4471" s="179" t="str">
        <f>IF(A4471="RAPPI",(VLOOKUP(TRIM(D4471), CATALOGO!F:G, 2, FALSE) * C4471)+I4471,IFERROR(IF(COUNTIF('RESTAURANTESDESCUENTOS 2026'!A:A,TRIM(A4471))&gt;0,((VLOOKUP(TRIM(D4471), CATALOGO!A:B, 2, FALSE) * C4471)*(1-VALUE(SUBSTITUTE(VLOOKUP(TRIM(A4471),'RESTAURANTESDESCUENTOS 2026'!A:B,2,FALSE),"%",""))/100)+I4471),(VLOOKUP(TRIM(D4471), CATALOGO!A:B, 2, FALSE) * C4471+I4471)),""))</f>
        <v/>
      </c>
      <c r="K4471" s="196"/>
      <c r="L4471" s="87"/>
      <c r="M4471" s="245"/>
      <c r="N4471" s="168"/>
    </row>
    <row r="4472" ht="22.5" hidden="1" customHeight="1">
      <c r="A4472" s="137"/>
      <c r="B4472" s="90"/>
      <c r="C4472" s="55"/>
      <c r="D4472" s="193"/>
      <c r="E4472" s="201"/>
      <c r="F4472" s="202"/>
      <c r="G4472" s="194"/>
      <c r="H4472" s="198"/>
      <c r="I4472" s="196"/>
      <c r="J4472" s="179" t="str">
        <f>IF(A4472="RAPPI",(VLOOKUP(TRIM(D4472), CATALOGO!F:G, 2, FALSE) * C4472)+I4472,IFERROR(IF(COUNTIF('RESTAURANTESDESCUENTOS 2026'!A:A,TRIM(A4472))&gt;0,((VLOOKUP(TRIM(D4472), CATALOGO!A:B, 2, FALSE) * C4472)*(1-VALUE(SUBSTITUTE(VLOOKUP(TRIM(A4472),'RESTAURANTESDESCUENTOS 2026'!A:B,2,FALSE),"%",""))/100)+I4472),(VLOOKUP(TRIM(D4472), CATALOGO!A:B, 2, FALSE) * C4472+I4472)),""))</f>
        <v/>
      </c>
      <c r="K4472" s="196"/>
      <c r="L4472" s="87"/>
      <c r="M4472" s="245"/>
      <c r="N4472" s="168"/>
    </row>
    <row r="4473" ht="22.5" hidden="1" customHeight="1">
      <c r="A4473" s="137"/>
      <c r="B4473" s="90"/>
      <c r="C4473" s="55"/>
      <c r="D4473" s="193"/>
      <c r="E4473" s="201"/>
      <c r="F4473" s="202"/>
      <c r="G4473" s="194"/>
      <c r="H4473" s="198"/>
      <c r="I4473" s="196"/>
      <c r="J4473" s="179" t="str">
        <f>IF(A4473="RAPPI",(VLOOKUP(TRIM(D4473), CATALOGO!F:G, 2, FALSE) * C4473)+I4473,IFERROR(IF(COUNTIF('RESTAURANTESDESCUENTOS 2026'!A:A,TRIM(A4473))&gt;0,((VLOOKUP(TRIM(D4473), CATALOGO!A:B, 2, FALSE) * C4473)*(1-VALUE(SUBSTITUTE(VLOOKUP(TRIM(A4473),'RESTAURANTESDESCUENTOS 2026'!A:B,2,FALSE),"%",""))/100)+I4473),(VLOOKUP(TRIM(D4473), CATALOGO!A:B, 2, FALSE) * C4473+I4473)),""))</f>
        <v/>
      </c>
      <c r="K4473" s="196"/>
      <c r="L4473" s="87"/>
      <c r="M4473" s="245"/>
      <c r="N4473" s="168"/>
    </row>
    <row r="4474" ht="22.5" hidden="1" customHeight="1">
      <c r="A4474" s="137"/>
      <c r="B4474" s="90"/>
      <c r="C4474" s="55"/>
      <c r="D4474" s="193"/>
      <c r="E4474" s="201"/>
      <c r="F4474" s="202"/>
      <c r="G4474" s="194"/>
      <c r="H4474" s="198"/>
      <c r="I4474" s="196"/>
      <c r="J4474" s="179" t="str">
        <f>IF(A4474="RAPPI",(VLOOKUP(TRIM(D4474), CATALOGO!F:G, 2, FALSE) * C4474)+I4474,IFERROR(IF(COUNTIF('RESTAURANTESDESCUENTOS 2026'!A:A,TRIM(A4474))&gt;0,((VLOOKUP(TRIM(D4474), CATALOGO!A:B, 2, FALSE) * C4474)*(1-VALUE(SUBSTITUTE(VLOOKUP(TRIM(A4474),'RESTAURANTESDESCUENTOS 2026'!A:B,2,FALSE),"%",""))/100)+I4474),(VLOOKUP(TRIM(D4474), CATALOGO!A:B, 2, FALSE) * C4474+I4474)),""))</f>
        <v/>
      </c>
      <c r="K4474" s="196"/>
      <c r="L4474" s="87"/>
      <c r="M4474" s="245"/>
      <c r="N4474" s="168"/>
    </row>
    <row r="4475" ht="22.5" hidden="1" customHeight="1">
      <c r="A4475" s="137"/>
      <c r="B4475" s="90"/>
      <c r="C4475" s="55"/>
      <c r="D4475" s="193"/>
      <c r="E4475" s="201"/>
      <c r="F4475" s="202"/>
      <c r="G4475" s="194"/>
      <c r="H4475" s="198"/>
      <c r="I4475" s="196"/>
      <c r="J4475" s="179" t="str">
        <f>IF(A4475="RAPPI",(VLOOKUP(TRIM(D4475), CATALOGO!F:G, 2, FALSE) * C4475)+I4475,IFERROR(IF(COUNTIF('RESTAURANTESDESCUENTOS 2026'!A:A,TRIM(A4475))&gt;0,((VLOOKUP(TRIM(D4475), CATALOGO!A:B, 2, FALSE) * C4475)*(1-VALUE(SUBSTITUTE(VLOOKUP(TRIM(A4475),'RESTAURANTESDESCUENTOS 2026'!A:B,2,FALSE),"%",""))/100)+I4475),(VLOOKUP(TRIM(D4475), CATALOGO!A:B, 2, FALSE) * C4475+I4475)),""))</f>
        <v/>
      </c>
      <c r="K4475" s="196"/>
      <c r="L4475" s="87"/>
      <c r="M4475" s="245"/>
      <c r="N4475" s="168"/>
    </row>
    <row r="4476" ht="22.5" hidden="1" customHeight="1">
      <c r="A4476" s="137"/>
      <c r="B4476" s="90"/>
      <c r="C4476" s="55"/>
      <c r="D4476" s="193"/>
      <c r="E4476" s="201"/>
      <c r="F4476" s="202"/>
      <c r="G4476" s="194"/>
      <c r="H4476" s="198"/>
      <c r="I4476" s="196"/>
      <c r="J4476" s="179" t="str">
        <f>IF(A4476="RAPPI",(VLOOKUP(TRIM(D4476), CATALOGO!F:G, 2, FALSE) * C4476)+I4476,IFERROR(IF(COUNTIF('RESTAURANTESDESCUENTOS 2026'!A:A,TRIM(A4476))&gt;0,((VLOOKUP(TRIM(D4476), CATALOGO!A:B, 2, FALSE) * C4476)*(1-VALUE(SUBSTITUTE(VLOOKUP(TRIM(A4476),'RESTAURANTESDESCUENTOS 2026'!A:B,2,FALSE),"%",""))/100)+I4476),(VLOOKUP(TRIM(D4476), CATALOGO!A:B, 2, FALSE) * C4476+I4476)),""))</f>
        <v/>
      </c>
      <c r="K4476" s="196"/>
      <c r="L4476" s="87"/>
      <c r="M4476" s="245"/>
      <c r="N4476" s="168"/>
    </row>
    <row r="4477" ht="22.5" hidden="1" customHeight="1">
      <c r="A4477" s="137"/>
      <c r="B4477" s="90"/>
      <c r="C4477" s="55"/>
      <c r="D4477" s="193"/>
      <c r="E4477" s="201"/>
      <c r="F4477" s="202"/>
      <c r="G4477" s="194"/>
      <c r="H4477" s="198"/>
      <c r="I4477" s="196"/>
      <c r="J4477" s="179" t="str">
        <f>IF(A4477="RAPPI",(VLOOKUP(TRIM(D4477), CATALOGO!F:G, 2, FALSE) * C4477)+I4477,IFERROR(IF(COUNTIF('RESTAURANTESDESCUENTOS 2026'!A:A,TRIM(A4477))&gt;0,((VLOOKUP(TRIM(D4477), CATALOGO!A:B, 2, FALSE) * C4477)*(1-VALUE(SUBSTITUTE(VLOOKUP(TRIM(A4477),'RESTAURANTESDESCUENTOS 2026'!A:B,2,FALSE),"%",""))/100)+I4477),(VLOOKUP(TRIM(D4477), CATALOGO!A:B, 2, FALSE) * C4477+I4477)),""))</f>
        <v/>
      </c>
      <c r="K4477" s="196"/>
      <c r="L4477" s="87"/>
      <c r="M4477" s="245"/>
      <c r="N4477" s="168"/>
    </row>
    <row r="4478" ht="22.5" hidden="1" customHeight="1">
      <c r="A4478" s="137"/>
      <c r="B4478" s="90"/>
      <c r="C4478" s="55"/>
      <c r="D4478" s="193"/>
      <c r="E4478" s="201"/>
      <c r="F4478" s="202"/>
      <c r="G4478" s="194"/>
      <c r="H4478" s="198"/>
      <c r="I4478" s="196"/>
      <c r="J4478" s="179" t="str">
        <f>IF(A4478="RAPPI",(VLOOKUP(TRIM(D4478), CATALOGO!F:G, 2, FALSE) * C4478)+I4478,IFERROR(IF(COUNTIF('RESTAURANTESDESCUENTOS 2026'!A:A,TRIM(A4478))&gt;0,((VLOOKUP(TRIM(D4478), CATALOGO!A:B, 2, FALSE) * C4478)*(1-VALUE(SUBSTITUTE(VLOOKUP(TRIM(A4478),'RESTAURANTESDESCUENTOS 2026'!A:B,2,FALSE),"%",""))/100)+I4478),(VLOOKUP(TRIM(D4478), CATALOGO!A:B, 2, FALSE) * C4478+I4478)),""))</f>
        <v/>
      </c>
      <c r="K4478" s="196"/>
      <c r="L4478" s="87"/>
      <c r="M4478" s="245"/>
      <c r="N4478" s="168"/>
    </row>
    <row r="4479" ht="22.5" hidden="1" customHeight="1">
      <c r="A4479" s="137"/>
      <c r="B4479" s="90"/>
      <c r="C4479" s="55"/>
      <c r="D4479" s="193"/>
      <c r="E4479" s="201"/>
      <c r="F4479" s="202"/>
      <c r="G4479" s="194"/>
      <c r="H4479" s="198"/>
      <c r="I4479" s="196"/>
      <c r="J4479" s="179" t="str">
        <f>IF(A4479="RAPPI",(VLOOKUP(TRIM(D4479), CATALOGO!F:G, 2, FALSE) * C4479)+I4479,IFERROR(IF(COUNTIF('RESTAURANTESDESCUENTOS 2026'!A:A,TRIM(A4479))&gt;0,((VLOOKUP(TRIM(D4479), CATALOGO!A:B, 2, FALSE) * C4479)*(1-VALUE(SUBSTITUTE(VLOOKUP(TRIM(A4479),'RESTAURANTESDESCUENTOS 2026'!A:B,2,FALSE),"%",""))/100)+I4479),(VLOOKUP(TRIM(D4479), CATALOGO!A:B, 2, FALSE) * C4479+I4479)),""))</f>
        <v/>
      </c>
      <c r="K4479" s="196"/>
      <c r="L4479" s="87"/>
      <c r="M4479" s="245"/>
      <c r="N4479" s="168"/>
    </row>
    <row r="4480" ht="22.5" hidden="1" customHeight="1">
      <c r="A4480" s="137"/>
      <c r="B4480" s="90"/>
      <c r="C4480" s="55"/>
      <c r="D4480" s="193"/>
      <c r="E4480" s="201"/>
      <c r="F4480" s="202"/>
      <c r="G4480" s="194"/>
      <c r="H4480" s="198"/>
      <c r="I4480" s="196"/>
      <c r="J4480" s="179" t="str">
        <f>IF(A4480="RAPPI",(VLOOKUP(TRIM(D4480), CATALOGO!F:G, 2, FALSE) * C4480)+I4480,IFERROR(IF(COUNTIF('RESTAURANTESDESCUENTOS 2026'!A:A,TRIM(A4480))&gt;0,((VLOOKUP(TRIM(D4480), CATALOGO!A:B, 2, FALSE) * C4480)*(1-VALUE(SUBSTITUTE(VLOOKUP(TRIM(A4480),'RESTAURANTESDESCUENTOS 2026'!A:B,2,FALSE),"%",""))/100)+I4480),(VLOOKUP(TRIM(D4480), CATALOGO!A:B, 2, FALSE) * C4480+I4480)),""))</f>
        <v/>
      </c>
      <c r="K4480" s="196"/>
      <c r="L4480" s="87"/>
      <c r="M4480" s="245"/>
      <c r="N4480" s="168"/>
    </row>
    <row r="4481" ht="22.5" hidden="1" customHeight="1">
      <c r="A4481" s="137"/>
      <c r="B4481" s="90"/>
      <c r="C4481" s="55"/>
      <c r="D4481" s="193"/>
      <c r="E4481" s="201"/>
      <c r="F4481" s="202"/>
      <c r="G4481" s="194"/>
      <c r="H4481" s="198"/>
      <c r="I4481" s="196"/>
      <c r="J4481" s="179" t="str">
        <f>IF(A4481="RAPPI",(VLOOKUP(TRIM(D4481), CATALOGO!F:G, 2, FALSE) * C4481)+I4481,IFERROR(IF(COUNTIF('RESTAURANTESDESCUENTOS 2026'!A:A,TRIM(A4481))&gt;0,((VLOOKUP(TRIM(D4481), CATALOGO!A:B, 2, FALSE) * C4481)*(1-VALUE(SUBSTITUTE(VLOOKUP(TRIM(A4481),'RESTAURANTESDESCUENTOS 2026'!A:B,2,FALSE),"%",""))/100)+I4481),(VLOOKUP(TRIM(D4481), CATALOGO!A:B, 2, FALSE) * C4481+I4481)),""))</f>
        <v/>
      </c>
      <c r="K4481" s="196"/>
      <c r="L4481" s="87"/>
      <c r="M4481" s="245"/>
      <c r="N4481" s="168"/>
    </row>
    <row r="4482" ht="22.5" hidden="1" customHeight="1">
      <c r="A4482" s="137"/>
      <c r="B4482" s="90"/>
      <c r="C4482" s="55"/>
      <c r="D4482" s="193"/>
      <c r="E4482" s="201"/>
      <c r="F4482" s="202"/>
      <c r="G4482" s="194"/>
      <c r="H4482" s="198"/>
      <c r="I4482" s="196"/>
      <c r="J4482" s="179" t="str">
        <f>IF(A4482="RAPPI",(VLOOKUP(TRIM(D4482), CATALOGO!F:G, 2, FALSE) * C4482)+I4482,IFERROR(IF(COUNTIF('RESTAURANTESDESCUENTOS 2026'!A:A,TRIM(A4482))&gt;0,((VLOOKUP(TRIM(D4482), CATALOGO!A:B, 2, FALSE) * C4482)*(1-VALUE(SUBSTITUTE(VLOOKUP(TRIM(A4482),'RESTAURANTESDESCUENTOS 2026'!A:B,2,FALSE),"%",""))/100)+I4482),(VLOOKUP(TRIM(D4482), CATALOGO!A:B, 2, FALSE) * C4482+I4482)),""))</f>
        <v/>
      </c>
      <c r="K4482" s="196"/>
      <c r="L4482" s="87"/>
      <c r="M4482" s="245"/>
      <c r="N4482" s="168"/>
    </row>
    <row r="4483" ht="22.5" hidden="1" customHeight="1">
      <c r="A4483" s="137"/>
      <c r="B4483" s="90"/>
      <c r="C4483" s="55"/>
      <c r="D4483" s="193"/>
      <c r="E4483" s="201"/>
      <c r="F4483" s="202"/>
      <c r="G4483" s="194"/>
      <c r="H4483" s="198"/>
      <c r="I4483" s="196"/>
      <c r="J4483" s="179" t="str">
        <f>IF(A4483="RAPPI",(VLOOKUP(TRIM(D4483), CATALOGO!F:G, 2, FALSE) * C4483)+I4483,IFERROR(IF(COUNTIF('RESTAURANTESDESCUENTOS 2026'!A:A,TRIM(A4483))&gt;0,((VLOOKUP(TRIM(D4483), CATALOGO!A:B, 2, FALSE) * C4483)*(1-VALUE(SUBSTITUTE(VLOOKUP(TRIM(A4483),'RESTAURANTESDESCUENTOS 2026'!A:B,2,FALSE),"%",""))/100)+I4483),(VLOOKUP(TRIM(D4483), CATALOGO!A:B, 2, FALSE) * C4483+I4483)),""))</f>
        <v/>
      </c>
      <c r="K4483" s="196"/>
      <c r="L4483" s="87"/>
      <c r="M4483" s="245"/>
      <c r="N4483" s="168"/>
    </row>
    <row r="4484" ht="22.5" hidden="1" customHeight="1">
      <c r="A4484" s="137"/>
      <c r="B4484" s="90"/>
      <c r="C4484" s="55"/>
      <c r="D4484" s="193"/>
      <c r="E4484" s="201"/>
      <c r="F4484" s="202"/>
      <c r="G4484" s="194"/>
      <c r="H4484" s="198"/>
      <c r="I4484" s="196"/>
      <c r="J4484" s="179" t="str">
        <f>IF(A4484="RAPPI",(VLOOKUP(TRIM(D4484), CATALOGO!F:G, 2, FALSE) * C4484)+I4484,IFERROR(IF(COUNTIF('RESTAURANTESDESCUENTOS 2026'!A:A,TRIM(A4484))&gt;0,((VLOOKUP(TRIM(D4484), CATALOGO!A:B, 2, FALSE) * C4484)*(1-VALUE(SUBSTITUTE(VLOOKUP(TRIM(A4484),'RESTAURANTESDESCUENTOS 2026'!A:B,2,FALSE),"%",""))/100)+I4484),(VLOOKUP(TRIM(D4484), CATALOGO!A:B, 2, FALSE) * C4484+I4484)),""))</f>
        <v/>
      </c>
      <c r="K4484" s="196"/>
      <c r="L4484" s="87"/>
      <c r="M4484" s="245"/>
      <c r="N4484" s="168"/>
    </row>
    <row r="4485" ht="22.5" hidden="1" customHeight="1">
      <c r="A4485" s="137"/>
      <c r="B4485" s="90"/>
      <c r="C4485" s="55"/>
      <c r="D4485" s="193"/>
      <c r="E4485" s="201"/>
      <c r="F4485" s="202"/>
      <c r="G4485" s="194"/>
      <c r="H4485" s="198"/>
      <c r="I4485" s="196"/>
      <c r="J4485" s="179" t="str">
        <f>IF(A4485="RAPPI",(VLOOKUP(TRIM(D4485), CATALOGO!F:G, 2, FALSE) * C4485)+I4485,IFERROR(IF(COUNTIF('RESTAURANTESDESCUENTOS 2026'!A:A,TRIM(A4485))&gt;0,((VLOOKUP(TRIM(D4485), CATALOGO!A:B, 2, FALSE) * C4485)*(1-VALUE(SUBSTITUTE(VLOOKUP(TRIM(A4485),'RESTAURANTESDESCUENTOS 2026'!A:B,2,FALSE),"%",""))/100)+I4485),(VLOOKUP(TRIM(D4485), CATALOGO!A:B, 2, FALSE) * C4485+I4485)),""))</f>
        <v/>
      </c>
      <c r="K4485" s="196"/>
      <c r="L4485" s="87"/>
      <c r="M4485" s="245"/>
      <c r="N4485" s="168"/>
    </row>
    <row r="4486" ht="22.5" hidden="1" customHeight="1">
      <c r="A4486" s="137"/>
      <c r="B4486" s="90"/>
      <c r="C4486" s="55"/>
      <c r="D4486" s="193"/>
      <c r="E4486" s="201"/>
      <c r="F4486" s="202"/>
      <c r="G4486" s="194"/>
      <c r="H4486" s="198"/>
      <c r="I4486" s="196"/>
      <c r="J4486" s="179" t="str">
        <f>IF(A4486="RAPPI",(VLOOKUP(TRIM(D4486), CATALOGO!F:G, 2, FALSE) * C4486)+I4486,IFERROR(IF(COUNTIF('RESTAURANTESDESCUENTOS 2026'!A:A,TRIM(A4486))&gt;0,((VLOOKUP(TRIM(D4486), CATALOGO!A:B, 2, FALSE) * C4486)*(1-VALUE(SUBSTITUTE(VLOOKUP(TRIM(A4486),'RESTAURANTESDESCUENTOS 2026'!A:B,2,FALSE),"%",""))/100)+I4486),(VLOOKUP(TRIM(D4486), CATALOGO!A:B, 2, FALSE) * C4486+I4486)),""))</f>
        <v/>
      </c>
      <c r="K4486" s="196"/>
      <c r="L4486" s="87"/>
      <c r="M4486" s="245"/>
      <c r="N4486" s="168"/>
    </row>
    <row r="4487" ht="22.5" hidden="1" customHeight="1">
      <c r="A4487" s="137"/>
      <c r="B4487" s="90"/>
      <c r="C4487" s="55"/>
      <c r="D4487" s="193"/>
      <c r="E4487" s="201"/>
      <c r="F4487" s="202"/>
      <c r="G4487" s="194"/>
      <c r="H4487" s="198"/>
      <c r="I4487" s="196"/>
      <c r="J4487" s="179" t="str">
        <f>IF(A4487="RAPPI",(VLOOKUP(TRIM(D4487), CATALOGO!F:G, 2, FALSE) * C4487)+I4487,IFERROR(IF(COUNTIF('RESTAURANTESDESCUENTOS 2026'!A:A,TRIM(A4487))&gt;0,((VLOOKUP(TRIM(D4487), CATALOGO!A:B, 2, FALSE) * C4487)*(1-VALUE(SUBSTITUTE(VLOOKUP(TRIM(A4487),'RESTAURANTESDESCUENTOS 2026'!A:B,2,FALSE),"%",""))/100)+I4487),(VLOOKUP(TRIM(D4487), CATALOGO!A:B, 2, FALSE) * C4487+I4487)),""))</f>
        <v/>
      </c>
      <c r="K4487" s="196"/>
      <c r="L4487" s="87"/>
      <c r="M4487" s="245"/>
      <c r="N4487" s="168"/>
    </row>
    <row r="4488" ht="22.5" hidden="1" customHeight="1">
      <c r="A4488" s="137"/>
      <c r="B4488" s="90"/>
      <c r="C4488" s="55"/>
      <c r="D4488" s="193"/>
      <c r="E4488" s="201"/>
      <c r="F4488" s="202"/>
      <c r="G4488" s="194"/>
      <c r="H4488" s="198"/>
      <c r="I4488" s="196"/>
      <c r="J4488" s="179" t="str">
        <f>IF(A4488="RAPPI",(VLOOKUP(TRIM(D4488), CATALOGO!F:G, 2, FALSE) * C4488)+I4488,IFERROR(IF(COUNTIF('RESTAURANTESDESCUENTOS 2026'!A:A,TRIM(A4488))&gt;0,((VLOOKUP(TRIM(D4488), CATALOGO!A:B, 2, FALSE) * C4488)*(1-VALUE(SUBSTITUTE(VLOOKUP(TRIM(A4488),'RESTAURANTESDESCUENTOS 2026'!A:B,2,FALSE),"%",""))/100)+I4488),(VLOOKUP(TRIM(D4488), CATALOGO!A:B, 2, FALSE) * C4488+I4488)),""))</f>
        <v/>
      </c>
      <c r="K4488" s="196"/>
      <c r="L4488" s="87"/>
      <c r="M4488" s="245"/>
      <c r="N4488" s="168"/>
    </row>
    <row r="4489" ht="22.5" hidden="1" customHeight="1">
      <c r="A4489" s="137"/>
      <c r="B4489" s="90"/>
      <c r="C4489" s="55"/>
      <c r="D4489" s="193"/>
      <c r="E4489" s="201"/>
      <c r="F4489" s="202"/>
      <c r="G4489" s="194"/>
      <c r="H4489" s="198"/>
      <c r="I4489" s="196"/>
      <c r="J4489" s="179" t="str">
        <f>IF(A4489="RAPPI",(VLOOKUP(TRIM(D4489), CATALOGO!F:G, 2, FALSE) * C4489)+I4489,IFERROR(IF(COUNTIF('RESTAURANTESDESCUENTOS 2026'!A:A,TRIM(A4489))&gt;0,((VLOOKUP(TRIM(D4489), CATALOGO!A:B, 2, FALSE) * C4489)*(1-VALUE(SUBSTITUTE(VLOOKUP(TRIM(A4489),'RESTAURANTESDESCUENTOS 2026'!A:B,2,FALSE),"%",""))/100)+I4489),(VLOOKUP(TRIM(D4489), CATALOGO!A:B, 2, FALSE) * C4489+I4489)),""))</f>
        <v/>
      </c>
      <c r="K4489" s="196"/>
      <c r="L4489" s="87"/>
      <c r="M4489" s="245"/>
      <c r="N4489" s="168"/>
    </row>
    <row r="4490" ht="22.5" hidden="1" customHeight="1">
      <c r="A4490" s="137"/>
      <c r="B4490" s="90"/>
      <c r="C4490" s="55"/>
      <c r="D4490" s="193"/>
      <c r="E4490" s="201"/>
      <c r="F4490" s="202"/>
      <c r="G4490" s="194"/>
      <c r="H4490" s="198"/>
      <c r="I4490" s="196"/>
      <c r="J4490" s="179" t="str">
        <f>IF(A4490="RAPPI",(VLOOKUP(TRIM(D4490), CATALOGO!F:G, 2, FALSE) * C4490)+I4490,IFERROR(IF(COUNTIF('RESTAURANTESDESCUENTOS 2026'!A:A,TRIM(A4490))&gt;0,((VLOOKUP(TRIM(D4490), CATALOGO!A:B, 2, FALSE) * C4490)*(1-VALUE(SUBSTITUTE(VLOOKUP(TRIM(A4490),'RESTAURANTESDESCUENTOS 2026'!A:B,2,FALSE),"%",""))/100)+I4490),(VLOOKUP(TRIM(D4490), CATALOGO!A:B, 2, FALSE) * C4490+I4490)),""))</f>
        <v/>
      </c>
      <c r="K4490" s="196"/>
      <c r="L4490" s="87"/>
      <c r="M4490" s="245"/>
      <c r="N4490" s="168"/>
    </row>
    <row r="4491" ht="22.5" hidden="1" customHeight="1">
      <c r="A4491" s="137"/>
      <c r="B4491" s="90"/>
      <c r="C4491" s="55"/>
      <c r="D4491" s="193"/>
      <c r="E4491" s="201"/>
      <c r="F4491" s="202"/>
      <c r="G4491" s="194"/>
      <c r="H4491" s="198"/>
      <c r="I4491" s="196"/>
      <c r="J4491" s="179" t="str">
        <f>IF(A4491="RAPPI",(VLOOKUP(TRIM(D4491), CATALOGO!F:G, 2, FALSE) * C4491)+I4491,IFERROR(IF(COUNTIF('RESTAURANTESDESCUENTOS 2026'!A:A,TRIM(A4491))&gt;0,((VLOOKUP(TRIM(D4491), CATALOGO!A:B, 2, FALSE) * C4491)*(1-VALUE(SUBSTITUTE(VLOOKUP(TRIM(A4491),'RESTAURANTESDESCUENTOS 2026'!A:B,2,FALSE),"%",""))/100)+I4491),(VLOOKUP(TRIM(D4491), CATALOGO!A:B, 2, FALSE) * C4491+I4491)),""))</f>
        <v/>
      </c>
      <c r="K4491" s="196"/>
      <c r="L4491" s="87"/>
      <c r="M4491" s="245"/>
      <c r="N4491" s="168"/>
    </row>
    <row r="4492" ht="22.5" hidden="1" customHeight="1">
      <c r="A4492" s="137"/>
      <c r="B4492" s="90"/>
      <c r="C4492" s="55"/>
      <c r="D4492" s="193"/>
      <c r="E4492" s="201"/>
      <c r="F4492" s="202"/>
      <c r="G4492" s="194"/>
      <c r="H4492" s="198"/>
      <c r="I4492" s="196"/>
      <c r="J4492" s="179" t="str">
        <f>IF(A4492="RAPPI",(VLOOKUP(TRIM(D4492), CATALOGO!F:G, 2, FALSE) * C4492)+I4492,IFERROR(IF(COUNTIF('RESTAURANTESDESCUENTOS 2026'!A:A,TRIM(A4492))&gt;0,((VLOOKUP(TRIM(D4492), CATALOGO!A:B, 2, FALSE) * C4492)*(1-VALUE(SUBSTITUTE(VLOOKUP(TRIM(A4492),'RESTAURANTESDESCUENTOS 2026'!A:B,2,FALSE),"%",""))/100)+I4492),(VLOOKUP(TRIM(D4492), CATALOGO!A:B, 2, FALSE) * C4492+I4492)),""))</f>
        <v/>
      </c>
      <c r="K4492" s="196"/>
      <c r="L4492" s="87"/>
      <c r="M4492" s="245"/>
      <c r="N4492" s="168"/>
    </row>
    <row r="4493" ht="22.5" hidden="1" customHeight="1">
      <c r="A4493" s="137"/>
      <c r="B4493" s="90"/>
      <c r="C4493" s="55"/>
      <c r="D4493" s="193"/>
      <c r="E4493" s="201"/>
      <c r="F4493" s="202"/>
      <c r="G4493" s="194"/>
      <c r="H4493" s="198"/>
      <c r="I4493" s="196"/>
      <c r="J4493" s="179" t="str">
        <f>IF(A4493="RAPPI",(VLOOKUP(TRIM(D4493), CATALOGO!F:G, 2, FALSE) * C4493)+I4493,IFERROR(IF(COUNTIF('RESTAURANTESDESCUENTOS 2026'!A:A,TRIM(A4493))&gt;0,((VLOOKUP(TRIM(D4493), CATALOGO!A:B, 2, FALSE) * C4493)*(1-VALUE(SUBSTITUTE(VLOOKUP(TRIM(A4493),'RESTAURANTESDESCUENTOS 2026'!A:B,2,FALSE),"%",""))/100)+I4493),(VLOOKUP(TRIM(D4493), CATALOGO!A:B, 2, FALSE) * C4493+I4493)),""))</f>
        <v/>
      </c>
      <c r="K4493" s="196"/>
      <c r="L4493" s="87"/>
      <c r="M4493" s="245"/>
      <c r="N4493" s="168"/>
    </row>
    <row r="4494" ht="22.5" hidden="1" customHeight="1">
      <c r="A4494" s="137"/>
      <c r="B4494" s="90"/>
      <c r="C4494" s="55"/>
      <c r="D4494" s="193"/>
      <c r="E4494" s="201"/>
      <c r="F4494" s="202"/>
      <c r="G4494" s="194"/>
      <c r="H4494" s="198"/>
      <c r="I4494" s="196"/>
      <c r="J4494" s="179" t="str">
        <f>IF(A4494="RAPPI",(VLOOKUP(TRIM(D4494), CATALOGO!F:G, 2, FALSE) * C4494)+I4494,IFERROR(IF(COUNTIF('RESTAURANTESDESCUENTOS 2026'!A:A,TRIM(A4494))&gt;0,((VLOOKUP(TRIM(D4494), CATALOGO!A:B, 2, FALSE) * C4494)*(1-VALUE(SUBSTITUTE(VLOOKUP(TRIM(A4494),'RESTAURANTESDESCUENTOS 2026'!A:B,2,FALSE),"%",""))/100)+I4494),(VLOOKUP(TRIM(D4494), CATALOGO!A:B, 2, FALSE) * C4494+I4494)),""))</f>
        <v/>
      </c>
      <c r="K4494" s="196"/>
      <c r="L4494" s="87"/>
      <c r="M4494" s="245"/>
      <c r="N4494" s="168"/>
    </row>
    <row r="4495" ht="22.5" hidden="1" customHeight="1">
      <c r="A4495" s="137"/>
      <c r="B4495" s="90"/>
      <c r="C4495" s="55"/>
      <c r="D4495" s="193"/>
      <c r="E4495" s="201"/>
      <c r="F4495" s="202"/>
      <c r="G4495" s="194"/>
      <c r="H4495" s="198"/>
      <c r="I4495" s="196"/>
      <c r="J4495" s="179" t="str">
        <f>IF(A4495="RAPPI",(VLOOKUP(TRIM(D4495), CATALOGO!F:G, 2, FALSE) * C4495)+I4495,IFERROR(IF(COUNTIF('RESTAURANTESDESCUENTOS 2026'!A:A,TRIM(A4495))&gt;0,((VLOOKUP(TRIM(D4495), CATALOGO!A:B, 2, FALSE) * C4495)*(1-VALUE(SUBSTITUTE(VLOOKUP(TRIM(A4495),'RESTAURANTESDESCUENTOS 2026'!A:B,2,FALSE),"%",""))/100)+I4495),(VLOOKUP(TRIM(D4495), CATALOGO!A:B, 2, FALSE) * C4495+I4495)),""))</f>
        <v/>
      </c>
      <c r="K4495" s="196"/>
      <c r="L4495" s="87"/>
      <c r="M4495" s="245"/>
      <c r="N4495" s="168"/>
    </row>
    <row r="4496" ht="22.5" hidden="1" customHeight="1">
      <c r="A4496" s="137"/>
      <c r="B4496" s="90"/>
      <c r="C4496" s="55"/>
      <c r="D4496" s="193"/>
      <c r="E4496" s="201"/>
      <c r="F4496" s="202"/>
      <c r="G4496" s="194"/>
      <c r="H4496" s="198"/>
      <c r="I4496" s="196"/>
      <c r="J4496" s="179" t="str">
        <f>IF(A4496="RAPPI",(VLOOKUP(TRIM(D4496), CATALOGO!F:G, 2, FALSE) * C4496)+I4496,IFERROR(IF(COUNTIF('RESTAURANTESDESCUENTOS 2026'!A:A,TRIM(A4496))&gt;0,((VLOOKUP(TRIM(D4496), CATALOGO!A:B, 2, FALSE) * C4496)*(1-VALUE(SUBSTITUTE(VLOOKUP(TRIM(A4496),'RESTAURANTESDESCUENTOS 2026'!A:B,2,FALSE),"%",""))/100)+I4496),(VLOOKUP(TRIM(D4496), CATALOGO!A:B, 2, FALSE) * C4496+I4496)),""))</f>
        <v/>
      </c>
      <c r="K4496" s="196"/>
      <c r="L4496" s="87"/>
      <c r="M4496" s="245"/>
      <c r="N4496" s="168"/>
    </row>
    <row r="4497" ht="22.5" hidden="1" customHeight="1">
      <c r="A4497" s="137"/>
      <c r="B4497" s="90"/>
      <c r="C4497" s="55"/>
      <c r="D4497" s="193"/>
      <c r="E4497" s="201"/>
      <c r="F4497" s="202"/>
      <c r="G4497" s="194"/>
      <c r="H4497" s="198"/>
      <c r="I4497" s="196"/>
      <c r="J4497" s="179" t="str">
        <f>IF(A4497="RAPPI",(VLOOKUP(TRIM(D4497), CATALOGO!F:G, 2, FALSE) * C4497)+I4497,IFERROR(IF(COUNTIF('RESTAURANTESDESCUENTOS 2026'!A:A,TRIM(A4497))&gt;0,((VLOOKUP(TRIM(D4497), CATALOGO!A:B, 2, FALSE) * C4497)*(1-VALUE(SUBSTITUTE(VLOOKUP(TRIM(A4497),'RESTAURANTESDESCUENTOS 2026'!A:B,2,FALSE),"%",""))/100)+I4497),(VLOOKUP(TRIM(D4497), CATALOGO!A:B, 2, FALSE) * C4497+I4497)),""))</f>
        <v/>
      </c>
      <c r="K4497" s="196"/>
      <c r="L4497" s="87"/>
      <c r="M4497" s="245"/>
      <c r="N4497" s="168"/>
    </row>
    <row r="4498" ht="22.5" hidden="1" customHeight="1">
      <c r="A4498" s="137"/>
      <c r="B4498" s="90"/>
      <c r="C4498" s="55"/>
      <c r="D4498" s="193"/>
      <c r="E4498" s="201"/>
      <c r="F4498" s="202"/>
      <c r="G4498" s="194"/>
      <c r="H4498" s="198"/>
      <c r="I4498" s="196"/>
      <c r="J4498" s="179" t="str">
        <f>IF(A4498="RAPPI",(VLOOKUP(TRIM(D4498), CATALOGO!F:G, 2, FALSE) * C4498)+I4498,IFERROR(IF(COUNTIF('RESTAURANTESDESCUENTOS 2026'!A:A,TRIM(A4498))&gt;0,((VLOOKUP(TRIM(D4498), CATALOGO!A:B, 2, FALSE) * C4498)*(1-VALUE(SUBSTITUTE(VLOOKUP(TRIM(A4498),'RESTAURANTESDESCUENTOS 2026'!A:B,2,FALSE),"%",""))/100)+I4498),(VLOOKUP(TRIM(D4498), CATALOGO!A:B, 2, FALSE) * C4498+I4498)),""))</f>
        <v/>
      </c>
      <c r="K4498" s="196"/>
      <c r="L4498" s="87"/>
      <c r="M4498" s="245"/>
      <c r="N4498" s="168"/>
    </row>
    <row r="4499" ht="22.5" hidden="1" customHeight="1">
      <c r="A4499" s="137"/>
      <c r="B4499" s="90"/>
      <c r="C4499" s="55"/>
      <c r="D4499" s="193"/>
      <c r="E4499" s="201"/>
      <c r="F4499" s="202"/>
      <c r="G4499" s="194"/>
      <c r="H4499" s="198"/>
      <c r="I4499" s="196"/>
      <c r="J4499" s="179" t="str">
        <f>IF(A4499="RAPPI",(VLOOKUP(TRIM(D4499), CATALOGO!F:G, 2, FALSE) * C4499)+I4499,IFERROR(IF(COUNTIF('RESTAURANTESDESCUENTOS 2026'!A:A,TRIM(A4499))&gt;0,((VLOOKUP(TRIM(D4499), CATALOGO!A:B, 2, FALSE) * C4499)*(1-VALUE(SUBSTITUTE(VLOOKUP(TRIM(A4499),'RESTAURANTESDESCUENTOS 2026'!A:B,2,FALSE),"%",""))/100)+I4499),(VLOOKUP(TRIM(D4499), CATALOGO!A:B, 2, FALSE) * C4499+I4499)),""))</f>
        <v/>
      </c>
      <c r="K4499" s="196"/>
      <c r="L4499" s="87"/>
      <c r="M4499" s="245"/>
      <c r="N4499" s="168"/>
    </row>
    <row r="4500" ht="22.5" hidden="1" customHeight="1">
      <c r="A4500" s="137"/>
      <c r="B4500" s="90"/>
      <c r="C4500" s="55"/>
      <c r="D4500" s="193"/>
      <c r="E4500" s="201"/>
      <c r="F4500" s="202"/>
      <c r="G4500" s="194"/>
      <c r="H4500" s="198"/>
      <c r="I4500" s="196"/>
      <c r="J4500" s="179" t="str">
        <f>IF(A4500="RAPPI",(VLOOKUP(TRIM(D4500), CATALOGO!F:G, 2, FALSE) * C4500)+I4500,IFERROR(IF(COUNTIF('RESTAURANTESDESCUENTOS 2026'!A:A,TRIM(A4500))&gt;0,((VLOOKUP(TRIM(D4500), CATALOGO!A:B, 2, FALSE) * C4500)*(1-VALUE(SUBSTITUTE(VLOOKUP(TRIM(A4500),'RESTAURANTESDESCUENTOS 2026'!A:B,2,FALSE),"%",""))/100)+I4500),(VLOOKUP(TRIM(D4500), CATALOGO!A:B, 2, FALSE) * C4500+I4500)),""))</f>
        <v/>
      </c>
      <c r="K4500" s="196"/>
      <c r="L4500" s="87"/>
      <c r="M4500" s="245"/>
      <c r="N4500" s="168"/>
    </row>
    <row r="4501" ht="22.5" hidden="1" customHeight="1">
      <c r="A4501" s="137"/>
      <c r="B4501" s="90"/>
      <c r="C4501" s="55"/>
      <c r="D4501" s="193"/>
      <c r="E4501" s="201"/>
      <c r="F4501" s="202"/>
      <c r="G4501" s="194"/>
      <c r="H4501" s="198"/>
      <c r="I4501" s="196"/>
      <c r="J4501" s="179" t="str">
        <f>IF(A4501="RAPPI",(VLOOKUP(TRIM(D4501), CATALOGO!F:G, 2, FALSE) * C4501)+I4501,IFERROR(IF(COUNTIF('RESTAURANTESDESCUENTOS 2026'!A:A,TRIM(A4501))&gt;0,((VLOOKUP(TRIM(D4501), CATALOGO!A:B, 2, FALSE) * C4501)*(1-VALUE(SUBSTITUTE(VLOOKUP(TRIM(A4501),'RESTAURANTESDESCUENTOS 2026'!A:B,2,FALSE),"%",""))/100)+I4501),(VLOOKUP(TRIM(D4501), CATALOGO!A:B, 2, FALSE) * C4501+I4501)),""))</f>
        <v/>
      </c>
      <c r="K4501" s="196"/>
      <c r="L4501" s="87"/>
      <c r="M4501" s="245"/>
      <c r="N4501" s="168"/>
    </row>
    <row r="4502" ht="22.5" hidden="1" customHeight="1">
      <c r="A4502" s="137"/>
      <c r="B4502" s="90"/>
      <c r="C4502" s="55"/>
      <c r="D4502" s="193"/>
      <c r="E4502" s="201"/>
      <c r="F4502" s="202"/>
      <c r="G4502" s="194"/>
      <c r="H4502" s="198"/>
      <c r="I4502" s="196"/>
      <c r="J4502" s="179" t="str">
        <f>IF(A4502="RAPPI",(VLOOKUP(TRIM(D4502), CATALOGO!F:G, 2, FALSE) * C4502)+I4502,IFERROR(IF(COUNTIF('RESTAURANTESDESCUENTOS 2026'!A:A,TRIM(A4502))&gt;0,((VLOOKUP(TRIM(D4502), CATALOGO!A:B, 2, FALSE) * C4502)*(1-VALUE(SUBSTITUTE(VLOOKUP(TRIM(A4502),'RESTAURANTESDESCUENTOS 2026'!A:B,2,FALSE),"%",""))/100)+I4502),(VLOOKUP(TRIM(D4502), CATALOGO!A:B, 2, FALSE) * C4502+I4502)),""))</f>
        <v/>
      </c>
      <c r="K4502" s="196"/>
      <c r="L4502" s="87"/>
      <c r="M4502" s="245"/>
      <c r="N4502" s="168"/>
    </row>
    <row r="4503" ht="22.5" hidden="1" customHeight="1">
      <c r="A4503" s="137"/>
      <c r="B4503" s="90"/>
      <c r="C4503" s="55"/>
      <c r="D4503" s="193"/>
      <c r="E4503" s="201"/>
      <c r="F4503" s="202"/>
      <c r="G4503" s="194"/>
      <c r="H4503" s="198"/>
      <c r="I4503" s="196"/>
      <c r="J4503" s="179" t="str">
        <f>IF(A4503="RAPPI",(VLOOKUP(TRIM(D4503), CATALOGO!F:G, 2, FALSE) * C4503)+I4503,IFERROR(IF(COUNTIF('RESTAURANTESDESCUENTOS 2026'!A:A,TRIM(A4503))&gt;0,((VLOOKUP(TRIM(D4503), CATALOGO!A:B, 2, FALSE) * C4503)*(1-VALUE(SUBSTITUTE(VLOOKUP(TRIM(A4503),'RESTAURANTESDESCUENTOS 2026'!A:B,2,FALSE),"%",""))/100)+I4503),(VLOOKUP(TRIM(D4503), CATALOGO!A:B, 2, FALSE) * C4503+I4503)),""))</f>
        <v/>
      </c>
      <c r="K4503" s="196"/>
      <c r="L4503" s="87"/>
      <c r="M4503" s="245"/>
      <c r="N4503" s="168"/>
    </row>
    <row r="4504" ht="22.5" hidden="1" customHeight="1">
      <c r="A4504" s="137"/>
      <c r="B4504" s="90"/>
      <c r="C4504" s="55"/>
      <c r="D4504" s="193"/>
      <c r="E4504" s="201"/>
      <c r="F4504" s="202"/>
      <c r="G4504" s="194"/>
      <c r="H4504" s="198"/>
      <c r="I4504" s="196"/>
      <c r="J4504" s="179" t="str">
        <f>IF(A4504="RAPPI",(VLOOKUP(TRIM(D4504), CATALOGO!F:G, 2, FALSE) * C4504)+I4504,IFERROR(IF(COUNTIF('RESTAURANTESDESCUENTOS 2026'!A:A,TRIM(A4504))&gt;0,((VLOOKUP(TRIM(D4504), CATALOGO!A:B, 2, FALSE) * C4504)*(1-VALUE(SUBSTITUTE(VLOOKUP(TRIM(A4504),'RESTAURANTESDESCUENTOS 2026'!A:B,2,FALSE),"%",""))/100)+I4504),(VLOOKUP(TRIM(D4504), CATALOGO!A:B, 2, FALSE) * C4504+I4504)),""))</f>
        <v/>
      </c>
      <c r="K4504" s="196"/>
      <c r="L4504" s="87"/>
      <c r="M4504" s="245"/>
      <c r="N4504" s="168"/>
    </row>
    <row r="4505" ht="22.5" hidden="1" customHeight="1">
      <c r="A4505" s="137"/>
      <c r="B4505" s="90"/>
      <c r="C4505" s="55"/>
      <c r="D4505" s="193"/>
      <c r="E4505" s="201"/>
      <c r="F4505" s="202"/>
      <c r="G4505" s="194"/>
      <c r="H4505" s="198"/>
      <c r="I4505" s="196"/>
      <c r="J4505" s="179" t="str">
        <f>IF(A4505="RAPPI",(VLOOKUP(TRIM(D4505), CATALOGO!F:G, 2, FALSE) * C4505)+I4505,IFERROR(IF(COUNTIF('RESTAURANTESDESCUENTOS 2026'!A:A,TRIM(A4505))&gt;0,((VLOOKUP(TRIM(D4505), CATALOGO!A:B, 2, FALSE) * C4505)*(1-VALUE(SUBSTITUTE(VLOOKUP(TRIM(A4505),'RESTAURANTESDESCUENTOS 2026'!A:B,2,FALSE),"%",""))/100)+I4505),(VLOOKUP(TRIM(D4505), CATALOGO!A:B, 2, FALSE) * C4505+I4505)),""))</f>
        <v/>
      </c>
      <c r="K4505" s="196"/>
      <c r="L4505" s="87"/>
      <c r="M4505" s="245"/>
      <c r="N4505" s="168"/>
    </row>
    <row r="4506" ht="22.5" hidden="1" customHeight="1">
      <c r="A4506" s="137"/>
      <c r="B4506" s="90"/>
      <c r="C4506" s="55"/>
      <c r="D4506" s="193"/>
      <c r="E4506" s="201"/>
      <c r="F4506" s="202"/>
      <c r="G4506" s="194"/>
      <c r="H4506" s="198"/>
      <c r="I4506" s="196"/>
      <c r="J4506" s="179" t="str">
        <f>IF(A4506="RAPPI",(VLOOKUP(TRIM(D4506), CATALOGO!F:G, 2, FALSE) * C4506)+I4506,IFERROR(IF(COUNTIF('RESTAURANTESDESCUENTOS 2026'!A:A,TRIM(A4506))&gt;0,((VLOOKUP(TRIM(D4506), CATALOGO!A:B, 2, FALSE) * C4506)*(1-VALUE(SUBSTITUTE(VLOOKUP(TRIM(A4506),'RESTAURANTESDESCUENTOS 2026'!A:B,2,FALSE),"%",""))/100)+I4506),(VLOOKUP(TRIM(D4506), CATALOGO!A:B, 2, FALSE) * C4506+I4506)),""))</f>
        <v/>
      </c>
      <c r="K4506" s="196"/>
      <c r="L4506" s="87"/>
      <c r="M4506" s="245"/>
      <c r="N4506" s="168"/>
    </row>
    <row r="4507" ht="22.5" hidden="1" customHeight="1">
      <c r="A4507" s="137"/>
      <c r="B4507" s="90"/>
      <c r="C4507" s="55"/>
      <c r="D4507" s="193"/>
      <c r="E4507" s="201"/>
      <c r="F4507" s="202"/>
      <c r="G4507" s="194"/>
      <c r="H4507" s="198"/>
      <c r="I4507" s="196"/>
      <c r="J4507" s="179" t="str">
        <f>IF(A4507="RAPPI",(VLOOKUP(TRIM(D4507), CATALOGO!F:G, 2, FALSE) * C4507)+I4507,IFERROR(IF(COUNTIF('RESTAURANTESDESCUENTOS 2026'!A:A,TRIM(A4507))&gt;0,((VLOOKUP(TRIM(D4507), CATALOGO!A:B, 2, FALSE) * C4507)*(1-VALUE(SUBSTITUTE(VLOOKUP(TRIM(A4507),'RESTAURANTESDESCUENTOS 2026'!A:B,2,FALSE),"%",""))/100)+I4507),(VLOOKUP(TRIM(D4507), CATALOGO!A:B, 2, FALSE) * C4507+I4507)),""))</f>
        <v/>
      </c>
      <c r="K4507" s="196"/>
      <c r="L4507" s="87"/>
      <c r="M4507" s="245"/>
      <c r="N4507" s="168"/>
    </row>
    <row r="4508" ht="22.5" hidden="1" customHeight="1">
      <c r="A4508" s="137"/>
      <c r="B4508" s="90"/>
      <c r="C4508" s="55"/>
      <c r="D4508" s="193"/>
      <c r="E4508" s="201"/>
      <c r="F4508" s="202"/>
      <c r="G4508" s="194"/>
      <c r="H4508" s="198"/>
      <c r="I4508" s="196"/>
      <c r="J4508" s="179" t="str">
        <f>IF(A4508="RAPPI",(VLOOKUP(TRIM(D4508), CATALOGO!F:G, 2, FALSE) * C4508)+I4508,IFERROR(IF(COUNTIF('RESTAURANTESDESCUENTOS 2026'!A:A,TRIM(A4508))&gt;0,((VLOOKUP(TRIM(D4508), CATALOGO!A:B, 2, FALSE) * C4508)*(1-VALUE(SUBSTITUTE(VLOOKUP(TRIM(A4508),'RESTAURANTESDESCUENTOS 2026'!A:B,2,FALSE),"%",""))/100)+I4508),(VLOOKUP(TRIM(D4508), CATALOGO!A:B, 2, FALSE) * C4508+I4508)),""))</f>
        <v/>
      </c>
      <c r="K4508" s="196"/>
      <c r="L4508" s="87"/>
      <c r="M4508" s="245"/>
      <c r="N4508" s="168"/>
    </row>
    <row r="4509" ht="22.5" hidden="1" customHeight="1">
      <c r="A4509" s="137"/>
      <c r="B4509" s="90"/>
      <c r="C4509" s="55"/>
      <c r="D4509" s="193"/>
      <c r="E4509" s="201"/>
      <c r="F4509" s="202"/>
      <c r="G4509" s="194"/>
      <c r="H4509" s="198"/>
      <c r="I4509" s="196"/>
      <c r="J4509" s="179" t="str">
        <f>IF(A4509="RAPPI",(VLOOKUP(TRIM(D4509), CATALOGO!F:G, 2, FALSE) * C4509)+I4509,IFERROR(IF(COUNTIF('RESTAURANTESDESCUENTOS 2026'!A:A,TRIM(A4509))&gt;0,((VLOOKUP(TRIM(D4509), CATALOGO!A:B, 2, FALSE) * C4509)*(1-VALUE(SUBSTITUTE(VLOOKUP(TRIM(A4509),'RESTAURANTESDESCUENTOS 2026'!A:B,2,FALSE),"%",""))/100)+I4509),(VLOOKUP(TRIM(D4509), CATALOGO!A:B, 2, FALSE) * C4509+I4509)),""))</f>
        <v/>
      </c>
      <c r="K4509" s="196"/>
      <c r="L4509" s="87"/>
      <c r="M4509" s="245"/>
      <c r="N4509" s="168"/>
    </row>
    <row r="4510" ht="22.5" hidden="1" customHeight="1">
      <c r="A4510" s="137"/>
      <c r="B4510" s="90"/>
      <c r="C4510" s="55"/>
      <c r="D4510" s="193"/>
      <c r="E4510" s="201"/>
      <c r="F4510" s="202"/>
      <c r="G4510" s="194"/>
      <c r="H4510" s="198"/>
      <c r="I4510" s="196"/>
      <c r="J4510" s="179" t="str">
        <f>IF(A4510="RAPPI",(VLOOKUP(TRIM(D4510), CATALOGO!F:G, 2, FALSE) * C4510)+I4510,IFERROR(IF(COUNTIF('RESTAURANTESDESCUENTOS 2026'!A:A,TRIM(A4510))&gt;0,((VLOOKUP(TRIM(D4510), CATALOGO!A:B, 2, FALSE) * C4510)*(1-VALUE(SUBSTITUTE(VLOOKUP(TRIM(A4510),'RESTAURANTESDESCUENTOS 2026'!A:B,2,FALSE),"%",""))/100)+I4510),(VLOOKUP(TRIM(D4510), CATALOGO!A:B, 2, FALSE) * C4510+I4510)),""))</f>
        <v/>
      </c>
      <c r="K4510" s="196"/>
      <c r="L4510" s="87"/>
      <c r="M4510" s="245"/>
      <c r="N4510" s="168"/>
    </row>
    <row r="4511" ht="22.5" hidden="1" customHeight="1">
      <c r="A4511" s="137"/>
      <c r="B4511" s="90"/>
      <c r="C4511" s="55"/>
      <c r="D4511" s="193"/>
      <c r="E4511" s="201"/>
      <c r="F4511" s="202"/>
      <c r="G4511" s="194"/>
      <c r="H4511" s="198"/>
      <c r="I4511" s="196"/>
      <c r="J4511" s="179" t="str">
        <f>IF(A4511="RAPPI",(VLOOKUP(TRIM(D4511), CATALOGO!F:G, 2, FALSE) * C4511)+I4511,IFERROR(IF(COUNTIF('RESTAURANTESDESCUENTOS 2026'!A:A,TRIM(A4511))&gt;0,((VLOOKUP(TRIM(D4511), CATALOGO!A:B, 2, FALSE) * C4511)*(1-VALUE(SUBSTITUTE(VLOOKUP(TRIM(A4511),'RESTAURANTESDESCUENTOS 2026'!A:B,2,FALSE),"%",""))/100)+I4511),(VLOOKUP(TRIM(D4511), CATALOGO!A:B, 2, FALSE) * C4511+I4511)),""))</f>
        <v/>
      </c>
      <c r="K4511" s="196"/>
      <c r="L4511" s="87"/>
      <c r="M4511" s="245"/>
      <c r="N4511" s="168"/>
    </row>
    <row r="4512" ht="22.5" hidden="1" customHeight="1">
      <c r="A4512" s="137"/>
      <c r="B4512" s="90"/>
      <c r="C4512" s="55"/>
      <c r="D4512" s="193"/>
      <c r="E4512" s="201"/>
      <c r="F4512" s="202"/>
      <c r="G4512" s="194"/>
      <c r="H4512" s="198"/>
      <c r="I4512" s="196"/>
      <c r="J4512" s="179" t="str">
        <f>IF(A4512="RAPPI",(VLOOKUP(TRIM(D4512), CATALOGO!F:G, 2, FALSE) * C4512)+I4512,IFERROR(IF(COUNTIF('RESTAURANTESDESCUENTOS 2026'!A:A,TRIM(A4512))&gt;0,((VLOOKUP(TRIM(D4512), CATALOGO!A:B, 2, FALSE) * C4512)*(1-VALUE(SUBSTITUTE(VLOOKUP(TRIM(A4512),'RESTAURANTESDESCUENTOS 2026'!A:B,2,FALSE),"%",""))/100)+I4512),(VLOOKUP(TRIM(D4512), CATALOGO!A:B, 2, FALSE) * C4512+I4512)),""))</f>
        <v/>
      </c>
      <c r="K4512" s="196"/>
      <c r="L4512" s="87"/>
      <c r="M4512" s="245"/>
      <c r="N4512" s="168"/>
    </row>
    <row r="4513" ht="22.5" hidden="1" customHeight="1">
      <c r="A4513" s="137"/>
      <c r="B4513" s="90"/>
      <c r="C4513" s="55"/>
      <c r="D4513" s="193"/>
      <c r="E4513" s="201"/>
      <c r="F4513" s="202"/>
      <c r="G4513" s="194"/>
      <c r="H4513" s="198"/>
      <c r="I4513" s="196"/>
      <c r="J4513" s="179" t="str">
        <f>IF(A4513="RAPPI",(VLOOKUP(TRIM(D4513), CATALOGO!F:G, 2, FALSE) * C4513)+I4513,IFERROR(IF(COUNTIF('RESTAURANTESDESCUENTOS 2026'!A:A,TRIM(A4513))&gt;0,((VLOOKUP(TRIM(D4513), CATALOGO!A:B, 2, FALSE) * C4513)*(1-VALUE(SUBSTITUTE(VLOOKUP(TRIM(A4513),'RESTAURANTESDESCUENTOS 2026'!A:B,2,FALSE),"%",""))/100)+I4513),(VLOOKUP(TRIM(D4513), CATALOGO!A:B, 2, FALSE) * C4513+I4513)),""))</f>
        <v/>
      </c>
      <c r="K4513" s="196"/>
      <c r="L4513" s="87"/>
      <c r="M4513" s="245"/>
      <c r="N4513" s="168"/>
    </row>
    <row r="4514" ht="22.5" hidden="1" customHeight="1">
      <c r="A4514" s="137"/>
      <c r="B4514" s="90"/>
      <c r="C4514" s="55"/>
      <c r="D4514" s="193"/>
      <c r="E4514" s="201"/>
      <c r="F4514" s="202"/>
      <c r="G4514" s="194"/>
      <c r="H4514" s="198"/>
      <c r="I4514" s="196"/>
      <c r="J4514" s="179" t="str">
        <f>IF(A4514="RAPPI",(VLOOKUP(TRIM(D4514), CATALOGO!F:G, 2, FALSE) * C4514)+I4514,IFERROR(IF(COUNTIF('RESTAURANTESDESCUENTOS 2026'!A:A,TRIM(A4514))&gt;0,((VLOOKUP(TRIM(D4514), CATALOGO!A:B, 2, FALSE) * C4514)*(1-VALUE(SUBSTITUTE(VLOOKUP(TRIM(A4514),'RESTAURANTESDESCUENTOS 2026'!A:B,2,FALSE),"%",""))/100)+I4514),(VLOOKUP(TRIM(D4514), CATALOGO!A:B, 2, FALSE) * C4514+I4514)),""))</f>
        <v/>
      </c>
      <c r="K4514" s="196"/>
      <c r="L4514" s="87"/>
      <c r="M4514" s="245"/>
      <c r="N4514" s="168"/>
    </row>
    <row r="4515" ht="22.5" hidden="1" customHeight="1">
      <c r="A4515" s="137"/>
      <c r="B4515" s="90"/>
      <c r="C4515" s="55"/>
      <c r="D4515" s="193"/>
      <c r="E4515" s="201"/>
      <c r="F4515" s="202"/>
      <c r="G4515" s="194"/>
      <c r="H4515" s="198"/>
      <c r="I4515" s="196"/>
      <c r="J4515" s="179" t="str">
        <f>IF(A4515="RAPPI",(VLOOKUP(TRIM(D4515), CATALOGO!F:G, 2, FALSE) * C4515)+I4515,IFERROR(IF(COUNTIF('RESTAURANTESDESCUENTOS 2026'!A:A,TRIM(A4515))&gt;0,((VLOOKUP(TRIM(D4515), CATALOGO!A:B, 2, FALSE) * C4515)*(1-VALUE(SUBSTITUTE(VLOOKUP(TRIM(A4515),'RESTAURANTESDESCUENTOS 2026'!A:B,2,FALSE),"%",""))/100)+I4515),(VLOOKUP(TRIM(D4515), CATALOGO!A:B, 2, FALSE) * C4515+I4515)),""))</f>
        <v/>
      </c>
      <c r="K4515" s="196"/>
      <c r="L4515" s="87"/>
      <c r="M4515" s="245"/>
      <c r="N4515" s="168"/>
    </row>
    <row r="4516" ht="22.5" hidden="1" customHeight="1">
      <c r="A4516" s="137"/>
      <c r="B4516" s="90"/>
      <c r="C4516" s="55"/>
      <c r="D4516" s="193"/>
      <c r="E4516" s="201"/>
      <c r="F4516" s="202"/>
      <c r="G4516" s="194"/>
      <c r="H4516" s="198"/>
      <c r="I4516" s="196"/>
      <c r="J4516" s="179" t="str">
        <f>IF(A4516="RAPPI",(VLOOKUP(TRIM(D4516), CATALOGO!F:G, 2, FALSE) * C4516)+I4516,IFERROR(IF(COUNTIF('RESTAURANTESDESCUENTOS 2026'!A:A,TRIM(A4516))&gt;0,((VLOOKUP(TRIM(D4516), CATALOGO!A:B, 2, FALSE) * C4516)*(1-VALUE(SUBSTITUTE(VLOOKUP(TRIM(A4516),'RESTAURANTESDESCUENTOS 2026'!A:B,2,FALSE),"%",""))/100)+I4516),(VLOOKUP(TRIM(D4516), CATALOGO!A:B, 2, FALSE) * C4516+I4516)),""))</f>
        <v/>
      </c>
      <c r="K4516" s="196"/>
      <c r="L4516" s="87"/>
      <c r="M4516" s="245"/>
      <c r="N4516" s="168"/>
    </row>
    <row r="4517" ht="22.5" hidden="1" customHeight="1">
      <c r="A4517" s="137"/>
      <c r="B4517" s="90"/>
      <c r="C4517" s="55"/>
      <c r="D4517" s="193"/>
      <c r="E4517" s="201"/>
      <c r="F4517" s="202"/>
      <c r="G4517" s="194"/>
      <c r="H4517" s="198"/>
      <c r="I4517" s="196"/>
      <c r="J4517" s="179" t="str">
        <f>IF(A4517="RAPPI",(VLOOKUP(TRIM(D4517), CATALOGO!F:G, 2, FALSE) * C4517)+I4517,IFERROR(IF(COUNTIF('RESTAURANTESDESCUENTOS 2026'!A:A,TRIM(A4517))&gt;0,((VLOOKUP(TRIM(D4517), CATALOGO!A:B, 2, FALSE) * C4517)*(1-VALUE(SUBSTITUTE(VLOOKUP(TRIM(A4517),'RESTAURANTESDESCUENTOS 2026'!A:B,2,FALSE),"%",""))/100)+I4517),(VLOOKUP(TRIM(D4517), CATALOGO!A:B, 2, FALSE) * C4517+I4517)),""))</f>
        <v/>
      </c>
      <c r="K4517" s="196"/>
      <c r="L4517" s="87"/>
      <c r="M4517" s="245"/>
      <c r="N4517" s="168"/>
    </row>
    <row r="4518" ht="22.5" hidden="1" customHeight="1">
      <c r="A4518" s="137"/>
      <c r="B4518" s="90"/>
      <c r="C4518" s="55"/>
      <c r="D4518" s="193"/>
      <c r="E4518" s="201"/>
      <c r="F4518" s="202"/>
      <c r="G4518" s="194"/>
      <c r="H4518" s="198"/>
      <c r="I4518" s="196"/>
      <c r="J4518" s="179" t="str">
        <f>IF(A4518="RAPPI",(VLOOKUP(TRIM(D4518), CATALOGO!F:G, 2, FALSE) * C4518)+I4518,IFERROR(IF(COUNTIF('RESTAURANTESDESCUENTOS 2026'!A:A,TRIM(A4518))&gt;0,((VLOOKUP(TRIM(D4518), CATALOGO!A:B, 2, FALSE) * C4518)*(1-VALUE(SUBSTITUTE(VLOOKUP(TRIM(A4518),'RESTAURANTESDESCUENTOS 2026'!A:B,2,FALSE),"%",""))/100)+I4518),(VLOOKUP(TRIM(D4518), CATALOGO!A:B, 2, FALSE) * C4518+I4518)),""))</f>
        <v/>
      </c>
      <c r="K4518" s="196"/>
      <c r="L4518" s="87"/>
      <c r="M4518" s="245"/>
      <c r="N4518" s="168"/>
    </row>
    <row r="4519" ht="22.5" hidden="1" customHeight="1">
      <c r="A4519" s="137"/>
      <c r="B4519" s="90"/>
      <c r="C4519" s="55"/>
      <c r="D4519" s="193"/>
      <c r="E4519" s="201"/>
      <c r="F4519" s="202"/>
      <c r="G4519" s="194"/>
      <c r="H4519" s="198"/>
      <c r="I4519" s="196"/>
      <c r="J4519" s="179" t="str">
        <f>IF(A4519="RAPPI",(VLOOKUP(TRIM(D4519), CATALOGO!F:G, 2, FALSE) * C4519)+I4519,IFERROR(IF(COUNTIF('RESTAURANTESDESCUENTOS 2026'!A:A,TRIM(A4519))&gt;0,((VLOOKUP(TRIM(D4519), CATALOGO!A:B, 2, FALSE) * C4519)*(1-VALUE(SUBSTITUTE(VLOOKUP(TRIM(A4519),'RESTAURANTESDESCUENTOS 2026'!A:B,2,FALSE),"%",""))/100)+I4519),(VLOOKUP(TRIM(D4519), CATALOGO!A:B, 2, FALSE) * C4519+I4519)),""))</f>
        <v/>
      </c>
      <c r="K4519" s="196"/>
      <c r="L4519" s="87"/>
      <c r="M4519" s="245"/>
      <c r="N4519" s="168"/>
    </row>
    <row r="4520" ht="22.5" hidden="1" customHeight="1">
      <c r="A4520" s="137"/>
      <c r="B4520" s="90"/>
      <c r="C4520" s="55"/>
      <c r="D4520" s="193"/>
      <c r="E4520" s="201"/>
      <c r="F4520" s="202"/>
      <c r="G4520" s="194"/>
      <c r="H4520" s="198"/>
      <c r="I4520" s="196"/>
      <c r="J4520" s="179" t="str">
        <f>IF(A4520="RAPPI",(VLOOKUP(TRIM(D4520), CATALOGO!F:G, 2, FALSE) * C4520)+I4520,IFERROR(IF(COUNTIF('RESTAURANTESDESCUENTOS 2026'!A:A,TRIM(A4520))&gt;0,((VLOOKUP(TRIM(D4520), CATALOGO!A:B, 2, FALSE) * C4520)*(1-VALUE(SUBSTITUTE(VLOOKUP(TRIM(A4520),'RESTAURANTESDESCUENTOS 2026'!A:B,2,FALSE),"%",""))/100)+I4520),(VLOOKUP(TRIM(D4520), CATALOGO!A:B, 2, FALSE) * C4520+I4520)),""))</f>
        <v/>
      </c>
      <c r="K4520" s="196"/>
      <c r="L4520" s="87"/>
      <c r="M4520" s="245"/>
      <c r="N4520" s="168"/>
    </row>
    <row r="4521" ht="22.5" hidden="1" customHeight="1">
      <c r="A4521" s="137"/>
      <c r="B4521" s="90"/>
      <c r="C4521" s="55"/>
      <c r="D4521" s="193"/>
      <c r="E4521" s="201"/>
      <c r="F4521" s="202"/>
      <c r="G4521" s="194"/>
      <c r="H4521" s="198"/>
      <c r="I4521" s="196"/>
      <c r="J4521" s="179" t="str">
        <f>IF(A4521="RAPPI",(VLOOKUP(TRIM(D4521), CATALOGO!F:G, 2, FALSE) * C4521)+I4521,IFERROR(IF(COUNTIF('RESTAURANTESDESCUENTOS 2026'!A:A,TRIM(A4521))&gt;0,((VLOOKUP(TRIM(D4521), CATALOGO!A:B, 2, FALSE) * C4521)*(1-VALUE(SUBSTITUTE(VLOOKUP(TRIM(A4521),'RESTAURANTESDESCUENTOS 2026'!A:B,2,FALSE),"%",""))/100)+I4521),(VLOOKUP(TRIM(D4521), CATALOGO!A:B, 2, FALSE) * C4521+I4521)),""))</f>
        <v/>
      </c>
      <c r="K4521" s="196"/>
      <c r="L4521" s="87"/>
      <c r="M4521" s="245"/>
      <c r="N4521" s="168"/>
    </row>
    <row r="4522" ht="22.5" hidden="1" customHeight="1">
      <c r="A4522" s="137"/>
      <c r="B4522" s="90"/>
      <c r="C4522" s="55"/>
      <c r="D4522" s="193"/>
      <c r="E4522" s="201"/>
      <c r="F4522" s="202"/>
      <c r="G4522" s="194"/>
      <c r="H4522" s="198"/>
      <c r="I4522" s="196"/>
      <c r="J4522" s="179" t="str">
        <f>IF(A4522="RAPPI",(VLOOKUP(TRIM(D4522), CATALOGO!F:G, 2, FALSE) * C4522)+I4522,IFERROR(IF(COUNTIF('RESTAURANTESDESCUENTOS 2026'!A:A,TRIM(A4522))&gt;0,((VLOOKUP(TRIM(D4522), CATALOGO!A:B, 2, FALSE) * C4522)*(1-VALUE(SUBSTITUTE(VLOOKUP(TRIM(A4522),'RESTAURANTESDESCUENTOS 2026'!A:B,2,FALSE),"%",""))/100)+I4522),(VLOOKUP(TRIM(D4522), CATALOGO!A:B, 2, FALSE) * C4522+I4522)),""))</f>
        <v/>
      </c>
      <c r="K4522" s="196"/>
      <c r="L4522" s="87"/>
      <c r="M4522" s="245"/>
      <c r="N4522" s="168"/>
    </row>
    <row r="4523" ht="22.5" hidden="1" customHeight="1">
      <c r="A4523" s="137"/>
      <c r="B4523" s="90"/>
      <c r="C4523" s="55"/>
      <c r="D4523" s="193"/>
      <c r="E4523" s="201"/>
      <c r="F4523" s="202"/>
      <c r="G4523" s="194"/>
      <c r="H4523" s="198"/>
      <c r="I4523" s="196"/>
      <c r="J4523" s="179" t="str">
        <f>IF(A4523="RAPPI",(VLOOKUP(TRIM(D4523), CATALOGO!F:G, 2, FALSE) * C4523)+I4523,IFERROR(IF(COUNTIF('RESTAURANTESDESCUENTOS 2026'!A:A,TRIM(A4523))&gt;0,((VLOOKUP(TRIM(D4523), CATALOGO!A:B, 2, FALSE) * C4523)*(1-VALUE(SUBSTITUTE(VLOOKUP(TRIM(A4523),'RESTAURANTESDESCUENTOS 2026'!A:B,2,FALSE),"%",""))/100)+I4523),(VLOOKUP(TRIM(D4523), CATALOGO!A:B, 2, FALSE) * C4523+I4523)),""))</f>
        <v/>
      </c>
      <c r="K4523" s="196"/>
      <c r="L4523" s="87"/>
      <c r="M4523" s="245"/>
      <c r="N4523" s="168"/>
    </row>
    <row r="4524" ht="22.5" hidden="1" customHeight="1">
      <c r="A4524" s="137"/>
      <c r="B4524" s="90"/>
      <c r="C4524" s="55"/>
      <c r="D4524" s="193"/>
      <c r="E4524" s="201"/>
      <c r="F4524" s="202"/>
      <c r="G4524" s="194"/>
      <c r="H4524" s="198"/>
      <c r="I4524" s="196"/>
      <c r="J4524" s="179" t="str">
        <f>IF(A4524="RAPPI",(VLOOKUP(TRIM(D4524), CATALOGO!F:G, 2, FALSE) * C4524)+I4524,IFERROR(IF(COUNTIF('RESTAURANTESDESCUENTOS 2026'!A:A,TRIM(A4524))&gt;0,((VLOOKUP(TRIM(D4524), CATALOGO!A:B, 2, FALSE) * C4524)*(1-VALUE(SUBSTITUTE(VLOOKUP(TRIM(A4524),'RESTAURANTESDESCUENTOS 2026'!A:B,2,FALSE),"%",""))/100)+I4524),(VLOOKUP(TRIM(D4524), CATALOGO!A:B, 2, FALSE) * C4524+I4524)),""))</f>
        <v/>
      </c>
      <c r="K4524" s="196"/>
      <c r="L4524" s="87"/>
      <c r="M4524" s="245"/>
      <c r="N4524" s="168"/>
    </row>
    <row r="4525" ht="22.5" hidden="1" customHeight="1">
      <c r="A4525" s="137"/>
      <c r="B4525" s="90"/>
      <c r="C4525" s="55"/>
      <c r="D4525" s="193"/>
      <c r="E4525" s="201"/>
      <c r="F4525" s="202"/>
      <c r="G4525" s="194"/>
      <c r="H4525" s="198"/>
      <c r="I4525" s="196"/>
      <c r="J4525" s="179" t="str">
        <f>IF(A4525="RAPPI",(VLOOKUP(TRIM(D4525), CATALOGO!F:G, 2, FALSE) * C4525)+I4525,IFERROR(IF(COUNTIF('RESTAURANTESDESCUENTOS 2026'!A:A,TRIM(A4525))&gt;0,((VLOOKUP(TRIM(D4525), CATALOGO!A:B, 2, FALSE) * C4525)*(1-VALUE(SUBSTITUTE(VLOOKUP(TRIM(A4525),'RESTAURANTESDESCUENTOS 2026'!A:B,2,FALSE),"%",""))/100)+I4525),(VLOOKUP(TRIM(D4525), CATALOGO!A:B, 2, FALSE) * C4525+I4525)),""))</f>
        <v/>
      </c>
      <c r="K4525" s="196"/>
      <c r="L4525" s="87"/>
      <c r="M4525" s="245"/>
      <c r="N4525" s="168"/>
    </row>
    <row r="4526" ht="22.5" hidden="1" customHeight="1">
      <c r="A4526" s="137"/>
      <c r="B4526" s="90"/>
      <c r="C4526" s="55"/>
      <c r="D4526" s="193"/>
      <c r="E4526" s="201"/>
      <c r="F4526" s="202"/>
      <c r="G4526" s="194"/>
      <c r="H4526" s="198"/>
      <c r="I4526" s="196"/>
      <c r="J4526" s="179" t="str">
        <f>IF(A4526="RAPPI",(VLOOKUP(TRIM(D4526), CATALOGO!F:G, 2, FALSE) * C4526)+I4526,IFERROR(IF(COUNTIF('RESTAURANTESDESCUENTOS 2026'!A:A,TRIM(A4526))&gt;0,((VLOOKUP(TRIM(D4526), CATALOGO!A:B, 2, FALSE) * C4526)*(1-VALUE(SUBSTITUTE(VLOOKUP(TRIM(A4526),'RESTAURANTESDESCUENTOS 2026'!A:B,2,FALSE),"%",""))/100)+I4526),(VLOOKUP(TRIM(D4526), CATALOGO!A:B, 2, FALSE) * C4526+I4526)),""))</f>
        <v/>
      </c>
      <c r="K4526" s="196"/>
      <c r="L4526" s="87"/>
      <c r="M4526" s="245"/>
      <c r="N4526" s="168"/>
    </row>
    <row r="4527" ht="22.5" hidden="1" customHeight="1">
      <c r="A4527" s="137"/>
      <c r="B4527" s="90"/>
      <c r="C4527" s="55"/>
      <c r="D4527" s="193"/>
      <c r="E4527" s="201"/>
      <c r="F4527" s="202"/>
      <c r="G4527" s="194"/>
      <c r="H4527" s="198"/>
      <c r="I4527" s="196"/>
      <c r="J4527" s="179" t="str">
        <f>IF(A4527="RAPPI",(VLOOKUP(TRIM(D4527), CATALOGO!F:G, 2, FALSE) * C4527)+I4527,IFERROR(IF(COUNTIF('RESTAURANTESDESCUENTOS 2026'!A:A,TRIM(A4527))&gt;0,((VLOOKUP(TRIM(D4527), CATALOGO!A:B, 2, FALSE) * C4527)*(1-VALUE(SUBSTITUTE(VLOOKUP(TRIM(A4527),'RESTAURANTESDESCUENTOS 2026'!A:B,2,FALSE),"%",""))/100)+I4527),(VLOOKUP(TRIM(D4527), CATALOGO!A:B, 2, FALSE) * C4527+I4527)),""))</f>
        <v/>
      </c>
      <c r="K4527" s="196"/>
      <c r="L4527" s="87"/>
      <c r="M4527" s="245"/>
      <c r="N4527" s="168"/>
    </row>
    <row r="4528" ht="22.5" hidden="1" customHeight="1">
      <c r="A4528" s="137"/>
      <c r="B4528" s="90"/>
      <c r="C4528" s="55"/>
      <c r="D4528" s="193"/>
      <c r="E4528" s="201"/>
      <c r="F4528" s="202"/>
      <c r="G4528" s="194"/>
      <c r="H4528" s="198"/>
      <c r="I4528" s="196"/>
      <c r="J4528" s="179" t="str">
        <f>IF(A4528="RAPPI",(VLOOKUP(TRIM(D4528), CATALOGO!F:G, 2, FALSE) * C4528)+I4528,IFERROR(IF(COUNTIF('RESTAURANTESDESCUENTOS 2026'!A:A,TRIM(A4528))&gt;0,((VLOOKUP(TRIM(D4528), CATALOGO!A:B, 2, FALSE) * C4528)*(1-VALUE(SUBSTITUTE(VLOOKUP(TRIM(A4528),'RESTAURANTESDESCUENTOS 2026'!A:B,2,FALSE),"%",""))/100)+I4528),(VLOOKUP(TRIM(D4528), CATALOGO!A:B, 2, FALSE) * C4528+I4528)),""))</f>
        <v/>
      </c>
      <c r="K4528" s="196"/>
      <c r="L4528" s="87"/>
      <c r="M4528" s="245"/>
      <c r="N4528" s="168"/>
    </row>
    <row r="4529" ht="22.5" hidden="1" customHeight="1">
      <c r="A4529" s="137"/>
      <c r="B4529" s="90"/>
      <c r="C4529" s="55"/>
      <c r="D4529" s="193"/>
      <c r="E4529" s="201"/>
      <c r="F4529" s="202"/>
      <c r="G4529" s="194"/>
      <c r="H4529" s="198"/>
      <c r="I4529" s="196"/>
      <c r="J4529" s="179" t="str">
        <f>IF(A4529="RAPPI",(VLOOKUP(TRIM(D4529), CATALOGO!F:G, 2, FALSE) * C4529)+I4529,IFERROR(IF(COUNTIF('RESTAURANTESDESCUENTOS 2026'!A:A,TRIM(A4529))&gt;0,((VLOOKUP(TRIM(D4529), CATALOGO!A:B, 2, FALSE) * C4529)*(1-VALUE(SUBSTITUTE(VLOOKUP(TRIM(A4529),'RESTAURANTESDESCUENTOS 2026'!A:B,2,FALSE),"%",""))/100)+I4529),(VLOOKUP(TRIM(D4529), CATALOGO!A:B, 2, FALSE) * C4529+I4529)),""))</f>
        <v/>
      </c>
      <c r="K4529" s="196"/>
      <c r="L4529" s="87"/>
      <c r="M4529" s="245"/>
      <c r="N4529" s="168"/>
    </row>
    <row r="4530" ht="22.5" hidden="1" customHeight="1">
      <c r="A4530" s="137"/>
      <c r="B4530" s="90"/>
      <c r="C4530" s="55"/>
      <c r="D4530" s="193"/>
      <c r="E4530" s="201"/>
      <c r="F4530" s="202"/>
      <c r="G4530" s="194"/>
      <c r="H4530" s="198"/>
      <c r="I4530" s="196"/>
      <c r="J4530" s="179" t="str">
        <f>IF(A4530="RAPPI",(VLOOKUP(TRIM(D4530), CATALOGO!F:G, 2, FALSE) * C4530)+I4530,IFERROR(IF(COUNTIF('RESTAURANTESDESCUENTOS 2026'!A:A,TRIM(A4530))&gt;0,((VLOOKUP(TRIM(D4530), CATALOGO!A:B, 2, FALSE) * C4530)*(1-VALUE(SUBSTITUTE(VLOOKUP(TRIM(A4530),'RESTAURANTESDESCUENTOS 2026'!A:B,2,FALSE),"%",""))/100)+I4530),(VLOOKUP(TRIM(D4530), CATALOGO!A:B, 2, FALSE) * C4530+I4530)),""))</f>
        <v/>
      </c>
      <c r="K4530" s="196"/>
      <c r="L4530" s="87"/>
      <c r="M4530" s="245"/>
      <c r="N4530" s="168"/>
    </row>
    <row r="4531" ht="22.5" hidden="1" customHeight="1">
      <c r="A4531" s="137"/>
      <c r="B4531" s="90"/>
      <c r="C4531" s="55"/>
      <c r="D4531" s="193"/>
      <c r="E4531" s="201"/>
      <c r="F4531" s="202"/>
      <c r="G4531" s="194"/>
      <c r="H4531" s="198"/>
      <c r="I4531" s="196"/>
      <c r="J4531" s="179" t="str">
        <f>IF(A4531="RAPPI",(VLOOKUP(TRIM(D4531), CATALOGO!F:G, 2, FALSE) * C4531)+I4531,IFERROR(IF(COUNTIF('RESTAURANTESDESCUENTOS 2026'!A:A,TRIM(A4531))&gt;0,((VLOOKUP(TRIM(D4531), CATALOGO!A:B, 2, FALSE) * C4531)*(1-VALUE(SUBSTITUTE(VLOOKUP(TRIM(A4531),'RESTAURANTESDESCUENTOS 2026'!A:B,2,FALSE),"%",""))/100)+I4531),(VLOOKUP(TRIM(D4531), CATALOGO!A:B, 2, FALSE) * C4531+I4531)),""))</f>
        <v/>
      </c>
      <c r="K4531" s="196"/>
      <c r="L4531" s="87"/>
      <c r="M4531" s="245"/>
      <c r="N4531" s="168"/>
    </row>
    <row r="4532" ht="22.5" hidden="1" customHeight="1">
      <c r="A4532" s="137"/>
      <c r="B4532" s="90"/>
      <c r="C4532" s="55"/>
      <c r="D4532" s="193"/>
      <c r="E4532" s="201"/>
      <c r="F4532" s="202"/>
      <c r="G4532" s="194"/>
      <c r="H4532" s="198"/>
      <c r="I4532" s="196"/>
      <c r="J4532" s="179" t="str">
        <f>IF(A4532="RAPPI",(VLOOKUP(TRIM(D4532), CATALOGO!F:G, 2, FALSE) * C4532)+I4532,IFERROR(IF(COUNTIF('RESTAURANTESDESCUENTOS 2026'!A:A,TRIM(A4532))&gt;0,((VLOOKUP(TRIM(D4532), CATALOGO!A:B, 2, FALSE) * C4532)*(1-VALUE(SUBSTITUTE(VLOOKUP(TRIM(A4532),'RESTAURANTESDESCUENTOS 2026'!A:B,2,FALSE),"%",""))/100)+I4532),(VLOOKUP(TRIM(D4532), CATALOGO!A:B, 2, FALSE) * C4532+I4532)),""))</f>
        <v/>
      </c>
      <c r="K4532" s="196"/>
      <c r="L4532" s="87"/>
      <c r="M4532" s="245"/>
      <c r="N4532" s="168"/>
    </row>
    <row r="4533" ht="22.5" hidden="1" customHeight="1">
      <c r="A4533" s="137"/>
      <c r="B4533" s="90"/>
      <c r="C4533" s="55"/>
      <c r="D4533" s="193"/>
      <c r="E4533" s="201"/>
      <c r="F4533" s="202"/>
      <c r="G4533" s="194"/>
      <c r="H4533" s="198"/>
      <c r="I4533" s="196"/>
      <c r="J4533" s="179" t="str">
        <f>IF(A4533="RAPPI",(VLOOKUP(TRIM(D4533), CATALOGO!F:G, 2, FALSE) * C4533)+I4533,IFERROR(IF(COUNTIF('RESTAURANTESDESCUENTOS 2026'!A:A,TRIM(A4533))&gt;0,((VLOOKUP(TRIM(D4533), CATALOGO!A:B, 2, FALSE) * C4533)*(1-VALUE(SUBSTITUTE(VLOOKUP(TRIM(A4533),'RESTAURANTESDESCUENTOS 2026'!A:B,2,FALSE),"%",""))/100)+I4533),(VLOOKUP(TRIM(D4533), CATALOGO!A:B, 2, FALSE) * C4533+I4533)),""))</f>
        <v/>
      </c>
      <c r="K4533" s="196"/>
      <c r="L4533" s="87"/>
      <c r="M4533" s="245"/>
      <c r="N4533" s="168"/>
    </row>
    <row r="4534" ht="22.5" hidden="1" customHeight="1">
      <c r="A4534" s="137"/>
      <c r="B4534" s="90"/>
      <c r="C4534" s="55"/>
      <c r="D4534" s="193"/>
      <c r="E4534" s="201"/>
      <c r="F4534" s="202"/>
      <c r="G4534" s="194"/>
      <c r="H4534" s="198"/>
      <c r="I4534" s="196"/>
      <c r="J4534" s="179" t="str">
        <f>IF(A4534="RAPPI",(VLOOKUP(TRIM(D4534), CATALOGO!F:G, 2, FALSE) * C4534)+I4534,IFERROR(IF(COUNTIF('RESTAURANTESDESCUENTOS 2026'!A:A,TRIM(A4534))&gt;0,((VLOOKUP(TRIM(D4534), CATALOGO!A:B, 2, FALSE) * C4534)*(1-VALUE(SUBSTITUTE(VLOOKUP(TRIM(A4534),'RESTAURANTESDESCUENTOS 2026'!A:B,2,FALSE),"%",""))/100)+I4534),(VLOOKUP(TRIM(D4534), CATALOGO!A:B, 2, FALSE) * C4534+I4534)),""))</f>
        <v/>
      </c>
      <c r="K4534" s="196"/>
      <c r="L4534" s="87"/>
      <c r="M4534" s="245"/>
      <c r="N4534" s="168"/>
    </row>
    <row r="4535" ht="22.5" hidden="1" customHeight="1">
      <c r="A4535" s="137"/>
      <c r="B4535" s="90"/>
      <c r="C4535" s="55"/>
      <c r="D4535" s="193"/>
      <c r="E4535" s="201"/>
      <c r="F4535" s="202"/>
      <c r="G4535" s="194"/>
      <c r="H4535" s="198"/>
      <c r="I4535" s="196"/>
      <c r="J4535" s="179" t="str">
        <f>IF(A4535="RAPPI",(VLOOKUP(TRIM(D4535), CATALOGO!F:G, 2, FALSE) * C4535)+I4535,IFERROR(IF(COUNTIF('RESTAURANTESDESCUENTOS 2026'!A:A,TRIM(A4535))&gt;0,((VLOOKUP(TRIM(D4535), CATALOGO!A:B, 2, FALSE) * C4535)*(1-VALUE(SUBSTITUTE(VLOOKUP(TRIM(A4535),'RESTAURANTESDESCUENTOS 2026'!A:B,2,FALSE),"%",""))/100)+I4535),(VLOOKUP(TRIM(D4535), CATALOGO!A:B, 2, FALSE) * C4535+I4535)),""))</f>
        <v/>
      </c>
      <c r="K4535" s="196"/>
      <c r="L4535" s="87"/>
      <c r="M4535" s="245"/>
      <c r="N4535" s="168"/>
    </row>
    <row r="4536" ht="22.5" hidden="1" customHeight="1">
      <c r="A4536" s="137"/>
      <c r="B4536" s="90"/>
      <c r="C4536" s="55"/>
      <c r="D4536" s="193"/>
      <c r="E4536" s="201"/>
      <c r="F4536" s="202"/>
      <c r="G4536" s="194"/>
      <c r="H4536" s="198"/>
      <c r="I4536" s="196"/>
      <c r="J4536" s="179" t="str">
        <f>IF(A4536="RAPPI",(VLOOKUP(TRIM(D4536), CATALOGO!F:G, 2, FALSE) * C4536)+I4536,IFERROR(IF(COUNTIF('RESTAURANTESDESCUENTOS 2026'!A:A,TRIM(A4536))&gt;0,((VLOOKUP(TRIM(D4536), CATALOGO!A:B, 2, FALSE) * C4536)*(1-VALUE(SUBSTITUTE(VLOOKUP(TRIM(A4536),'RESTAURANTESDESCUENTOS 2026'!A:B,2,FALSE),"%",""))/100)+I4536),(VLOOKUP(TRIM(D4536), CATALOGO!A:B, 2, FALSE) * C4536+I4536)),""))</f>
        <v/>
      </c>
      <c r="K4536" s="196"/>
      <c r="L4536" s="87"/>
      <c r="M4536" s="245"/>
      <c r="N4536" s="168"/>
    </row>
    <row r="4537" ht="22.5" hidden="1" customHeight="1">
      <c r="A4537" s="137"/>
      <c r="B4537" s="90"/>
      <c r="C4537" s="55"/>
      <c r="D4537" s="193"/>
      <c r="E4537" s="201"/>
      <c r="F4537" s="202"/>
      <c r="G4537" s="194"/>
      <c r="H4537" s="198"/>
      <c r="I4537" s="196"/>
      <c r="J4537" s="179" t="str">
        <f>IF(A4537="RAPPI",(VLOOKUP(TRIM(D4537), CATALOGO!F:G, 2, FALSE) * C4537)+I4537,IFERROR(IF(COUNTIF('RESTAURANTESDESCUENTOS 2026'!A:A,TRIM(A4537))&gt;0,((VLOOKUP(TRIM(D4537), CATALOGO!A:B, 2, FALSE) * C4537)*(1-VALUE(SUBSTITUTE(VLOOKUP(TRIM(A4537),'RESTAURANTESDESCUENTOS 2026'!A:B,2,FALSE),"%",""))/100)+I4537),(VLOOKUP(TRIM(D4537), CATALOGO!A:B, 2, FALSE) * C4537+I4537)),""))</f>
        <v/>
      </c>
      <c r="K4537" s="196"/>
      <c r="L4537" s="87"/>
      <c r="M4537" s="245"/>
      <c r="N4537" s="168"/>
    </row>
    <row r="4538" ht="22.5" hidden="1" customHeight="1">
      <c r="A4538" s="137"/>
      <c r="B4538" s="90"/>
      <c r="C4538" s="55"/>
      <c r="D4538" s="193"/>
      <c r="E4538" s="201"/>
      <c r="F4538" s="202"/>
      <c r="G4538" s="194"/>
      <c r="H4538" s="198"/>
      <c r="I4538" s="196"/>
      <c r="J4538" s="179" t="str">
        <f>IF(A4538="RAPPI",(VLOOKUP(TRIM(D4538), CATALOGO!F:G, 2, FALSE) * C4538)+I4538,IFERROR(IF(COUNTIF('RESTAURANTESDESCUENTOS 2026'!A:A,TRIM(A4538))&gt;0,((VLOOKUP(TRIM(D4538), CATALOGO!A:B, 2, FALSE) * C4538)*(1-VALUE(SUBSTITUTE(VLOOKUP(TRIM(A4538),'RESTAURANTESDESCUENTOS 2026'!A:B,2,FALSE),"%",""))/100)+I4538),(VLOOKUP(TRIM(D4538), CATALOGO!A:B, 2, FALSE) * C4538+I4538)),""))</f>
        <v/>
      </c>
      <c r="K4538" s="196"/>
      <c r="L4538" s="87"/>
      <c r="M4538" s="245"/>
      <c r="N4538" s="168"/>
    </row>
    <row r="4539" ht="22.5" hidden="1" customHeight="1">
      <c r="A4539" s="137"/>
      <c r="B4539" s="90"/>
      <c r="C4539" s="55"/>
      <c r="D4539" s="193"/>
      <c r="E4539" s="201"/>
      <c r="F4539" s="202"/>
      <c r="G4539" s="194"/>
      <c r="H4539" s="198"/>
      <c r="I4539" s="196"/>
      <c r="J4539" s="179" t="str">
        <f>IF(A4539="RAPPI",(VLOOKUP(TRIM(D4539), CATALOGO!F:G, 2, FALSE) * C4539)+I4539,IFERROR(IF(COUNTIF('RESTAURANTESDESCUENTOS 2026'!A:A,TRIM(A4539))&gt;0,((VLOOKUP(TRIM(D4539), CATALOGO!A:B, 2, FALSE) * C4539)*(1-VALUE(SUBSTITUTE(VLOOKUP(TRIM(A4539),'RESTAURANTESDESCUENTOS 2026'!A:B,2,FALSE),"%",""))/100)+I4539),(VLOOKUP(TRIM(D4539), CATALOGO!A:B, 2, FALSE) * C4539+I4539)),""))</f>
        <v/>
      </c>
      <c r="K4539" s="196"/>
      <c r="L4539" s="87"/>
      <c r="M4539" s="245"/>
      <c r="N4539" s="168"/>
    </row>
    <row r="4540" ht="22.5" hidden="1" customHeight="1">
      <c r="A4540" s="137"/>
      <c r="B4540" s="90"/>
      <c r="C4540" s="55"/>
      <c r="D4540" s="193"/>
      <c r="E4540" s="201"/>
      <c r="F4540" s="202"/>
      <c r="G4540" s="194"/>
      <c r="H4540" s="198"/>
      <c r="I4540" s="196"/>
      <c r="J4540" s="179" t="str">
        <f>IF(A4540="RAPPI",(VLOOKUP(TRIM(D4540), CATALOGO!F:G, 2, FALSE) * C4540)+I4540,IFERROR(IF(COUNTIF('RESTAURANTESDESCUENTOS 2026'!A:A,TRIM(A4540))&gt;0,((VLOOKUP(TRIM(D4540), CATALOGO!A:B, 2, FALSE) * C4540)*(1-VALUE(SUBSTITUTE(VLOOKUP(TRIM(A4540),'RESTAURANTESDESCUENTOS 2026'!A:B,2,FALSE),"%",""))/100)+I4540),(VLOOKUP(TRIM(D4540), CATALOGO!A:B, 2, FALSE) * C4540+I4540)),""))</f>
        <v/>
      </c>
      <c r="K4540" s="196"/>
      <c r="L4540" s="87"/>
      <c r="M4540" s="245"/>
      <c r="N4540" s="168"/>
    </row>
    <row r="4541" ht="22.5" hidden="1" customHeight="1">
      <c r="A4541" s="137"/>
      <c r="B4541" s="90"/>
      <c r="C4541" s="55"/>
      <c r="D4541" s="193"/>
      <c r="E4541" s="201"/>
      <c r="F4541" s="202"/>
      <c r="G4541" s="194"/>
      <c r="H4541" s="198"/>
      <c r="I4541" s="196"/>
      <c r="J4541" s="179" t="str">
        <f>IF(A4541="RAPPI",(VLOOKUP(TRIM(D4541), CATALOGO!F:G, 2, FALSE) * C4541)+I4541,IFERROR(IF(COUNTIF('RESTAURANTESDESCUENTOS 2026'!A:A,TRIM(A4541))&gt;0,((VLOOKUP(TRIM(D4541), CATALOGO!A:B, 2, FALSE) * C4541)*(1-VALUE(SUBSTITUTE(VLOOKUP(TRIM(A4541),'RESTAURANTESDESCUENTOS 2026'!A:B,2,FALSE),"%",""))/100)+I4541),(VLOOKUP(TRIM(D4541), CATALOGO!A:B, 2, FALSE) * C4541+I4541)),""))</f>
        <v/>
      </c>
      <c r="K4541" s="196"/>
      <c r="L4541" s="87"/>
      <c r="M4541" s="245"/>
      <c r="N4541" s="168"/>
    </row>
    <row r="4542" ht="22.5" hidden="1" customHeight="1">
      <c r="A4542" s="137"/>
      <c r="B4542" s="90"/>
      <c r="C4542" s="55"/>
      <c r="D4542" s="193"/>
      <c r="E4542" s="201"/>
      <c r="F4542" s="202"/>
      <c r="G4542" s="194"/>
      <c r="H4542" s="198"/>
      <c r="I4542" s="196"/>
      <c r="J4542" s="179" t="str">
        <f>IF(A4542="RAPPI",(VLOOKUP(TRIM(D4542), CATALOGO!F:G, 2, FALSE) * C4542)+I4542,IFERROR(IF(COUNTIF('RESTAURANTESDESCUENTOS 2026'!A:A,TRIM(A4542))&gt;0,((VLOOKUP(TRIM(D4542), CATALOGO!A:B, 2, FALSE) * C4542)*(1-VALUE(SUBSTITUTE(VLOOKUP(TRIM(A4542),'RESTAURANTESDESCUENTOS 2026'!A:B,2,FALSE),"%",""))/100)+I4542),(VLOOKUP(TRIM(D4542), CATALOGO!A:B, 2, FALSE) * C4542+I4542)),""))</f>
        <v/>
      </c>
      <c r="K4542" s="196"/>
      <c r="L4542" s="87"/>
      <c r="M4542" s="245"/>
      <c r="N4542" s="168"/>
    </row>
    <row r="4543" ht="22.5" hidden="1" customHeight="1">
      <c r="A4543" s="137"/>
      <c r="B4543" s="90"/>
      <c r="C4543" s="55"/>
      <c r="D4543" s="193"/>
      <c r="E4543" s="201"/>
      <c r="F4543" s="202"/>
      <c r="G4543" s="194"/>
      <c r="H4543" s="198"/>
      <c r="I4543" s="196"/>
      <c r="J4543" s="179" t="str">
        <f>IF(A4543="RAPPI",(VLOOKUP(TRIM(D4543), CATALOGO!F:G, 2, FALSE) * C4543)+I4543,IFERROR(IF(COUNTIF('RESTAURANTESDESCUENTOS 2026'!A:A,TRIM(A4543))&gt;0,((VLOOKUP(TRIM(D4543), CATALOGO!A:B, 2, FALSE) * C4543)*(1-VALUE(SUBSTITUTE(VLOOKUP(TRIM(A4543),'RESTAURANTESDESCUENTOS 2026'!A:B,2,FALSE),"%",""))/100)+I4543),(VLOOKUP(TRIM(D4543), CATALOGO!A:B, 2, FALSE) * C4543+I4543)),""))</f>
        <v/>
      </c>
      <c r="K4543" s="196"/>
      <c r="L4543" s="87"/>
      <c r="M4543" s="245"/>
      <c r="N4543" s="168"/>
    </row>
    <row r="4544" ht="22.5" hidden="1" customHeight="1">
      <c r="A4544" s="137"/>
      <c r="B4544" s="90"/>
      <c r="C4544" s="55"/>
      <c r="D4544" s="193"/>
      <c r="E4544" s="201"/>
      <c r="F4544" s="202"/>
      <c r="G4544" s="194"/>
      <c r="H4544" s="198"/>
      <c r="I4544" s="196"/>
      <c r="J4544" s="179" t="str">
        <f>IF(A4544="RAPPI",(VLOOKUP(TRIM(D4544), CATALOGO!F:G, 2, FALSE) * C4544)+I4544,IFERROR(IF(COUNTIF('RESTAURANTESDESCUENTOS 2026'!A:A,TRIM(A4544))&gt;0,((VLOOKUP(TRIM(D4544), CATALOGO!A:B, 2, FALSE) * C4544)*(1-VALUE(SUBSTITUTE(VLOOKUP(TRIM(A4544),'RESTAURANTESDESCUENTOS 2026'!A:B,2,FALSE),"%",""))/100)+I4544),(VLOOKUP(TRIM(D4544), CATALOGO!A:B, 2, FALSE) * C4544+I4544)),""))</f>
        <v/>
      </c>
      <c r="K4544" s="196"/>
      <c r="L4544" s="87"/>
      <c r="M4544" s="245"/>
      <c r="N4544" s="168"/>
    </row>
    <row r="4545" ht="22.5" hidden="1" customHeight="1">
      <c r="A4545" s="137"/>
      <c r="B4545" s="90"/>
      <c r="C4545" s="55"/>
      <c r="D4545" s="193"/>
      <c r="E4545" s="201"/>
      <c r="F4545" s="202"/>
      <c r="G4545" s="194"/>
      <c r="H4545" s="198"/>
      <c r="I4545" s="196"/>
      <c r="J4545" s="179" t="str">
        <f>IF(A4545="RAPPI",(VLOOKUP(TRIM(D4545), CATALOGO!F:G, 2, FALSE) * C4545)+I4545,IFERROR(IF(COUNTIF('RESTAURANTESDESCUENTOS 2026'!A:A,TRIM(A4545))&gt;0,((VLOOKUP(TRIM(D4545), CATALOGO!A:B, 2, FALSE) * C4545)*(1-VALUE(SUBSTITUTE(VLOOKUP(TRIM(A4545),'RESTAURANTESDESCUENTOS 2026'!A:B,2,FALSE),"%",""))/100)+I4545),(VLOOKUP(TRIM(D4545), CATALOGO!A:B, 2, FALSE) * C4545+I4545)),""))</f>
        <v/>
      </c>
      <c r="K4545" s="196"/>
      <c r="L4545" s="87"/>
      <c r="M4545" s="245"/>
      <c r="N4545" s="168"/>
    </row>
    <row r="4546" ht="22.5" hidden="1" customHeight="1">
      <c r="A4546" s="137"/>
      <c r="B4546" s="90"/>
      <c r="C4546" s="55"/>
      <c r="D4546" s="193"/>
      <c r="E4546" s="201"/>
      <c r="F4546" s="202"/>
      <c r="G4546" s="194"/>
      <c r="H4546" s="198"/>
      <c r="I4546" s="196"/>
      <c r="J4546" s="179" t="str">
        <f>IF(A4546="RAPPI",(VLOOKUP(TRIM(D4546), CATALOGO!F:G, 2, FALSE) * C4546)+I4546,IFERROR(IF(COUNTIF('RESTAURANTESDESCUENTOS 2026'!A:A,TRIM(A4546))&gt;0,((VLOOKUP(TRIM(D4546), CATALOGO!A:B, 2, FALSE) * C4546)*(1-VALUE(SUBSTITUTE(VLOOKUP(TRIM(A4546),'RESTAURANTESDESCUENTOS 2026'!A:B,2,FALSE),"%",""))/100)+I4546),(VLOOKUP(TRIM(D4546), CATALOGO!A:B, 2, FALSE) * C4546+I4546)),""))</f>
        <v/>
      </c>
      <c r="K4546" s="196"/>
      <c r="L4546" s="87"/>
      <c r="M4546" s="245"/>
      <c r="N4546" s="168"/>
    </row>
    <row r="4547" ht="22.5" hidden="1" customHeight="1">
      <c r="A4547" s="137"/>
      <c r="B4547" s="90"/>
      <c r="C4547" s="55"/>
      <c r="D4547" s="193"/>
      <c r="E4547" s="201"/>
      <c r="F4547" s="202"/>
      <c r="G4547" s="194"/>
      <c r="H4547" s="198"/>
      <c r="I4547" s="196"/>
      <c r="J4547" s="179" t="str">
        <f>IF(A4547="RAPPI",(VLOOKUP(TRIM(D4547), CATALOGO!F:G, 2, FALSE) * C4547)+I4547,IFERROR(IF(COUNTIF('RESTAURANTESDESCUENTOS 2026'!A:A,TRIM(A4547))&gt;0,((VLOOKUP(TRIM(D4547), CATALOGO!A:B, 2, FALSE) * C4547)*(1-VALUE(SUBSTITUTE(VLOOKUP(TRIM(A4547),'RESTAURANTESDESCUENTOS 2026'!A:B,2,FALSE),"%",""))/100)+I4547),(VLOOKUP(TRIM(D4547), CATALOGO!A:B, 2, FALSE) * C4547+I4547)),""))</f>
        <v/>
      </c>
      <c r="K4547" s="196"/>
      <c r="L4547" s="87"/>
      <c r="M4547" s="245"/>
      <c r="N4547" s="168"/>
    </row>
    <row r="4548" ht="22.5" hidden="1" customHeight="1">
      <c r="A4548" s="137"/>
      <c r="B4548" s="90"/>
      <c r="C4548" s="55"/>
      <c r="D4548" s="193"/>
      <c r="E4548" s="201"/>
      <c r="F4548" s="202"/>
      <c r="G4548" s="194"/>
      <c r="H4548" s="198"/>
      <c r="I4548" s="196"/>
      <c r="J4548" s="179" t="str">
        <f>IF(A4548="RAPPI",(VLOOKUP(TRIM(D4548), CATALOGO!F:G, 2, FALSE) * C4548)+I4548,IFERROR(IF(COUNTIF('RESTAURANTESDESCUENTOS 2026'!A:A,TRIM(A4548))&gt;0,((VLOOKUP(TRIM(D4548), CATALOGO!A:B, 2, FALSE) * C4548)*(1-VALUE(SUBSTITUTE(VLOOKUP(TRIM(A4548),'RESTAURANTESDESCUENTOS 2026'!A:B,2,FALSE),"%",""))/100)+I4548),(VLOOKUP(TRIM(D4548), CATALOGO!A:B, 2, FALSE) * C4548+I4548)),""))</f>
        <v/>
      </c>
      <c r="K4548" s="196"/>
      <c r="L4548" s="87"/>
      <c r="M4548" s="245"/>
      <c r="N4548" s="168"/>
    </row>
    <row r="4549" ht="22.5" hidden="1" customHeight="1">
      <c r="A4549" s="137"/>
      <c r="B4549" s="90"/>
      <c r="C4549" s="55"/>
      <c r="D4549" s="193"/>
      <c r="E4549" s="201"/>
      <c r="F4549" s="202"/>
      <c r="G4549" s="194"/>
      <c r="H4549" s="198"/>
      <c r="I4549" s="196"/>
      <c r="J4549" s="179" t="str">
        <f>IF(A4549="RAPPI",(VLOOKUP(TRIM(D4549), CATALOGO!F:G, 2, FALSE) * C4549)+I4549,IFERROR(IF(COUNTIF('RESTAURANTESDESCUENTOS 2026'!A:A,TRIM(A4549))&gt;0,((VLOOKUP(TRIM(D4549), CATALOGO!A:B, 2, FALSE) * C4549)*(1-VALUE(SUBSTITUTE(VLOOKUP(TRIM(A4549),'RESTAURANTESDESCUENTOS 2026'!A:B,2,FALSE),"%",""))/100)+I4549),(VLOOKUP(TRIM(D4549), CATALOGO!A:B, 2, FALSE) * C4549+I4549)),""))</f>
        <v/>
      </c>
      <c r="K4549" s="196"/>
      <c r="L4549" s="87"/>
      <c r="M4549" s="245"/>
      <c r="N4549" s="168"/>
    </row>
    <row r="4550" ht="22.5" hidden="1" customHeight="1">
      <c r="A4550" s="137"/>
      <c r="B4550" s="90"/>
      <c r="C4550" s="55"/>
      <c r="D4550" s="193"/>
      <c r="E4550" s="201"/>
      <c r="F4550" s="202"/>
      <c r="G4550" s="194"/>
      <c r="H4550" s="198"/>
      <c r="I4550" s="196"/>
      <c r="J4550" s="179" t="str">
        <f>IF(A4550="RAPPI",(VLOOKUP(TRIM(D4550), CATALOGO!F:G, 2, FALSE) * C4550)+I4550,IFERROR(IF(COUNTIF('RESTAURANTESDESCUENTOS 2026'!A:A,TRIM(A4550))&gt;0,((VLOOKUP(TRIM(D4550), CATALOGO!A:B, 2, FALSE) * C4550)*(1-VALUE(SUBSTITUTE(VLOOKUP(TRIM(A4550),'RESTAURANTESDESCUENTOS 2026'!A:B,2,FALSE),"%",""))/100)+I4550),(VLOOKUP(TRIM(D4550), CATALOGO!A:B, 2, FALSE) * C4550+I4550)),""))</f>
        <v/>
      </c>
      <c r="K4550" s="196"/>
      <c r="L4550" s="87"/>
      <c r="M4550" s="245"/>
      <c r="N4550" s="168"/>
    </row>
    <row r="4551" ht="22.5" hidden="1" customHeight="1">
      <c r="A4551" s="137"/>
      <c r="B4551" s="90"/>
      <c r="C4551" s="55"/>
      <c r="D4551" s="193"/>
      <c r="E4551" s="201"/>
      <c r="F4551" s="202"/>
      <c r="G4551" s="194"/>
      <c r="H4551" s="198"/>
      <c r="I4551" s="196"/>
      <c r="J4551" s="179" t="str">
        <f>IF(A4551="RAPPI",(VLOOKUP(TRIM(D4551), CATALOGO!F:G, 2, FALSE) * C4551)+I4551,IFERROR(IF(COUNTIF('RESTAURANTESDESCUENTOS 2026'!A:A,TRIM(A4551))&gt;0,((VLOOKUP(TRIM(D4551), CATALOGO!A:B, 2, FALSE) * C4551)*(1-VALUE(SUBSTITUTE(VLOOKUP(TRIM(A4551),'RESTAURANTESDESCUENTOS 2026'!A:B,2,FALSE),"%",""))/100)+I4551),(VLOOKUP(TRIM(D4551), CATALOGO!A:B, 2, FALSE) * C4551+I4551)),""))</f>
        <v/>
      </c>
      <c r="K4551" s="196"/>
      <c r="L4551" s="87"/>
      <c r="M4551" s="245"/>
      <c r="N4551" s="168"/>
    </row>
    <row r="4552" ht="22.5" hidden="1" customHeight="1">
      <c r="A4552" s="137"/>
      <c r="B4552" s="90"/>
      <c r="C4552" s="55"/>
      <c r="D4552" s="193"/>
      <c r="E4552" s="201"/>
      <c r="F4552" s="202"/>
      <c r="G4552" s="194"/>
      <c r="H4552" s="198"/>
      <c r="I4552" s="196"/>
      <c r="J4552" s="179" t="str">
        <f>IF(A4552="RAPPI",(VLOOKUP(TRIM(D4552), CATALOGO!F:G, 2, FALSE) * C4552)+I4552,IFERROR(IF(COUNTIF('RESTAURANTESDESCUENTOS 2026'!A:A,TRIM(A4552))&gt;0,((VLOOKUP(TRIM(D4552), CATALOGO!A:B, 2, FALSE) * C4552)*(1-VALUE(SUBSTITUTE(VLOOKUP(TRIM(A4552),'RESTAURANTESDESCUENTOS 2026'!A:B,2,FALSE),"%",""))/100)+I4552),(VLOOKUP(TRIM(D4552), CATALOGO!A:B, 2, FALSE) * C4552+I4552)),""))</f>
        <v/>
      </c>
      <c r="K4552" s="196"/>
      <c r="L4552" s="87"/>
      <c r="M4552" s="245"/>
      <c r="N4552" s="168"/>
    </row>
    <row r="4553" ht="22.5" hidden="1" customHeight="1">
      <c r="A4553" s="137"/>
      <c r="B4553" s="90"/>
      <c r="C4553" s="55"/>
      <c r="D4553" s="193"/>
      <c r="E4553" s="201"/>
      <c r="F4553" s="202"/>
      <c r="G4553" s="194"/>
      <c r="H4553" s="198"/>
      <c r="I4553" s="196"/>
      <c r="J4553" s="179" t="str">
        <f>IF(A4553="RAPPI",(VLOOKUP(TRIM(D4553), CATALOGO!F:G, 2, FALSE) * C4553)+I4553,IFERROR(IF(COUNTIF('RESTAURANTESDESCUENTOS 2026'!A:A,TRIM(A4553))&gt;0,((VLOOKUP(TRIM(D4553), CATALOGO!A:B, 2, FALSE) * C4553)*(1-VALUE(SUBSTITUTE(VLOOKUP(TRIM(A4553),'RESTAURANTESDESCUENTOS 2026'!A:B,2,FALSE),"%",""))/100)+I4553),(VLOOKUP(TRIM(D4553), CATALOGO!A:B, 2, FALSE) * C4553+I4553)),""))</f>
        <v/>
      </c>
      <c r="K4553" s="196"/>
      <c r="L4553" s="87"/>
      <c r="M4553" s="245"/>
      <c r="N4553" s="168"/>
    </row>
    <row r="4554" ht="22.5" hidden="1" customHeight="1">
      <c r="A4554" s="137"/>
      <c r="B4554" s="90"/>
      <c r="C4554" s="55"/>
      <c r="D4554" s="193"/>
      <c r="E4554" s="201"/>
      <c r="F4554" s="202"/>
      <c r="G4554" s="194"/>
      <c r="H4554" s="198"/>
      <c r="I4554" s="196"/>
      <c r="J4554" s="179" t="str">
        <f>IF(A4554="RAPPI",(VLOOKUP(TRIM(D4554), CATALOGO!F:G, 2, FALSE) * C4554)+I4554,IFERROR(IF(COUNTIF('RESTAURANTESDESCUENTOS 2026'!A:A,TRIM(A4554))&gt;0,((VLOOKUP(TRIM(D4554), CATALOGO!A:B, 2, FALSE) * C4554)*(1-VALUE(SUBSTITUTE(VLOOKUP(TRIM(A4554),'RESTAURANTESDESCUENTOS 2026'!A:B,2,FALSE),"%",""))/100)+I4554),(VLOOKUP(TRIM(D4554), CATALOGO!A:B, 2, FALSE) * C4554+I4554)),""))</f>
        <v/>
      </c>
      <c r="K4554" s="196"/>
      <c r="L4554" s="87"/>
      <c r="M4554" s="245"/>
      <c r="N4554" s="168"/>
    </row>
    <row r="4555" ht="22.5" hidden="1" customHeight="1">
      <c r="A4555" s="137"/>
      <c r="B4555" s="90"/>
      <c r="C4555" s="55"/>
      <c r="D4555" s="193"/>
      <c r="E4555" s="201"/>
      <c r="F4555" s="202"/>
      <c r="G4555" s="194"/>
      <c r="H4555" s="198"/>
      <c r="I4555" s="196"/>
      <c r="J4555" s="179" t="str">
        <f>IF(A4555="RAPPI",(VLOOKUP(TRIM(D4555), CATALOGO!F:G, 2, FALSE) * C4555)+I4555,IFERROR(IF(COUNTIF('RESTAURANTESDESCUENTOS 2026'!A:A,TRIM(A4555))&gt;0,((VLOOKUP(TRIM(D4555), CATALOGO!A:B, 2, FALSE) * C4555)*(1-VALUE(SUBSTITUTE(VLOOKUP(TRIM(A4555),'RESTAURANTESDESCUENTOS 2026'!A:B,2,FALSE),"%",""))/100)+I4555),(VLOOKUP(TRIM(D4555), CATALOGO!A:B, 2, FALSE) * C4555+I4555)),""))</f>
        <v/>
      </c>
      <c r="K4555" s="196"/>
      <c r="L4555" s="87"/>
      <c r="M4555" s="245"/>
      <c r="N4555" s="168"/>
    </row>
    <row r="4556" ht="22.5" hidden="1" customHeight="1">
      <c r="A4556" s="137"/>
      <c r="B4556" s="90"/>
      <c r="C4556" s="55"/>
      <c r="D4556" s="193"/>
      <c r="E4556" s="201"/>
      <c r="F4556" s="202"/>
      <c r="G4556" s="194"/>
      <c r="H4556" s="198"/>
      <c r="I4556" s="196"/>
      <c r="J4556" s="179" t="str">
        <f>IF(A4556="RAPPI",(VLOOKUP(TRIM(D4556), CATALOGO!F:G, 2, FALSE) * C4556)+I4556,IFERROR(IF(COUNTIF('RESTAURANTESDESCUENTOS 2026'!A:A,TRIM(A4556))&gt;0,((VLOOKUP(TRIM(D4556), CATALOGO!A:B, 2, FALSE) * C4556)*(1-VALUE(SUBSTITUTE(VLOOKUP(TRIM(A4556),'RESTAURANTESDESCUENTOS 2026'!A:B,2,FALSE),"%",""))/100)+I4556),(VLOOKUP(TRIM(D4556), CATALOGO!A:B, 2, FALSE) * C4556+I4556)),""))</f>
        <v/>
      </c>
      <c r="K4556" s="196"/>
      <c r="L4556" s="87"/>
      <c r="M4556" s="245"/>
      <c r="N4556" s="168"/>
    </row>
    <row r="4557" ht="22.5" hidden="1" customHeight="1">
      <c r="A4557" s="137"/>
      <c r="B4557" s="90"/>
      <c r="C4557" s="55"/>
      <c r="D4557" s="193"/>
      <c r="E4557" s="201"/>
      <c r="F4557" s="202"/>
      <c r="G4557" s="194"/>
      <c r="H4557" s="198"/>
      <c r="I4557" s="196"/>
      <c r="J4557" s="179" t="str">
        <f>IF(A4557="RAPPI",(VLOOKUP(TRIM(D4557), CATALOGO!F:G, 2, FALSE) * C4557)+I4557,IFERROR(IF(COUNTIF('RESTAURANTESDESCUENTOS 2026'!A:A,TRIM(A4557))&gt;0,((VLOOKUP(TRIM(D4557), CATALOGO!A:B, 2, FALSE) * C4557)*(1-VALUE(SUBSTITUTE(VLOOKUP(TRIM(A4557),'RESTAURANTESDESCUENTOS 2026'!A:B,2,FALSE),"%",""))/100)+I4557),(VLOOKUP(TRIM(D4557), CATALOGO!A:B, 2, FALSE) * C4557+I4557)),""))</f>
        <v/>
      </c>
      <c r="K4557" s="196"/>
      <c r="L4557" s="87"/>
      <c r="M4557" s="245"/>
      <c r="N4557" s="168"/>
    </row>
    <row r="4558" ht="22.5" hidden="1" customHeight="1">
      <c r="A4558" s="137"/>
      <c r="B4558" s="90"/>
      <c r="C4558" s="55"/>
      <c r="D4558" s="193"/>
      <c r="E4558" s="201"/>
      <c r="F4558" s="202"/>
      <c r="G4558" s="194"/>
      <c r="H4558" s="198"/>
      <c r="I4558" s="196"/>
      <c r="J4558" s="179" t="str">
        <f>IF(A4558="RAPPI",(VLOOKUP(TRIM(D4558), CATALOGO!F:G, 2, FALSE) * C4558)+I4558,IFERROR(IF(COUNTIF('RESTAURANTESDESCUENTOS 2026'!A:A,TRIM(A4558))&gt;0,((VLOOKUP(TRIM(D4558), CATALOGO!A:B, 2, FALSE) * C4558)*(1-VALUE(SUBSTITUTE(VLOOKUP(TRIM(A4558),'RESTAURANTESDESCUENTOS 2026'!A:B,2,FALSE),"%",""))/100)+I4558),(VLOOKUP(TRIM(D4558), CATALOGO!A:B, 2, FALSE) * C4558+I4558)),""))</f>
        <v/>
      </c>
      <c r="K4558" s="196"/>
      <c r="L4558" s="87"/>
      <c r="M4558" s="245"/>
      <c r="N4558" s="168"/>
    </row>
    <row r="4559" ht="22.5" hidden="1" customHeight="1">
      <c r="A4559" s="137"/>
      <c r="B4559" s="90"/>
      <c r="C4559" s="55"/>
      <c r="D4559" s="193"/>
      <c r="E4559" s="201"/>
      <c r="F4559" s="202"/>
      <c r="G4559" s="194"/>
      <c r="H4559" s="198"/>
      <c r="I4559" s="196"/>
      <c r="J4559" s="179" t="str">
        <f>IF(A4559="RAPPI",(VLOOKUP(TRIM(D4559), CATALOGO!F:G, 2, FALSE) * C4559)+I4559,IFERROR(IF(COUNTIF('RESTAURANTESDESCUENTOS 2026'!A:A,TRIM(A4559))&gt;0,((VLOOKUP(TRIM(D4559), CATALOGO!A:B, 2, FALSE) * C4559)*(1-VALUE(SUBSTITUTE(VLOOKUP(TRIM(A4559),'RESTAURANTESDESCUENTOS 2026'!A:B,2,FALSE),"%",""))/100)+I4559),(VLOOKUP(TRIM(D4559), CATALOGO!A:B, 2, FALSE) * C4559+I4559)),""))</f>
        <v/>
      </c>
      <c r="K4559" s="196"/>
      <c r="L4559" s="87"/>
      <c r="M4559" s="245"/>
      <c r="N4559" s="168"/>
    </row>
    <row r="4560" ht="22.5" hidden="1" customHeight="1">
      <c r="A4560" s="137"/>
      <c r="B4560" s="90"/>
      <c r="C4560" s="55"/>
      <c r="D4560" s="193"/>
      <c r="E4560" s="201"/>
      <c r="F4560" s="202"/>
      <c r="G4560" s="194"/>
      <c r="H4560" s="198"/>
      <c r="I4560" s="196"/>
      <c r="J4560" s="179" t="str">
        <f>IF(A4560="RAPPI",(VLOOKUP(TRIM(D4560), CATALOGO!F:G, 2, FALSE) * C4560)+I4560,IFERROR(IF(COUNTIF('RESTAURANTESDESCUENTOS 2026'!A:A,TRIM(A4560))&gt;0,((VLOOKUP(TRIM(D4560), CATALOGO!A:B, 2, FALSE) * C4560)*(1-VALUE(SUBSTITUTE(VLOOKUP(TRIM(A4560),'RESTAURANTESDESCUENTOS 2026'!A:B,2,FALSE),"%",""))/100)+I4560),(VLOOKUP(TRIM(D4560), CATALOGO!A:B, 2, FALSE) * C4560+I4560)),""))</f>
        <v/>
      </c>
      <c r="K4560" s="196"/>
      <c r="L4560" s="87"/>
      <c r="M4560" s="245"/>
      <c r="N4560" s="168"/>
    </row>
    <row r="4561" ht="22.5" hidden="1" customHeight="1">
      <c r="A4561" s="137"/>
      <c r="B4561" s="90"/>
      <c r="C4561" s="55"/>
      <c r="D4561" s="193"/>
      <c r="E4561" s="201"/>
      <c r="F4561" s="202"/>
      <c r="G4561" s="194"/>
      <c r="H4561" s="198"/>
      <c r="I4561" s="196"/>
      <c r="J4561" s="179" t="str">
        <f>IF(A4561="RAPPI",(VLOOKUP(TRIM(D4561), CATALOGO!F:G, 2, FALSE) * C4561)+I4561,IFERROR(IF(COUNTIF('RESTAURANTESDESCUENTOS 2026'!A:A,TRIM(A4561))&gt;0,((VLOOKUP(TRIM(D4561), CATALOGO!A:B, 2, FALSE) * C4561)*(1-VALUE(SUBSTITUTE(VLOOKUP(TRIM(A4561),'RESTAURANTESDESCUENTOS 2026'!A:B,2,FALSE),"%",""))/100)+I4561),(VLOOKUP(TRIM(D4561), CATALOGO!A:B, 2, FALSE) * C4561+I4561)),""))</f>
        <v/>
      </c>
      <c r="K4561" s="196"/>
      <c r="L4561" s="87"/>
      <c r="M4561" s="245"/>
      <c r="N4561" s="168"/>
    </row>
    <row r="4562" ht="22.5" hidden="1" customHeight="1">
      <c r="A4562" s="137"/>
      <c r="B4562" s="90"/>
      <c r="C4562" s="55"/>
      <c r="D4562" s="193"/>
      <c r="E4562" s="201"/>
      <c r="F4562" s="202"/>
      <c r="G4562" s="194"/>
      <c r="H4562" s="198"/>
      <c r="I4562" s="196"/>
      <c r="J4562" s="179" t="str">
        <f>IF(A4562="RAPPI",(VLOOKUP(TRIM(D4562), CATALOGO!F:G, 2, FALSE) * C4562)+I4562,IFERROR(IF(COUNTIF('RESTAURANTESDESCUENTOS 2026'!A:A,TRIM(A4562))&gt;0,((VLOOKUP(TRIM(D4562), CATALOGO!A:B, 2, FALSE) * C4562)*(1-VALUE(SUBSTITUTE(VLOOKUP(TRIM(A4562),'RESTAURANTESDESCUENTOS 2026'!A:B,2,FALSE),"%",""))/100)+I4562),(VLOOKUP(TRIM(D4562), CATALOGO!A:B, 2, FALSE) * C4562+I4562)),""))</f>
        <v/>
      </c>
      <c r="K4562" s="196"/>
      <c r="L4562" s="87"/>
      <c r="M4562" s="245"/>
      <c r="N4562" s="168"/>
    </row>
    <row r="4563" ht="22.5" hidden="1" customHeight="1">
      <c r="A4563" s="137"/>
      <c r="B4563" s="90"/>
      <c r="C4563" s="55"/>
      <c r="D4563" s="193"/>
      <c r="E4563" s="201"/>
      <c r="F4563" s="202"/>
      <c r="G4563" s="194"/>
      <c r="H4563" s="198"/>
      <c r="I4563" s="196"/>
      <c r="J4563" s="179" t="str">
        <f>IF(A4563="RAPPI",(VLOOKUP(TRIM(D4563), CATALOGO!F:G, 2, FALSE) * C4563)+I4563,IFERROR(IF(COUNTIF('RESTAURANTESDESCUENTOS 2026'!A:A,TRIM(A4563))&gt;0,((VLOOKUP(TRIM(D4563), CATALOGO!A:B, 2, FALSE) * C4563)*(1-VALUE(SUBSTITUTE(VLOOKUP(TRIM(A4563),'RESTAURANTESDESCUENTOS 2026'!A:B,2,FALSE),"%",""))/100)+I4563),(VLOOKUP(TRIM(D4563), CATALOGO!A:B, 2, FALSE) * C4563+I4563)),""))</f>
        <v/>
      </c>
      <c r="K4563" s="196"/>
      <c r="L4563" s="87"/>
      <c r="M4563" s="245"/>
      <c r="N4563" s="168"/>
    </row>
    <row r="4564" ht="22.5" hidden="1" customHeight="1">
      <c r="A4564" s="137"/>
      <c r="B4564" s="90"/>
      <c r="C4564" s="55"/>
      <c r="D4564" s="193"/>
      <c r="E4564" s="201"/>
      <c r="F4564" s="202"/>
      <c r="G4564" s="194"/>
      <c r="H4564" s="198"/>
      <c r="I4564" s="196"/>
      <c r="J4564" s="179" t="str">
        <f>IF(A4564="RAPPI",(VLOOKUP(TRIM(D4564), CATALOGO!F:G, 2, FALSE) * C4564)+I4564,IFERROR(IF(COUNTIF('RESTAURANTESDESCUENTOS 2026'!A:A,TRIM(A4564))&gt;0,((VLOOKUP(TRIM(D4564), CATALOGO!A:B, 2, FALSE) * C4564)*(1-VALUE(SUBSTITUTE(VLOOKUP(TRIM(A4564),'RESTAURANTESDESCUENTOS 2026'!A:B,2,FALSE),"%",""))/100)+I4564),(VLOOKUP(TRIM(D4564), CATALOGO!A:B, 2, FALSE) * C4564+I4564)),""))</f>
        <v/>
      </c>
      <c r="K4564" s="196"/>
      <c r="L4564" s="87"/>
      <c r="M4564" s="245"/>
      <c r="N4564" s="168"/>
    </row>
    <row r="4565" ht="22.5" hidden="1" customHeight="1">
      <c r="A4565" s="137"/>
      <c r="B4565" s="90"/>
      <c r="C4565" s="55"/>
      <c r="D4565" s="193"/>
      <c r="E4565" s="201"/>
      <c r="F4565" s="202"/>
      <c r="G4565" s="194"/>
      <c r="H4565" s="198"/>
      <c r="I4565" s="196"/>
      <c r="J4565" s="179" t="str">
        <f>IF(A4565="RAPPI",(VLOOKUP(TRIM(D4565), CATALOGO!F:G, 2, FALSE) * C4565)+I4565,IFERROR(IF(COUNTIF('RESTAURANTESDESCUENTOS 2026'!A:A,TRIM(A4565))&gt;0,((VLOOKUP(TRIM(D4565), CATALOGO!A:B, 2, FALSE) * C4565)*(1-VALUE(SUBSTITUTE(VLOOKUP(TRIM(A4565),'RESTAURANTESDESCUENTOS 2026'!A:B,2,FALSE),"%",""))/100)+I4565),(VLOOKUP(TRIM(D4565), CATALOGO!A:B, 2, FALSE) * C4565+I4565)),""))</f>
        <v/>
      </c>
      <c r="K4565" s="196"/>
      <c r="L4565" s="87"/>
      <c r="M4565" s="245"/>
      <c r="N4565" s="168"/>
    </row>
    <row r="4566" ht="22.5" hidden="1" customHeight="1">
      <c r="A4566" s="137"/>
      <c r="B4566" s="90"/>
      <c r="C4566" s="55"/>
      <c r="D4566" s="193"/>
      <c r="E4566" s="201"/>
      <c r="F4566" s="202"/>
      <c r="G4566" s="194"/>
      <c r="H4566" s="198"/>
      <c r="I4566" s="196"/>
      <c r="J4566" s="179" t="str">
        <f>IF(A4566="RAPPI",(VLOOKUP(TRIM(D4566), CATALOGO!F:G, 2, FALSE) * C4566)+I4566,IFERROR(IF(COUNTIF('RESTAURANTESDESCUENTOS 2026'!A:A,TRIM(A4566))&gt;0,((VLOOKUP(TRIM(D4566), CATALOGO!A:B, 2, FALSE) * C4566)*(1-VALUE(SUBSTITUTE(VLOOKUP(TRIM(A4566),'RESTAURANTESDESCUENTOS 2026'!A:B,2,FALSE),"%",""))/100)+I4566),(VLOOKUP(TRIM(D4566), CATALOGO!A:B, 2, FALSE) * C4566+I4566)),""))</f>
        <v/>
      </c>
      <c r="K4566" s="196"/>
      <c r="L4566" s="87"/>
      <c r="M4566" s="245"/>
      <c r="N4566" s="168"/>
    </row>
    <row r="4567" ht="22.5" hidden="1" customHeight="1">
      <c r="A4567" s="137"/>
      <c r="B4567" s="90"/>
      <c r="C4567" s="55"/>
      <c r="D4567" s="193"/>
      <c r="E4567" s="201"/>
      <c r="F4567" s="202"/>
      <c r="G4567" s="194"/>
      <c r="H4567" s="198"/>
      <c r="I4567" s="196"/>
      <c r="J4567" s="179" t="str">
        <f>IF(A4567="RAPPI",(VLOOKUP(TRIM(D4567), CATALOGO!F:G, 2, FALSE) * C4567)+I4567,IFERROR(IF(COUNTIF('RESTAURANTESDESCUENTOS 2026'!A:A,TRIM(A4567))&gt;0,((VLOOKUP(TRIM(D4567), CATALOGO!A:B, 2, FALSE) * C4567)*(1-VALUE(SUBSTITUTE(VLOOKUP(TRIM(A4567),'RESTAURANTESDESCUENTOS 2026'!A:B,2,FALSE),"%",""))/100)+I4567),(VLOOKUP(TRIM(D4567), CATALOGO!A:B, 2, FALSE) * C4567+I4567)),""))</f>
        <v/>
      </c>
      <c r="K4567" s="196"/>
      <c r="L4567" s="87"/>
      <c r="M4567" s="245"/>
      <c r="N4567" s="168"/>
    </row>
    <row r="4568" ht="22.5" hidden="1" customHeight="1">
      <c r="A4568" s="137"/>
      <c r="B4568" s="90"/>
      <c r="C4568" s="55"/>
      <c r="D4568" s="193"/>
      <c r="E4568" s="201"/>
      <c r="F4568" s="202"/>
      <c r="G4568" s="194"/>
      <c r="H4568" s="198"/>
      <c r="I4568" s="196"/>
      <c r="J4568" s="179" t="str">
        <f>IF(A4568="RAPPI",(VLOOKUP(TRIM(D4568), CATALOGO!F:G, 2, FALSE) * C4568)+I4568,IFERROR(IF(COUNTIF('RESTAURANTESDESCUENTOS 2026'!A:A,TRIM(A4568))&gt;0,((VLOOKUP(TRIM(D4568), CATALOGO!A:B, 2, FALSE) * C4568)*(1-VALUE(SUBSTITUTE(VLOOKUP(TRIM(A4568),'RESTAURANTESDESCUENTOS 2026'!A:B,2,FALSE),"%",""))/100)+I4568),(VLOOKUP(TRIM(D4568), CATALOGO!A:B, 2, FALSE) * C4568+I4568)),""))</f>
        <v/>
      </c>
      <c r="K4568" s="196"/>
      <c r="L4568" s="87"/>
      <c r="M4568" s="245"/>
      <c r="N4568" s="168"/>
    </row>
    <row r="4569" ht="22.5" hidden="1" customHeight="1">
      <c r="A4569" s="137"/>
      <c r="B4569" s="90"/>
      <c r="C4569" s="55"/>
      <c r="D4569" s="193"/>
      <c r="E4569" s="201"/>
      <c r="F4569" s="202"/>
      <c r="G4569" s="194"/>
      <c r="H4569" s="198"/>
      <c r="I4569" s="196"/>
      <c r="J4569" s="179" t="str">
        <f>IF(A4569="RAPPI",(VLOOKUP(TRIM(D4569), CATALOGO!F:G, 2, FALSE) * C4569)+I4569,IFERROR(IF(COUNTIF('RESTAURANTESDESCUENTOS 2026'!A:A,TRIM(A4569))&gt;0,((VLOOKUP(TRIM(D4569), CATALOGO!A:B, 2, FALSE) * C4569)*(1-VALUE(SUBSTITUTE(VLOOKUP(TRIM(A4569),'RESTAURANTESDESCUENTOS 2026'!A:B,2,FALSE),"%",""))/100)+I4569),(VLOOKUP(TRIM(D4569), CATALOGO!A:B, 2, FALSE) * C4569+I4569)),""))</f>
        <v/>
      </c>
      <c r="K4569" s="196"/>
      <c r="L4569" s="87"/>
      <c r="M4569" s="245"/>
      <c r="N4569" s="168"/>
    </row>
    <row r="4570" ht="22.5" hidden="1" customHeight="1">
      <c r="A4570" s="137"/>
      <c r="B4570" s="90"/>
      <c r="C4570" s="55"/>
      <c r="D4570" s="193"/>
      <c r="E4570" s="201"/>
      <c r="F4570" s="202"/>
      <c r="G4570" s="194"/>
      <c r="H4570" s="198"/>
      <c r="I4570" s="196"/>
      <c r="J4570" s="179" t="str">
        <f>IF(A4570="RAPPI",(VLOOKUP(TRIM(D4570), CATALOGO!F:G, 2, FALSE) * C4570)+I4570,IFERROR(IF(COUNTIF('RESTAURANTESDESCUENTOS 2026'!A:A,TRIM(A4570))&gt;0,((VLOOKUP(TRIM(D4570), CATALOGO!A:B, 2, FALSE) * C4570)*(1-VALUE(SUBSTITUTE(VLOOKUP(TRIM(A4570),'RESTAURANTESDESCUENTOS 2026'!A:B,2,FALSE),"%",""))/100)+I4570),(VLOOKUP(TRIM(D4570), CATALOGO!A:B, 2, FALSE) * C4570+I4570)),""))</f>
        <v/>
      </c>
      <c r="K4570" s="196"/>
      <c r="L4570" s="87"/>
      <c r="M4570" s="245"/>
      <c r="N4570" s="168"/>
    </row>
    <row r="4571" ht="22.5" hidden="1" customHeight="1">
      <c r="A4571" s="137"/>
      <c r="B4571" s="90"/>
      <c r="C4571" s="55"/>
      <c r="D4571" s="193"/>
      <c r="E4571" s="201"/>
      <c r="F4571" s="202"/>
      <c r="G4571" s="194"/>
      <c r="H4571" s="198"/>
      <c r="I4571" s="196"/>
      <c r="J4571" s="179" t="str">
        <f>IF(A4571="RAPPI",(VLOOKUP(TRIM(D4571), CATALOGO!F:G, 2, FALSE) * C4571)+I4571,IFERROR(IF(COUNTIF('RESTAURANTESDESCUENTOS 2026'!A:A,TRIM(A4571))&gt;0,((VLOOKUP(TRIM(D4571), CATALOGO!A:B, 2, FALSE) * C4571)*(1-VALUE(SUBSTITUTE(VLOOKUP(TRIM(A4571),'RESTAURANTESDESCUENTOS 2026'!A:B,2,FALSE),"%",""))/100)+I4571),(VLOOKUP(TRIM(D4571), CATALOGO!A:B, 2, FALSE) * C4571+I4571)),""))</f>
        <v/>
      </c>
      <c r="K4571" s="196"/>
      <c r="L4571" s="87"/>
      <c r="M4571" s="245"/>
      <c r="N4571" s="168"/>
    </row>
    <row r="4572" ht="22.5" hidden="1" customHeight="1">
      <c r="A4572" s="137"/>
      <c r="B4572" s="90"/>
      <c r="C4572" s="55"/>
      <c r="D4572" s="193"/>
      <c r="E4572" s="201"/>
      <c r="F4572" s="202"/>
      <c r="G4572" s="194"/>
      <c r="H4572" s="198"/>
      <c r="I4572" s="196"/>
      <c r="J4572" s="179" t="str">
        <f>IF(A4572="RAPPI",(VLOOKUP(TRIM(D4572), CATALOGO!F:G, 2, FALSE) * C4572)+I4572,IFERROR(IF(COUNTIF('RESTAURANTESDESCUENTOS 2026'!A:A,TRIM(A4572))&gt;0,((VLOOKUP(TRIM(D4572), CATALOGO!A:B, 2, FALSE) * C4572)*(1-VALUE(SUBSTITUTE(VLOOKUP(TRIM(A4572),'RESTAURANTESDESCUENTOS 2026'!A:B,2,FALSE),"%",""))/100)+I4572),(VLOOKUP(TRIM(D4572), CATALOGO!A:B, 2, FALSE) * C4572+I4572)),""))</f>
        <v/>
      </c>
      <c r="K4572" s="196"/>
      <c r="L4572" s="87"/>
      <c r="M4572" s="245"/>
      <c r="N4572" s="168"/>
    </row>
    <row r="4573" ht="22.5" hidden="1" customHeight="1">
      <c r="A4573" s="137"/>
      <c r="B4573" s="90"/>
      <c r="C4573" s="55"/>
      <c r="D4573" s="193"/>
      <c r="E4573" s="201"/>
      <c r="F4573" s="202"/>
      <c r="G4573" s="194"/>
      <c r="H4573" s="198"/>
      <c r="I4573" s="196"/>
      <c r="J4573" s="179" t="str">
        <f>IF(A4573="RAPPI",(VLOOKUP(TRIM(D4573), CATALOGO!F:G, 2, FALSE) * C4573)+I4573,IFERROR(IF(COUNTIF('RESTAURANTESDESCUENTOS 2026'!A:A,TRIM(A4573))&gt;0,((VLOOKUP(TRIM(D4573), CATALOGO!A:B, 2, FALSE) * C4573)*(1-VALUE(SUBSTITUTE(VLOOKUP(TRIM(A4573),'RESTAURANTESDESCUENTOS 2026'!A:B,2,FALSE),"%",""))/100)+I4573),(VLOOKUP(TRIM(D4573), CATALOGO!A:B, 2, FALSE) * C4573+I4573)),""))</f>
        <v/>
      </c>
      <c r="K4573" s="196"/>
      <c r="L4573" s="87"/>
      <c r="M4573" s="245"/>
      <c r="N4573" s="168"/>
    </row>
    <row r="4574" ht="22.5" hidden="1" customHeight="1">
      <c r="A4574" s="137"/>
      <c r="B4574" s="90"/>
      <c r="C4574" s="55"/>
      <c r="D4574" s="193"/>
      <c r="E4574" s="201"/>
      <c r="F4574" s="202"/>
      <c r="G4574" s="194"/>
      <c r="H4574" s="198"/>
      <c r="I4574" s="196"/>
      <c r="J4574" s="179" t="str">
        <f>IF(A4574="RAPPI",(VLOOKUP(TRIM(D4574), CATALOGO!F:G, 2, FALSE) * C4574)+I4574,IFERROR(IF(COUNTIF('RESTAURANTESDESCUENTOS 2026'!A:A,TRIM(A4574))&gt;0,((VLOOKUP(TRIM(D4574), CATALOGO!A:B, 2, FALSE) * C4574)*(1-VALUE(SUBSTITUTE(VLOOKUP(TRIM(A4574),'RESTAURANTESDESCUENTOS 2026'!A:B,2,FALSE),"%",""))/100)+I4574),(VLOOKUP(TRIM(D4574), CATALOGO!A:B, 2, FALSE) * C4574+I4574)),""))</f>
        <v/>
      </c>
      <c r="K4574" s="196"/>
      <c r="L4574" s="87"/>
      <c r="M4574" s="245"/>
      <c r="N4574" s="168"/>
    </row>
    <row r="4575" ht="22.5" hidden="1" customHeight="1">
      <c r="A4575" s="137"/>
      <c r="B4575" s="90"/>
      <c r="C4575" s="55"/>
      <c r="D4575" s="193"/>
      <c r="E4575" s="201"/>
      <c r="F4575" s="202"/>
      <c r="G4575" s="194"/>
      <c r="H4575" s="198"/>
      <c r="I4575" s="196"/>
      <c r="J4575" s="179" t="str">
        <f>IF(A4575="RAPPI",(VLOOKUP(TRIM(D4575), CATALOGO!F:G, 2, FALSE) * C4575)+I4575,IFERROR(IF(COUNTIF('RESTAURANTESDESCUENTOS 2026'!A:A,TRIM(A4575))&gt;0,((VLOOKUP(TRIM(D4575), CATALOGO!A:B, 2, FALSE) * C4575)*(1-VALUE(SUBSTITUTE(VLOOKUP(TRIM(A4575),'RESTAURANTESDESCUENTOS 2026'!A:B,2,FALSE),"%",""))/100)+I4575),(VLOOKUP(TRIM(D4575), CATALOGO!A:B, 2, FALSE) * C4575+I4575)),""))</f>
        <v/>
      </c>
      <c r="K4575" s="196"/>
      <c r="L4575" s="87"/>
      <c r="M4575" s="245"/>
      <c r="N4575" s="168"/>
    </row>
    <row r="4576" ht="22.5" hidden="1" customHeight="1">
      <c r="A4576" s="137"/>
      <c r="B4576" s="90"/>
      <c r="C4576" s="55"/>
      <c r="D4576" s="193"/>
      <c r="E4576" s="201"/>
      <c r="F4576" s="202"/>
      <c r="G4576" s="194"/>
      <c r="H4576" s="198"/>
      <c r="I4576" s="196"/>
      <c r="J4576" s="179" t="str">
        <f>IF(A4576="RAPPI",(VLOOKUP(TRIM(D4576), CATALOGO!F:G, 2, FALSE) * C4576)+I4576,IFERROR(IF(COUNTIF('RESTAURANTESDESCUENTOS 2026'!A:A,TRIM(A4576))&gt;0,((VLOOKUP(TRIM(D4576), CATALOGO!A:B, 2, FALSE) * C4576)*(1-VALUE(SUBSTITUTE(VLOOKUP(TRIM(A4576),'RESTAURANTESDESCUENTOS 2026'!A:B,2,FALSE),"%",""))/100)+I4576),(VLOOKUP(TRIM(D4576), CATALOGO!A:B, 2, FALSE) * C4576+I4576)),""))</f>
        <v/>
      </c>
      <c r="K4576" s="196"/>
      <c r="L4576" s="87"/>
      <c r="M4576" s="245"/>
      <c r="N4576" s="168"/>
    </row>
    <row r="4577" ht="22.5" hidden="1" customHeight="1">
      <c r="A4577" s="137"/>
      <c r="B4577" s="90"/>
      <c r="C4577" s="55"/>
      <c r="D4577" s="193"/>
      <c r="E4577" s="201"/>
      <c r="F4577" s="202"/>
      <c r="G4577" s="194"/>
      <c r="H4577" s="198"/>
      <c r="I4577" s="196"/>
      <c r="J4577" s="179" t="str">
        <f>IF(A4577="RAPPI",(VLOOKUP(TRIM(D4577), CATALOGO!F:G, 2, FALSE) * C4577)+I4577,IFERROR(IF(COUNTIF('RESTAURANTESDESCUENTOS 2026'!A:A,TRIM(A4577))&gt;0,((VLOOKUP(TRIM(D4577), CATALOGO!A:B, 2, FALSE) * C4577)*(1-VALUE(SUBSTITUTE(VLOOKUP(TRIM(A4577),'RESTAURANTESDESCUENTOS 2026'!A:B,2,FALSE),"%",""))/100)+I4577),(VLOOKUP(TRIM(D4577), CATALOGO!A:B, 2, FALSE) * C4577+I4577)),""))</f>
        <v/>
      </c>
      <c r="K4577" s="196"/>
      <c r="L4577" s="87"/>
      <c r="M4577" s="245"/>
      <c r="N4577" s="168"/>
    </row>
    <row r="4578" ht="22.5" hidden="1" customHeight="1">
      <c r="A4578" s="137"/>
      <c r="B4578" s="90"/>
      <c r="C4578" s="55"/>
      <c r="D4578" s="193"/>
      <c r="E4578" s="201"/>
      <c r="F4578" s="202"/>
      <c r="G4578" s="194"/>
      <c r="H4578" s="198"/>
      <c r="I4578" s="196"/>
      <c r="J4578" s="179" t="str">
        <f>IF(A4578="RAPPI",(VLOOKUP(TRIM(D4578), CATALOGO!F:G, 2, FALSE) * C4578)+I4578,IFERROR(IF(COUNTIF('RESTAURANTESDESCUENTOS 2026'!A:A,TRIM(A4578))&gt;0,((VLOOKUP(TRIM(D4578), CATALOGO!A:B, 2, FALSE) * C4578)*(1-VALUE(SUBSTITUTE(VLOOKUP(TRIM(A4578),'RESTAURANTESDESCUENTOS 2026'!A:B,2,FALSE),"%",""))/100)+I4578),(VLOOKUP(TRIM(D4578), CATALOGO!A:B, 2, FALSE) * C4578+I4578)),""))</f>
        <v/>
      </c>
      <c r="K4578" s="196"/>
      <c r="L4578" s="87"/>
      <c r="M4578" s="245"/>
      <c r="N4578" s="168"/>
    </row>
    <row r="4579" ht="22.5" hidden="1" customHeight="1">
      <c r="A4579" s="137"/>
      <c r="B4579" s="90"/>
      <c r="C4579" s="55"/>
      <c r="D4579" s="193"/>
      <c r="E4579" s="201"/>
      <c r="F4579" s="202"/>
      <c r="G4579" s="194"/>
      <c r="H4579" s="198"/>
      <c r="I4579" s="196"/>
      <c r="J4579" s="179" t="str">
        <f>IF(A4579="RAPPI",(VLOOKUP(TRIM(D4579), CATALOGO!F:G, 2, FALSE) * C4579)+I4579,IFERROR(IF(COUNTIF('RESTAURANTESDESCUENTOS 2026'!A:A,TRIM(A4579))&gt;0,((VLOOKUP(TRIM(D4579), CATALOGO!A:B, 2, FALSE) * C4579)*(1-VALUE(SUBSTITUTE(VLOOKUP(TRIM(A4579),'RESTAURANTESDESCUENTOS 2026'!A:B,2,FALSE),"%",""))/100)+I4579),(VLOOKUP(TRIM(D4579), CATALOGO!A:B, 2, FALSE) * C4579+I4579)),""))</f>
        <v/>
      </c>
      <c r="K4579" s="196"/>
      <c r="L4579" s="87"/>
      <c r="M4579" s="245"/>
      <c r="N4579" s="168"/>
    </row>
    <row r="4580" ht="22.5" hidden="1" customHeight="1">
      <c r="A4580" s="137"/>
      <c r="B4580" s="90"/>
      <c r="C4580" s="55"/>
      <c r="D4580" s="193"/>
      <c r="E4580" s="201"/>
      <c r="F4580" s="202"/>
      <c r="G4580" s="194"/>
      <c r="H4580" s="198"/>
      <c r="I4580" s="196"/>
      <c r="J4580" s="179" t="str">
        <f>IF(A4580="RAPPI",(VLOOKUP(TRIM(D4580), CATALOGO!F:G, 2, FALSE) * C4580)+I4580,IFERROR(IF(COUNTIF('RESTAURANTESDESCUENTOS 2026'!A:A,TRIM(A4580))&gt;0,((VLOOKUP(TRIM(D4580), CATALOGO!A:B, 2, FALSE) * C4580)*(1-VALUE(SUBSTITUTE(VLOOKUP(TRIM(A4580),'RESTAURANTESDESCUENTOS 2026'!A:B,2,FALSE),"%",""))/100)+I4580),(VLOOKUP(TRIM(D4580), CATALOGO!A:B, 2, FALSE) * C4580+I4580)),""))</f>
        <v/>
      </c>
      <c r="K4580" s="196"/>
      <c r="L4580" s="87"/>
      <c r="M4580" s="245"/>
      <c r="N4580" s="168"/>
    </row>
    <row r="4581" ht="22.5" hidden="1" customHeight="1">
      <c r="A4581" s="137"/>
      <c r="B4581" s="90"/>
      <c r="C4581" s="55"/>
      <c r="D4581" s="193"/>
      <c r="E4581" s="201"/>
      <c r="F4581" s="202"/>
      <c r="G4581" s="194"/>
      <c r="H4581" s="198"/>
      <c r="I4581" s="196"/>
      <c r="J4581" s="179" t="str">
        <f>IF(A4581="RAPPI",(VLOOKUP(TRIM(D4581), CATALOGO!F:G, 2, FALSE) * C4581)+I4581,IFERROR(IF(COUNTIF('RESTAURANTESDESCUENTOS 2026'!A:A,TRIM(A4581))&gt;0,((VLOOKUP(TRIM(D4581), CATALOGO!A:B, 2, FALSE) * C4581)*(1-VALUE(SUBSTITUTE(VLOOKUP(TRIM(A4581),'RESTAURANTESDESCUENTOS 2026'!A:B,2,FALSE),"%",""))/100)+I4581),(VLOOKUP(TRIM(D4581), CATALOGO!A:B, 2, FALSE) * C4581+I4581)),""))</f>
        <v/>
      </c>
      <c r="K4581" s="196"/>
      <c r="L4581" s="87"/>
      <c r="M4581" s="245"/>
      <c r="N4581" s="168"/>
    </row>
    <row r="4582" ht="22.5" hidden="1" customHeight="1">
      <c r="A4582" s="137"/>
      <c r="B4582" s="90"/>
      <c r="C4582" s="55"/>
      <c r="D4582" s="193"/>
      <c r="E4582" s="201"/>
      <c r="F4582" s="202"/>
      <c r="G4582" s="194"/>
      <c r="H4582" s="198"/>
      <c r="I4582" s="196"/>
      <c r="J4582" s="179" t="str">
        <f>IF(A4582="RAPPI",(VLOOKUP(TRIM(D4582), CATALOGO!F:G, 2, FALSE) * C4582)+I4582,IFERROR(IF(COUNTIF('RESTAURANTESDESCUENTOS 2026'!A:A,TRIM(A4582))&gt;0,((VLOOKUP(TRIM(D4582), CATALOGO!A:B, 2, FALSE) * C4582)*(1-VALUE(SUBSTITUTE(VLOOKUP(TRIM(A4582),'RESTAURANTESDESCUENTOS 2026'!A:B,2,FALSE),"%",""))/100)+I4582),(VLOOKUP(TRIM(D4582), CATALOGO!A:B, 2, FALSE) * C4582+I4582)),""))</f>
        <v/>
      </c>
      <c r="K4582" s="196"/>
      <c r="L4582" s="87"/>
      <c r="M4582" s="245"/>
      <c r="N4582" s="168"/>
    </row>
    <row r="4583" ht="22.5" hidden="1" customHeight="1">
      <c r="A4583" s="137"/>
      <c r="B4583" s="90"/>
      <c r="C4583" s="55"/>
      <c r="D4583" s="193"/>
      <c r="E4583" s="201"/>
      <c r="F4583" s="202"/>
      <c r="G4583" s="194"/>
      <c r="H4583" s="198"/>
      <c r="I4583" s="196"/>
      <c r="J4583" s="179" t="str">
        <f>IF(A4583="RAPPI",(VLOOKUP(TRIM(D4583), CATALOGO!F:G, 2, FALSE) * C4583)+I4583,IFERROR(IF(COUNTIF('RESTAURANTESDESCUENTOS 2026'!A:A,TRIM(A4583))&gt;0,((VLOOKUP(TRIM(D4583), CATALOGO!A:B, 2, FALSE) * C4583)*(1-VALUE(SUBSTITUTE(VLOOKUP(TRIM(A4583),'RESTAURANTESDESCUENTOS 2026'!A:B,2,FALSE),"%",""))/100)+I4583),(VLOOKUP(TRIM(D4583), CATALOGO!A:B, 2, FALSE) * C4583+I4583)),""))</f>
        <v/>
      </c>
      <c r="K4583" s="196"/>
      <c r="L4583" s="87"/>
      <c r="M4583" s="245"/>
      <c r="N4583" s="168"/>
    </row>
    <row r="4584" ht="22.5" hidden="1" customHeight="1">
      <c r="A4584" s="137"/>
      <c r="B4584" s="90"/>
      <c r="C4584" s="55"/>
      <c r="D4584" s="193"/>
      <c r="E4584" s="201"/>
      <c r="F4584" s="202"/>
      <c r="G4584" s="194"/>
      <c r="H4584" s="198"/>
      <c r="I4584" s="196"/>
      <c r="J4584" s="179" t="str">
        <f>IF(A4584="RAPPI",(VLOOKUP(TRIM(D4584), CATALOGO!F:G, 2, FALSE) * C4584)+I4584,IFERROR(IF(COUNTIF('RESTAURANTESDESCUENTOS 2026'!A:A,TRIM(A4584))&gt;0,((VLOOKUP(TRIM(D4584), CATALOGO!A:B, 2, FALSE) * C4584)*(1-VALUE(SUBSTITUTE(VLOOKUP(TRIM(A4584),'RESTAURANTESDESCUENTOS 2026'!A:B,2,FALSE),"%",""))/100)+I4584),(VLOOKUP(TRIM(D4584), CATALOGO!A:B, 2, FALSE) * C4584+I4584)),""))</f>
        <v/>
      </c>
      <c r="K4584" s="196"/>
      <c r="L4584" s="87"/>
      <c r="M4584" s="245"/>
      <c r="N4584" s="168"/>
    </row>
    <row r="4585" ht="22.5" hidden="1" customHeight="1">
      <c r="A4585" s="137"/>
      <c r="B4585" s="90"/>
      <c r="C4585" s="55"/>
      <c r="D4585" s="193"/>
      <c r="E4585" s="201"/>
      <c r="F4585" s="202"/>
      <c r="G4585" s="194"/>
      <c r="H4585" s="198"/>
      <c r="I4585" s="196"/>
      <c r="J4585" s="179" t="str">
        <f>IF(A4585="RAPPI",(VLOOKUP(TRIM(D4585), CATALOGO!F:G, 2, FALSE) * C4585)+I4585,IFERROR(IF(COUNTIF('RESTAURANTESDESCUENTOS 2026'!A:A,TRIM(A4585))&gt;0,((VLOOKUP(TRIM(D4585), CATALOGO!A:B, 2, FALSE) * C4585)*(1-VALUE(SUBSTITUTE(VLOOKUP(TRIM(A4585),'RESTAURANTESDESCUENTOS 2026'!A:B,2,FALSE),"%",""))/100)+I4585),(VLOOKUP(TRIM(D4585), CATALOGO!A:B, 2, FALSE) * C4585+I4585)),""))</f>
        <v/>
      </c>
      <c r="K4585" s="196"/>
      <c r="L4585" s="87"/>
      <c r="M4585" s="245"/>
      <c r="N4585" s="168"/>
    </row>
    <row r="4586" ht="22.5" hidden="1" customHeight="1">
      <c r="A4586" s="137"/>
      <c r="B4586" s="90"/>
      <c r="C4586" s="55"/>
      <c r="D4586" s="193"/>
      <c r="E4586" s="201"/>
      <c r="F4586" s="202"/>
      <c r="G4586" s="194"/>
      <c r="H4586" s="198"/>
      <c r="I4586" s="196"/>
      <c r="J4586" s="179" t="str">
        <f>IF(A4586="RAPPI",(VLOOKUP(TRIM(D4586), CATALOGO!F:G, 2, FALSE) * C4586)+I4586,IFERROR(IF(COUNTIF('RESTAURANTESDESCUENTOS 2026'!A:A,TRIM(A4586))&gt;0,((VLOOKUP(TRIM(D4586), CATALOGO!A:B, 2, FALSE) * C4586)*(1-VALUE(SUBSTITUTE(VLOOKUP(TRIM(A4586),'RESTAURANTESDESCUENTOS 2026'!A:B,2,FALSE),"%",""))/100)+I4586),(VLOOKUP(TRIM(D4586), CATALOGO!A:B, 2, FALSE) * C4586+I4586)),""))</f>
        <v/>
      </c>
      <c r="K4586" s="196"/>
      <c r="L4586" s="87"/>
      <c r="M4586" s="245"/>
      <c r="N4586" s="168"/>
    </row>
    <row r="4587" ht="22.5" hidden="1" customHeight="1">
      <c r="A4587" s="137"/>
      <c r="B4587" s="90"/>
      <c r="C4587" s="55"/>
      <c r="D4587" s="193"/>
      <c r="E4587" s="201"/>
      <c r="F4587" s="202"/>
      <c r="G4587" s="194"/>
      <c r="H4587" s="198"/>
      <c r="I4587" s="196"/>
      <c r="J4587" s="179" t="str">
        <f>IF(A4587="RAPPI",(VLOOKUP(TRIM(D4587), CATALOGO!F:G, 2, FALSE) * C4587)+I4587,IFERROR(IF(COUNTIF('RESTAURANTESDESCUENTOS 2026'!A:A,TRIM(A4587))&gt;0,((VLOOKUP(TRIM(D4587), CATALOGO!A:B, 2, FALSE) * C4587)*(1-VALUE(SUBSTITUTE(VLOOKUP(TRIM(A4587),'RESTAURANTESDESCUENTOS 2026'!A:B,2,FALSE),"%",""))/100)+I4587),(VLOOKUP(TRIM(D4587), CATALOGO!A:B, 2, FALSE) * C4587+I4587)),""))</f>
        <v/>
      </c>
      <c r="K4587" s="196"/>
      <c r="L4587" s="87"/>
      <c r="M4587" s="245"/>
      <c r="N4587" s="168"/>
    </row>
    <row r="4588" ht="22.5" hidden="1" customHeight="1">
      <c r="A4588" s="137"/>
      <c r="B4588" s="90"/>
      <c r="C4588" s="55"/>
      <c r="D4588" s="193"/>
      <c r="E4588" s="201"/>
      <c r="F4588" s="202"/>
      <c r="G4588" s="194"/>
      <c r="H4588" s="198"/>
      <c r="I4588" s="196"/>
      <c r="J4588" s="179" t="str">
        <f>IF(A4588="RAPPI",(VLOOKUP(TRIM(D4588), CATALOGO!F:G, 2, FALSE) * C4588)+I4588,IFERROR(IF(COUNTIF('RESTAURANTESDESCUENTOS 2026'!A:A,TRIM(A4588))&gt;0,((VLOOKUP(TRIM(D4588), CATALOGO!A:B, 2, FALSE) * C4588)*(1-VALUE(SUBSTITUTE(VLOOKUP(TRIM(A4588),'RESTAURANTESDESCUENTOS 2026'!A:B,2,FALSE),"%",""))/100)+I4588),(VLOOKUP(TRIM(D4588), CATALOGO!A:B, 2, FALSE) * C4588+I4588)),""))</f>
        <v/>
      </c>
      <c r="K4588" s="196"/>
      <c r="L4588" s="87"/>
      <c r="M4588" s="245"/>
      <c r="N4588" s="168"/>
    </row>
    <row r="4589" ht="22.5" hidden="1" customHeight="1">
      <c r="A4589" s="137"/>
      <c r="B4589" s="90"/>
      <c r="C4589" s="55"/>
      <c r="D4589" s="193"/>
      <c r="E4589" s="201"/>
      <c r="F4589" s="202"/>
      <c r="G4589" s="194"/>
      <c r="H4589" s="198"/>
      <c r="I4589" s="196"/>
      <c r="J4589" s="179" t="str">
        <f>IF(A4589="RAPPI",(VLOOKUP(TRIM(D4589), CATALOGO!F:G, 2, FALSE) * C4589)+I4589,IFERROR(IF(COUNTIF('RESTAURANTESDESCUENTOS 2026'!A:A,TRIM(A4589))&gt;0,((VLOOKUP(TRIM(D4589), CATALOGO!A:B, 2, FALSE) * C4589)*(1-VALUE(SUBSTITUTE(VLOOKUP(TRIM(A4589),'RESTAURANTESDESCUENTOS 2026'!A:B,2,FALSE),"%",""))/100)+I4589),(VLOOKUP(TRIM(D4589), CATALOGO!A:B, 2, FALSE) * C4589+I4589)),""))</f>
        <v/>
      </c>
      <c r="K4589" s="196"/>
      <c r="L4589" s="87"/>
      <c r="M4589" s="245"/>
      <c r="N4589" s="168"/>
    </row>
    <row r="4590" ht="22.5" hidden="1" customHeight="1">
      <c r="A4590" s="137"/>
      <c r="B4590" s="90"/>
      <c r="C4590" s="55"/>
      <c r="D4590" s="193"/>
      <c r="E4590" s="201"/>
      <c r="F4590" s="202"/>
      <c r="G4590" s="194"/>
      <c r="H4590" s="198"/>
      <c r="I4590" s="196"/>
      <c r="J4590" s="179" t="str">
        <f>IF(A4590="RAPPI",(VLOOKUP(TRIM(D4590), CATALOGO!F:G, 2, FALSE) * C4590)+I4590,IFERROR(IF(COUNTIF('RESTAURANTESDESCUENTOS 2026'!A:A,TRIM(A4590))&gt;0,((VLOOKUP(TRIM(D4590), CATALOGO!A:B, 2, FALSE) * C4590)*(1-VALUE(SUBSTITUTE(VLOOKUP(TRIM(A4590),'RESTAURANTESDESCUENTOS 2026'!A:B,2,FALSE),"%",""))/100)+I4590),(VLOOKUP(TRIM(D4590), CATALOGO!A:B, 2, FALSE) * C4590+I4590)),""))</f>
        <v/>
      </c>
      <c r="K4590" s="196"/>
      <c r="L4590" s="87"/>
      <c r="M4590" s="245"/>
      <c r="N4590" s="168"/>
    </row>
    <row r="4591" ht="22.5" hidden="1" customHeight="1">
      <c r="A4591" s="137"/>
      <c r="B4591" s="90"/>
      <c r="C4591" s="55"/>
      <c r="D4591" s="193"/>
      <c r="E4591" s="201"/>
      <c r="F4591" s="202"/>
      <c r="G4591" s="194"/>
      <c r="H4591" s="198"/>
      <c r="I4591" s="196"/>
      <c r="J4591" s="179" t="str">
        <f>IF(A4591="RAPPI",(VLOOKUP(TRIM(D4591), CATALOGO!F:G, 2, FALSE) * C4591)+I4591,IFERROR(IF(COUNTIF('RESTAURANTESDESCUENTOS 2026'!A:A,TRIM(A4591))&gt;0,((VLOOKUP(TRIM(D4591), CATALOGO!A:B, 2, FALSE) * C4591)*(1-VALUE(SUBSTITUTE(VLOOKUP(TRIM(A4591),'RESTAURANTESDESCUENTOS 2026'!A:B,2,FALSE),"%",""))/100)+I4591),(VLOOKUP(TRIM(D4591), CATALOGO!A:B, 2, FALSE) * C4591+I4591)),""))</f>
        <v/>
      </c>
      <c r="K4591" s="196"/>
      <c r="L4591" s="87"/>
      <c r="M4591" s="245"/>
      <c r="N4591" s="168"/>
    </row>
    <row r="4592" ht="22.5" hidden="1" customHeight="1">
      <c r="A4592" s="137"/>
      <c r="B4592" s="90"/>
      <c r="C4592" s="55"/>
      <c r="D4592" s="193"/>
      <c r="E4592" s="201"/>
      <c r="F4592" s="202"/>
      <c r="G4592" s="194"/>
      <c r="H4592" s="198"/>
      <c r="I4592" s="196"/>
      <c r="J4592" s="179" t="str">
        <f>IF(A4592="RAPPI",(VLOOKUP(TRIM(D4592), CATALOGO!F:G, 2, FALSE) * C4592)+I4592,IFERROR(IF(COUNTIF('RESTAURANTESDESCUENTOS 2026'!A:A,TRIM(A4592))&gt;0,((VLOOKUP(TRIM(D4592), CATALOGO!A:B, 2, FALSE) * C4592)*(1-VALUE(SUBSTITUTE(VLOOKUP(TRIM(A4592),'RESTAURANTESDESCUENTOS 2026'!A:B,2,FALSE),"%",""))/100)+I4592),(VLOOKUP(TRIM(D4592), CATALOGO!A:B, 2, FALSE) * C4592+I4592)),""))</f>
        <v/>
      </c>
      <c r="K4592" s="196"/>
      <c r="L4592" s="87"/>
      <c r="M4592" s="245"/>
      <c r="N4592" s="168"/>
    </row>
    <row r="4593" ht="22.5" hidden="1" customHeight="1">
      <c r="A4593" s="137"/>
      <c r="B4593" s="90"/>
      <c r="C4593" s="55"/>
      <c r="D4593" s="193"/>
      <c r="E4593" s="201"/>
      <c r="F4593" s="202"/>
      <c r="G4593" s="194"/>
      <c r="H4593" s="198"/>
      <c r="I4593" s="196"/>
      <c r="J4593" s="179" t="str">
        <f>IF(A4593="RAPPI",(VLOOKUP(TRIM(D4593), CATALOGO!F:G, 2, FALSE) * C4593)+I4593,IFERROR(IF(COUNTIF('RESTAURANTESDESCUENTOS 2026'!A:A,TRIM(A4593))&gt;0,((VLOOKUP(TRIM(D4593), CATALOGO!A:B, 2, FALSE) * C4593)*(1-VALUE(SUBSTITUTE(VLOOKUP(TRIM(A4593),'RESTAURANTESDESCUENTOS 2026'!A:B,2,FALSE),"%",""))/100)+I4593),(VLOOKUP(TRIM(D4593), CATALOGO!A:B, 2, FALSE) * C4593+I4593)),""))</f>
        <v/>
      </c>
      <c r="K4593" s="196"/>
      <c r="L4593" s="87"/>
      <c r="M4593" s="245"/>
      <c r="N4593" s="168"/>
    </row>
    <row r="4594" ht="22.5" hidden="1" customHeight="1">
      <c r="A4594" s="137"/>
      <c r="B4594" s="90"/>
      <c r="C4594" s="55"/>
      <c r="D4594" s="193"/>
      <c r="E4594" s="201"/>
      <c r="F4594" s="202"/>
      <c r="G4594" s="194"/>
      <c r="H4594" s="198"/>
      <c r="I4594" s="196"/>
      <c r="J4594" s="179" t="str">
        <f>IF(A4594="RAPPI",(VLOOKUP(TRIM(D4594), CATALOGO!F:G, 2, FALSE) * C4594)+I4594,IFERROR(IF(COUNTIF('RESTAURANTESDESCUENTOS 2026'!A:A,TRIM(A4594))&gt;0,((VLOOKUP(TRIM(D4594), CATALOGO!A:B, 2, FALSE) * C4594)*(1-VALUE(SUBSTITUTE(VLOOKUP(TRIM(A4594),'RESTAURANTESDESCUENTOS 2026'!A:B,2,FALSE),"%",""))/100)+I4594),(VLOOKUP(TRIM(D4594), CATALOGO!A:B, 2, FALSE) * C4594+I4594)),""))</f>
        <v/>
      </c>
      <c r="K4594" s="196"/>
      <c r="L4594" s="87"/>
      <c r="M4594" s="245"/>
      <c r="N4594" s="168"/>
    </row>
    <row r="4595" ht="22.5" hidden="1" customHeight="1">
      <c r="A4595" s="137"/>
      <c r="B4595" s="90"/>
      <c r="C4595" s="55"/>
      <c r="D4595" s="193"/>
      <c r="E4595" s="201"/>
      <c r="F4595" s="202"/>
      <c r="G4595" s="194"/>
      <c r="H4595" s="198"/>
      <c r="I4595" s="196"/>
      <c r="J4595" s="179" t="str">
        <f>IF(A4595="RAPPI",(VLOOKUP(TRIM(D4595), CATALOGO!F:G, 2, FALSE) * C4595)+I4595,IFERROR(IF(COUNTIF('RESTAURANTESDESCUENTOS 2026'!A:A,TRIM(A4595))&gt;0,((VLOOKUP(TRIM(D4595), CATALOGO!A:B, 2, FALSE) * C4595)*(1-VALUE(SUBSTITUTE(VLOOKUP(TRIM(A4595),'RESTAURANTESDESCUENTOS 2026'!A:B,2,FALSE),"%",""))/100)+I4595),(VLOOKUP(TRIM(D4595), CATALOGO!A:B, 2, FALSE) * C4595+I4595)),""))</f>
        <v/>
      </c>
      <c r="K4595" s="196"/>
      <c r="L4595" s="87"/>
      <c r="M4595" s="245"/>
      <c r="N4595" s="168"/>
    </row>
    <row r="4596" ht="22.5" hidden="1" customHeight="1">
      <c r="A4596" s="137"/>
      <c r="B4596" s="90"/>
      <c r="C4596" s="55"/>
      <c r="D4596" s="193"/>
      <c r="E4596" s="201"/>
      <c r="F4596" s="202"/>
      <c r="G4596" s="194"/>
      <c r="H4596" s="198"/>
      <c r="I4596" s="196"/>
      <c r="J4596" s="179" t="str">
        <f>IF(A4596="RAPPI",(VLOOKUP(TRIM(D4596), CATALOGO!F:G, 2, FALSE) * C4596)+I4596,IFERROR(IF(COUNTIF('RESTAURANTESDESCUENTOS 2026'!A:A,TRIM(A4596))&gt;0,((VLOOKUP(TRIM(D4596), CATALOGO!A:B, 2, FALSE) * C4596)*(1-VALUE(SUBSTITUTE(VLOOKUP(TRIM(A4596),'RESTAURANTESDESCUENTOS 2026'!A:B,2,FALSE),"%",""))/100)+I4596),(VLOOKUP(TRIM(D4596), CATALOGO!A:B, 2, FALSE) * C4596+I4596)),""))</f>
        <v/>
      </c>
      <c r="K4596" s="196"/>
      <c r="L4596" s="87"/>
      <c r="M4596" s="245"/>
      <c r="N4596" s="168"/>
    </row>
    <row r="4597" ht="22.5" hidden="1" customHeight="1">
      <c r="A4597" s="137"/>
      <c r="B4597" s="90"/>
      <c r="C4597" s="55"/>
      <c r="D4597" s="193"/>
      <c r="E4597" s="201"/>
      <c r="F4597" s="202"/>
      <c r="G4597" s="194"/>
      <c r="H4597" s="198"/>
      <c r="I4597" s="196"/>
      <c r="J4597" s="179" t="str">
        <f>IF(A4597="RAPPI",(VLOOKUP(TRIM(D4597), CATALOGO!F:G, 2, FALSE) * C4597)+I4597,IFERROR(IF(COUNTIF('RESTAURANTESDESCUENTOS 2026'!A:A,TRIM(A4597))&gt;0,((VLOOKUP(TRIM(D4597), CATALOGO!A:B, 2, FALSE) * C4597)*(1-VALUE(SUBSTITUTE(VLOOKUP(TRIM(A4597),'RESTAURANTESDESCUENTOS 2026'!A:B,2,FALSE),"%",""))/100)+I4597),(VLOOKUP(TRIM(D4597), CATALOGO!A:B, 2, FALSE) * C4597+I4597)),""))</f>
        <v/>
      </c>
      <c r="K4597" s="196"/>
      <c r="L4597" s="87"/>
      <c r="M4597" s="245"/>
      <c r="N4597" s="168"/>
    </row>
    <row r="4598" ht="22.5" hidden="1" customHeight="1">
      <c r="A4598" s="137"/>
      <c r="B4598" s="90"/>
      <c r="C4598" s="55"/>
      <c r="D4598" s="193"/>
      <c r="E4598" s="201"/>
      <c r="F4598" s="202"/>
      <c r="G4598" s="194"/>
      <c r="H4598" s="198"/>
      <c r="I4598" s="196"/>
      <c r="J4598" s="179" t="str">
        <f>IF(A4598="RAPPI",(VLOOKUP(TRIM(D4598), CATALOGO!F:G, 2, FALSE) * C4598)+I4598,IFERROR(IF(COUNTIF('RESTAURANTESDESCUENTOS 2026'!A:A,TRIM(A4598))&gt;0,((VLOOKUP(TRIM(D4598), CATALOGO!A:B, 2, FALSE) * C4598)*(1-VALUE(SUBSTITUTE(VLOOKUP(TRIM(A4598),'RESTAURANTESDESCUENTOS 2026'!A:B,2,FALSE),"%",""))/100)+I4598),(VLOOKUP(TRIM(D4598), CATALOGO!A:B, 2, FALSE) * C4598+I4598)),""))</f>
        <v/>
      </c>
      <c r="K4598" s="196"/>
      <c r="L4598" s="87"/>
      <c r="M4598" s="245"/>
      <c r="N4598" s="168"/>
    </row>
    <row r="4599" ht="22.5" hidden="1" customHeight="1">
      <c r="A4599" s="137"/>
      <c r="B4599" s="90"/>
      <c r="C4599" s="55"/>
      <c r="D4599" s="193"/>
      <c r="E4599" s="201"/>
      <c r="F4599" s="202"/>
      <c r="G4599" s="194"/>
      <c r="H4599" s="198"/>
      <c r="I4599" s="196"/>
      <c r="J4599" s="179" t="str">
        <f>IF(A4599="RAPPI",(VLOOKUP(TRIM(D4599), CATALOGO!F:G, 2, FALSE) * C4599)+I4599,IFERROR(IF(COUNTIF('RESTAURANTESDESCUENTOS 2026'!A:A,TRIM(A4599))&gt;0,((VLOOKUP(TRIM(D4599), CATALOGO!A:B, 2, FALSE) * C4599)*(1-VALUE(SUBSTITUTE(VLOOKUP(TRIM(A4599),'RESTAURANTESDESCUENTOS 2026'!A:B,2,FALSE),"%",""))/100)+I4599),(VLOOKUP(TRIM(D4599), CATALOGO!A:B, 2, FALSE) * C4599+I4599)),""))</f>
        <v/>
      </c>
      <c r="K4599" s="196"/>
      <c r="L4599" s="87"/>
      <c r="M4599" s="245"/>
      <c r="N4599" s="168"/>
    </row>
    <row r="4600" ht="22.5" hidden="1" customHeight="1">
      <c r="A4600" s="137"/>
      <c r="B4600" s="90"/>
      <c r="C4600" s="55"/>
      <c r="D4600" s="193"/>
      <c r="E4600" s="201"/>
      <c r="F4600" s="202"/>
      <c r="G4600" s="194"/>
      <c r="H4600" s="198"/>
      <c r="I4600" s="196"/>
      <c r="J4600" s="179" t="str">
        <f>IF(A4600="RAPPI",(VLOOKUP(TRIM(D4600), CATALOGO!F:G, 2, FALSE) * C4600)+I4600,IFERROR(IF(COUNTIF('RESTAURANTESDESCUENTOS 2026'!A:A,TRIM(A4600))&gt;0,((VLOOKUP(TRIM(D4600), CATALOGO!A:B, 2, FALSE) * C4600)*(1-VALUE(SUBSTITUTE(VLOOKUP(TRIM(A4600),'RESTAURANTESDESCUENTOS 2026'!A:B,2,FALSE),"%",""))/100)+I4600),(VLOOKUP(TRIM(D4600), CATALOGO!A:B, 2, FALSE) * C4600+I4600)),""))</f>
        <v/>
      </c>
      <c r="K4600" s="196"/>
      <c r="L4600" s="87"/>
      <c r="M4600" s="245"/>
      <c r="N4600" s="168"/>
    </row>
    <row r="4601" ht="22.5" hidden="1" customHeight="1">
      <c r="A4601" s="137"/>
      <c r="B4601" s="90"/>
      <c r="C4601" s="55"/>
      <c r="D4601" s="193"/>
      <c r="E4601" s="201"/>
      <c r="F4601" s="202"/>
      <c r="G4601" s="194"/>
      <c r="H4601" s="198"/>
      <c r="I4601" s="196"/>
      <c r="J4601" s="179" t="str">
        <f>IF(A4601="RAPPI",(VLOOKUP(TRIM(D4601), CATALOGO!F:G, 2, FALSE) * C4601)+I4601,IFERROR(IF(COUNTIF('RESTAURANTESDESCUENTOS 2026'!A:A,TRIM(A4601))&gt;0,((VLOOKUP(TRIM(D4601), CATALOGO!A:B, 2, FALSE) * C4601)*(1-VALUE(SUBSTITUTE(VLOOKUP(TRIM(A4601),'RESTAURANTESDESCUENTOS 2026'!A:B,2,FALSE),"%",""))/100)+I4601),(VLOOKUP(TRIM(D4601), CATALOGO!A:B, 2, FALSE) * C4601+I4601)),""))</f>
        <v/>
      </c>
      <c r="K4601" s="196"/>
      <c r="L4601" s="87"/>
      <c r="M4601" s="245"/>
      <c r="N4601" s="168"/>
    </row>
    <row r="4602" ht="22.5" hidden="1" customHeight="1">
      <c r="A4602" s="137"/>
      <c r="B4602" s="90"/>
      <c r="C4602" s="55"/>
      <c r="D4602" s="193"/>
      <c r="E4602" s="201"/>
      <c r="F4602" s="202"/>
      <c r="G4602" s="194"/>
      <c r="H4602" s="198"/>
      <c r="I4602" s="196"/>
      <c r="J4602" s="179" t="str">
        <f>IF(A4602="RAPPI",(VLOOKUP(TRIM(D4602), CATALOGO!F:G, 2, FALSE) * C4602)+I4602,IFERROR(IF(COUNTIF('RESTAURANTESDESCUENTOS 2026'!A:A,TRIM(A4602))&gt;0,((VLOOKUP(TRIM(D4602), CATALOGO!A:B, 2, FALSE) * C4602)*(1-VALUE(SUBSTITUTE(VLOOKUP(TRIM(A4602),'RESTAURANTESDESCUENTOS 2026'!A:B,2,FALSE),"%",""))/100)+I4602),(VLOOKUP(TRIM(D4602), CATALOGO!A:B, 2, FALSE) * C4602+I4602)),""))</f>
        <v/>
      </c>
      <c r="K4602" s="196"/>
      <c r="L4602" s="87"/>
      <c r="M4602" s="245"/>
      <c r="N4602" s="168"/>
    </row>
    <row r="4603" ht="22.5" hidden="1" customHeight="1">
      <c r="A4603" s="137"/>
      <c r="B4603" s="90"/>
      <c r="C4603" s="55"/>
      <c r="D4603" s="193"/>
      <c r="E4603" s="201"/>
      <c r="F4603" s="202"/>
      <c r="G4603" s="194"/>
      <c r="H4603" s="198"/>
      <c r="I4603" s="196"/>
      <c r="J4603" s="179" t="str">
        <f>IF(A4603="RAPPI",(VLOOKUP(TRIM(D4603), CATALOGO!F:G, 2, FALSE) * C4603)+I4603,IFERROR(IF(COUNTIF('RESTAURANTESDESCUENTOS 2026'!A:A,TRIM(A4603))&gt;0,((VLOOKUP(TRIM(D4603), CATALOGO!A:B, 2, FALSE) * C4603)*(1-VALUE(SUBSTITUTE(VLOOKUP(TRIM(A4603),'RESTAURANTESDESCUENTOS 2026'!A:B,2,FALSE),"%",""))/100)+I4603),(VLOOKUP(TRIM(D4603), CATALOGO!A:B, 2, FALSE) * C4603+I4603)),""))</f>
        <v/>
      </c>
      <c r="K4603" s="196"/>
      <c r="L4603" s="87"/>
      <c r="M4603" s="245"/>
      <c r="N4603" s="168"/>
    </row>
    <row r="4604" ht="22.5" hidden="1" customHeight="1">
      <c r="A4604" s="137"/>
      <c r="B4604" s="90"/>
      <c r="C4604" s="55"/>
      <c r="D4604" s="193"/>
      <c r="E4604" s="201"/>
      <c r="F4604" s="202"/>
      <c r="G4604" s="194"/>
      <c r="H4604" s="198"/>
      <c r="I4604" s="196"/>
      <c r="J4604" s="179" t="str">
        <f>IF(A4604="RAPPI",(VLOOKUP(TRIM(D4604), CATALOGO!F:G, 2, FALSE) * C4604)+I4604,IFERROR(IF(COUNTIF('RESTAURANTESDESCUENTOS 2026'!A:A,TRIM(A4604))&gt;0,((VLOOKUP(TRIM(D4604), CATALOGO!A:B, 2, FALSE) * C4604)*(1-VALUE(SUBSTITUTE(VLOOKUP(TRIM(A4604),'RESTAURANTESDESCUENTOS 2026'!A:B,2,FALSE),"%",""))/100)+I4604),(VLOOKUP(TRIM(D4604), CATALOGO!A:B, 2, FALSE) * C4604+I4604)),""))</f>
        <v/>
      </c>
      <c r="K4604" s="196"/>
      <c r="L4604" s="87"/>
      <c r="M4604" s="245"/>
      <c r="N4604" s="168"/>
    </row>
    <row r="4605" ht="22.5" hidden="1" customHeight="1">
      <c r="A4605" s="137"/>
      <c r="B4605" s="90"/>
      <c r="C4605" s="55"/>
      <c r="D4605" s="193"/>
      <c r="E4605" s="201"/>
      <c r="F4605" s="202"/>
      <c r="G4605" s="194"/>
      <c r="H4605" s="198"/>
      <c r="I4605" s="196"/>
      <c r="J4605" s="179" t="str">
        <f>IF(A4605="RAPPI",(VLOOKUP(TRIM(D4605), CATALOGO!F:G, 2, FALSE) * C4605)+I4605,IFERROR(IF(COUNTIF('RESTAURANTESDESCUENTOS 2026'!A:A,TRIM(A4605))&gt;0,((VLOOKUP(TRIM(D4605), CATALOGO!A:B, 2, FALSE) * C4605)*(1-VALUE(SUBSTITUTE(VLOOKUP(TRIM(A4605),'RESTAURANTESDESCUENTOS 2026'!A:B,2,FALSE),"%",""))/100)+I4605),(VLOOKUP(TRIM(D4605), CATALOGO!A:B, 2, FALSE) * C4605+I4605)),""))</f>
        <v/>
      </c>
      <c r="K4605" s="196"/>
      <c r="L4605" s="87"/>
      <c r="M4605" s="245"/>
      <c r="N4605" s="168"/>
    </row>
    <row r="4606" ht="22.5" hidden="1" customHeight="1">
      <c r="A4606" s="137"/>
      <c r="B4606" s="90"/>
      <c r="C4606" s="55"/>
      <c r="D4606" s="193"/>
      <c r="E4606" s="201"/>
      <c r="F4606" s="202"/>
      <c r="G4606" s="194"/>
      <c r="H4606" s="198"/>
      <c r="I4606" s="196"/>
      <c r="J4606" s="179" t="str">
        <f>IF(A4606="RAPPI",(VLOOKUP(TRIM(D4606), CATALOGO!F:G, 2, FALSE) * C4606)+I4606,IFERROR(IF(COUNTIF('RESTAURANTESDESCUENTOS 2026'!A:A,TRIM(A4606))&gt;0,((VLOOKUP(TRIM(D4606), CATALOGO!A:B, 2, FALSE) * C4606)*(1-VALUE(SUBSTITUTE(VLOOKUP(TRIM(A4606),'RESTAURANTESDESCUENTOS 2026'!A:B,2,FALSE),"%",""))/100)+I4606),(VLOOKUP(TRIM(D4606), CATALOGO!A:B, 2, FALSE) * C4606+I4606)),""))</f>
        <v/>
      </c>
      <c r="K4606" s="196"/>
      <c r="L4606" s="87"/>
      <c r="M4606" s="245"/>
      <c r="N4606" s="168"/>
    </row>
    <row r="4607" ht="22.5" hidden="1" customHeight="1">
      <c r="A4607" s="137"/>
      <c r="B4607" s="90"/>
      <c r="C4607" s="55"/>
      <c r="D4607" s="193"/>
      <c r="E4607" s="201"/>
      <c r="F4607" s="202"/>
      <c r="G4607" s="194"/>
      <c r="H4607" s="198"/>
      <c r="I4607" s="196"/>
      <c r="J4607" s="179" t="str">
        <f>IF(A4607="RAPPI",(VLOOKUP(TRIM(D4607), CATALOGO!F:G, 2, FALSE) * C4607)+I4607,IFERROR(IF(COUNTIF('RESTAURANTESDESCUENTOS 2026'!A:A,TRIM(A4607))&gt;0,((VLOOKUP(TRIM(D4607), CATALOGO!A:B, 2, FALSE) * C4607)*(1-VALUE(SUBSTITUTE(VLOOKUP(TRIM(A4607),'RESTAURANTESDESCUENTOS 2026'!A:B,2,FALSE),"%",""))/100)+I4607),(VLOOKUP(TRIM(D4607), CATALOGO!A:B, 2, FALSE) * C4607+I4607)),""))</f>
        <v/>
      </c>
      <c r="K4607" s="196"/>
      <c r="L4607" s="87"/>
      <c r="M4607" s="245"/>
      <c r="N4607" s="168"/>
    </row>
    <row r="4608" ht="22.5" hidden="1" customHeight="1">
      <c r="A4608" s="137"/>
      <c r="B4608" s="90"/>
      <c r="C4608" s="55"/>
      <c r="D4608" s="193"/>
      <c r="E4608" s="201"/>
      <c r="F4608" s="202"/>
      <c r="G4608" s="194"/>
      <c r="H4608" s="198"/>
      <c r="I4608" s="196"/>
      <c r="J4608" s="179" t="str">
        <f>IF(A4608="RAPPI",(VLOOKUP(TRIM(D4608), CATALOGO!F:G, 2, FALSE) * C4608)+I4608,IFERROR(IF(COUNTIF('RESTAURANTESDESCUENTOS 2026'!A:A,TRIM(A4608))&gt;0,((VLOOKUP(TRIM(D4608), CATALOGO!A:B, 2, FALSE) * C4608)*(1-VALUE(SUBSTITUTE(VLOOKUP(TRIM(A4608),'RESTAURANTESDESCUENTOS 2026'!A:B,2,FALSE),"%",""))/100)+I4608),(VLOOKUP(TRIM(D4608), CATALOGO!A:B, 2, FALSE) * C4608+I4608)),""))</f>
        <v/>
      </c>
      <c r="K4608" s="196"/>
      <c r="L4608" s="87"/>
      <c r="M4608" s="245"/>
      <c r="N4608" s="168"/>
    </row>
    <row r="4609" ht="22.5" hidden="1" customHeight="1">
      <c r="A4609" s="137"/>
      <c r="B4609" s="90"/>
      <c r="C4609" s="55"/>
      <c r="D4609" s="193"/>
      <c r="E4609" s="201"/>
      <c r="F4609" s="202"/>
      <c r="G4609" s="194"/>
      <c r="H4609" s="198"/>
      <c r="I4609" s="196"/>
      <c r="J4609" s="179" t="str">
        <f>IF(A4609="RAPPI",(VLOOKUP(TRIM(D4609), CATALOGO!F:G, 2, FALSE) * C4609)+I4609,IFERROR(IF(COUNTIF('RESTAURANTESDESCUENTOS 2026'!A:A,TRIM(A4609))&gt;0,((VLOOKUP(TRIM(D4609), CATALOGO!A:B, 2, FALSE) * C4609)*(1-VALUE(SUBSTITUTE(VLOOKUP(TRIM(A4609),'RESTAURANTESDESCUENTOS 2026'!A:B,2,FALSE),"%",""))/100)+I4609),(VLOOKUP(TRIM(D4609), CATALOGO!A:B, 2, FALSE) * C4609+I4609)),""))</f>
        <v/>
      </c>
      <c r="K4609" s="196"/>
      <c r="L4609" s="87"/>
      <c r="M4609" s="245"/>
      <c r="N4609" s="168"/>
    </row>
    <row r="4610" ht="22.5" hidden="1" customHeight="1">
      <c r="A4610" s="137"/>
      <c r="B4610" s="90"/>
      <c r="C4610" s="55"/>
      <c r="D4610" s="193"/>
      <c r="E4610" s="201"/>
      <c r="F4610" s="202"/>
      <c r="G4610" s="194"/>
      <c r="H4610" s="198"/>
      <c r="I4610" s="196"/>
      <c r="J4610" s="179" t="str">
        <f>IF(A4610="RAPPI",(VLOOKUP(TRIM(D4610), CATALOGO!F:G, 2, FALSE) * C4610)+I4610,IFERROR(IF(COUNTIF('RESTAURANTESDESCUENTOS 2026'!A:A,TRIM(A4610))&gt;0,((VLOOKUP(TRIM(D4610), CATALOGO!A:B, 2, FALSE) * C4610)*(1-VALUE(SUBSTITUTE(VLOOKUP(TRIM(A4610),'RESTAURANTESDESCUENTOS 2026'!A:B,2,FALSE),"%",""))/100)+I4610),(VLOOKUP(TRIM(D4610), CATALOGO!A:B, 2, FALSE) * C4610+I4610)),""))</f>
        <v/>
      </c>
      <c r="K4610" s="196"/>
      <c r="L4610" s="87"/>
      <c r="M4610" s="245"/>
      <c r="N4610" s="168"/>
    </row>
    <row r="4611" ht="22.5" hidden="1" customHeight="1">
      <c r="A4611" s="137"/>
      <c r="B4611" s="90"/>
      <c r="C4611" s="55"/>
      <c r="D4611" s="193"/>
      <c r="E4611" s="201"/>
      <c r="F4611" s="202"/>
      <c r="G4611" s="194"/>
      <c r="H4611" s="198"/>
      <c r="I4611" s="196"/>
      <c r="J4611" s="179" t="str">
        <f>IF(A4611="RAPPI",(VLOOKUP(TRIM(D4611), CATALOGO!F:G, 2, FALSE) * C4611)+I4611,IFERROR(IF(COUNTIF('RESTAURANTESDESCUENTOS 2026'!A:A,TRIM(A4611))&gt;0,((VLOOKUP(TRIM(D4611), CATALOGO!A:B, 2, FALSE) * C4611)*(1-VALUE(SUBSTITUTE(VLOOKUP(TRIM(A4611),'RESTAURANTESDESCUENTOS 2026'!A:B,2,FALSE),"%",""))/100)+I4611),(VLOOKUP(TRIM(D4611), CATALOGO!A:B, 2, FALSE) * C4611+I4611)),""))</f>
        <v/>
      </c>
      <c r="K4611" s="196"/>
      <c r="L4611" s="87"/>
      <c r="M4611" s="245"/>
      <c r="N4611" s="168"/>
    </row>
    <row r="4612" ht="22.5" hidden="1" customHeight="1">
      <c r="A4612" s="137"/>
      <c r="B4612" s="90"/>
      <c r="C4612" s="55"/>
      <c r="D4612" s="193"/>
      <c r="E4612" s="201"/>
      <c r="F4612" s="202"/>
      <c r="G4612" s="194"/>
      <c r="H4612" s="198"/>
      <c r="I4612" s="196"/>
      <c r="J4612" s="179" t="str">
        <f>IF(A4612="RAPPI",(VLOOKUP(TRIM(D4612), CATALOGO!F:G, 2, FALSE) * C4612)+I4612,IFERROR(IF(COUNTIF('RESTAURANTESDESCUENTOS 2026'!A:A,TRIM(A4612))&gt;0,((VLOOKUP(TRIM(D4612), CATALOGO!A:B, 2, FALSE) * C4612)*(1-VALUE(SUBSTITUTE(VLOOKUP(TRIM(A4612),'RESTAURANTESDESCUENTOS 2026'!A:B,2,FALSE),"%",""))/100)+I4612),(VLOOKUP(TRIM(D4612), CATALOGO!A:B, 2, FALSE) * C4612+I4612)),""))</f>
        <v/>
      </c>
      <c r="K4612" s="196"/>
      <c r="L4612" s="87"/>
      <c r="M4612" s="245"/>
      <c r="N4612" s="168"/>
    </row>
    <row r="4613" ht="22.5" hidden="1" customHeight="1">
      <c r="A4613" s="137"/>
      <c r="B4613" s="90"/>
      <c r="C4613" s="55"/>
      <c r="D4613" s="193"/>
      <c r="E4613" s="201"/>
      <c r="F4613" s="202"/>
      <c r="G4613" s="194"/>
      <c r="H4613" s="198"/>
      <c r="I4613" s="196"/>
      <c r="J4613" s="179" t="str">
        <f>IF(A4613="RAPPI",(VLOOKUP(TRIM(D4613), CATALOGO!F:G, 2, FALSE) * C4613)+I4613,IFERROR(IF(COUNTIF('RESTAURANTESDESCUENTOS 2026'!A:A,TRIM(A4613))&gt;0,((VLOOKUP(TRIM(D4613), CATALOGO!A:B, 2, FALSE) * C4613)*(1-VALUE(SUBSTITUTE(VLOOKUP(TRIM(A4613),'RESTAURANTESDESCUENTOS 2026'!A:B,2,FALSE),"%",""))/100)+I4613),(VLOOKUP(TRIM(D4613), CATALOGO!A:B, 2, FALSE) * C4613+I4613)),""))</f>
        <v/>
      </c>
      <c r="K4613" s="196"/>
      <c r="L4613" s="87"/>
      <c r="M4613" s="245"/>
      <c r="N4613" s="168"/>
    </row>
    <row r="4614" ht="22.5" hidden="1" customHeight="1">
      <c r="A4614" s="137"/>
      <c r="B4614" s="90"/>
      <c r="C4614" s="55"/>
      <c r="D4614" s="193"/>
      <c r="E4614" s="201"/>
      <c r="F4614" s="202"/>
      <c r="G4614" s="194"/>
      <c r="H4614" s="198"/>
      <c r="I4614" s="196"/>
      <c r="J4614" s="179" t="str">
        <f>IF(A4614="RAPPI",(VLOOKUP(TRIM(D4614), CATALOGO!F:G, 2, FALSE) * C4614)+I4614,IFERROR(IF(COUNTIF('RESTAURANTESDESCUENTOS 2026'!A:A,TRIM(A4614))&gt;0,((VLOOKUP(TRIM(D4614), CATALOGO!A:B, 2, FALSE) * C4614)*(1-VALUE(SUBSTITUTE(VLOOKUP(TRIM(A4614),'RESTAURANTESDESCUENTOS 2026'!A:B,2,FALSE),"%",""))/100)+I4614),(VLOOKUP(TRIM(D4614), CATALOGO!A:B, 2, FALSE) * C4614+I4614)),""))</f>
        <v/>
      </c>
      <c r="K4614" s="196"/>
      <c r="L4614" s="87"/>
      <c r="M4614" s="245"/>
      <c r="N4614" s="168"/>
    </row>
    <row r="4615" ht="22.5" hidden="1" customHeight="1">
      <c r="A4615" s="137"/>
      <c r="B4615" s="90"/>
      <c r="C4615" s="55"/>
      <c r="D4615" s="193"/>
      <c r="E4615" s="201"/>
      <c r="F4615" s="202"/>
      <c r="G4615" s="194"/>
      <c r="H4615" s="198"/>
      <c r="I4615" s="196"/>
      <c r="J4615" s="179" t="str">
        <f>IF(A4615="RAPPI",(VLOOKUP(TRIM(D4615), CATALOGO!F:G, 2, FALSE) * C4615)+I4615,IFERROR(IF(COUNTIF('RESTAURANTESDESCUENTOS 2026'!A:A,TRIM(A4615))&gt;0,((VLOOKUP(TRIM(D4615), CATALOGO!A:B, 2, FALSE) * C4615)*(1-VALUE(SUBSTITUTE(VLOOKUP(TRIM(A4615),'RESTAURANTESDESCUENTOS 2026'!A:B,2,FALSE),"%",""))/100)+I4615),(VLOOKUP(TRIM(D4615), CATALOGO!A:B, 2, FALSE) * C4615+I4615)),""))</f>
        <v/>
      </c>
      <c r="K4615" s="196"/>
      <c r="L4615" s="87"/>
      <c r="M4615" s="245"/>
      <c r="N4615" s="168"/>
    </row>
    <row r="4616" ht="22.5" hidden="1" customHeight="1">
      <c r="A4616" s="137"/>
      <c r="B4616" s="90"/>
      <c r="C4616" s="55"/>
      <c r="D4616" s="193"/>
      <c r="E4616" s="201"/>
      <c r="F4616" s="202"/>
      <c r="G4616" s="194"/>
      <c r="H4616" s="198"/>
      <c r="I4616" s="196"/>
      <c r="J4616" s="179" t="str">
        <f>IF(A4616="RAPPI",(VLOOKUP(TRIM(D4616), CATALOGO!F:G, 2, FALSE) * C4616)+I4616,IFERROR(IF(COUNTIF('RESTAURANTESDESCUENTOS 2026'!A:A,TRIM(A4616))&gt;0,((VLOOKUP(TRIM(D4616), CATALOGO!A:B, 2, FALSE) * C4616)*(1-VALUE(SUBSTITUTE(VLOOKUP(TRIM(A4616),'RESTAURANTESDESCUENTOS 2026'!A:B,2,FALSE),"%",""))/100)+I4616),(VLOOKUP(TRIM(D4616), CATALOGO!A:B, 2, FALSE) * C4616+I4616)),""))</f>
        <v/>
      </c>
      <c r="K4616" s="196"/>
      <c r="L4616" s="87"/>
      <c r="M4616" s="245"/>
      <c r="N4616" s="168"/>
    </row>
    <row r="4617" ht="22.5" hidden="1" customHeight="1">
      <c r="A4617" s="137"/>
      <c r="B4617" s="90"/>
      <c r="C4617" s="55"/>
      <c r="D4617" s="193"/>
      <c r="E4617" s="201"/>
      <c r="F4617" s="202"/>
      <c r="G4617" s="194"/>
      <c r="H4617" s="198"/>
      <c r="I4617" s="196"/>
      <c r="J4617" s="179" t="str">
        <f>IF(A4617="RAPPI",(VLOOKUP(TRIM(D4617), CATALOGO!F:G, 2, FALSE) * C4617)+I4617,IFERROR(IF(COUNTIF('RESTAURANTESDESCUENTOS 2026'!A:A,TRIM(A4617))&gt;0,((VLOOKUP(TRIM(D4617), CATALOGO!A:B, 2, FALSE) * C4617)*(1-VALUE(SUBSTITUTE(VLOOKUP(TRIM(A4617),'RESTAURANTESDESCUENTOS 2026'!A:B,2,FALSE),"%",""))/100)+I4617),(VLOOKUP(TRIM(D4617), CATALOGO!A:B, 2, FALSE) * C4617+I4617)),""))</f>
        <v/>
      </c>
      <c r="K4617" s="196"/>
      <c r="L4617" s="87"/>
      <c r="M4617" s="245"/>
      <c r="N4617" s="168"/>
    </row>
    <row r="4618" ht="22.5" hidden="1" customHeight="1">
      <c r="A4618" s="137"/>
      <c r="B4618" s="90"/>
      <c r="C4618" s="55"/>
      <c r="D4618" s="193"/>
      <c r="E4618" s="201"/>
      <c r="F4618" s="202"/>
      <c r="G4618" s="194"/>
      <c r="H4618" s="198"/>
      <c r="I4618" s="196"/>
      <c r="J4618" s="179" t="str">
        <f>IF(A4618="RAPPI",(VLOOKUP(TRIM(D4618), CATALOGO!F:G, 2, FALSE) * C4618)+I4618,IFERROR(IF(COUNTIF('RESTAURANTESDESCUENTOS 2026'!A:A,TRIM(A4618))&gt;0,((VLOOKUP(TRIM(D4618), CATALOGO!A:B, 2, FALSE) * C4618)*(1-VALUE(SUBSTITUTE(VLOOKUP(TRIM(A4618),'RESTAURANTESDESCUENTOS 2026'!A:B,2,FALSE),"%",""))/100)+I4618),(VLOOKUP(TRIM(D4618), CATALOGO!A:B, 2, FALSE) * C4618+I4618)),""))</f>
        <v/>
      </c>
      <c r="K4618" s="196"/>
      <c r="L4618" s="87"/>
      <c r="M4618" s="245"/>
      <c r="N4618" s="168"/>
    </row>
    <row r="4619" ht="22.5" hidden="1" customHeight="1">
      <c r="A4619" s="137"/>
      <c r="B4619" s="90"/>
      <c r="C4619" s="55"/>
      <c r="D4619" s="193"/>
      <c r="E4619" s="201"/>
      <c r="F4619" s="202"/>
      <c r="G4619" s="194"/>
      <c r="H4619" s="198"/>
      <c r="I4619" s="196"/>
      <c r="J4619" s="179" t="str">
        <f>IF(A4619="RAPPI",(VLOOKUP(TRIM(D4619), CATALOGO!F:G, 2, FALSE) * C4619)+I4619,IFERROR(IF(COUNTIF('RESTAURANTESDESCUENTOS 2026'!A:A,TRIM(A4619))&gt;0,((VLOOKUP(TRIM(D4619), CATALOGO!A:B, 2, FALSE) * C4619)*(1-VALUE(SUBSTITUTE(VLOOKUP(TRIM(A4619),'RESTAURANTESDESCUENTOS 2026'!A:B,2,FALSE),"%",""))/100)+I4619),(VLOOKUP(TRIM(D4619), CATALOGO!A:B, 2, FALSE) * C4619+I4619)),""))</f>
        <v/>
      </c>
      <c r="K4619" s="196"/>
      <c r="L4619" s="87"/>
      <c r="M4619" s="245"/>
      <c r="N4619" s="168"/>
    </row>
    <row r="4620" ht="22.5" hidden="1" customHeight="1">
      <c r="A4620" s="137"/>
      <c r="B4620" s="90"/>
      <c r="C4620" s="55"/>
      <c r="D4620" s="193"/>
      <c r="E4620" s="201"/>
      <c r="F4620" s="202"/>
      <c r="G4620" s="194"/>
      <c r="H4620" s="198"/>
      <c r="I4620" s="196"/>
      <c r="J4620" s="179" t="str">
        <f>IF(A4620="RAPPI",(VLOOKUP(TRIM(D4620), CATALOGO!F:G, 2, FALSE) * C4620)+I4620,IFERROR(IF(COUNTIF('RESTAURANTESDESCUENTOS 2026'!A:A,TRIM(A4620))&gt;0,((VLOOKUP(TRIM(D4620), CATALOGO!A:B, 2, FALSE) * C4620)*(1-VALUE(SUBSTITUTE(VLOOKUP(TRIM(A4620),'RESTAURANTESDESCUENTOS 2026'!A:B,2,FALSE),"%",""))/100)+I4620),(VLOOKUP(TRIM(D4620), CATALOGO!A:B, 2, FALSE) * C4620+I4620)),""))</f>
        <v/>
      </c>
      <c r="K4620" s="196"/>
      <c r="L4620" s="87"/>
      <c r="M4620" s="245"/>
      <c r="N4620" s="168"/>
    </row>
    <row r="4621" ht="22.5" hidden="1" customHeight="1">
      <c r="A4621" s="137"/>
      <c r="B4621" s="90"/>
      <c r="C4621" s="55"/>
      <c r="D4621" s="193"/>
      <c r="E4621" s="201"/>
      <c r="F4621" s="202"/>
      <c r="G4621" s="194"/>
      <c r="H4621" s="198"/>
      <c r="I4621" s="196"/>
      <c r="J4621" s="179" t="str">
        <f>IF(A4621="RAPPI",(VLOOKUP(TRIM(D4621), CATALOGO!F:G, 2, FALSE) * C4621)+I4621,IFERROR(IF(COUNTIF('RESTAURANTESDESCUENTOS 2026'!A:A,TRIM(A4621))&gt;0,((VLOOKUP(TRIM(D4621), CATALOGO!A:B, 2, FALSE) * C4621)*(1-VALUE(SUBSTITUTE(VLOOKUP(TRIM(A4621),'RESTAURANTESDESCUENTOS 2026'!A:B,2,FALSE),"%",""))/100)+I4621),(VLOOKUP(TRIM(D4621), CATALOGO!A:B, 2, FALSE) * C4621+I4621)),""))</f>
        <v/>
      </c>
      <c r="K4621" s="196"/>
      <c r="L4621" s="87"/>
      <c r="M4621" s="245"/>
      <c r="N4621" s="168"/>
    </row>
    <row r="4622" ht="22.5" hidden="1" customHeight="1">
      <c r="A4622" s="137"/>
      <c r="B4622" s="90"/>
      <c r="C4622" s="55"/>
      <c r="D4622" s="193"/>
      <c r="E4622" s="201"/>
      <c r="F4622" s="202"/>
      <c r="G4622" s="194"/>
      <c r="H4622" s="198"/>
      <c r="I4622" s="196"/>
      <c r="J4622" s="179" t="str">
        <f>IF(A4622="RAPPI",(VLOOKUP(TRIM(D4622), CATALOGO!F:G, 2, FALSE) * C4622)+I4622,IFERROR(IF(COUNTIF('RESTAURANTESDESCUENTOS 2026'!A:A,TRIM(A4622))&gt;0,((VLOOKUP(TRIM(D4622), CATALOGO!A:B, 2, FALSE) * C4622)*(1-VALUE(SUBSTITUTE(VLOOKUP(TRIM(A4622),'RESTAURANTESDESCUENTOS 2026'!A:B,2,FALSE),"%",""))/100)+I4622),(VLOOKUP(TRIM(D4622), CATALOGO!A:B, 2, FALSE) * C4622+I4622)),""))</f>
        <v/>
      </c>
      <c r="K4622" s="196"/>
      <c r="L4622" s="87"/>
      <c r="M4622" s="245"/>
      <c r="N4622" s="168"/>
    </row>
    <row r="4623" ht="22.5" hidden="1" customHeight="1">
      <c r="A4623" s="137"/>
      <c r="B4623" s="90"/>
      <c r="C4623" s="55"/>
      <c r="D4623" s="193"/>
      <c r="E4623" s="201"/>
      <c r="F4623" s="202"/>
      <c r="G4623" s="194"/>
      <c r="H4623" s="198"/>
      <c r="I4623" s="196"/>
      <c r="J4623" s="179" t="str">
        <f>IF(A4623="RAPPI",(VLOOKUP(TRIM(D4623), CATALOGO!F:G, 2, FALSE) * C4623)+I4623,IFERROR(IF(COUNTIF('RESTAURANTESDESCUENTOS 2026'!A:A,TRIM(A4623))&gt;0,((VLOOKUP(TRIM(D4623), CATALOGO!A:B, 2, FALSE) * C4623)*(1-VALUE(SUBSTITUTE(VLOOKUP(TRIM(A4623),'RESTAURANTESDESCUENTOS 2026'!A:B,2,FALSE),"%",""))/100)+I4623),(VLOOKUP(TRIM(D4623), CATALOGO!A:B, 2, FALSE) * C4623+I4623)),""))</f>
        <v/>
      </c>
      <c r="K4623" s="196"/>
      <c r="L4623" s="87"/>
      <c r="M4623" s="245"/>
      <c r="N4623" s="168"/>
    </row>
    <row r="4624" ht="22.5" hidden="1" customHeight="1">
      <c r="A4624" s="137"/>
      <c r="B4624" s="90"/>
      <c r="C4624" s="55"/>
      <c r="D4624" s="193"/>
      <c r="E4624" s="201"/>
      <c r="F4624" s="202"/>
      <c r="G4624" s="194"/>
      <c r="H4624" s="198"/>
      <c r="I4624" s="196"/>
      <c r="J4624" s="179" t="str">
        <f>IF(A4624="RAPPI",(VLOOKUP(TRIM(D4624), CATALOGO!F:G, 2, FALSE) * C4624)+I4624,IFERROR(IF(COUNTIF('RESTAURANTESDESCUENTOS 2026'!A:A,TRIM(A4624))&gt;0,((VLOOKUP(TRIM(D4624), CATALOGO!A:B, 2, FALSE) * C4624)*(1-VALUE(SUBSTITUTE(VLOOKUP(TRIM(A4624),'RESTAURANTESDESCUENTOS 2026'!A:B,2,FALSE),"%",""))/100)+I4624),(VLOOKUP(TRIM(D4624), CATALOGO!A:B, 2, FALSE) * C4624+I4624)),""))</f>
        <v/>
      </c>
      <c r="K4624" s="196"/>
      <c r="L4624" s="87"/>
      <c r="M4624" s="245"/>
      <c r="N4624" s="168"/>
    </row>
    <row r="4625" ht="22.5" hidden="1" customHeight="1">
      <c r="A4625" s="137"/>
      <c r="B4625" s="90"/>
      <c r="C4625" s="55"/>
      <c r="D4625" s="193"/>
      <c r="E4625" s="201"/>
      <c r="F4625" s="202"/>
      <c r="G4625" s="194"/>
      <c r="H4625" s="198"/>
      <c r="I4625" s="196"/>
      <c r="J4625" s="179" t="str">
        <f>IF(A4625="RAPPI",(VLOOKUP(TRIM(D4625), CATALOGO!F:G, 2, FALSE) * C4625)+I4625,IFERROR(IF(COUNTIF('RESTAURANTESDESCUENTOS 2026'!A:A,TRIM(A4625))&gt;0,((VLOOKUP(TRIM(D4625), CATALOGO!A:B, 2, FALSE) * C4625)*(1-VALUE(SUBSTITUTE(VLOOKUP(TRIM(A4625),'RESTAURANTESDESCUENTOS 2026'!A:B,2,FALSE),"%",""))/100)+I4625),(VLOOKUP(TRIM(D4625), CATALOGO!A:B, 2, FALSE) * C4625+I4625)),""))</f>
        <v/>
      </c>
      <c r="K4625" s="196"/>
      <c r="L4625" s="87"/>
      <c r="M4625" s="245"/>
      <c r="N4625" s="168"/>
    </row>
    <row r="4626" ht="22.5" hidden="1" customHeight="1">
      <c r="A4626" s="137"/>
      <c r="B4626" s="90"/>
      <c r="C4626" s="55"/>
      <c r="D4626" s="193"/>
      <c r="E4626" s="201"/>
      <c r="F4626" s="202"/>
      <c r="G4626" s="194"/>
      <c r="H4626" s="198"/>
      <c r="I4626" s="196"/>
      <c r="J4626" s="179" t="str">
        <f>IF(A4626="RAPPI",(VLOOKUP(TRIM(D4626), CATALOGO!F:G, 2, FALSE) * C4626)+I4626,IFERROR(IF(COUNTIF('RESTAURANTESDESCUENTOS 2026'!A:A,TRIM(A4626))&gt;0,((VLOOKUP(TRIM(D4626), CATALOGO!A:B, 2, FALSE) * C4626)*(1-VALUE(SUBSTITUTE(VLOOKUP(TRIM(A4626),'RESTAURANTESDESCUENTOS 2026'!A:B,2,FALSE),"%",""))/100)+I4626),(VLOOKUP(TRIM(D4626), CATALOGO!A:B, 2, FALSE) * C4626+I4626)),""))</f>
        <v/>
      </c>
      <c r="K4626" s="196"/>
      <c r="L4626" s="87"/>
      <c r="M4626" s="245"/>
      <c r="N4626" s="168"/>
    </row>
    <row r="4627" ht="22.5" hidden="1" customHeight="1">
      <c r="A4627" s="137"/>
      <c r="B4627" s="90"/>
      <c r="C4627" s="55"/>
      <c r="D4627" s="193"/>
      <c r="E4627" s="201"/>
      <c r="F4627" s="202"/>
      <c r="G4627" s="194"/>
      <c r="H4627" s="198"/>
      <c r="I4627" s="196"/>
      <c r="J4627" s="179" t="str">
        <f>IF(A4627="RAPPI",(VLOOKUP(TRIM(D4627), CATALOGO!F:G, 2, FALSE) * C4627)+I4627,IFERROR(IF(COUNTIF('RESTAURANTESDESCUENTOS 2026'!A:A,TRIM(A4627))&gt;0,((VLOOKUP(TRIM(D4627), CATALOGO!A:B, 2, FALSE) * C4627)*(1-VALUE(SUBSTITUTE(VLOOKUP(TRIM(A4627),'RESTAURANTESDESCUENTOS 2026'!A:B,2,FALSE),"%",""))/100)+I4627),(VLOOKUP(TRIM(D4627), CATALOGO!A:B, 2, FALSE) * C4627+I4627)),""))</f>
        <v/>
      </c>
      <c r="K4627" s="196"/>
      <c r="L4627" s="87"/>
      <c r="M4627" s="245"/>
      <c r="N4627" s="168"/>
    </row>
    <row r="4628" ht="22.5" hidden="1" customHeight="1">
      <c r="A4628" s="137"/>
      <c r="B4628" s="90"/>
      <c r="C4628" s="55"/>
      <c r="D4628" s="193"/>
      <c r="E4628" s="201"/>
      <c r="F4628" s="202"/>
      <c r="G4628" s="194"/>
      <c r="H4628" s="198"/>
      <c r="I4628" s="196"/>
      <c r="J4628" s="179" t="str">
        <f>IF(A4628="RAPPI",(VLOOKUP(TRIM(D4628), CATALOGO!F:G, 2, FALSE) * C4628)+I4628,IFERROR(IF(COUNTIF('RESTAURANTESDESCUENTOS 2026'!A:A,TRIM(A4628))&gt;0,((VLOOKUP(TRIM(D4628), CATALOGO!A:B, 2, FALSE) * C4628)*(1-VALUE(SUBSTITUTE(VLOOKUP(TRIM(A4628),'RESTAURANTESDESCUENTOS 2026'!A:B,2,FALSE),"%",""))/100)+I4628),(VLOOKUP(TRIM(D4628), CATALOGO!A:B, 2, FALSE) * C4628+I4628)),""))</f>
        <v/>
      </c>
      <c r="K4628" s="196"/>
      <c r="L4628" s="87"/>
      <c r="M4628" s="245"/>
      <c r="N4628" s="168"/>
    </row>
    <row r="4629" ht="22.5" hidden="1" customHeight="1">
      <c r="A4629" s="137"/>
      <c r="B4629" s="90"/>
      <c r="C4629" s="55"/>
      <c r="D4629" s="193"/>
      <c r="E4629" s="201"/>
      <c r="F4629" s="202"/>
      <c r="G4629" s="194"/>
      <c r="H4629" s="198"/>
      <c r="I4629" s="196"/>
      <c r="J4629" s="179" t="str">
        <f>IF(A4629="RAPPI",(VLOOKUP(TRIM(D4629), CATALOGO!F:G, 2, FALSE) * C4629)+I4629,IFERROR(IF(COUNTIF('RESTAURANTESDESCUENTOS 2026'!A:A,TRIM(A4629))&gt;0,((VLOOKUP(TRIM(D4629), CATALOGO!A:B, 2, FALSE) * C4629)*(1-VALUE(SUBSTITUTE(VLOOKUP(TRIM(A4629),'RESTAURANTESDESCUENTOS 2026'!A:B,2,FALSE),"%",""))/100)+I4629),(VLOOKUP(TRIM(D4629), CATALOGO!A:B, 2, FALSE) * C4629+I4629)),""))</f>
        <v/>
      </c>
      <c r="K4629" s="196"/>
      <c r="L4629" s="87"/>
      <c r="M4629" s="245"/>
      <c r="N4629" s="168"/>
    </row>
    <row r="4630" ht="22.5" hidden="1" customHeight="1">
      <c r="A4630" s="137"/>
      <c r="B4630" s="90"/>
      <c r="C4630" s="55"/>
      <c r="D4630" s="193"/>
      <c r="E4630" s="201"/>
      <c r="F4630" s="202"/>
      <c r="G4630" s="194"/>
      <c r="H4630" s="198"/>
      <c r="I4630" s="196"/>
      <c r="J4630" s="179" t="str">
        <f>IF(A4630="RAPPI",(VLOOKUP(TRIM(D4630), CATALOGO!F:G, 2, FALSE) * C4630)+I4630,IFERROR(IF(COUNTIF('RESTAURANTESDESCUENTOS 2026'!A:A,TRIM(A4630))&gt;0,((VLOOKUP(TRIM(D4630), CATALOGO!A:B, 2, FALSE) * C4630)*(1-VALUE(SUBSTITUTE(VLOOKUP(TRIM(A4630),'RESTAURANTESDESCUENTOS 2026'!A:B,2,FALSE),"%",""))/100)+I4630),(VLOOKUP(TRIM(D4630), CATALOGO!A:B, 2, FALSE) * C4630+I4630)),""))</f>
        <v/>
      </c>
      <c r="K4630" s="196"/>
      <c r="L4630" s="87"/>
      <c r="M4630" s="245"/>
      <c r="N4630" s="168"/>
    </row>
    <row r="4631" ht="22.5" hidden="1" customHeight="1">
      <c r="A4631" s="137"/>
      <c r="B4631" s="90"/>
      <c r="C4631" s="55"/>
      <c r="D4631" s="193"/>
      <c r="E4631" s="201"/>
      <c r="F4631" s="202"/>
      <c r="G4631" s="194"/>
      <c r="H4631" s="198"/>
      <c r="I4631" s="196"/>
      <c r="J4631" s="179" t="str">
        <f>IF(A4631="RAPPI",(VLOOKUP(TRIM(D4631), CATALOGO!F:G, 2, FALSE) * C4631)+I4631,IFERROR(IF(COUNTIF('RESTAURANTESDESCUENTOS 2026'!A:A,TRIM(A4631))&gt;0,((VLOOKUP(TRIM(D4631), CATALOGO!A:B, 2, FALSE) * C4631)*(1-VALUE(SUBSTITUTE(VLOOKUP(TRIM(A4631),'RESTAURANTESDESCUENTOS 2026'!A:B,2,FALSE),"%",""))/100)+I4631),(VLOOKUP(TRIM(D4631), CATALOGO!A:B, 2, FALSE) * C4631+I4631)),""))</f>
        <v/>
      </c>
      <c r="K4631" s="196"/>
      <c r="L4631" s="87"/>
      <c r="M4631" s="245"/>
      <c r="N4631" s="168"/>
    </row>
    <row r="4632" ht="22.5" hidden="1" customHeight="1">
      <c r="A4632" s="137"/>
      <c r="B4632" s="90"/>
      <c r="C4632" s="55"/>
      <c r="D4632" s="193"/>
      <c r="E4632" s="201"/>
      <c r="F4632" s="202"/>
      <c r="G4632" s="194"/>
      <c r="H4632" s="198"/>
      <c r="I4632" s="196"/>
      <c r="J4632" s="179" t="str">
        <f>IF(A4632="RAPPI",(VLOOKUP(TRIM(D4632), CATALOGO!F:G, 2, FALSE) * C4632)+I4632,IFERROR(IF(COUNTIF('RESTAURANTESDESCUENTOS 2026'!A:A,TRIM(A4632))&gt;0,((VLOOKUP(TRIM(D4632), CATALOGO!A:B, 2, FALSE) * C4632)*(1-VALUE(SUBSTITUTE(VLOOKUP(TRIM(A4632),'RESTAURANTESDESCUENTOS 2026'!A:B,2,FALSE),"%",""))/100)+I4632),(VLOOKUP(TRIM(D4632), CATALOGO!A:B, 2, FALSE) * C4632+I4632)),""))</f>
        <v/>
      </c>
      <c r="K4632" s="196"/>
      <c r="L4632" s="87"/>
      <c r="M4632" s="245"/>
      <c r="N4632" s="168"/>
    </row>
    <row r="4633" ht="22.5" hidden="1" customHeight="1">
      <c r="A4633" s="137"/>
      <c r="B4633" s="90"/>
      <c r="C4633" s="55"/>
      <c r="D4633" s="193"/>
      <c r="E4633" s="201"/>
      <c r="F4633" s="202"/>
      <c r="G4633" s="194"/>
      <c r="H4633" s="198"/>
      <c r="I4633" s="196"/>
      <c r="J4633" s="179" t="str">
        <f>IF(A4633="RAPPI",(VLOOKUP(TRIM(D4633), CATALOGO!F:G, 2, FALSE) * C4633)+I4633,IFERROR(IF(COUNTIF('RESTAURANTESDESCUENTOS 2026'!A:A,TRIM(A4633))&gt;0,((VLOOKUP(TRIM(D4633), CATALOGO!A:B, 2, FALSE) * C4633)*(1-VALUE(SUBSTITUTE(VLOOKUP(TRIM(A4633),'RESTAURANTESDESCUENTOS 2026'!A:B,2,FALSE),"%",""))/100)+I4633),(VLOOKUP(TRIM(D4633), CATALOGO!A:B, 2, FALSE) * C4633+I4633)),""))</f>
        <v/>
      </c>
      <c r="K4633" s="196"/>
      <c r="L4633" s="87"/>
      <c r="M4633" s="245"/>
      <c r="N4633" s="168"/>
    </row>
    <row r="4634" ht="22.5" hidden="1" customHeight="1">
      <c r="A4634" s="137"/>
      <c r="B4634" s="90"/>
      <c r="C4634" s="55"/>
      <c r="D4634" s="193"/>
      <c r="E4634" s="201"/>
      <c r="F4634" s="202"/>
      <c r="G4634" s="194"/>
      <c r="H4634" s="198"/>
      <c r="I4634" s="196"/>
      <c r="J4634" s="179" t="str">
        <f>IF(A4634="RAPPI",(VLOOKUP(TRIM(D4634), CATALOGO!F:G, 2, FALSE) * C4634)+I4634,IFERROR(IF(COUNTIF('RESTAURANTESDESCUENTOS 2026'!A:A,TRIM(A4634))&gt;0,((VLOOKUP(TRIM(D4634), CATALOGO!A:B, 2, FALSE) * C4634)*(1-VALUE(SUBSTITUTE(VLOOKUP(TRIM(A4634),'RESTAURANTESDESCUENTOS 2026'!A:B,2,FALSE),"%",""))/100)+I4634),(VLOOKUP(TRIM(D4634), CATALOGO!A:B, 2, FALSE) * C4634+I4634)),""))</f>
        <v/>
      </c>
      <c r="K4634" s="196"/>
      <c r="L4634" s="87"/>
      <c r="M4634" s="245"/>
      <c r="N4634" s="168"/>
    </row>
    <row r="4635" ht="22.5" hidden="1" customHeight="1">
      <c r="A4635" s="137"/>
      <c r="B4635" s="90"/>
      <c r="C4635" s="55"/>
      <c r="D4635" s="193"/>
      <c r="E4635" s="201"/>
      <c r="F4635" s="202"/>
      <c r="G4635" s="194"/>
      <c r="H4635" s="198"/>
      <c r="I4635" s="196"/>
      <c r="J4635" s="179" t="str">
        <f>IF(A4635="RAPPI",(VLOOKUP(TRIM(D4635), CATALOGO!F:G, 2, FALSE) * C4635)+I4635,IFERROR(IF(COUNTIF('RESTAURANTESDESCUENTOS 2026'!A:A,TRIM(A4635))&gt;0,((VLOOKUP(TRIM(D4635), CATALOGO!A:B, 2, FALSE) * C4635)*(1-VALUE(SUBSTITUTE(VLOOKUP(TRIM(A4635),'RESTAURANTESDESCUENTOS 2026'!A:B,2,FALSE),"%",""))/100)+I4635),(VLOOKUP(TRIM(D4635), CATALOGO!A:B, 2, FALSE) * C4635+I4635)),""))</f>
        <v/>
      </c>
      <c r="K4635" s="196"/>
      <c r="L4635" s="87"/>
      <c r="M4635" s="245"/>
      <c r="N4635" s="168"/>
    </row>
    <row r="4636" ht="22.5" hidden="1" customHeight="1">
      <c r="A4636" s="137"/>
      <c r="B4636" s="90"/>
      <c r="C4636" s="55"/>
      <c r="D4636" s="193"/>
      <c r="E4636" s="201"/>
      <c r="F4636" s="202"/>
      <c r="G4636" s="194"/>
      <c r="H4636" s="198"/>
      <c r="I4636" s="196"/>
      <c r="J4636" s="179" t="str">
        <f>IF(A4636="RAPPI",(VLOOKUP(TRIM(D4636), CATALOGO!F:G, 2, FALSE) * C4636)+I4636,IFERROR(IF(COUNTIF('RESTAURANTESDESCUENTOS 2026'!A:A,TRIM(A4636))&gt;0,((VLOOKUP(TRIM(D4636), CATALOGO!A:B, 2, FALSE) * C4636)*(1-VALUE(SUBSTITUTE(VLOOKUP(TRIM(A4636),'RESTAURANTESDESCUENTOS 2026'!A:B,2,FALSE),"%",""))/100)+I4636),(VLOOKUP(TRIM(D4636), CATALOGO!A:B, 2, FALSE) * C4636+I4636)),""))</f>
        <v/>
      </c>
      <c r="K4636" s="196"/>
      <c r="L4636" s="87"/>
      <c r="M4636" s="245"/>
      <c r="N4636" s="168"/>
    </row>
    <row r="4637" ht="22.5" hidden="1" customHeight="1">
      <c r="A4637" s="137"/>
      <c r="B4637" s="90"/>
      <c r="C4637" s="55"/>
      <c r="D4637" s="193"/>
      <c r="E4637" s="201"/>
      <c r="F4637" s="202"/>
      <c r="G4637" s="194"/>
      <c r="H4637" s="198"/>
      <c r="I4637" s="196"/>
      <c r="J4637" s="179" t="str">
        <f>IF(A4637="RAPPI",(VLOOKUP(TRIM(D4637), CATALOGO!F:G, 2, FALSE) * C4637)+I4637,IFERROR(IF(COUNTIF('RESTAURANTESDESCUENTOS 2026'!A:A,TRIM(A4637))&gt;0,((VLOOKUP(TRIM(D4637), CATALOGO!A:B, 2, FALSE) * C4637)*(1-VALUE(SUBSTITUTE(VLOOKUP(TRIM(A4637),'RESTAURANTESDESCUENTOS 2026'!A:B,2,FALSE),"%",""))/100)+I4637),(VLOOKUP(TRIM(D4637), CATALOGO!A:B, 2, FALSE) * C4637+I4637)),""))</f>
        <v/>
      </c>
      <c r="K4637" s="196"/>
      <c r="L4637" s="87"/>
      <c r="M4637" s="245"/>
      <c r="N4637" s="168"/>
    </row>
    <row r="4638" ht="22.5" hidden="1" customHeight="1">
      <c r="A4638" s="137"/>
      <c r="B4638" s="90"/>
      <c r="C4638" s="55"/>
      <c r="D4638" s="193"/>
      <c r="E4638" s="201"/>
      <c r="F4638" s="202"/>
      <c r="G4638" s="194"/>
      <c r="H4638" s="198"/>
      <c r="I4638" s="196"/>
      <c r="J4638" s="179" t="str">
        <f>IF(A4638="RAPPI",(VLOOKUP(TRIM(D4638), CATALOGO!F:G, 2, FALSE) * C4638)+I4638,IFERROR(IF(COUNTIF('RESTAURANTESDESCUENTOS 2026'!A:A,TRIM(A4638))&gt;0,((VLOOKUP(TRIM(D4638), CATALOGO!A:B, 2, FALSE) * C4638)*(1-VALUE(SUBSTITUTE(VLOOKUP(TRIM(A4638),'RESTAURANTESDESCUENTOS 2026'!A:B,2,FALSE),"%",""))/100)+I4638),(VLOOKUP(TRIM(D4638), CATALOGO!A:B, 2, FALSE) * C4638+I4638)),""))</f>
        <v/>
      </c>
      <c r="K4638" s="196"/>
      <c r="L4638" s="87"/>
      <c r="M4638" s="245"/>
      <c r="N4638" s="168"/>
    </row>
    <row r="4639" ht="22.5" hidden="1" customHeight="1">
      <c r="A4639" s="137"/>
      <c r="B4639" s="90"/>
      <c r="C4639" s="55"/>
      <c r="D4639" s="193"/>
      <c r="E4639" s="201"/>
      <c r="F4639" s="202"/>
      <c r="G4639" s="194"/>
      <c r="H4639" s="198"/>
      <c r="I4639" s="196"/>
      <c r="J4639" s="179" t="str">
        <f>IF(A4639="RAPPI",(VLOOKUP(TRIM(D4639), CATALOGO!F:G, 2, FALSE) * C4639)+I4639,IFERROR(IF(COUNTIF('RESTAURANTESDESCUENTOS 2026'!A:A,TRIM(A4639))&gt;0,((VLOOKUP(TRIM(D4639), CATALOGO!A:B, 2, FALSE) * C4639)*(1-VALUE(SUBSTITUTE(VLOOKUP(TRIM(A4639),'RESTAURANTESDESCUENTOS 2026'!A:B,2,FALSE),"%",""))/100)+I4639),(VLOOKUP(TRIM(D4639), CATALOGO!A:B, 2, FALSE) * C4639+I4639)),""))</f>
        <v/>
      </c>
      <c r="K4639" s="196"/>
      <c r="L4639" s="87"/>
      <c r="M4639" s="245"/>
      <c r="N4639" s="168"/>
    </row>
    <row r="4640" ht="22.5" hidden="1" customHeight="1">
      <c r="A4640" s="137"/>
      <c r="B4640" s="90"/>
      <c r="C4640" s="55"/>
      <c r="D4640" s="193"/>
      <c r="E4640" s="201"/>
      <c r="F4640" s="202"/>
      <c r="G4640" s="194"/>
      <c r="H4640" s="198"/>
      <c r="I4640" s="196"/>
      <c r="J4640" s="179" t="str">
        <f>IF(A4640="RAPPI",(VLOOKUP(TRIM(D4640), CATALOGO!F:G, 2, FALSE) * C4640)+I4640,IFERROR(IF(COUNTIF('RESTAURANTESDESCUENTOS 2026'!A:A,TRIM(A4640))&gt;0,((VLOOKUP(TRIM(D4640), CATALOGO!A:B, 2, FALSE) * C4640)*(1-VALUE(SUBSTITUTE(VLOOKUP(TRIM(A4640),'RESTAURANTESDESCUENTOS 2026'!A:B,2,FALSE),"%",""))/100)+I4640),(VLOOKUP(TRIM(D4640), CATALOGO!A:B, 2, FALSE) * C4640+I4640)),""))</f>
        <v/>
      </c>
      <c r="K4640" s="196"/>
      <c r="L4640" s="87"/>
      <c r="M4640" s="245"/>
      <c r="N4640" s="168"/>
    </row>
    <row r="4641" ht="22.5" hidden="1" customHeight="1">
      <c r="A4641" s="137"/>
      <c r="B4641" s="90"/>
      <c r="C4641" s="55"/>
      <c r="D4641" s="193"/>
      <c r="E4641" s="201"/>
      <c r="F4641" s="202"/>
      <c r="G4641" s="194"/>
      <c r="H4641" s="198"/>
      <c r="I4641" s="196"/>
      <c r="J4641" s="179" t="str">
        <f>IF(A4641="RAPPI",(VLOOKUP(TRIM(D4641), CATALOGO!F:G, 2, FALSE) * C4641)+I4641,IFERROR(IF(COUNTIF('RESTAURANTESDESCUENTOS 2026'!A:A,TRIM(A4641))&gt;0,((VLOOKUP(TRIM(D4641), CATALOGO!A:B, 2, FALSE) * C4641)*(1-VALUE(SUBSTITUTE(VLOOKUP(TRIM(A4641),'RESTAURANTESDESCUENTOS 2026'!A:B,2,FALSE),"%",""))/100)+I4641),(VLOOKUP(TRIM(D4641), CATALOGO!A:B, 2, FALSE) * C4641+I4641)),""))</f>
        <v/>
      </c>
      <c r="K4641" s="196"/>
      <c r="L4641" s="87"/>
      <c r="M4641" s="245"/>
      <c r="N4641" s="168"/>
    </row>
    <row r="4642" ht="22.5" hidden="1" customHeight="1">
      <c r="A4642" s="137"/>
      <c r="B4642" s="90"/>
      <c r="C4642" s="55"/>
      <c r="D4642" s="193"/>
      <c r="E4642" s="201"/>
      <c r="F4642" s="202"/>
      <c r="G4642" s="194"/>
      <c r="H4642" s="198"/>
      <c r="I4642" s="196"/>
      <c r="J4642" s="179" t="str">
        <f>IF(A4642="RAPPI",(VLOOKUP(TRIM(D4642), CATALOGO!F:G, 2, FALSE) * C4642)+I4642,IFERROR(IF(COUNTIF('RESTAURANTESDESCUENTOS 2026'!A:A,TRIM(A4642))&gt;0,((VLOOKUP(TRIM(D4642), CATALOGO!A:B, 2, FALSE) * C4642)*(1-VALUE(SUBSTITUTE(VLOOKUP(TRIM(A4642),'RESTAURANTESDESCUENTOS 2026'!A:B,2,FALSE),"%",""))/100)+I4642),(VLOOKUP(TRIM(D4642), CATALOGO!A:B, 2, FALSE) * C4642+I4642)),""))</f>
        <v/>
      </c>
      <c r="K4642" s="196"/>
      <c r="L4642" s="87"/>
      <c r="M4642" s="245"/>
      <c r="N4642" s="168"/>
    </row>
    <row r="4643" ht="22.5" hidden="1" customHeight="1">
      <c r="A4643" s="137"/>
      <c r="B4643" s="90"/>
      <c r="C4643" s="55"/>
      <c r="D4643" s="193"/>
      <c r="E4643" s="201"/>
      <c r="F4643" s="202"/>
      <c r="G4643" s="194"/>
      <c r="H4643" s="198"/>
      <c r="I4643" s="196"/>
      <c r="J4643" s="179" t="str">
        <f>IF(A4643="RAPPI",(VLOOKUP(TRIM(D4643), CATALOGO!F:G, 2, FALSE) * C4643)+I4643,IFERROR(IF(COUNTIF('RESTAURANTESDESCUENTOS 2026'!A:A,TRIM(A4643))&gt;0,((VLOOKUP(TRIM(D4643), CATALOGO!A:B, 2, FALSE) * C4643)*(1-VALUE(SUBSTITUTE(VLOOKUP(TRIM(A4643),'RESTAURANTESDESCUENTOS 2026'!A:B,2,FALSE),"%",""))/100)+I4643),(VLOOKUP(TRIM(D4643), CATALOGO!A:B, 2, FALSE) * C4643+I4643)),""))</f>
        <v/>
      </c>
      <c r="K4643" s="196"/>
      <c r="L4643" s="87"/>
      <c r="M4643" s="245"/>
      <c r="N4643" s="168"/>
    </row>
    <row r="4644" ht="22.5" hidden="1" customHeight="1">
      <c r="A4644" s="137"/>
      <c r="B4644" s="90"/>
      <c r="C4644" s="55"/>
      <c r="D4644" s="193"/>
      <c r="E4644" s="201"/>
      <c r="F4644" s="202"/>
      <c r="G4644" s="194"/>
      <c r="H4644" s="198"/>
      <c r="I4644" s="196"/>
      <c r="J4644" s="179" t="str">
        <f>IF(A4644="RAPPI",(VLOOKUP(TRIM(D4644), CATALOGO!F:G, 2, FALSE) * C4644)+I4644,IFERROR(IF(COUNTIF('RESTAURANTESDESCUENTOS 2026'!A:A,TRIM(A4644))&gt;0,((VLOOKUP(TRIM(D4644), CATALOGO!A:B, 2, FALSE) * C4644)*(1-VALUE(SUBSTITUTE(VLOOKUP(TRIM(A4644),'RESTAURANTESDESCUENTOS 2026'!A:B,2,FALSE),"%",""))/100)+I4644),(VLOOKUP(TRIM(D4644), CATALOGO!A:B, 2, FALSE) * C4644+I4644)),""))</f>
        <v/>
      </c>
      <c r="K4644" s="196"/>
      <c r="L4644" s="87"/>
      <c r="M4644" s="245"/>
      <c r="N4644" s="168"/>
    </row>
    <row r="4645" ht="22.5" hidden="1" customHeight="1">
      <c r="A4645" s="137"/>
      <c r="B4645" s="90"/>
      <c r="C4645" s="55"/>
      <c r="D4645" s="193"/>
      <c r="E4645" s="201"/>
      <c r="F4645" s="202"/>
      <c r="G4645" s="194"/>
      <c r="H4645" s="198"/>
      <c r="I4645" s="196"/>
      <c r="J4645" s="179" t="str">
        <f>IF(A4645="RAPPI",(VLOOKUP(TRIM(D4645), CATALOGO!F:G, 2, FALSE) * C4645)+I4645,IFERROR(IF(COUNTIF('RESTAURANTESDESCUENTOS 2026'!A:A,TRIM(A4645))&gt;0,((VLOOKUP(TRIM(D4645), CATALOGO!A:B, 2, FALSE) * C4645)*(1-VALUE(SUBSTITUTE(VLOOKUP(TRIM(A4645),'RESTAURANTESDESCUENTOS 2026'!A:B,2,FALSE),"%",""))/100)+I4645),(VLOOKUP(TRIM(D4645), CATALOGO!A:B, 2, FALSE) * C4645+I4645)),""))</f>
        <v/>
      </c>
      <c r="K4645" s="196"/>
      <c r="L4645" s="87"/>
      <c r="M4645" s="245"/>
      <c r="N4645" s="168"/>
    </row>
    <row r="4646" ht="22.5" hidden="1" customHeight="1">
      <c r="A4646" s="137"/>
      <c r="B4646" s="90"/>
      <c r="C4646" s="55"/>
      <c r="D4646" s="193"/>
      <c r="E4646" s="201"/>
      <c r="F4646" s="202"/>
      <c r="G4646" s="194"/>
      <c r="H4646" s="198"/>
      <c r="I4646" s="196"/>
      <c r="J4646" s="179" t="str">
        <f>IF(A4646="RAPPI",(VLOOKUP(TRIM(D4646), CATALOGO!F:G, 2, FALSE) * C4646)+I4646,IFERROR(IF(COUNTIF('RESTAURANTESDESCUENTOS 2026'!A:A,TRIM(A4646))&gt;0,((VLOOKUP(TRIM(D4646), CATALOGO!A:B, 2, FALSE) * C4646)*(1-VALUE(SUBSTITUTE(VLOOKUP(TRIM(A4646),'RESTAURANTESDESCUENTOS 2026'!A:B,2,FALSE),"%",""))/100)+I4646),(VLOOKUP(TRIM(D4646), CATALOGO!A:B, 2, FALSE) * C4646+I4646)),""))</f>
        <v/>
      </c>
      <c r="K4646" s="196"/>
      <c r="L4646" s="87"/>
      <c r="M4646" s="245"/>
      <c r="N4646" s="168"/>
    </row>
    <row r="4647" ht="22.5" hidden="1" customHeight="1">
      <c r="A4647" s="137"/>
      <c r="B4647" s="90"/>
      <c r="C4647" s="55"/>
      <c r="D4647" s="193"/>
      <c r="E4647" s="201"/>
      <c r="F4647" s="202"/>
      <c r="G4647" s="194"/>
      <c r="H4647" s="198"/>
      <c r="I4647" s="196"/>
      <c r="J4647" s="179" t="str">
        <f>IF(A4647="RAPPI",(VLOOKUP(TRIM(D4647), CATALOGO!F:G, 2, FALSE) * C4647)+I4647,IFERROR(IF(COUNTIF('RESTAURANTESDESCUENTOS 2026'!A:A,TRIM(A4647))&gt;0,((VLOOKUP(TRIM(D4647), CATALOGO!A:B, 2, FALSE) * C4647)*(1-VALUE(SUBSTITUTE(VLOOKUP(TRIM(A4647),'RESTAURANTESDESCUENTOS 2026'!A:B,2,FALSE),"%",""))/100)+I4647),(VLOOKUP(TRIM(D4647), CATALOGO!A:B, 2, FALSE) * C4647+I4647)),""))</f>
        <v/>
      </c>
      <c r="K4647" s="196"/>
      <c r="L4647" s="87"/>
      <c r="M4647" s="245"/>
      <c r="N4647" s="168"/>
    </row>
    <row r="4648" ht="22.5" hidden="1" customHeight="1">
      <c r="A4648" s="137"/>
      <c r="B4648" s="90"/>
      <c r="C4648" s="55"/>
      <c r="D4648" s="193"/>
      <c r="E4648" s="201"/>
      <c r="F4648" s="202"/>
      <c r="G4648" s="194"/>
      <c r="H4648" s="198"/>
      <c r="I4648" s="196"/>
      <c r="J4648" s="179" t="str">
        <f>IF(A4648="RAPPI",(VLOOKUP(TRIM(D4648), CATALOGO!F:G, 2, FALSE) * C4648)+I4648,IFERROR(IF(COUNTIF('RESTAURANTESDESCUENTOS 2026'!A:A,TRIM(A4648))&gt;0,((VLOOKUP(TRIM(D4648), CATALOGO!A:B, 2, FALSE) * C4648)*(1-VALUE(SUBSTITUTE(VLOOKUP(TRIM(A4648),'RESTAURANTESDESCUENTOS 2026'!A:B,2,FALSE),"%",""))/100)+I4648),(VLOOKUP(TRIM(D4648), CATALOGO!A:B, 2, FALSE) * C4648+I4648)),""))</f>
        <v/>
      </c>
      <c r="K4648" s="196"/>
      <c r="L4648" s="87"/>
      <c r="M4648" s="245"/>
      <c r="N4648" s="168"/>
    </row>
    <row r="4649" ht="22.5" hidden="1" customHeight="1">
      <c r="A4649" s="137"/>
      <c r="B4649" s="90"/>
      <c r="C4649" s="55"/>
      <c r="D4649" s="193"/>
      <c r="E4649" s="201"/>
      <c r="F4649" s="202"/>
      <c r="G4649" s="194"/>
      <c r="H4649" s="198"/>
      <c r="I4649" s="196"/>
      <c r="J4649" s="179" t="str">
        <f>IF(A4649="RAPPI",(VLOOKUP(TRIM(D4649), CATALOGO!F:G, 2, FALSE) * C4649)+I4649,IFERROR(IF(COUNTIF('RESTAURANTESDESCUENTOS 2026'!A:A,TRIM(A4649))&gt;0,((VLOOKUP(TRIM(D4649), CATALOGO!A:B, 2, FALSE) * C4649)*(1-VALUE(SUBSTITUTE(VLOOKUP(TRIM(A4649),'RESTAURANTESDESCUENTOS 2026'!A:B,2,FALSE),"%",""))/100)+I4649),(VLOOKUP(TRIM(D4649), CATALOGO!A:B, 2, FALSE) * C4649+I4649)),""))</f>
        <v/>
      </c>
      <c r="K4649" s="196"/>
      <c r="L4649" s="87"/>
      <c r="M4649" s="245"/>
      <c r="N4649" s="168"/>
    </row>
    <row r="4650" ht="22.5" hidden="1" customHeight="1">
      <c r="A4650" s="137"/>
      <c r="B4650" s="90"/>
      <c r="C4650" s="55"/>
      <c r="D4650" s="193"/>
      <c r="E4650" s="201"/>
      <c r="F4650" s="202"/>
      <c r="G4650" s="194"/>
      <c r="H4650" s="198"/>
      <c r="I4650" s="196"/>
      <c r="J4650" s="179" t="str">
        <f>IF(A4650="RAPPI",(VLOOKUP(TRIM(D4650), CATALOGO!F:G, 2, FALSE) * C4650)+I4650,IFERROR(IF(COUNTIF('RESTAURANTESDESCUENTOS 2026'!A:A,TRIM(A4650))&gt;0,((VLOOKUP(TRIM(D4650), CATALOGO!A:B, 2, FALSE) * C4650)*(1-VALUE(SUBSTITUTE(VLOOKUP(TRIM(A4650),'RESTAURANTESDESCUENTOS 2026'!A:B,2,FALSE),"%",""))/100)+I4650),(VLOOKUP(TRIM(D4650), CATALOGO!A:B, 2, FALSE) * C4650+I4650)),""))</f>
        <v/>
      </c>
      <c r="K4650" s="196"/>
      <c r="L4650" s="87"/>
      <c r="M4650" s="245"/>
      <c r="N4650" s="168"/>
    </row>
    <row r="4651" ht="22.5" hidden="1" customHeight="1">
      <c r="A4651" s="137"/>
      <c r="B4651" s="90"/>
      <c r="C4651" s="55"/>
      <c r="D4651" s="193"/>
      <c r="E4651" s="201"/>
      <c r="F4651" s="202"/>
      <c r="G4651" s="194"/>
      <c r="H4651" s="198"/>
      <c r="I4651" s="196"/>
      <c r="J4651" s="179" t="str">
        <f>IF(A4651="RAPPI",(VLOOKUP(TRIM(D4651), CATALOGO!F:G, 2, FALSE) * C4651)+I4651,IFERROR(IF(COUNTIF('RESTAURANTESDESCUENTOS 2026'!A:A,TRIM(A4651))&gt;0,((VLOOKUP(TRIM(D4651), CATALOGO!A:B, 2, FALSE) * C4651)*(1-VALUE(SUBSTITUTE(VLOOKUP(TRIM(A4651),'RESTAURANTESDESCUENTOS 2026'!A:B,2,FALSE),"%",""))/100)+I4651),(VLOOKUP(TRIM(D4651), CATALOGO!A:B, 2, FALSE) * C4651+I4651)),""))</f>
        <v/>
      </c>
      <c r="K4651" s="196"/>
      <c r="L4651" s="87"/>
      <c r="M4651" s="245"/>
      <c r="N4651" s="168"/>
    </row>
    <row r="4652" ht="22.5" hidden="1" customHeight="1">
      <c r="A4652" s="137"/>
      <c r="B4652" s="90"/>
      <c r="C4652" s="55"/>
      <c r="D4652" s="193"/>
      <c r="E4652" s="201"/>
      <c r="F4652" s="202"/>
      <c r="G4652" s="194"/>
      <c r="H4652" s="198"/>
      <c r="I4652" s="196"/>
      <c r="J4652" s="179" t="str">
        <f>IF(A4652="RAPPI",(VLOOKUP(TRIM(D4652), CATALOGO!F:G, 2, FALSE) * C4652)+I4652,IFERROR(IF(COUNTIF('RESTAURANTESDESCUENTOS 2026'!A:A,TRIM(A4652))&gt;0,((VLOOKUP(TRIM(D4652), CATALOGO!A:B, 2, FALSE) * C4652)*(1-VALUE(SUBSTITUTE(VLOOKUP(TRIM(A4652),'RESTAURANTESDESCUENTOS 2026'!A:B,2,FALSE),"%",""))/100)+I4652),(VLOOKUP(TRIM(D4652), CATALOGO!A:B, 2, FALSE) * C4652+I4652)),""))</f>
        <v/>
      </c>
      <c r="K4652" s="196"/>
      <c r="L4652" s="87"/>
      <c r="M4652" s="245"/>
      <c r="N4652" s="168"/>
    </row>
    <row r="4653" ht="22.5" hidden="1" customHeight="1">
      <c r="A4653" s="137"/>
      <c r="B4653" s="90"/>
      <c r="C4653" s="55"/>
      <c r="D4653" s="193"/>
      <c r="E4653" s="201"/>
      <c r="F4653" s="202"/>
      <c r="G4653" s="194"/>
      <c r="H4653" s="198"/>
      <c r="I4653" s="196"/>
      <c r="J4653" s="179" t="str">
        <f>IF(A4653="RAPPI",(VLOOKUP(TRIM(D4653), CATALOGO!F:G, 2, FALSE) * C4653)+I4653,IFERROR(IF(COUNTIF('RESTAURANTESDESCUENTOS 2026'!A:A,TRIM(A4653))&gt;0,((VLOOKUP(TRIM(D4653), CATALOGO!A:B, 2, FALSE) * C4653)*(1-VALUE(SUBSTITUTE(VLOOKUP(TRIM(A4653),'RESTAURANTESDESCUENTOS 2026'!A:B,2,FALSE),"%",""))/100)+I4653),(VLOOKUP(TRIM(D4653), CATALOGO!A:B, 2, FALSE) * C4653+I4653)),""))</f>
        <v/>
      </c>
      <c r="K4653" s="196"/>
      <c r="L4653" s="87"/>
      <c r="M4653" s="245"/>
      <c r="N4653" s="168"/>
    </row>
    <row r="4654" ht="22.5" hidden="1" customHeight="1">
      <c r="A4654" s="137"/>
      <c r="B4654" s="90"/>
      <c r="C4654" s="55"/>
      <c r="D4654" s="193"/>
      <c r="E4654" s="201"/>
      <c r="F4654" s="202"/>
      <c r="G4654" s="194"/>
      <c r="H4654" s="198"/>
      <c r="I4654" s="196"/>
      <c r="J4654" s="179" t="str">
        <f>IF(A4654="RAPPI",(VLOOKUP(TRIM(D4654), CATALOGO!F:G, 2, FALSE) * C4654)+I4654,IFERROR(IF(COUNTIF('RESTAURANTESDESCUENTOS 2026'!A:A,TRIM(A4654))&gt;0,((VLOOKUP(TRIM(D4654), CATALOGO!A:B, 2, FALSE) * C4654)*(1-VALUE(SUBSTITUTE(VLOOKUP(TRIM(A4654),'RESTAURANTESDESCUENTOS 2026'!A:B,2,FALSE),"%",""))/100)+I4654),(VLOOKUP(TRIM(D4654), CATALOGO!A:B, 2, FALSE) * C4654+I4654)),""))</f>
        <v/>
      </c>
      <c r="K4654" s="196"/>
      <c r="L4654" s="87"/>
      <c r="M4654" s="245"/>
      <c r="N4654" s="168"/>
    </row>
    <row r="4655" ht="22.5" hidden="1" customHeight="1">
      <c r="A4655" s="137"/>
      <c r="B4655" s="90"/>
      <c r="C4655" s="55"/>
      <c r="D4655" s="193"/>
      <c r="E4655" s="201"/>
      <c r="F4655" s="202"/>
      <c r="G4655" s="194"/>
      <c r="H4655" s="198"/>
      <c r="I4655" s="196"/>
      <c r="J4655" s="179" t="str">
        <f>IF(A4655="RAPPI",(VLOOKUP(TRIM(D4655), CATALOGO!F:G, 2, FALSE) * C4655)+I4655,IFERROR(IF(COUNTIF('RESTAURANTESDESCUENTOS 2026'!A:A,TRIM(A4655))&gt;0,((VLOOKUP(TRIM(D4655), CATALOGO!A:B, 2, FALSE) * C4655)*(1-VALUE(SUBSTITUTE(VLOOKUP(TRIM(A4655),'RESTAURANTESDESCUENTOS 2026'!A:B,2,FALSE),"%",""))/100)+I4655),(VLOOKUP(TRIM(D4655), CATALOGO!A:B, 2, FALSE) * C4655+I4655)),""))</f>
        <v/>
      </c>
      <c r="K4655" s="196"/>
      <c r="L4655" s="87"/>
      <c r="M4655" s="245"/>
      <c r="N4655" s="168"/>
    </row>
    <row r="4656" ht="22.5" hidden="1" customHeight="1">
      <c r="A4656" s="137"/>
      <c r="B4656" s="90"/>
      <c r="C4656" s="55"/>
      <c r="D4656" s="193"/>
      <c r="E4656" s="201"/>
      <c r="F4656" s="202"/>
      <c r="G4656" s="194"/>
      <c r="H4656" s="198"/>
      <c r="I4656" s="196"/>
      <c r="J4656" s="179" t="str">
        <f>IF(A4656="RAPPI",(VLOOKUP(TRIM(D4656), CATALOGO!F:G, 2, FALSE) * C4656)+I4656,IFERROR(IF(COUNTIF('RESTAURANTESDESCUENTOS 2026'!A:A,TRIM(A4656))&gt;0,((VLOOKUP(TRIM(D4656), CATALOGO!A:B, 2, FALSE) * C4656)*(1-VALUE(SUBSTITUTE(VLOOKUP(TRIM(A4656),'RESTAURANTESDESCUENTOS 2026'!A:B,2,FALSE),"%",""))/100)+I4656),(VLOOKUP(TRIM(D4656), CATALOGO!A:B, 2, FALSE) * C4656+I4656)),""))</f>
        <v/>
      </c>
      <c r="K4656" s="196"/>
      <c r="L4656" s="87"/>
      <c r="M4656" s="245"/>
      <c r="N4656" s="168"/>
    </row>
    <row r="4657" ht="22.5" hidden="1" customHeight="1">
      <c r="A4657" s="137"/>
      <c r="B4657" s="90"/>
      <c r="C4657" s="55"/>
      <c r="D4657" s="193"/>
      <c r="E4657" s="201"/>
      <c r="F4657" s="202"/>
      <c r="G4657" s="194"/>
      <c r="H4657" s="198"/>
      <c r="I4657" s="196"/>
      <c r="J4657" s="179" t="str">
        <f>IF(A4657="RAPPI",(VLOOKUP(TRIM(D4657), CATALOGO!F:G, 2, FALSE) * C4657)+I4657,IFERROR(IF(COUNTIF('RESTAURANTESDESCUENTOS 2026'!A:A,TRIM(A4657))&gt;0,((VLOOKUP(TRIM(D4657), CATALOGO!A:B, 2, FALSE) * C4657)*(1-VALUE(SUBSTITUTE(VLOOKUP(TRIM(A4657),'RESTAURANTESDESCUENTOS 2026'!A:B,2,FALSE),"%",""))/100)+I4657),(VLOOKUP(TRIM(D4657), CATALOGO!A:B, 2, FALSE) * C4657+I4657)),""))</f>
        <v/>
      </c>
      <c r="K4657" s="196"/>
      <c r="L4657" s="87"/>
      <c r="M4657" s="245"/>
      <c r="N4657" s="168"/>
    </row>
    <row r="4658" ht="22.5" hidden="1" customHeight="1">
      <c r="A4658" s="137"/>
      <c r="B4658" s="90"/>
      <c r="C4658" s="55"/>
      <c r="D4658" s="193"/>
      <c r="E4658" s="201"/>
      <c r="F4658" s="202"/>
      <c r="G4658" s="194"/>
      <c r="H4658" s="198"/>
      <c r="I4658" s="196"/>
      <c r="J4658" s="179" t="str">
        <f>IF(A4658="RAPPI",(VLOOKUP(TRIM(D4658), CATALOGO!F:G, 2, FALSE) * C4658)+I4658,IFERROR(IF(COUNTIF('RESTAURANTESDESCUENTOS 2026'!A:A,TRIM(A4658))&gt;0,((VLOOKUP(TRIM(D4658), CATALOGO!A:B, 2, FALSE) * C4658)*(1-VALUE(SUBSTITUTE(VLOOKUP(TRIM(A4658),'RESTAURANTESDESCUENTOS 2026'!A:B,2,FALSE),"%",""))/100)+I4658),(VLOOKUP(TRIM(D4658), CATALOGO!A:B, 2, FALSE) * C4658+I4658)),""))</f>
        <v/>
      </c>
      <c r="K4658" s="196"/>
      <c r="L4658" s="87"/>
      <c r="M4658" s="245"/>
      <c r="N4658" s="168"/>
    </row>
    <row r="4659" ht="22.5" hidden="1" customHeight="1">
      <c r="A4659" s="137"/>
      <c r="B4659" s="90"/>
      <c r="C4659" s="55"/>
      <c r="D4659" s="193"/>
      <c r="E4659" s="201"/>
      <c r="F4659" s="202"/>
      <c r="G4659" s="194"/>
      <c r="H4659" s="198"/>
      <c r="I4659" s="196"/>
      <c r="J4659" s="179" t="str">
        <f>IF(A4659="RAPPI",(VLOOKUP(TRIM(D4659), CATALOGO!F:G, 2, FALSE) * C4659)+I4659,IFERROR(IF(COUNTIF('RESTAURANTESDESCUENTOS 2026'!A:A,TRIM(A4659))&gt;0,((VLOOKUP(TRIM(D4659), CATALOGO!A:B, 2, FALSE) * C4659)*(1-VALUE(SUBSTITUTE(VLOOKUP(TRIM(A4659),'RESTAURANTESDESCUENTOS 2026'!A:B,2,FALSE),"%",""))/100)+I4659),(VLOOKUP(TRIM(D4659), CATALOGO!A:B, 2, FALSE) * C4659+I4659)),""))</f>
        <v/>
      </c>
      <c r="K4659" s="196"/>
      <c r="L4659" s="87"/>
      <c r="M4659" s="245"/>
      <c r="N4659" s="168"/>
    </row>
    <row r="4660" ht="22.5" hidden="1" customHeight="1">
      <c r="A4660" s="137"/>
      <c r="B4660" s="90"/>
      <c r="C4660" s="55"/>
      <c r="D4660" s="193"/>
      <c r="E4660" s="201"/>
      <c r="F4660" s="202"/>
      <c r="G4660" s="194"/>
      <c r="H4660" s="198"/>
      <c r="I4660" s="196"/>
      <c r="J4660" s="179" t="str">
        <f>IF(A4660="RAPPI",(VLOOKUP(TRIM(D4660), CATALOGO!F:G, 2, FALSE) * C4660)+I4660,IFERROR(IF(COUNTIF('RESTAURANTESDESCUENTOS 2026'!A:A,TRIM(A4660))&gt;0,((VLOOKUP(TRIM(D4660), CATALOGO!A:B, 2, FALSE) * C4660)*(1-VALUE(SUBSTITUTE(VLOOKUP(TRIM(A4660),'RESTAURANTESDESCUENTOS 2026'!A:B,2,FALSE),"%",""))/100)+I4660),(VLOOKUP(TRIM(D4660), CATALOGO!A:B, 2, FALSE) * C4660+I4660)),""))</f>
        <v/>
      </c>
      <c r="K4660" s="196"/>
      <c r="L4660" s="87"/>
      <c r="M4660" s="245"/>
      <c r="N4660" s="168"/>
    </row>
    <row r="4661" ht="22.5" hidden="1" customHeight="1">
      <c r="A4661" s="137"/>
      <c r="B4661" s="90"/>
      <c r="C4661" s="55"/>
      <c r="D4661" s="193"/>
      <c r="E4661" s="201"/>
      <c r="F4661" s="202"/>
      <c r="G4661" s="194"/>
      <c r="H4661" s="198"/>
      <c r="I4661" s="196"/>
      <c r="J4661" s="179" t="str">
        <f>IF(A4661="RAPPI",(VLOOKUP(TRIM(D4661), CATALOGO!F:G, 2, FALSE) * C4661)+I4661,IFERROR(IF(COUNTIF('RESTAURANTESDESCUENTOS 2026'!A:A,TRIM(A4661))&gt;0,((VLOOKUP(TRIM(D4661), CATALOGO!A:B, 2, FALSE) * C4661)*(1-VALUE(SUBSTITUTE(VLOOKUP(TRIM(A4661),'RESTAURANTESDESCUENTOS 2026'!A:B,2,FALSE),"%",""))/100)+I4661),(VLOOKUP(TRIM(D4661), CATALOGO!A:B, 2, FALSE) * C4661+I4661)),""))</f>
        <v/>
      </c>
      <c r="K4661" s="196"/>
      <c r="L4661" s="87"/>
      <c r="M4661" s="245"/>
      <c r="N4661" s="168"/>
    </row>
    <row r="4662" ht="22.5" hidden="1" customHeight="1">
      <c r="A4662" s="137"/>
      <c r="B4662" s="90"/>
      <c r="C4662" s="55"/>
      <c r="D4662" s="193"/>
      <c r="E4662" s="201"/>
      <c r="F4662" s="202"/>
      <c r="G4662" s="194"/>
      <c r="H4662" s="198"/>
      <c r="I4662" s="196"/>
      <c r="J4662" s="179" t="str">
        <f>IF(A4662="RAPPI",(VLOOKUP(TRIM(D4662), CATALOGO!F:G, 2, FALSE) * C4662)+I4662,IFERROR(IF(COUNTIF('RESTAURANTESDESCUENTOS 2026'!A:A,TRIM(A4662))&gt;0,((VLOOKUP(TRIM(D4662), CATALOGO!A:B, 2, FALSE) * C4662)*(1-VALUE(SUBSTITUTE(VLOOKUP(TRIM(A4662),'RESTAURANTESDESCUENTOS 2026'!A:B,2,FALSE),"%",""))/100)+I4662),(VLOOKUP(TRIM(D4662), CATALOGO!A:B, 2, FALSE) * C4662+I4662)),""))</f>
        <v/>
      </c>
      <c r="K4662" s="196"/>
      <c r="L4662" s="87"/>
      <c r="M4662" s="245"/>
      <c r="N4662" s="168"/>
    </row>
    <row r="4663" ht="22.5" hidden="1" customHeight="1">
      <c r="A4663" s="137"/>
      <c r="B4663" s="90"/>
      <c r="C4663" s="55"/>
      <c r="D4663" s="193"/>
      <c r="E4663" s="201"/>
      <c r="F4663" s="202"/>
      <c r="G4663" s="194"/>
      <c r="H4663" s="198"/>
      <c r="I4663" s="196"/>
      <c r="J4663" s="179" t="str">
        <f>IF(A4663="RAPPI",(VLOOKUP(TRIM(D4663), CATALOGO!F:G, 2, FALSE) * C4663)+I4663,IFERROR(IF(COUNTIF('RESTAURANTESDESCUENTOS 2026'!A:A,TRIM(A4663))&gt;0,((VLOOKUP(TRIM(D4663), CATALOGO!A:B, 2, FALSE) * C4663)*(1-VALUE(SUBSTITUTE(VLOOKUP(TRIM(A4663),'RESTAURANTESDESCUENTOS 2026'!A:B,2,FALSE),"%",""))/100)+I4663),(VLOOKUP(TRIM(D4663), CATALOGO!A:B, 2, FALSE) * C4663+I4663)),""))</f>
        <v/>
      </c>
      <c r="K4663" s="196"/>
      <c r="L4663" s="87"/>
      <c r="M4663" s="245"/>
      <c r="N4663" s="168"/>
    </row>
    <row r="4664" ht="22.5" hidden="1" customHeight="1">
      <c r="A4664" s="137"/>
      <c r="B4664" s="90"/>
      <c r="C4664" s="55"/>
      <c r="D4664" s="193"/>
      <c r="E4664" s="201"/>
      <c r="F4664" s="202"/>
      <c r="G4664" s="194"/>
      <c r="H4664" s="198"/>
      <c r="I4664" s="196"/>
      <c r="J4664" s="179" t="str">
        <f>IF(A4664="RAPPI",(VLOOKUP(TRIM(D4664), CATALOGO!F:G, 2, FALSE) * C4664)+I4664,IFERROR(IF(COUNTIF('RESTAURANTESDESCUENTOS 2026'!A:A,TRIM(A4664))&gt;0,((VLOOKUP(TRIM(D4664), CATALOGO!A:B, 2, FALSE) * C4664)*(1-VALUE(SUBSTITUTE(VLOOKUP(TRIM(A4664),'RESTAURANTESDESCUENTOS 2026'!A:B,2,FALSE),"%",""))/100)+I4664),(VLOOKUP(TRIM(D4664), CATALOGO!A:B, 2, FALSE) * C4664+I4664)),""))</f>
        <v/>
      </c>
      <c r="K4664" s="196"/>
      <c r="L4664" s="87"/>
      <c r="M4664" s="245"/>
      <c r="N4664" s="168"/>
    </row>
    <row r="4665" ht="22.5" hidden="1" customHeight="1">
      <c r="A4665" s="137"/>
      <c r="B4665" s="90"/>
      <c r="C4665" s="55"/>
      <c r="D4665" s="193"/>
      <c r="E4665" s="201"/>
      <c r="F4665" s="202"/>
      <c r="G4665" s="194"/>
      <c r="H4665" s="198"/>
      <c r="I4665" s="196"/>
      <c r="J4665" s="179" t="str">
        <f>IF(A4665="RAPPI",(VLOOKUP(TRIM(D4665), CATALOGO!F:G, 2, FALSE) * C4665)+I4665,IFERROR(IF(COUNTIF('RESTAURANTESDESCUENTOS 2026'!A:A,TRIM(A4665))&gt;0,((VLOOKUP(TRIM(D4665), CATALOGO!A:B, 2, FALSE) * C4665)*(1-VALUE(SUBSTITUTE(VLOOKUP(TRIM(A4665),'RESTAURANTESDESCUENTOS 2026'!A:B,2,FALSE),"%",""))/100)+I4665),(VLOOKUP(TRIM(D4665), CATALOGO!A:B, 2, FALSE) * C4665+I4665)),""))</f>
        <v/>
      </c>
      <c r="K4665" s="196"/>
      <c r="L4665" s="87"/>
      <c r="M4665" s="245"/>
      <c r="N4665" s="168"/>
    </row>
    <row r="4666" ht="22.5" hidden="1" customHeight="1">
      <c r="A4666" s="137"/>
      <c r="B4666" s="90"/>
      <c r="C4666" s="55"/>
      <c r="D4666" s="193"/>
      <c r="E4666" s="201"/>
      <c r="F4666" s="202"/>
      <c r="G4666" s="194"/>
      <c r="H4666" s="198"/>
      <c r="I4666" s="196"/>
      <c r="J4666" s="179" t="str">
        <f>IF(A4666="RAPPI",(VLOOKUP(TRIM(D4666), CATALOGO!F:G, 2, FALSE) * C4666)+I4666,IFERROR(IF(COUNTIF('RESTAURANTESDESCUENTOS 2026'!A:A,TRIM(A4666))&gt;0,((VLOOKUP(TRIM(D4666), CATALOGO!A:B, 2, FALSE) * C4666)*(1-VALUE(SUBSTITUTE(VLOOKUP(TRIM(A4666),'RESTAURANTESDESCUENTOS 2026'!A:B,2,FALSE),"%",""))/100)+I4666),(VLOOKUP(TRIM(D4666), CATALOGO!A:B, 2, FALSE) * C4666+I4666)),""))</f>
        <v/>
      </c>
      <c r="K4666" s="196"/>
      <c r="L4666" s="87"/>
      <c r="M4666" s="245"/>
      <c r="N4666" s="168"/>
    </row>
    <row r="4667" ht="22.5" hidden="1" customHeight="1">
      <c r="A4667" s="137"/>
      <c r="B4667" s="90"/>
      <c r="C4667" s="55"/>
      <c r="D4667" s="193"/>
      <c r="E4667" s="201"/>
      <c r="F4667" s="202"/>
      <c r="G4667" s="194"/>
      <c r="H4667" s="198"/>
      <c r="I4667" s="196"/>
      <c r="J4667" s="179" t="str">
        <f>IF(A4667="RAPPI",(VLOOKUP(TRIM(D4667), CATALOGO!F:G, 2, FALSE) * C4667)+I4667,IFERROR(IF(COUNTIF('RESTAURANTESDESCUENTOS 2026'!A:A,TRIM(A4667))&gt;0,((VLOOKUP(TRIM(D4667), CATALOGO!A:B, 2, FALSE) * C4667)*(1-VALUE(SUBSTITUTE(VLOOKUP(TRIM(A4667),'RESTAURANTESDESCUENTOS 2026'!A:B,2,FALSE),"%",""))/100)+I4667),(VLOOKUP(TRIM(D4667), CATALOGO!A:B, 2, FALSE) * C4667+I4667)),""))</f>
        <v/>
      </c>
      <c r="K4667" s="196"/>
      <c r="L4667" s="87"/>
      <c r="M4667" s="245"/>
      <c r="N4667" s="168"/>
    </row>
    <row r="4668" ht="22.5" hidden="1" customHeight="1">
      <c r="A4668" s="137"/>
      <c r="B4668" s="90"/>
      <c r="C4668" s="55"/>
      <c r="D4668" s="193"/>
      <c r="E4668" s="201"/>
      <c r="F4668" s="202"/>
      <c r="G4668" s="194"/>
      <c r="H4668" s="198"/>
      <c r="I4668" s="196"/>
      <c r="J4668" s="179" t="str">
        <f>IF(A4668="RAPPI",(VLOOKUP(TRIM(D4668), CATALOGO!F:G, 2, FALSE) * C4668)+I4668,IFERROR(IF(COUNTIF('RESTAURANTESDESCUENTOS 2026'!A:A,TRIM(A4668))&gt;0,((VLOOKUP(TRIM(D4668), CATALOGO!A:B, 2, FALSE) * C4668)*(1-VALUE(SUBSTITUTE(VLOOKUP(TRIM(A4668),'RESTAURANTESDESCUENTOS 2026'!A:B,2,FALSE),"%",""))/100)+I4668),(VLOOKUP(TRIM(D4668), CATALOGO!A:B, 2, FALSE) * C4668+I4668)),""))</f>
        <v/>
      </c>
      <c r="K4668" s="196"/>
      <c r="L4668" s="87"/>
      <c r="M4668" s="245"/>
      <c r="N4668" s="168"/>
    </row>
    <row r="4669" ht="22.5" hidden="1" customHeight="1">
      <c r="A4669" s="137"/>
      <c r="B4669" s="90"/>
      <c r="C4669" s="55"/>
      <c r="D4669" s="193"/>
      <c r="E4669" s="201"/>
      <c r="F4669" s="202"/>
      <c r="G4669" s="194"/>
      <c r="H4669" s="198"/>
      <c r="I4669" s="196"/>
      <c r="J4669" s="179" t="str">
        <f>IF(A4669="RAPPI",(VLOOKUP(TRIM(D4669), CATALOGO!F:G, 2, FALSE) * C4669)+I4669,IFERROR(IF(COUNTIF('RESTAURANTESDESCUENTOS 2026'!A:A,TRIM(A4669))&gt;0,((VLOOKUP(TRIM(D4669), CATALOGO!A:B, 2, FALSE) * C4669)*(1-VALUE(SUBSTITUTE(VLOOKUP(TRIM(A4669),'RESTAURANTESDESCUENTOS 2026'!A:B,2,FALSE),"%",""))/100)+I4669),(VLOOKUP(TRIM(D4669), CATALOGO!A:B, 2, FALSE) * C4669+I4669)),""))</f>
        <v/>
      </c>
      <c r="K4669" s="196"/>
      <c r="L4669" s="87"/>
      <c r="M4669" s="245"/>
      <c r="N4669" s="168"/>
    </row>
    <row r="4670" ht="22.5" hidden="1" customHeight="1">
      <c r="A4670" s="137"/>
      <c r="B4670" s="90"/>
      <c r="C4670" s="55"/>
      <c r="D4670" s="193"/>
      <c r="E4670" s="201"/>
      <c r="F4670" s="202"/>
      <c r="G4670" s="194"/>
      <c r="H4670" s="198"/>
      <c r="I4670" s="196"/>
      <c r="J4670" s="179" t="str">
        <f>IF(A4670="RAPPI",(VLOOKUP(TRIM(D4670), CATALOGO!F:G, 2, FALSE) * C4670)+I4670,IFERROR(IF(COUNTIF('RESTAURANTESDESCUENTOS 2026'!A:A,TRIM(A4670))&gt;0,((VLOOKUP(TRIM(D4670), CATALOGO!A:B, 2, FALSE) * C4670)*(1-VALUE(SUBSTITUTE(VLOOKUP(TRIM(A4670),'RESTAURANTESDESCUENTOS 2026'!A:B,2,FALSE),"%",""))/100)+I4670),(VLOOKUP(TRIM(D4670), CATALOGO!A:B, 2, FALSE) * C4670+I4670)),""))</f>
        <v/>
      </c>
      <c r="K4670" s="196"/>
      <c r="L4670" s="87"/>
      <c r="M4670" s="245"/>
      <c r="N4670" s="168"/>
    </row>
    <row r="4671" ht="22.5" hidden="1" customHeight="1">
      <c r="A4671" s="137"/>
      <c r="B4671" s="90"/>
      <c r="C4671" s="55"/>
      <c r="D4671" s="193"/>
      <c r="E4671" s="201"/>
      <c r="F4671" s="202"/>
      <c r="G4671" s="194"/>
      <c r="H4671" s="198"/>
      <c r="I4671" s="196"/>
      <c r="J4671" s="179" t="str">
        <f>IF(A4671="RAPPI",(VLOOKUP(TRIM(D4671), CATALOGO!F:G, 2, FALSE) * C4671)+I4671,IFERROR(IF(COUNTIF('RESTAURANTESDESCUENTOS 2026'!A:A,TRIM(A4671))&gt;0,((VLOOKUP(TRIM(D4671), CATALOGO!A:B, 2, FALSE) * C4671)*(1-VALUE(SUBSTITUTE(VLOOKUP(TRIM(A4671),'RESTAURANTESDESCUENTOS 2026'!A:B,2,FALSE),"%",""))/100)+I4671),(VLOOKUP(TRIM(D4671), CATALOGO!A:B, 2, FALSE) * C4671+I4671)),""))</f>
        <v/>
      </c>
      <c r="K4671" s="196"/>
      <c r="L4671" s="87"/>
      <c r="M4671" s="245"/>
      <c r="N4671" s="168"/>
    </row>
    <row r="4672" ht="22.5" hidden="1" customHeight="1">
      <c r="A4672" s="137"/>
      <c r="B4672" s="90"/>
      <c r="C4672" s="55"/>
      <c r="D4672" s="193"/>
      <c r="E4672" s="201"/>
      <c r="F4672" s="202"/>
      <c r="G4672" s="194"/>
      <c r="H4672" s="198"/>
      <c r="I4672" s="196"/>
      <c r="J4672" s="179" t="str">
        <f>IF(A4672="RAPPI",(VLOOKUP(TRIM(D4672), CATALOGO!F:G, 2, FALSE) * C4672)+I4672,IFERROR(IF(COUNTIF('RESTAURANTESDESCUENTOS 2026'!A:A,TRIM(A4672))&gt;0,((VLOOKUP(TRIM(D4672), CATALOGO!A:B, 2, FALSE) * C4672)*(1-VALUE(SUBSTITUTE(VLOOKUP(TRIM(A4672),'RESTAURANTESDESCUENTOS 2026'!A:B,2,FALSE),"%",""))/100)+I4672),(VLOOKUP(TRIM(D4672), CATALOGO!A:B, 2, FALSE) * C4672+I4672)),""))</f>
        <v/>
      </c>
      <c r="K4672" s="196"/>
      <c r="L4672" s="87"/>
      <c r="M4672" s="245"/>
      <c r="N4672" s="168"/>
    </row>
    <row r="4673" ht="22.5" hidden="1" customHeight="1">
      <c r="A4673" s="137"/>
      <c r="B4673" s="90"/>
      <c r="C4673" s="55"/>
      <c r="D4673" s="193"/>
      <c r="E4673" s="201"/>
      <c r="F4673" s="202"/>
      <c r="G4673" s="194"/>
      <c r="H4673" s="198"/>
      <c r="I4673" s="196"/>
      <c r="J4673" s="179" t="str">
        <f>IF(A4673="RAPPI",(VLOOKUP(TRIM(D4673), CATALOGO!F:G, 2, FALSE) * C4673)+I4673,IFERROR(IF(COUNTIF('RESTAURANTESDESCUENTOS 2026'!A:A,TRIM(A4673))&gt;0,((VLOOKUP(TRIM(D4673), CATALOGO!A:B, 2, FALSE) * C4673)*(1-VALUE(SUBSTITUTE(VLOOKUP(TRIM(A4673),'RESTAURANTESDESCUENTOS 2026'!A:B,2,FALSE),"%",""))/100)+I4673),(VLOOKUP(TRIM(D4673), CATALOGO!A:B, 2, FALSE) * C4673+I4673)),""))</f>
        <v/>
      </c>
      <c r="K4673" s="196"/>
      <c r="L4673" s="87"/>
      <c r="M4673" s="245"/>
      <c r="N4673" s="168"/>
    </row>
    <row r="4674" ht="22.5" hidden="1" customHeight="1">
      <c r="A4674" s="137"/>
      <c r="B4674" s="90"/>
      <c r="C4674" s="55"/>
      <c r="D4674" s="193"/>
      <c r="E4674" s="201"/>
      <c r="F4674" s="202"/>
      <c r="G4674" s="194"/>
      <c r="H4674" s="198"/>
      <c r="I4674" s="196"/>
      <c r="J4674" s="179" t="str">
        <f>IF(A4674="RAPPI",(VLOOKUP(TRIM(D4674), CATALOGO!F:G, 2, FALSE) * C4674)+I4674,IFERROR(IF(COUNTIF('RESTAURANTESDESCUENTOS 2026'!A:A,TRIM(A4674))&gt;0,((VLOOKUP(TRIM(D4674), CATALOGO!A:B, 2, FALSE) * C4674)*(1-VALUE(SUBSTITUTE(VLOOKUP(TRIM(A4674),'RESTAURANTESDESCUENTOS 2026'!A:B,2,FALSE),"%",""))/100)+I4674),(VLOOKUP(TRIM(D4674), CATALOGO!A:B, 2, FALSE) * C4674+I4674)),""))</f>
        <v/>
      </c>
      <c r="K4674" s="196"/>
      <c r="L4674" s="87"/>
      <c r="M4674" s="245"/>
      <c r="N4674" s="168"/>
    </row>
    <row r="4675" ht="22.5" hidden="1" customHeight="1">
      <c r="A4675" s="137"/>
      <c r="B4675" s="90"/>
      <c r="C4675" s="55"/>
      <c r="D4675" s="193"/>
      <c r="E4675" s="201"/>
      <c r="F4675" s="202"/>
      <c r="G4675" s="194"/>
      <c r="H4675" s="198"/>
      <c r="I4675" s="196"/>
      <c r="J4675" s="179" t="str">
        <f>IF(A4675="RAPPI",(VLOOKUP(TRIM(D4675), CATALOGO!F:G, 2, FALSE) * C4675)+I4675,IFERROR(IF(COUNTIF('RESTAURANTESDESCUENTOS 2026'!A:A,TRIM(A4675))&gt;0,((VLOOKUP(TRIM(D4675), CATALOGO!A:B, 2, FALSE) * C4675)*(1-VALUE(SUBSTITUTE(VLOOKUP(TRIM(A4675),'RESTAURANTESDESCUENTOS 2026'!A:B,2,FALSE),"%",""))/100)+I4675),(VLOOKUP(TRIM(D4675), CATALOGO!A:B, 2, FALSE) * C4675+I4675)),""))</f>
        <v/>
      </c>
      <c r="K4675" s="196"/>
      <c r="L4675" s="87"/>
      <c r="M4675" s="245"/>
      <c r="N4675" s="168"/>
    </row>
    <row r="4676" ht="22.5" hidden="1" customHeight="1">
      <c r="A4676" s="137"/>
      <c r="B4676" s="90"/>
      <c r="C4676" s="55"/>
      <c r="D4676" s="193"/>
      <c r="E4676" s="201"/>
      <c r="F4676" s="202"/>
      <c r="G4676" s="194"/>
      <c r="H4676" s="198"/>
      <c r="I4676" s="196"/>
      <c r="J4676" s="179" t="str">
        <f>IF(A4676="RAPPI",(VLOOKUP(TRIM(D4676), CATALOGO!F:G, 2, FALSE) * C4676)+I4676,IFERROR(IF(COUNTIF('RESTAURANTESDESCUENTOS 2026'!A:A,TRIM(A4676))&gt;0,((VLOOKUP(TRIM(D4676), CATALOGO!A:B, 2, FALSE) * C4676)*(1-VALUE(SUBSTITUTE(VLOOKUP(TRIM(A4676),'RESTAURANTESDESCUENTOS 2026'!A:B,2,FALSE),"%",""))/100)+I4676),(VLOOKUP(TRIM(D4676), CATALOGO!A:B, 2, FALSE) * C4676+I4676)),""))</f>
        <v/>
      </c>
      <c r="K4676" s="196"/>
      <c r="L4676" s="87"/>
      <c r="M4676" s="245"/>
      <c r="N4676" s="168"/>
    </row>
    <row r="4677" ht="22.5" hidden="1" customHeight="1">
      <c r="A4677" s="137"/>
      <c r="B4677" s="90"/>
      <c r="C4677" s="55"/>
      <c r="D4677" s="193"/>
      <c r="E4677" s="201"/>
      <c r="F4677" s="202"/>
      <c r="G4677" s="194"/>
      <c r="H4677" s="198"/>
      <c r="I4677" s="196"/>
      <c r="J4677" s="179" t="str">
        <f>IF(A4677="RAPPI",(VLOOKUP(TRIM(D4677), CATALOGO!F:G, 2, FALSE) * C4677)+I4677,IFERROR(IF(COUNTIF('RESTAURANTESDESCUENTOS 2026'!A:A,TRIM(A4677))&gt;0,((VLOOKUP(TRIM(D4677), CATALOGO!A:B, 2, FALSE) * C4677)*(1-VALUE(SUBSTITUTE(VLOOKUP(TRIM(A4677),'RESTAURANTESDESCUENTOS 2026'!A:B,2,FALSE),"%",""))/100)+I4677),(VLOOKUP(TRIM(D4677), CATALOGO!A:B, 2, FALSE) * C4677+I4677)),""))</f>
        <v/>
      </c>
      <c r="K4677" s="196"/>
      <c r="L4677" s="87"/>
      <c r="M4677" s="245"/>
      <c r="N4677" s="168"/>
    </row>
    <row r="4678" ht="22.5" hidden="1" customHeight="1">
      <c r="A4678" s="137"/>
      <c r="B4678" s="90"/>
      <c r="C4678" s="55"/>
      <c r="D4678" s="193"/>
      <c r="E4678" s="201"/>
      <c r="F4678" s="202"/>
      <c r="G4678" s="194"/>
      <c r="H4678" s="198"/>
      <c r="I4678" s="196"/>
      <c r="J4678" s="179" t="str">
        <f>IF(A4678="RAPPI",(VLOOKUP(TRIM(D4678), CATALOGO!F:G, 2, FALSE) * C4678)+I4678,IFERROR(IF(COUNTIF('RESTAURANTESDESCUENTOS 2026'!A:A,TRIM(A4678))&gt;0,((VLOOKUP(TRIM(D4678), CATALOGO!A:B, 2, FALSE) * C4678)*(1-VALUE(SUBSTITUTE(VLOOKUP(TRIM(A4678),'RESTAURANTESDESCUENTOS 2026'!A:B,2,FALSE),"%",""))/100)+I4678),(VLOOKUP(TRIM(D4678), CATALOGO!A:B, 2, FALSE) * C4678+I4678)),""))</f>
        <v/>
      </c>
      <c r="K4678" s="196"/>
      <c r="L4678" s="87"/>
      <c r="M4678" s="245"/>
      <c r="N4678" s="168"/>
    </row>
    <row r="4679" ht="22.5" hidden="1" customHeight="1">
      <c r="A4679" s="137"/>
      <c r="B4679" s="90"/>
      <c r="C4679" s="55"/>
      <c r="D4679" s="193"/>
      <c r="E4679" s="201"/>
      <c r="F4679" s="202"/>
      <c r="G4679" s="194"/>
      <c r="H4679" s="198"/>
      <c r="I4679" s="196"/>
      <c r="J4679" s="179" t="str">
        <f>IF(A4679="RAPPI",(VLOOKUP(TRIM(D4679), CATALOGO!F:G, 2, FALSE) * C4679)+I4679,IFERROR(IF(COUNTIF('RESTAURANTESDESCUENTOS 2026'!A:A,TRIM(A4679))&gt;0,((VLOOKUP(TRIM(D4679), CATALOGO!A:B, 2, FALSE) * C4679)*(1-VALUE(SUBSTITUTE(VLOOKUP(TRIM(A4679),'RESTAURANTESDESCUENTOS 2026'!A:B,2,FALSE),"%",""))/100)+I4679),(VLOOKUP(TRIM(D4679), CATALOGO!A:B, 2, FALSE) * C4679+I4679)),""))</f>
        <v/>
      </c>
      <c r="K4679" s="196"/>
      <c r="L4679" s="87"/>
      <c r="M4679" s="245"/>
      <c r="N4679" s="168"/>
    </row>
    <row r="4680" ht="22.5" hidden="1" customHeight="1">
      <c r="A4680" s="137"/>
      <c r="B4680" s="90"/>
      <c r="C4680" s="55"/>
      <c r="D4680" s="193"/>
      <c r="E4680" s="201"/>
      <c r="F4680" s="202"/>
      <c r="G4680" s="194"/>
      <c r="H4680" s="198"/>
      <c r="I4680" s="196"/>
      <c r="J4680" s="179" t="str">
        <f>IF(A4680="RAPPI",(VLOOKUP(TRIM(D4680), CATALOGO!F:G, 2, FALSE) * C4680)+I4680,IFERROR(IF(COUNTIF('RESTAURANTESDESCUENTOS 2026'!A:A,TRIM(A4680))&gt;0,((VLOOKUP(TRIM(D4680), CATALOGO!A:B, 2, FALSE) * C4680)*(1-VALUE(SUBSTITUTE(VLOOKUP(TRIM(A4680),'RESTAURANTESDESCUENTOS 2026'!A:B,2,FALSE),"%",""))/100)+I4680),(VLOOKUP(TRIM(D4680), CATALOGO!A:B, 2, FALSE) * C4680+I4680)),""))</f>
        <v/>
      </c>
      <c r="K4680" s="196"/>
      <c r="L4680" s="87"/>
      <c r="M4680" s="245"/>
      <c r="N4680" s="168"/>
    </row>
    <row r="4681" ht="22.5" hidden="1" customHeight="1">
      <c r="A4681" s="137"/>
      <c r="B4681" s="90"/>
      <c r="C4681" s="55"/>
      <c r="D4681" s="193"/>
      <c r="E4681" s="201"/>
      <c r="F4681" s="202"/>
      <c r="G4681" s="194"/>
      <c r="H4681" s="198"/>
      <c r="I4681" s="196"/>
      <c r="J4681" s="179" t="str">
        <f>IF(A4681="RAPPI",(VLOOKUP(TRIM(D4681), CATALOGO!F:G, 2, FALSE) * C4681)+I4681,IFERROR(IF(COUNTIF('RESTAURANTESDESCUENTOS 2026'!A:A,TRIM(A4681))&gt;0,((VLOOKUP(TRIM(D4681), CATALOGO!A:B, 2, FALSE) * C4681)*(1-VALUE(SUBSTITUTE(VLOOKUP(TRIM(A4681),'RESTAURANTESDESCUENTOS 2026'!A:B,2,FALSE),"%",""))/100)+I4681),(VLOOKUP(TRIM(D4681), CATALOGO!A:B, 2, FALSE) * C4681+I4681)),""))</f>
        <v/>
      </c>
      <c r="K4681" s="196"/>
      <c r="L4681" s="87"/>
      <c r="M4681" s="245"/>
      <c r="N4681" s="168"/>
    </row>
    <row r="4682" ht="22.5" hidden="1" customHeight="1">
      <c r="A4682" s="137"/>
      <c r="B4682" s="90"/>
      <c r="C4682" s="55"/>
      <c r="D4682" s="193"/>
      <c r="E4682" s="201"/>
      <c r="F4682" s="202"/>
      <c r="G4682" s="194"/>
      <c r="H4682" s="198"/>
      <c r="I4682" s="196"/>
      <c r="J4682" s="179" t="str">
        <f>IF(A4682="RAPPI",(VLOOKUP(TRIM(D4682), CATALOGO!F:G, 2, FALSE) * C4682)+I4682,IFERROR(IF(COUNTIF('RESTAURANTESDESCUENTOS 2026'!A:A,TRIM(A4682))&gt;0,((VLOOKUP(TRIM(D4682), CATALOGO!A:B, 2, FALSE) * C4682)*(1-VALUE(SUBSTITUTE(VLOOKUP(TRIM(A4682),'RESTAURANTESDESCUENTOS 2026'!A:B,2,FALSE),"%",""))/100)+I4682),(VLOOKUP(TRIM(D4682), CATALOGO!A:B, 2, FALSE) * C4682+I4682)),""))</f>
        <v/>
      </c>
      <c r="K4682" s="196"/>
      <c r="L4682" s="87"/>
      <c r="M4682" s="245"/>
      <c r="N4682" s="168"/>
    </row>
    <row r="4683" ht="22.5" hidden="1" customHeight="1">
      <c r="A4683" s="137"/>
      <c r="B4683" s="90"/>
      <c r="C4683" s="55"/>
      <c r="D4683" s="193"/>
      <c r="E4683" s="201"/>
      <c r="F4683" s="202"/>
      <c r="G4683" s="194"/>
      <c r="H4683" s="198"/>
      <c r="I4683" s="196"/>
      <c r="J4683" s="179" t="str">
        <f>IF(A4683="RAPPI",(VLOOKUP(TRIM(D4683), CATALOGO!F:G, 2, FALSE) * C4683)+I4683,IFERROR(IF(COUNTIF('RESTAURANTESDESCUENTOS 2026'!A:A,TRIM(A4683))&gt;0,((VLOOKUP(TRIM(D4683), CATALOGO!A:B, 2, FALSE) * C4683)*(1-VALUE(SUBSTITUTE(VLOOKUP(TRIM(A4683),'RESTAURANTESDESCUENTOS 2026'!A:B,2,FALSE),"%",""))/100)+I4683),(VLOOKUP(TRIM(D4683), CATALOGO!A:B, 2, FALSE) * C4683+I4683)),""))</f>
        <v/>
      </c>
      <c r="K4683" s="196"/>
      <c r="L4683" s="87"/>
      <c r="M4683" s="245"/>
      <c r="N4683" s="168"/>
    </row>
    <row r="4684" ht="22.5" hidden="1" customHeight="1">
      <c r="A4684" s="137"/>
      <c r="B4684" s="90"/>
      <c r="C4684" s="55"/>
      <c r="D4684" s="193"/>
      <c r="E4684" s="201"/>
      <c r="F4684" s="202"/>
      <c r="G4684" s="194"/>
      <c r="H4684" s="198"/>
      <c r="I4684" s="196"/>
      <c r="J4684" s="179" t="str">
        <f>IF(A4684="RAPPI",(VLOOKUP(TRIM(D4684), CATALOGO!F:G, 2, FALSE) * C4684)+I4684,IFERROR(IF(COUNTIF('RESTAURANTESDESCUENTOS 2026'!A:A,TRIM(A4684))&gt;0,((VLOOKUP(TRIM(D4684), CATALOGO!A:B, 2, FALSE) * C4684)*(1-VALUE(SUBSTITUTE(VLOOKUP(TRIM(A4684),'RESTAURANTESDESCUENTOS 2026'!A:B,2,FALSE),"%",""))/100)+I4684),(VLOOKUP(TRIM(D4684), CATALOGO!A:B, 2, FALSE) * C4684+I4684)),""))</f>
        <v/>
      </c>
      <c r="K4684" s="196"/>
      <c r="L4684" s="87"/>
      <c r="M4684" s="245"/>
      <c r="N4684" s="168"/>
    </row>
    <row r="4685" ht="22.5" hidden="1" customHeight="1">
      <c r="A4685" s="137"/>
      <c r="B4685" s="90"/>
      <c r="C4685" s="55"/>
      <c r="D4685" s="193"/>
      <c r="E4685" s="201"/>
      <c r="F4685" s="202"/>
      <c r="G4685" s="194"/>
      <c r="H4685" s="198"/>
      <c r="I4685" s="196"/>
      <c r="J4685" s="179" t="str">
        <f>IF(A4685="RAPPI",(VLOOKUP(TRIM(D4685), CATALOGO!F:G, 2, FALSE) * C4685)+I4685,IFERROR(IF(COUNTIF('RESTAURANTESDESCUENTOS 2026'!A:A,TRIM(A4685))&gt;0,((VLOOKUP(TRIM(D4685), CATALOGO!A:B, 2, FALSE) * C4685)*(1-VALUE(SUBSTITUTE(VLOOKUP(TRIM(A4685),'RESTAURANTESDESCUENTOS 2026'!A:B,2,FALSE),"%",""))/100)+I4685),(VLOOKUP(TRIM(D4685), CATALOGO!A:B, 2, FALSE) * C4685+I4685)),""))</f>
        <v/>
      </c>
      <c r="K4685" s="196"/>
      <c r="L4685" s="87"/>
      <c r="M4685" s="245"/>
      <c r="N4685" s="168"/>
    </row>
    <row r="4686" ht="22.5" hidden="1" customHeight="1">
      <c r="A4686" s="137"/>
      <c r="B4686" s="90"/>
      <c r="C4686" s="55"/>
      <c r="D4686" s="193"/>
      <c r="E4686" s="201"/>
      <c r="F4686" s="202"/>
      <c r="G4686" s="194"/>
      <c r="H4686" s="198"/>
      <c r="I4686" s="196"/>
      <c r="J4686" s="179" t="str">
        <f>IF(A4686="RAPPI",(VLOOKUP(TRIM(D4686), CATALOGO!F:G, 2, FALSE) * C4686)+I4686,IFERROR(IF(COUNTIF('RESTAURANTESDESCUENTOS 2026'!A:A,TRIM(A4686))&gt;0,((VLOOKUP(TRIM(D4686), CATALOGO!A:B, 2, FALSE) * C4686)*(1-VALUE(SUBSTITUTE(VLOOKUP(TRIM(A4686),'RESTAURANTESDESCUENTOS 2026'!A:B,2,FALSE),"%",""))/100)+I4686),(VLOOKUP(TRIM(D4686), CATALOGO!A:B, 2, FALSE) * C4686+I4686)),""))</f>
        <v/>
      </c>
      <c r="K4686" s="196"/>
      <c r="L4686" s="87"/>
      <c r="M4686" s="245"/>
      <c r="N4686" s="168"/>
    </row>
    <row r="4687" ht="22.5" hidden="1" customHeight="1">
      <c r="A4687" s="137"/>
      <c r="B4687" s="90"/>
      <c r="C4687" s="55"/>
      <c r="D4687" s="193"/>
      <c r="E4687" s="201"/>
      <c r="F4687" s="202"/>
      <c r="G4687" s="194"/>
      <c r="H4687" s="198"/>
      <c r="I4687" s="196"/>
      <c r="J4687" s="179" t="str">
        <f>IF(A4687="RAPPI",(VLOOKUP(TRIM(D4687), CATALOGO!F:G, 2, FALSE) * C4687)+I4687,IFERROR(IF(COUNTIF('RESTAURANTESDESCUENTOS 2026'!A:A,TRIM(A4687))&gt;0,((VLOOKUP(TRIM(D4687), CATALOGO!A:B, 2, FALSE) * C4687)*(1-VALUE(SUBSTITUTE(VLOOKUP(TRIM(A4687),'RESTAURANTESDESCUENTOS 2026'!A:B,2,FALSE),"%",""))/100)+I4687),(VLOOKUP(TRIM(D4687), CATALOGO!A:B, 2, FALSE) * C4687+I4687)),""))</f>
        <v/>
      </c>
      <c r="K4687" s="196"/>
      <c r="L4687" s="87"/>
      <c r="M4687" s="245"/>
      <c r="N4687" s="168"/>
    </row>
    <row r="4688" ht="22.5" hidden="1" customHeight="1">
      <c r="A4688" s="137"/>
      <c r="B4688" s="90"/>
      <c r="C4688" s="55"/>
      <c r="D4688" s="193"/>
      <c r="E4688" s="201"/>
      <c r="F4688" s="202"/>
      <c r="G4688" s="194"/>
      <c r="H4688" s="198"/>
      <c r="I4688" s="196"/>
      <c r="J4688" s="179" t="str">
        <f>IF(A4688="RAPPI",(VLOOKUP(TRIM(D4688), CATALOGO!F:G, 2, FALSE) * C4688)+I4688,IFERROR(IF(COUNTIF('RESTAURANTESDESCUENTOS 2026'!A:A,TRIM(A4688))&gt;0,((VLOOKUP(TRIM(D4688), CATALOGO!A:B, 2, FALSE) * C4688)*(1-VALUE(SUBSTITUTE(VLOOKUP(TRIM(A4688),'RESTAURANTESDESCUENTOS 2026'!A:B,2,FALSE),"%",""))/100)+I4688),(VLOOKUP(TRIM(D4688), CATALOGO!A:B, 2, FALSE) * C4688+I4688)),""))</f>
        <v/>
      </c>
      <c r="K4688" s="196"/>
      <c r="L4688" s="87"/>
      <c r="M4688" s="245"/>
      <c r="N4688" s="168"/>
    </row>
    <row r="4689" ht="22.5" hidden="1" customHeight="1">
      <c r="A4689" s="137"/>
      <c r="B4689" s="90"/>
      <c r="C4689" s="55"/>
      <c r="D4689" s="193"/>
      <c r="E4689" s="201"/>
      <c r="F4689" s="202"/>
      <c r="G4689" s="194"/>
      <c r="H4689" s="198"/>
      <c r="I4689" s="196"/>
      <c r="J4689" s="179" t="str">
        <f>IF(A4689="RAPPI",(VLOOKUP(TRIM(D4689), CATALOGO!F:G, 2, FALSE) * C4689)+I4689,IFERROR(IF(COUNTIF('RESTAURANTESDESCUENTOS 2026'!A:A,TRIM(A4689))&gt;0,((VLOOKUP(TRIM(D4689), CATALOGO!A:B, 2, FALSE) * C4689)*(1-VALUE(SUBSTITUTE(VLOOKUP(TRIM(A4689),'RESTAURANTESDESCUENTOS 2026'!A:B,2,FALSE),"%",""))/100)+I4689),(VLOOKUP(TRIM(D4689), CATALOGO!A:B, 2, FALSE) * C4689+I4689)),""))</f>
        <v/>
      </c>
      <c r="K4689" s="196"/>
      <c r="L4689" s="87"/>
      <c r="M4689" s="245"/>
      <c r="N4689" s="168"/>
    </row>
    <row r="4690" ht="22.5" hidden="1" customHeight="1">
      <c r="A4690" s="137"/>
      <c r="B4690" s="90"/>
      <c r="C4690" s="55"/>
      <c r="D4690" s="193"/>
      <c r="E4690" s="201"/>
      <c r="F4690" s="202"/>
      <c r="G4690" s="194"/>
      <c r="H4690" s="198"/>
      <c r="I4690" s="196"/>
      <c r="J4690" s="179" t="str">
        <f>IF(A4690="RAPPI",(VLOOKUP(TRIM(D4690), CATALOGO!F:G, 2, FALSE) * C4690)+I4690,IFERROR(IF(COUNTIF('RESTAURANTESDESCUENTOS 2026'!A:A,TRIM(A4690))&gt;0,((VLOOKUP(TRIM(D4690), CATALOGO!A:B, 2, FALSE) * C4690)*(1-VALUE(SUBSTITUTE(VLOOKUP(TRIM(A4690),'RESTAURANTESDESCUENTOS 2026'!A:B,2,FALSE),"%",""))/100)+I4690),(VLOOKUP(TRIM(D4690), CATALOGO!A:B, 2, FALSE) * C4690+I4690)),""))</f>
        <v/>
      </c>
      <c r="K4690" s="196"/>
      <c r="L4690" s="87"/>
      <c r="M4690" s="245"/>
      <c r="N4690" s="168"/>
    </row>
    <row r="4691" ht="22.5" hidden="1" customHeight="1">
      <c r="A4691" s="137"/>
      <c r="B4691" s="90"/>
      <c r="C4691" s="55"/>
      <c r="D4691" s="193"/>
      <c r="E4691" s="201"/>
      <c r="F4691" s="202"/>
      <c r="G4691" s="194"/>
      <c r="H4691" s="198"/>
      <c r="I4691" s="196"/>
      <c r="J4691" s="179" t="str">
        <f>IF(A4691="RAPPI",(VLOOKUP(TRIM(D4691), CATALOGO!F:G, 2, FALSE) * C4691)+I4691,IFERROR(IF(COUNTIF('RESTAURANTESDESCUENTOS 2026'!A:A,TRIM(A4691))&gt;0,((VLOOKUP(TRIM(D4691), CATALOGO!A:B, 2, FALSE) * C4691)*(1-VALUE(SUBSTITUTE(VLOOKUP(TRIM(A4691),'RESTAURANTESDESCUENTOS 2026'!A:B,2,FALSE),"%",""))/100)+I4691),(VLOOKUP(TRIM(D4691), CATALOGO!A:B, 2, FALSE) * C4691+I4691)),""))</f>
        <v/>
      </c>
      <c r="K4691" s="196"/>
      <c r="L4691" s="87"/>
      <c r="M4691" s="245"/>
      <c r="N4691" s="168"/>
    </row>
    <row r="4692" ht="22.5" hidden="1" customHeight="1">
      <c r="A4692" s="137"/>
      <c r="B4692" s="90"/>
      <c r="C4692" s="55"/>
      <c r="D4692" s="193"/>
      <c r="E4692" s="201"/>
      <c r="F4692" s="202"/>
      <c r="G4692" s="194"/>
      <c r="H4692" s="198"/>
      <c r="I4692" s="196"/>
      <c r="J4692" s="179" t="str">
        <f>IF(A4692="RAPPI",(VLOOKUP(TRIM(D4692), CATALOGO!F:G, 2, FALSE) * C4692)+I4692,IFERROR(IF(COUNTIF('RESTAURANTESDESCUENTOS 2026'!A:A,TRIM(A4692))&gt;0,((VLOOKUP(TRIM(D4692), CATALOGO!A:B, 2, FALSE) * C4692)*(1-VALUE(SUBSTITUTE(VLOOKUP(TRIM(A4692),'RESTAURANTESDESCUENTOS 2026'!A:B,2,FALSE),"%",""))/100)+I4692),(VLOOKUP(TRIM(D4692), CATALOGO!A:B, 2, FALSE) * C4692+I4692)),""))</f>
        <v/>
      </c>
      <c r="K4692" s="196"/>
      <c r="L4692" s="87"/>
      <c r="M4692" s="245"/>
      <c r="N4692" s="168"/>
    </row>
    <row r="4693" ht="22.5" hidden="1" customHeight="1">
      <c r="A4693" s="137"/>
      <c r="B4693" s="90"/>
      <c r="C4693" s="55"/>
      <c r="D4693" s="193"/>
      <c r="E4693" s="201"/>
      <c r="F4693" s="202"/>
      <c r="G4693" s="194"/>
      <c r="H4693" s="198"/>
      <c r="I4693" s="196"/>
      <c r="J4693" s="179" t="str">
        <f>IF(A4693="RAPPI",(VLOOKUP(TRIM(D4693), CATALOGO!F:G, 2, FALSE) * C4693)+I4693,IFERROR(IF(COUNTIF('RESTAURANTESDESCUENTOS 2026'!A:A,TRIM(A4693))&gt;0,((VLOOKUP(TRIM(D4693), CATALOGO!A:B, 2, FALSE) * C4693)*(1-VALUE(SUBSTITUTE(VLOOKUP(TRIM(A4693),'RESTAURANTESDESCUENTOS 2026'!A:B,2,FALSE),"%",""))/100)+I4693),(VLOOKUP(TRIM(D4693), CATALOGO!A:B, 2, FALSE) * C4693+I4693)),""))</f>
        <v/>
      </c>
      <c r="K4693" s="196"/>
      <c r="L4693" s="87"/>
      <c r="M4693" s="245"/>
      <c r="N4693" s="168"/>
    </row>
    <row r="4694" ht="22.5" hidden="1" customHeight="1">
      <c r="A4694" s="137"/>
      <c r="B4694" s="90"/>
      <c r="C4694" s="55"/>
      <c r="D4694" s="193"/>
      <c r="E4694" s="201"/>
      <c r="F4694" s="202"/>
      <c r="G4694" s="194"/>
      <c r="H4694" s="198"/>
      <c r="I4694" s="196"/>
      <c r="J4694" s="179" t="str">
        <f>IF(A4694="RAPPI",(VLOOKUP(TRIM(D4694), CATALOGO!F:G, 2, FALSE) * C4694)+I4694,IFERROR(IF(COUNTIF('RESTAURANTESDESCUENTOS 2026'!A:A,TRIM(A4694))&gt;0,((VLOOKUP(TRIM(D4694), CATALOGO!A:B, 2, FALSE) * C4694)*(1-VALUE(SUBSTITUTE(VLOOKUP(TRIM(A4694),'RESTAURANTESDESCUENTOS 2026'!A:B,2,FALSE),"%",""))/100)+I4694),(VLOOKUP(TRIM(D4694), CATALOGO!A:B, 2, FALSE) * C4694+I4694)),""))</f>
        <v/>
      </c>
      <c r="K4694" s="196"/>
      <c r="L4694" s="87"/>
      <c r="M4694" s="245"/>
      <c r="N4694" s="168"/>
    </row>
    <row r="4695" ht="22.5" hidden="1" customHeight="1">
      <c r="A4695" s="137"/>
      <c r="B4695" s="90"/>
      <c r="C4695" s="55"/>
      <c r="D4695" s="193"/>
      <c r="E4695" s="201"/>
      <c r="F4695" s="202"/>
      <c r="G4695" s="194"/>
      <c r="H4695" s="198"/>
      <c r="I4695" s="196"/>
      <c r="J4695" s="179" t="str">
        <f>IF(A4695="RAPPI",(VLOOKUP(TRIM(D4695), CATALOGO!F:G, 2, FALSE) * C4695)+I4695,IFERROR(IF(COUNTIF('RESTAURANTESDESCUENTOS 2026'!A:A,TRIM(A4695))&gt;0,((VLOOKUP(TRIM(D4695), CATALOGO!A:B, 2, FALSE) * C4695)*(1-VALUE(SUBSTITUTE(VLOOKUP(TRIM(A4695),'RESTAURANTESDESCUENTOS 2026'!A:B,2,FALSE),"%",""))/100)+I4695),(VLOOKUP(TRIM(D4695), CATALOGO!A:B, 2, FALSE) * C4695+I4695)),""))</f>
        <v/>
      </c>
      <c r="K4695" s="196"/>
      <c r="L4695" s="87"/>
      <c r="M4695" s="245"/>
      <c r="N4695" s="168"/>
    </row>
    <row r="4696" ht="22.5" hidden="1" customHeight="1">
      <c r="A4696" s="137"/>
      <c r="B4696" s="90"/>
      <c r="C4696" s="55"/>
      <c r="D4696" s="193"/>
      <c r="E4696" s="201"/>
      <c r="F4696" s="202"/>
      <c r="G4696" s="194"/>
      <c r="H4696" s="198"/>
      <c r="I4696" s="196"/>
      <c r="J4696" s="179" t="str">
        <f>IF(A4696="RAPPI",(VLOOKUP(TRIM(D4696), CATALOGO!F:G, 2, FALSE) * C4696)+I4696,IFERROR(IF(COUNTIF('RESTAURANTESDESCUENTOS 2026'!A:A,TRIM(A4696))&gt;0,((VLOOKUP(TRIM(D4696), CATALOGO!A:B, 2, FALSE) * C4696)*(1-VALUE(SUBSTITUTE(VLOOKUP(TRIM(A4696),'RESTAURANTESDESCUENTOS 2026'!A:B,2,FALSE),"%",""))/100)+I4696),(VLOOKUP(TRIM(D4696), CATALOGO!A:B, 2, FALSE) * C4696+I4696)),""))</f>
        <v/>
      </c>
      <c r="K4696" s="196"/>
      <c r="L4696" s="87"/>
      <c r="M4696" s="245"/>
      <c r="N4696" s="168"/>
    </row>
    <row r="4697" ht="22.5" hidden="1" customHeight="1">
      <c r="A4697" s="137"/>
      <c r="B4697" s="90"/>
      <c r="C4697" s="55"/>
      <c r="D4697" s="193"/>
      <c r="E4697" s="201"/>
      <c r="F4697" s="202"/>
      <c r="G4697" s="194"/>
      <c r="H4697" s="198"/>
      <c r="I4697" s="196"/>
      <c r="J4697" s="179" t="str">
        <f>IF(A4697="RAPPI",(VLOOKUP(TRIM(D4697), CATALOGO!F:G, 2, FALSE) * C4697)+I4697,IFERROR(IF(COUNTIF('RESTAURANTESDESCUENTOS 2026'!A:A,TRIM(A4697))&gt;0,((VLOOKUP(TRIM(D4697), CATALOGO!A:B, 2, FALSE) * C4697)*(1-VALUE(SUBSTITUTE(VLOOKUP(TRIM(A4697),'RESTAURANTESDESCUENTOS 2026'!A:B,2,FALSE),"%",""))/100)+I4697),(VLOOKUP(TRIM(D4697), CATALOGO!A:B, 2, FALSE) * C4697+I4697)),""))</f>
        <v/>
      </c>
      <c r="K4697" s="196"/>
      <c r="L4697" s="87"/>
      <c r="M4697" s="245"/>
      <c r="N4697" s="168"/>
    </row>
    <row r="4698" ht="22.5" hidden="1" customHeight="1">
      <c r="A4698" s="137"/>
      <c r="B4698" s="90"/>
      <c r="C4698" s="55"/>
      <c r="D4698" s="193"/>
      <c r="E4698" s="201"/>
      <c r="F4698" s="202"/>
      <c r="G4698" s="194"/>
      <c r="H4698" s="198"/>
      <c r="I4698" s="196"/>
      <c r="J4698" s="179" t="str">
        <f>IF(A4698="RAPPI",(VLOOKUP(TRIM(D4698), CATALOGO!F:G, 2, FALSE) * C4698)+I4698,IFERROR(IF(COUNTIF('RESTAURANTESDESCUENTOS 2026'!A:A,TRIM(A4698))&gt;0,((VLOOKUP(TRIM(D4698), CATALOGO!A:B, 2, FALSE) * C4698)*(1-VALUE(SUBSTITUTE(VLOOKUP(TRIM(A4698),'RESTAURANTESDESCUENTOS 2026'!A:B,2,FALSE),"%",""))/100)+I4698),(VLOOKUP(TRIM(D4698), CATALOGO!A:B, 2, FALSE) * C4698+I4698)),""))</f>
        <v/>
      </c>
      <c r="K4698" s="196"/>
      <c r="L4698" s="87"/>
      <c r="M4698" s="245"/>
      <c r="N4698" s="168"/>
    </row>
    <row r="4699" ht="22.5" hidden="1" customHeight="1">
      <c r="A4699" s="137"/>
      <c r="B4699" s="90"/>
      <c r="C4699" s="55"/>
      <c r="D4699" s="193"/>
      <c r="E4699" s="201"/>
      <c r="F4699" s="202"/>
      <c r="G4699" s="194"/>
      <c r="H4699" s="198"/>
      <c r="I4699" s="196"/>
      <c r="J4699" s="179" t="str">
        <f>IF(A4699="RAPPI",(VLOOKUP(TRIM(D4699), CATALOGO!F:G, 2, FALSE) * C4699)+I4699,IFERROR(IF(COUNTIF('RESTAURANTESDESCUENTOS 2026'!A:A,TRIM(A4699))&gt;0,((VLOOKUP(TRIM(D4699), CATALOGO!A:B, 2, FALSE) * C4699)*(1-VALUE(SUBSTITUTE(VLOOKUP(TRIM(A4699),'RESTAURANTESDESCUENTOS 2026'!A:B,2,FALSE),"%",""))/100)+I4699),(VLOOKUP(TRIM(D4699), CATALOGO!A:B, 2, FALSE) * C4699+I4699)),""))</f>
        <v/>
      </c>
      <c r="K4699" s="196"/>
      <c r="L4699" s="87"/>
      <c r="M4699" s="245"/>
      <c r="N4699" s="168"/>
    </row>
    <row r="4700" ht="22.5" hidden="1" customHeight="1">
      <c r="A4700" s="137"/>
      <c r="B4700" s="90"/>
      <c r="C4700" s="55"/>
      <c r="D4700" s="193"/>
      <c r="E4700" s="201"/>
      <c r="F4700" s="202"/>
      <c r="G4700" s="194"/>
      <c r="H4700" s="198"/>
      <c r="I4700" s="196"/>
      <c r="J4700" s="179" t="str">
        <f>IF(A4700="RAPPI",(VLOOKUP(TRIM(D4700), CATALOGO!F:G, 2, FALSE) * C4700)+I4700,IFERROR(IF(COUNTIF('RESTAURANTESDESCUENTOS 2026'!A:A,TRIM(A4700))&gt;0,((VLOOKUP(TRIM(D4700), CATALOGO!A:B, 2, FALSE) * C4700)*(1-VALUE(SUBSTITUTE(VLOOKUP(TRIM(A4700),'RESTAURANTESDESCUENTOS 2026'!A:B,2,FALSE),"%",""))/100)+I4700),(VLOOKUP(TRIM(D4700), CATALOGO!A:B, 2, FALSE) * C4700+I4700)),""))</f>
        <v/>
      </c>
      <c r="K4700" s="196"/>
      <c r="L4700" s="87"/>
      <c r="M4700" s="245"/>
      <c r="N4700" s="168"/>
    </row>
    <row r="4701" ht="22.5" hidden="1" customHeight="1">
      <c r="A4701" s="137"/>
      <c r="B4701" s="90"/>
      <c r="C4701" s="55"/>
      <c r="D4701" s="193"/>
      <c r="E4701" s="201"/>
      <c r="F4701" s="202"/>
      <c r="G4701" s="194"/>
      <c r="H4701" s="198"/>
      <c r="I4701" s="196"/>
      <c r="J4701" s="179" t="str">
        <f>IF(A4701="RAPPI",(VLOOKUP(TRIM(D4701), CATALOGO!F:G, 2, FALSE) * C4701)+I4701,IFERROR(IF(COUNTIF('RESTAURANTESDESCUENTOS 2026'!A:A,TRIM(A4701))&gt;0,((VLOOKUP(TRIM(D4701), CATALOGO!A:B, 2, FALSE) * C4701)*(1-VALUE(SUBSTITUTE(VLOOKUP(TRIM(A4701),'RESTAURANTESDESCUENTOS 2026'!A:B,2,FALSE),"%",""))/100)+I4701),(VLOOKUP(TRIM(D4701), CATALOGO!A:B, 2, FALSE) * C4701+I4701)),""))</f>
        <v/>
      </c>
      <c r="K4701" s="196"/>
      <c r="L4701" s="87"/>
      <c r="M4701" s="245"/>
      <c r="N4701" s="168"/>
    </row>
    <row r="4702" ht="22.5" hidden="1" customHeight="1">
      <c r="A4702" s="137"/>
      <c r="B4702" s="90"/>
      <c r="C4702" s="55"/>
      <c r="D4702" s="193"/>
      <c r="E4702" s="201"/>
      <c r="F4702" s="202"/>
      <c r="G4702" s="194"/>
      <c r="H4702" s="198"/>
      <c r="I4702" s="196"/>
      <c r="J4702" s="179" t="str">
        <f>IF(A4702="RAPPI",(VLOOKUP(TRIM(D4702), CATALOGO!F:G, 2, FALSE) * C4702)+I4702,IFERROR(IF(COUNTIF('RESTAURANTESDESCUENTOS 2026'!A:A,TRIM(A4702))&gt;0,((VLOOKUP(TRIM(D4702), CATALOGO!A:B, 2, FALSE) * C4702)*(1-VALUE(SUBSTITUTE(VLOOKUP(TRIM(A4702),'RESTAURANTESDESCUENTOS 2026'!A:B,2,FALSE),"%",""))/100)+I4702),(VLOOKUP(TRIM(D4702), CATALOGO!A:B, 2, FALSE) * C4702+I4702)),""))</f>
        <v/>
      </c>
      <c r="K4702" s="196"/>
      <c r="L4702" s="87"/>
      <c r="M4702" s="245"/>
      <c r="N4702" s="168"/>
    </row>
    <row r="4703" ht="22.5" hidden="1" customHeight="1">
      <c r="A4703" s="137"/>
      <c r="B4703" s="90"/>
      <c r="C4703" s="55"/>
      <c r="D4703" s="193"/>
      <c r="E4703" s="201"/>
      <c r="F4703" s="202"/>
      <c r="G4703" s="194"/>
      <c r="H4703" s="198"/>
      <c r="I4703" s="196"/>
      <c r="J4703" s="179" t="str">
        <f>IF(A4703="RAPPI",(VLOOKUP(TRIM(D4703), CATALOGO!F:G, 2, FALSE) * C4703)+I4703,IFERROR(IF(COUNTIF('RESTAURANTESDESCUENTOS 2026'!A:A,TRIM(A4703))&gt;0,((VLOOKUP(TRIM(D4703), CATALOGO!A:B, 2, FALSE) * C4703)*(1-VALUE(SUBSTITUTE(VLOOKUP(TRIM(A4703),'RESTAURANTESDESCUENTOS 2026'!A:B,2,FALSE),"%",""))/100)+I4703),(VLOOKUP(TRIM(D4703), CATALOGO!A:B, 2, FALSE) * C4703+I4703)),""))</f>
        <v/>
      </c>
      <c r="K4703" s="196"/>
      <c r="L4703" s="87"/>
      <c r="M4703" s="245"/>
      <c r="N4703" s="168"/>
    </row>
    <row r="4704" ht="22.5" hidden="1" customHeight="1">
      <c r="A4704" s="137"/>
      <c r="B4704" s="90"/>
      <c r="C4704" s="55"/>
      <c r="D4704" s="193"/>
      <c r="E4704" s="201"/>
      <c r="F4704" s="202"/>
      <c r="G4704" s="194"/>
      <c r="H4704" s="198"/>
      <c r="I4704" s="196"/>
      <c r="J4704" s="179" t="str">
        <f>IF(A4704="RAPPI",(VLOOKUP(TRIM(D4704), CATALOGO!F:G, 2, FALSE) * C4704)+I4704,IFERROR(IF(COUNTIF('RESTAURANTESDESCUENTOS 2026'!A:A,TRIM(A4704))&gt;0,((VLOOKUP(TRIM(D4704), CATALOGO!A:B, 2, FALSE) * C4704)*(1-VALUE(SUBSTITUTE(VLOOKUP(TRIM(A4704),'RESTAURANTESDESCUENTOS 2026'!A:B,2,FALSE),"%",""))/100)+I4704),(VLOOKUP(TRIM(D4704), CATALOGO!A:B, 2, FALSE) * C4704+I4704)),""))</f>
        <v/>
      </c>
      <c r="K4704" s="196"/>
      <c r="L4704" s="87"/>
      <c r="M4704" s="245"/>
      <c r="N4704" s="168"/>
    </row>
    <row r="4705" ht="22.5" hidden="1" customHeight="1">
      <c r="A4705" s="137"/>
      <c r="B4705" s="90"/>
      <c r="C4705" s="55"/>
      <c r="D4705" s="193"/>
      <c r="E4705" s="201"/>
      <c r="F4705" s="202"/>
      <c r="G4705" s="194"/>
      <c r="H4705" s="198"/>
      <c r="I4705" s="196"/>
      <c r="J4705" s="179" t="str">
        <f>IF(A4705="RAPPI",(VLOOKUP(TRIM(D4705), CATALOGO!F:G, 2, FALSE) * C4705)+I4705,IFERROR(IF(COUNTIF('RESTAURANTESDESCUENTOS 2026'!A:A,TRIM(A4705))&gt;0,((VLOOKUP(TRIM(D4705), CATALOGO!A:B, 2, FALSE) * C4705)*(1-VALUE(SUBSTITUTE(VLOOKUP(TRIM(A4705),'RESTAURANTESDESCUENTOS 2026'!A:B,2,FALSE),"%",""))/100)+I4705),(VLOOKUP(TRIM(D4705), CATALOGO!A:B, 2, FALSE) * C4705+I4705)),""))</f>
        <v/>
      </c>
      <c r="K4705" s="196"/>
      <c r="L4705" s="87"/>
      <c r="M4705" s="245"/>
      <c r="N4705" s="168"/>
    </row>
    <row r="4706" ht="22.5" hidden="1" customHeight="1">
      <c r="A4706" s="137"/>
      <c r="B4706" s="90"/>
      <c r="C4706" s="55"/>
      <c r="D4706" s="193"/>
      <c r="E4706" s="201"/>
      <c r="F4706" s="202"/>
      <c r="G4706" s="194"/>
      <c r="H4706" s="198"/>
      <c r="I4706" s="196"/>
      <c r="J4706" s="179" t="str">
        <f>IF(A4706="RAPPI",(VLOOKUP(TRIM(D4706), CATALOGO!F:G, 2, FALSE) * C4706)+I4706,IFERROR(IF(COUNTIF('RESTAURANTESDESCUENTOS 2026'!A:A,TRIM(A4706))&gt;0,((VLOOKUP(TRIM(D4706), CATALOGO!A:B, 2, FALSE) * C4706)*(1-VALUE(SUBSTITUTE(VLOOKUP(TRIM(A4706),'RESTAURANTESDESCUENTOS 2026'!A:B,2,FALSE),"%",""))/100)+I4706),(VLOOKUP(TRIM(D4706), CATALOGO!A:B, 2, FALSE) * C4706+I4706)),""))</f>
        <v/>
      </c>
      <c r="K4706" s="196"/>
      <c r="L4706" s="87"/>
      <c r="M4706" s="245"/>
      <c r="N4706" s="168"/>
    </row>
    <row r="4707" ht="22.5" hidden="1" customHeight="1">
      <c r="A4707" s="137"/>
      <c r="B4707" s="90"/>
      <c r="C4707" s="55"/>
      <c r="D4707" s="193"/>
      <c r="E4707" s="201"/>
      <c r="F4707" s="202"/>
      <c r="G4707" s="194"/>
      <c r="H4707" s="198"/>
      <c r="I4707" s="196"/>
      <c r="J4707" s="179" t="str">
        <f>IF(A4707="RAPPI",(VLOOKUP(TRIM(D4707), CATALOGO!F:G, 2, FALSE) * C4707)+I4707,IFERROR(IF(COUNTIF('RESTAURANTESDESCUENTOS 2026'!A:A,TRIM(A4707))&gt;0,((VLOOKUP(TRIM(D4707), CATALOGO!A:B, 2, FALSE) * C4707)*(1-VALUE(SUBSTITUTE(VLOOKUP(TRIM(A4707),'RESTAURANTESDESCUENTOS 2026'!A:B,2,FALSE),"%",""))/100)+I4707),(VLOOKUP(TRIM(D4707), CATALOGO!A:B, 2, FALSE) * C4707+I4707)),""))</f>
        <v/>
      </c>
      <c r="K4707" s="196"/>
      <c r="L4707" s="87"/>
      <c r="M4707" s="245"/>
      <c r="N4707" s="168"/>
    </row>
    <row r="4708" ht="22.5" hidden="1" customHeight="1">
      <c r="A4708" s="137"/>
      <c r="B4708" s="90"/>
      <c r="C4708" s="55"/>
      <c r="D4708" s="193"/>
      <c r="E4708" s="201"/>
      <c r="F4708" s="202"/>
      <c r="G4708" s="194"/>
      <c r="H4708" s="198"/>
      <c r="I4708" s="196"/>
      <c r="J4708" s="179" t="str">
        <f>IF(A4708="RAPPI",(VLOOKUP(TRIM(D4708), CATALOGO!F:G, 2, FALSE) * C4708)+I4708,IFERROR(IF(COUNTIF('RESTAURANTESDESCUENTOS 2026'!A:A,TRIM(A4708))&gt;0,((VLOOKUP(TRIM(D4708), CATALOGO!A:B, 2, FALSE) * C4708)*(1-VALUE(SUBSTITUTE(VLOOKUP(TRIM(A4708),'RESTAURANTESDESCUENTOS 2026'!A:B,2,FALSE),"%",""))/100)+I4708),(VLOOKUP(TRIM(D4708), CATALOGO!A:B, 2, FALSE) * C4708+I4708)),""))</f>
        <v/>
      </c>
      <c r="K4708" s="196"/>
      <c r="L4708" s="87"/>
      <c r="M4708" s="245"/>
      <c r="N4708" s="168"/>
    </row>
    <row r="4709" ht="22.5" hidden="1" customHeight="1">
      <c r="A4709" s="137"/>
      <c r="B4709" s="90"/>
      <c r="C4709" s="55"/>
      <c r="D4709" s="193"/>
      <c r="E4709" s="201"/>
      <c r="F4709" s="202"/>
      <c r="G4709" s="194"/>
      <c r="H4709" s="198"/>
      <c r="I4709" s="196"/>
      <c r="J4709" s="179" t="str">
        <f>IF(A4709="RAPPI",(VLOOKUP(TRIM(D4709), CATALOGO!F:G, 2, FALSE) * C4709)+I4709,IFERROR(IF(COUNTIF('RESTAURANTESDESCUENTOS 2026'!A:A,TRIM(A4709))&gt;0,((VLOOKUP(TRIM(D4709), CATALOGO!A:B, 2, FALSE) * C4709)*(1-VALUE(SUBSTITUTE(VLOOKUP(TRIM(A4709),'RESTAURANTESDESCUENTOS 2026'!A:B,2,FALSE),"%",""))/100)+I4709),(VLOOKUP(TRIM(D4709), CATALOGO!A:B, 2, FALSE) * C4709+I4709)),""))</f>
        <v/>
      </c>
      <c r="K4709" s="196"/>
      <c r="L4709" s="87"/>
      <c r="M4709" s="245"/>
      <c r="N4709" s="168"/>
    </row>
    <row r="4710" ht="22.5" hidden="1" customHeight="1">
      <c r="A4710" s="137"/>
      <c r="B4710" s="90"/>
      <c r="C4710" s="55"/>
      <c r="D4710" s="193"/>
      <c r="E4710" s="201"/>
      <c r="F4710" s="202"/>
      <c r="G4710" s="194"/>
      <c r="H4710" s="198"/>
      <c r="I4710" s="196"/>
      <c r="J4710" s="179" t="str">
        <f>IF(A4710="RAPPI",(VLOOKUP(TRIM(D4710), CATALOGO!F:G, 2, FALSE) * C4710)+I4710,IFERROR(IF(COUNTIF('RESTAURANTESDESCUENTOS 2026'!A:A,TRIM(A4710))&gt;0,((VLOOKUP(TRIM(D4710), CATALOGO!A:B, 2, FALSE) * C4710)*(1-VALUE(SUBSTITUTE(VLOOKUP(TRIM(A4710),'RESTAURANTESDESCUENTOS 2026'!A:B,2,FALSE),"%",""))/100)+I4710),(VLOOKUP(TRIM(D4710), CATALOGO!A:B, 2, FALSE) * C4710+I4710)),""))</f>
        <v/>
      </c>
      <c r="K4710" s="196"/>
      <c r="L4710" s="87"/>
      <c r="M4710" s="245"/>
      <c r="N4710" s="168"/>
    </row>
    <row r="4711" ht="22.5" hidden="1" customHeight="1">
      <c r="A4711" s="137"/>
      <c r="B4711" s="90"/>
      <c r="C4711" s="55"/>
      <c r="D4711" s="193"/>
      <c r="E4711" s="201"/>
      <c r="F4711" s="202"/>
      <c r="G4711" s="194"/>
      <c r="H4711" s="198"/>
      <c r="I4711" s="196"/>
      <c r="J4711" s="179" t="str">
        <f>IF(A4711="RAPPI",(VLOOKUP(TRIM(D4711), CATALOGO!F:G, 2, FALSE) * C4711)+I4711,IFERROR(IF(COUNTIF('RESTAURANTESDESCUENTOS 2026'!A:A,TRIM(A4711))&gt;0,((VLOOKUP(TRIM(D4711), CATALOGO!A:B, 2, FALSE) * C4711)*(1-VALUE(SUBSTITUTE(VLOOKUP(TRIM(A4711),'RESTAURANTESDESCUENTOS 2026'!A:B,2,FALSE),"%",""))/100)+I4711),(VLOOKUP(TRIM(D4711), CATALOGO!A:B, 2, FALSE) * C4711+I4711)),""))</f>
        <v/>
      </c>
      <c r="K4711" s="196"/>
      <c r="L4711" s="87"/>
      <c r="M4711" s="245"/>
      <c r="N4711" s="168"/>
    </row>
    <row r="4712" ht="22.5" hidden="1" customHeight="1">
      <c r="A4712" s="137"/>
      <c r="B4712" s="90"/>
      <c r="C4712" s="55"/>
      <c r="D4712" s="193"/>
      <c r="E4712" s="201"/>
      <c r="F4712" s="202"/>
      <c r="G4712" s="194"/>
      <c r="H4712" s="198"/>
      <c r="I4712" s="196"/>
      <c r="J4712" s="179" t="str">
        <f>IF(A4712="RAPPI",(VLOOKUP(TRIM(D4712), CATALOGO!F:G, 2, FALSE) * C4712)+I4712,IFERROR(IF(COUNTIF('RESTAURANTESDESCUENTOS 2026'!A:A,TRIM(A4712))&gt;0,((VLOOKUP(TRIM(D4712), CATALOGO!A:B, 2, FALSE) * C4712)*(1-VALUE(SUBSTITUTE(VLOOKUP(TRIM(A4712),'RESTAURANTESDESCUENTOS 2026'!A:B,2,FALSE),"%",""))/100)+I4712),(VLOOKUP(TRIM(D4712), CATALOGO!A:B, 2, FALSE) * C4712+I4712)),""))</f>
        <v/>
      </c>
      <c r="K4712" s="196"/>
      <c r="L4712" s="87"/>
      <c r="M4712" s="245"/>
      <c r="N4712" s="168"/>
    </row>
    <row r="4713" ht="22.5" hidden="1" customHeight="1">
      <c r="A4713" s="137"/>
      <c r="B4713" s="90"/>
      <c r="C4713" s="55"/>
      <c r="D4713" s="193"/>
      <c r="E4713" s="201"/>
      <c r="F4713" s="202"/>
      <c r="G4713" s="194"/>
      <c r="H4713" s="198"/>
      <c r="I4713" s="196"/>
      <c r="J4713" s="179" t="str">
        <f>IF(A4713="RAPPI",(VLOOKUP(TRIM(D4713), CATALOGO!F:G, 2, FALSE) * C4713)+I4713,IFERROR(IF(COUNTIF('RESTAURANTESDESCUENTOS 2026'!A:A,TRIM(A4713))&gt;0,((VLOOKUP(TRIM(D4713), CATALOGO!A:B, 2, FALSE) * C4713)*(1-VALUE(SUBSTITUTE(VLOOKUP(TRIM(A4713),'RESTAURANTESDESCUENTOS 2026'!A:B,2,FALSE),"%",""))/100)+I4713),(VLOOKUP(TRIM(D4713), CATALOGO!A:B, 2, FALSE) * C4713+I4713)),""))</f>
        <v/>
      </c>
      <c r="K4713" s="196"/>
      <c r="L4713" s="87"/>
      <c r="M4713" s="245"/>
      <c r="N4713" s="168"/>
    </row>
    <row r="4714" ht="22.5" hidden="1" customHeight="1">
      <c r="A4714" s="137"/>
      <c r="B4714" s="90"/>
      <c r="C4714" s="55"/>
      <c r="D4714" s="193"/>
      <c r="E4714" s="201"/>
      <c r="F4714" s="202"/>
      <c r="G4714" s="194"/>
      <c r="H4714" s="198"/>
      <c r="I4714" s="196"/>
      <c r="J4714" s="179" t="str">
        <f>IF(A4714="RAPPI",(VLOOKUP(TRIM(D4714), CATALOGO!F:G, 2, FALSE) * C4714)+I4714,IFERROR(IF(COUNTIF('RESTAURANTESDESCUENTOS 2026'!A:A,TRIM(A4714))&gt;0,((VLOOKUP(TRIM(D4714), CATALOGO!A:B, 2, FALSE) * C4714)*(1-VALUE(SUBSTITUTE(VLOOKUP(TRIM(A4714),'RESTAURANTESDESCUENTOS 2026'!A:B,2,FALSE),"%",""))/100)+I4714),(VLOOKUP(TRIM(D4714), CATALOGO!A:B, 2, FALSE) * C4714+I4714)),""))</f>
        <v/>
      </c>
      <c r="K4714" s="196"/>
      <c r="L4714" s="87"/>
      <c r="M4714" s="245"/>
      <c r="N4714" s="168"/>
    </row>
    <row r="4715" ht="22.5" hidden="1" customHeight="1">
      <c r="A4715" s="137"/>
      <c r="B4715" s="90"/>
      <c r="C4715" s="55"/>
      <c r="D4715" s="193"/>
      <c r="E4715" s="201"/>
      <c r="F4715" s="202"/>
      <c r="G4715" s="194"/>
      <c r="H4715" s="198"/>
      <c r="I4715" s="196"/>
      <c r="J4715" s="179" t="str">
        <f>IF(A4715="RAPPI",(VLOOKUP(TRIM(D4715), CATALOGO!F:G, 2, FALSE) * C4715)+I4715,IFERROR(IF(COUNTIF('RESTAURANTESDESCUENTOS 2026'!A:A,TRIM(A4715))&gt;0,((VLOOKUP(TRIM(D4715), CATALOGO!A:B, 2, FALSE) * C4715)*(1-VALUE(SUBSTITUTE(VLOOKUP(TRIM(A4715),'RESTAURANTESDESCUENTOS 2026'!A:B,2,FALSE),"%",""))/100)+I4715),(VLOOKUP(TRIM(D4715), CATALOGO!A:B, 2, FALSE) * C4715+I4715)),""))</f>
        <v/>
      </c>
      <c r="K4715" s="196"/>
      <c r="L4715" s="87"/>
      <c r="M4715" s="245"/>
      <c r="N4715" s="168"/>
    </row>
    <row r="4716" ht="22.5" hidden="1" customHeight="1">
      <c r="A4716" s="137"/>
      <c r="B4716" s="90"/>
      <c r="C4716" s="55"/>
      <c r="D4716" s="193"/>
      <c r="E4716" s="201"/>
      <c r="F4716" s="202"/>
      <c r="G4716" s="194"/>
      <c r="H4716" s="198"/>
      <c r="I4716" s="196"/>
      <c r="J4716" s="179" t="str">
        <f>IF(A4716="RAPPI",(VLOOKUP(TRIM(D4716), CATALOGO!F:G, 2, FALSE) * C4716)+I4716,IFERROR(IF(COUNTIF('RESTAURANTESDESCUENTOS 2026'!A:A,TRIM(A4716))&gt;0,((VLOOKUP(TRIM(D4716), CATALOGO!A:B, 2, FALSE) * C4716)*(1-VALUE(SUBSTITUTE(VLOOKUP(TRIM(A4716),'RESTAURANTESDESCUENTOS 2026'!A:B,2,FALSE),"%",""))/100)+I4716),(VLOOKUP(TRIM(D4716), CATALOGO!A:B, 2, FALSE) * C4716+I4716)),""))</f>
        <v/>
      </c>
      <c r="K4716" s="196"/>
      <c r="L4716" s="87"/>
      <c r="M4716" s="245"/>
      <c r="N4716" s="168"/>
    </row>
    <row r="4717" ht="22.5" hidden="1" customHeight="1">
      <c r="A4717" s="137"/>
      <c r="B4717" s="90"/>
      <c r="C4717" s="55"/>
      <c r="D4717" s="193"/>
      <c r="E4717" s="201"/>
      <c r="F4717" s="202"/>
      <c r="G4717" s="194"/>
      <c r="H4717" s="198"/>
      <c r="I4717" s="196"/>
      <c r="J4717" s="179" t="str">
        <f>IF(A4717="RAPPI",(VLOOKUP(TRIM(D4717), CATALOGO!F:G, 2, FALSE) * C4717)+I4717,IFERROR(IF(COUNTIF('RESTAURANTESDESCUENTOS 2026'!A:A,TRIM(A4717))&gt;0,((VLOOKUP(TRIM(D4717), CATALOGO!A:B, 2, FALSE) * C4717)*(1-VALUE(SUBSTITUTE(VLOOKUP(TRIM(A4717),'RESTAURANTESDESCUENTOS 2026'!A:B,2,FALSE),"%",""))/100)+I4717),(VLOOKUP(TRIM(D4717), CATALOGO!A:B, 2, FALSE) * C4717+I4717)),""))</f>
        <v/>
      </c>
      <c r="K4717" s="196"/>
      <c r="L4717" s="87"/>
      <c r="M4717" s="245"/>
      <c r="N4717" s="168"/>
    </row>
    <row r="4718" ht="22.5" hidden="1" customHeight="1">
      <c r="A4718" s="137"/>
      <c r="B4718" s="90"/>
      <c r="C4718" s="55"/>
      <c r="D4718" s="193"/>
      <c r="E4718" s="201"/>
      <c r="F4718" s="202"/>
      <c r="G4718" s="194"/>
      <c r="H4718" s="198"/>
      <c r="I4718" s="196"/>
      <c r="J4718" s="179" t="str">
        <f>IF(A4718="RAPPI",(VLOOKUP(TRIM(D4718), CATALOGO!F:G, 2, FALSE) * C4718)+I4718,IFERROR(IF(COUNTIF('RESTAURANTESDESCUENTOS 2026'!A:A,TRIM(A4718))&gt;0,((VLOOKUP(TRIM(D4718), CATALOGO!A:B, 2, FALSE) * C4718)*(1-VALUE(SUBSTITUTE(VLOOKUP(TRIM(A4718),'RESTAURANTESDESCUENTOS 2026'!A:B,2,FALSE),"%",""))/100)+I4718),(VLOOKUP(TRIM(D4718), CATALOGO!A:B, 2, FALSE) * C4718+I4718)),""))</f>
        <v/>
      </c>
      <c r="K4718" s="196"/>
      <c r="L4718" s="87"/>
      <c r="M4718" s="245"/>
      <c r="N4718" s="168"/>
    </row>
    <row r="4719" ht="22.5" hidden="1" customHeight="1">
      <c r="A4719" s="137"/>
      <c r="B4719" s="90"/>
      <c r="C4719" s="55"/>
      <c r="D4719" s="193"/>
      <c r="E4719" s="201"/>
      <c r="F4719" s="202"/>
      <c r="G4719" s="194"/>
      <c r="H4719" s="198"/>
      <c r="I4719" s="196"/>
      <c r="J4719" s="179" t="str">
        <f>IF(A4719="RAPPI",(VLOOKUP(TRIM(D4719), CATALOGO!F:G, 2, FALSE) * C4719)+I4719,IFERROR(IF(COUNTIF('RESTAURANTESDESCUENTOS 2026'!A:A,TRIM(A4719))&gt;0,((VLOOKUP(TRIM(D4719), CATALOGO!A:B, 2, FALSE) * C4719)*(1-VALUE(SUBSTITUTE(VLOOKUP(TRIM(A4719),'RESTAURANTESDESCUENTOS 2026'!A:B,2,FALSE),"%",""))/100)+I4719),(VLOOKUP(TRIM(D4719), CATALOGO!A:B, 2, FALSE) * C4719+I4719)),""))</f>
        <v/>
      </c>
      <c r="K4719" s="196"/>
      <c r="L4719" s="87"/>
      <c r="M4719" s="245"/>
      <c r="N4719" s="168"/>
    </row>
    <row r="4720" ht="22.5" hidden="1" customHeight="1">
      <c r="A4720" s="137"/>
      <c r="B4720" s="90"/>
      <c r="C4720" s="55"/>
      <c r="D4720" s="193"/>
      <c r="E4720" s="201"/>
      <c r="F4720" s="202"/>
      <c r="G4720" s="194"/>
      <c r="H4720" s="198"/>
      <c r="I4720" s="196"/>
      <c r="J4720" s="179" t="str">
        <f>IF(A4720="RAPPI",(VLOOKUP(TRIM(D4720), CATALOGO!F:G, 2, FALSE) * C4720)+I4720,IFERROR(IF(COUNTIF('RESTAURANTESDESCUENTOS 2026'!A:A,TRIM(A4720))&gt;0,((VLOOKUP(TRIM(D4720), CATALOGO!A:B, 2, FALSE) * C4720)*(1-VALUE(SUBSTITUTE(VLOOKUP(TRIM(A4720),'RESTAURANTESDESCUENTOS 2026'!A:B,2,FALSE),"%",""))/100)+I4720),(VLOOKUP(TRIM(D4720), CATALOGO!A:B, 2, FALSE) * C4720+I4720)),""))</f>
        <v/>
      </c>
      <c r="K4720" s="196"/>
      <c r="L4720" s="87"/>
      <c r="M4720" s="245"/>
      <c r="N4720" s="168"/>
    </row>
    <row r="4721" ht="22.5" hidden="1" customHeight="1">
      <c r="A4721" s="137"/>
      <c r="B4721" s="90"/>
      <c r="C4721" s="55"/>
      <c r="D4721" s="193"/>
      <c r="E4721" s="201"/>
      <c r="F4721" s="202"/>
      <c r="G4721" s="194"/>
      <c r="H4721" s="198"/>
      <c r="I4721" s="196"/>
      <c r="J4721" s="179" t="str">
        <f>IF(A4721="RAPPI",(VLOOKUP(TRIM(D4721), CATALOGO!F:G, 2, FALSE) * C4721)+I4721,IFERROR(IF(COUNTIF('RESTAURANTESDESCUENTOS 2026'!A:A,TRIM(A4721))&gt;0,((VLOOKUP(TRIM(D4721), CATALOGO!A:B, 2, FALSE) * C4721)*(1-VALUE(SUBSTITUTE(VLOOKUP(TRIM(A4721),'RESTAURANTESDESCUENTOS 2026'!A:B,2,FALSE),"%",""))/100)+I4721),(VLOOKUP(TRIM(D4721), CATALOGO!A:B, 2, FALSE) * C4721+I4721)),""))</f>
        <v/>
      </c>
      <c r="K4721" s="196"/>
      <c r="L4721" s="87"/>
      <c r="M4721" s="245"/>
      <c r="N4721" s="168"/>
    </row>
    <row r="4722" ht="22.5" hidden="1" customHeight="1">
      <c r="A4722" s="137"/>
      <c r="B4722" s="90"/>
      <c r="C4722" s="55"/>
      <c r="D4722" s="193"/>
      <c r="E4722" s="201"/>
      <c r="F4722" s="202"/>
      <c r="G4722" s="194"/>
      <c r="H4722" s="198"/>
      <c r="I4722" s="196"/>
      <c r="J4722" s="179" t="str">
        <f>IF(A4722="RAPPI",(VLOOKUP(TRIM(D4722), CATALOGO!F:G, 2, FALSE) * C4722)+I4722,IFERROR(IF(COUNTIF('RESTAURANTESDESCUENTOS 2026'!A:A,TRIM(A4722))&gt;0,((VLOOKUP(TRIM(D4722), CATALOGO!A:B, 2, FALSE) * C4722)*(1-VALUE(SUBSTITUTE(VLOOKUP(TRIM(A4722),'RESTAURANTESDESCUENTOS 2026'!A:B,2,FALSE),"%",""))/100)+I4722),(VLOOKUP(TRIM(D4722), CATALOGO!A:B, 2, FALSE) * C4722+I4722)),""))</f>
        <v/>
      </c>
      <c r="K4722" s="196"/>
      <c r="L4722" s="87"/>
      <c r="M4722" s="245"/>
      <c r="N4722" s="168"/>
    </row>
    <row r="4723" ht="22.5" hidden="1" customHeight="1">
      <c r="A4723" s="137"/>
      <c r="B4723" s="90"/>
      <c r="C4723" s="55"/>
      <c r="D4723" s="193"/>
      <c r="E4723" s="201"/>
      <c r="F4723" s="202"/>
      <c r="G4723" s="194"/>
      <c r="H4723" s="198"/>
      <c r="I4723" s="196"/>
      <c r="J4723" s="179" t="str">
        <f>IF(A4723="RAPPI",(VLOOKUP(TRIM(D4723), CATALOGO!F:G, 2, FALSE) * C4723)+I4723,IFERROR(IF(COUNTIF('RESTAURANTESDESCUENTOS 2026'!A:A,TRIM(A4723))&gt;0,((VLOOKUP(TRIM(D4723), CATALOGO!A:B, 2, FALSE) * C4723)*(1-VALUE(SUBSTITUTE(VLOOKUP(TRIM(A4723),'RESTAURANTESDESCUENTOS 2026'!A:B,2,FALSE),"%",""))/100)+I4723),(VLOOKUP(TRIM(D4723), CATALOGO!A:B, 2, FALSE) * C4723+I4723)),""))</f>
        <v/>
      </c>
      <c r="K4723" s="196"/>
      <c r="L4723" s="87"/>
      <c r="M4723" s="245"/>
      <c r="N4723" s="168"/>
    </row>
    <row r="4724" ht="22.5" hidden="1" customHeight="1">
      <c r="A4724" s="137"/>
      <c r="B4724" s="90"/>
      <c r="C4724" s="55"/>
      <c r="D4724" s="193"/>
      <c r="E4724" s="201"/>
      <c r="F4724" s="202"/>
      <c r="G4724" s="194"/>
      <c r="H4724" s="198"/>
      <c r="I4724" s="196"/>
      <c r="J4724" s="179" t="str">
        <f>IF(A4724="RAPPI",(VLOOKUP(TRIM(D4724), CATALOGO!F:G, 2, FALSE) * C4724)+I4724,IFERROR(IF(COUNTIF('RESTAURANTESDESCUENTOS 2026'!A:A,TRIM(A4724))&gt;0,((VLOOKUP(TRIM(D4724), CATALOGO!A:B, 2, FALSE) * C4724)*(1-VALUE(SUBSTITUTE(VLOOKUP(TRIM(A4724),'RESTAURANTESDESCUENTOS 2026'!A:B,2,FALSE),"%",""))/100)+I4724),(VLOOKUP(TRIM(D4724), CATALOGO!A:B, 2, FALSE) * C4724+I4724)),""))</f>
        <v/>
      </c>
      <c r="K4724" s="196"/>
      <c r="L4724" s="87"/>
      <c r="M4724" s="245"/>
      <c r="N4724" s="168"/>
    </row>
    <row r="4725" ht="22.5" hidden="1" customHeight="1">
      <c r="A4725" s="137"/>
      <c r="B4725" s="90"/>
      <c r="C4725" s="55"/>
      <c r="D4725" s="193"/>
      <c r="E4725" s="201"/>
      <c r="F4725" s="202"/>
      <c r="G4725" s="194"/>
      <c r="H4725" s="198"/>
      <c r="I4725" s="196"/>
      <c r="J4725" s="179" t="str">
        <f>IF(A4725="RAPPI",(VLOOKUP(TRIM(D4725), CATALOGO!F:G, 2, FALSE) * C4725)+I4725,IFERROR(IF(COUNTIF('RESTAURANTESDESCUENTOS 2026'!A:A,TRIM(A4725))&gt;0,((VLOOKUP(TRIM(D4725), CATALOGO!A:B, 2, FALSE) * C4725)*(1-VALUE(SUBSTITUTE(VLOOKUP(TRIM(A4725),'RESTAURANTESDESCUENTOS 2026'!A:B,2,FALSE),"%",""))/100)+I4725),(VLOOKUP(TRIM(D4725), CATALOGO!A:B, 2, FALSE) * C4725+I4725)),""))</f>
        <v/>
      </c>
      <c r="K4725" s="196"/>
      <c r="L4725" s="87"/>
      <c r="M4725" s="245"/>
      <c r="N4725" s="168"/>
    </row>
    <row r="4726" ht="22.5" hidden="1" customHeight="1">
      <c r="A4726" s="137"/>
      <c r="B4726" s="90"/>
      <c r="C4726" s="55"/>
      <c r="D4726" s="193"/>
      <c r="E4726" s="201"/>
      <c r="F4726" s="202"/>
      <c r="G4726" s="194"/>
      <c r="H4726" s="198"/>
      <c r="I4726" s="196"/>
      <c r="J4726" s="179" t="str">
        <f>IF(A4726="RAPPI",(VLOOKUP(TRIM(D4726), CATALOGO!F:G, 2, FALSE) * C4726)+I4726,IFERROR(IF(COUNTIF('RESTAURANTESDESCUENTOS 2026'!A:A,TRIM(A4726))&gt;0,((VLOOKUP(TRIM(D4726), CATALOGO!A:B, 2, FALSE) * C4726)*(1-VALUE(SUBSTITUTE(VLOOKUP(TRIM(A4726),'RESTAURANTESDESCUENTOS 2026'!A:B,2,FALSE),"%",""))/100)+I4726),(VLOOKUP(TRIM(D4726), CATALOGO!A:B, 2, FALSE) * C4726+I4726)),""))</f>
        <v/>
      </c>
      <c r="K4726" s="196"/>
      <c r="L4726" s="87"/>
      <c r="M4726" s="245"/>
      <c r="N4726" s="168"/>
    </row>
    <row r="4727" ht="22.5" hidden="1" customHeight="1">
      <c r="A4727" s="137"/>
      <c r="B4727" s="90"/>
      <c r="C4727" s="55"/>
      <c r="D4727" s="193"/>
      <c r="E4727" s="201"/>
      <c r="F4727" s="202"/>
      <c r="G4727" s="194"/>
      <c r="H4727" s="198"/>
      <c r="I4727" s="196"/>
      <c r="J4727" s="179" t="str">
        <f>IF(A4727="RAPPI",(VLOOKUP(TRIM(D4727), CATALOGO!F:G, 2, FALSE) * C4727)+I4727,IFERROR(IF(COUNTIF('RESTAURANTESDESCUENTOS 2026'!A:A,TRIM(A4727))&gt;0,((VLOOKUP(TRIM(D4727), CATALOGO!A:B, 2, FALSE) * C4727)*(1-VALUE(SUBSTITUTE(VLOOKUP(TRIM(A4727),'RESTAURANTESDESCUENTOS 2026'!A:B,2,FALSE),"%",""))/100)+I4727),(VLOOKUP(TRIM(D4727), CATALOGO!A:B, 2, FALSE) * C4727+I4727)),""))</f>
        <v/>
      </c>
      <c r="K4727" s="196"/>
      <c r="L4727" s="87"/>
      <c r="M4727" s="245"/>
      <c r="N4727" s="168"/>
    </row>
    <row r="4728" ht="22.5" hidden="1" customHeight="1">
      <c r="A4728" s="137"/>
      <c r="B4728" s="90"/>
      <c r="C4728" s="55"/>
      <c r="D4728" s="193"/>
      <c r="E4728" s="201"/>
      <c r="F4728" s="202"/>
      <c r="G4728" s="194"/>
      <c r="H4728" s="198"/>
      <c r="I4728" s="196"/>
      <c r="J4728" s="179" t="str">
        <f>IF(A4728="RAPPI",(VLOOKUP(TRIM(D4728), CATALOGO!F:G, 2, FALSE) * C4728)+I4728,IFERROR(IF(COUNTIF('RESTAURANTESDESCUENTOS 2026'!A:A,TRIM(A4728))&gt;0,((VLOOKUP(TRIM(D4728), CATALOGO!A:B, 2, FALSE) * C4728)*(1-VALUE(SUBSTITUTE(VLOOKUP(TRIM(A4728),'RESTAURANTESDESCUENTOS 2026'!A:B,2,FALSE),"%",""))/100)+I4728),(VLOOKUP(TRIM(D4728), CATALOGO!A:B, 2, FALSE) * C4728+I4728)),""))</f>
        <v/>
      </c>
      <c r="K4728" s="196"/>
      <c r="L4728" s="87"/>
      <c r="M4728" s="245"/>
      <c r="N4728" s="168"/>
    </row>
    <row r="4729" ht="22.5" hidden="1" customHeight="1">
      <c r="A4729" s="137"/>
      <c r="B4729" s="90"/>
      <c r="C4729" s="55"/>
      <c r="D4729" s="193"/>
      <c r="E4729" s="201"/>
      <c r="F4729" s="202"/>
      <c r="G4729" s="194"/>
      <c r="H4729" s="198"/>
      <c r="I4729" s="196"/>
      <c r="J4729" s="179" t="str">
        <f>IF(A4729="RAPPI",(VLOOKUP(TRIM(D4729), CATALOGO!F:G, 2, FALSE) * C4729)+I4729,IFERROR(IF(COUNTIF('RESTAURANTESDESCUENTOS 2026'!A:A,TRIM(A4729))&gt;0,((VLOOKUP(TRIM(D4729), CATALOGO!A:B, 2, FALSE) * C4729)*(1-VALUE(SUBSTITUTE(VLOOKUP(TRIM(A4729),'RESTAURANTESDESCUENTOS 2026'!A:B,2,FALSE),"%",""))/100)+I4729),(VLOOKUP(TRIM(D4729), CATALOGO!A:B, 2, FALSE) * C4729+I4729)),""))</f>
        <v/>
      </c>
      <c r="K4729" s="196"/>
      <c r="L4729" s="87"/>
      <c r="M4729" s="245"/>
      <c r="N4729" s="168"/>
    </row>
    <row r="4730" ht="22.5" hidden="1" customHeight="1">
      <c r="A4730" s="137"/>
      <c r="B4730" s="90"/>
      <c r="C4730" s="55"/>
      <c r="D4730" s="193"/>
      <c r="E4730" s="201"/>
      <c r="F4730" s="202"/>
      <c r="G4730" s="194"/>
      <c r="H4730" s="198"/>
      <c r="I4730" s="196"/>
      <c r="J4730" s="179" t="str">
        <f>IF(A4730="RAPPI",(VLOOKUP(TRIM(D4730), CATALOGO!F:G, 2, FALSE) * C4730)+I4730,IFERROR(IF(COUNTIF('RESTAURANTESDESCUENTOS 2026'!A:A,TRIM(A4730))&gt;0,((VLOOKUP(TRIM(D4730), CATALOGO!A:B, 2, FALSE) * C4730)*(1-VALUE(SUBSTITUTE(VLOOKUP(TRIM(A4730),'RESTAURANTESDESCUENTOS 2026'!A:B,2,FALSE),"%",""))/100)+I4730),(VLOOKUP(TRIM(D4730), CATALOGO!A:B, 2, FALSE) * C4730+I4730)),""))</f>
        <v/>
      </c>
      <c r="K4730" s="196"/>
      <c r="L4730" s="87"/>
      <c r="M4730" s="245"/>
      <c r="N4730" s="168"/>
    </row>
    <row r="4731" ht="22.5" hidden="1" customHeight="1">
      <c r="A4731" s="137"/>
      <c r="B4731" s="90"/>
      <c r="C4731" s="55"/>
      <c r="D4731" s="193"/>
      <c r="E4731" s="201"/>
      <c r="F4731" s="202"/>
      <c r="G4731" s="194"/>
      <c r="H4731" s="198"/>
      <c r="I4731" s="196"/>
      <c r="J4731" s="179" t="str">
        <f>IF(A4731="RAPPI",(VLOOKUP(TRIM(D4731), CATALOGO!F:G, 2, FALSE) * C4731)+I4731,IFERROR(IF(COUNTIF('RESTAURANTESDESCUENTOS 2026'!A:A,TRIM(A4731))&gt;0,((VLOOKUP(TRIM(D4731), CATALOGO!A:B, 2, FALSE) * C4731)*(1-VALUE(SUBSTITUTE(VLOOKUP(TRIM(A4731),'RESTAURANTESDESCUENTOS 2026'!A:B,2,FALSE),"%",""))/100)+I4731),(VLOOKUP(TRIM(D4731), CATALOGO!A:B, 2, FALSE) * C4731+I4731)),""))</f>
        <v/>
      </c>
      <c r="K4731" s="196"/>
      <c r="L4731" s="87"/>
      <c r="M4731" s="245"/>
      <c r="N4731" s="168"/>
    </row>
    <row r="4732" ht="22.5" hidden="1" customHeight="1">
      <c r="A4732" s="137"/>
      <c r="B4732" s="90"/>
      <c r="C4732" s="55"/>
      <c r="D4732" s="193"/>
      <c r="E4732" s="201"/>
      <c r="F4732" s="202"/>
      <c r="G4732" s="194"/>
      <c r="H4732" s="198"/>
      <c r="I4732" s="196"/>
      <c r="J4732" s="179" t="str">
        <f>IF(A4732="RAPPI",(VLOOKUP(TRIM(D4732), CATALOGO!F:G, 2, FALSE) * C4732)+I4732,IFERROR(IF(COUNTIF('RESTAURANTESDESCUENTOS 2026'!A:A,TRIM(A4732))&gt;0,((VLOOKUP(TRIM(D4732), CATALOGO!A:B, 2, FALSE) * C4732)*(1-VALUE(SUBSTITUTE(VLOOKUP(TRIM(A4732),'RESTAURANTESDESCUENTOS 2026'!A:B,2,FALSE),"%",""))/100)+I4732),(VLOOKUP(TRIM(D4732), CATALOGO!A:B, 2, FALSE) * C4732+I4732)),""))</f>
        <v/>
      </c>
      <c r="K4732" s="196"/>
      <c r="L4732" s="87"/>
      <c r="M4732" s="245"/>
      <c r="N4732" s="168"/>
    </row>
    <row r="4733" ht="22.5" hidden="1" customHeight="1">
      <c r="A4733" s="137"/>
      <c r="B4733" s="90"/>
      <c r="C4733" s="55"/>
      <c r="D4733" s="193"/>
      <c r="E4733" s="201"/>
      <c r="F4733" s="202"/>
      <c r="G4733" s="194"/>
      <c r="H4733" s="198"/>
      <c r="I4733" s="196"/>
      <c r="J4733" s="179" t="str">
        <f>IF(A4733="RAPPI",(VLOOKUP(TRIM(D4733), CATALOGO!F:G, 2, FALSE) * C4733)+I4733,IFERROR(IF(COUNTIF('RESTAURANTESDESCUENTOS 2026'!A:A,TRIM(A4733))&gt;0,((VLOOKUP(TRIM(D4733), CATALOGO!A:B, 2, FALSE) * C4733)*(1-VALUE(SUBSTITUTE(VLOOKUP(TRIM(A4733),'RESTAURANTESDESCUENTOS 2026'!A:B,2,FALSE),"%",""))/100)+I4733),(VLOOKUP(TRIM(D4733), CATALOGO!A:B, 2, FALSE) * C4733+I4733)),""))</f>
        <v/>
      </c>
      <c r="K4733" s="196"/>
      <c r="L4733" s="87"/>
      <c r="M4733" s="245"/>
      <c r="N4733" s="168"/>
    </row>
    <row r="4734" ht="22.5" hidden="1" customHeight="1">
      <c r="A4734" s="137"/>
      <c r="B4734" s="90"/>
      <c r="C4734" s="55"/>
      <c r="D4734" s="193"/>
      <c r="E4734" s="201"/>
      <c r="F4734" s="202"/>
      <c r="G4734" s="194"/>
      <c r="H4734" s="198"/>
      <c r="I4734" s="196"/>
      <c r="J4734" s="179" t="str">
        <f>IF(A4734="RAPPI",(VLOOKUP(TRIM(D4734), CATALOGO!F:G, 2, FALSE) * C4734)+I4734,IFERROR(IF(COUNTIF('RESTAURANTESDESCUENTOS 2026'!A:A,TRIM(A4734))&gt;0,((VLOOKUP(TRIM(D4734), CATALOGO!A:B, 2, FALSE) * C4734)*(1-VALUE(SUBSTITUTE(VLOOKUP(TRIM(A4734),'RESTAURANTESDESCUENTOS 2026'!A:B,2,FALSE),"%",""))/100)+I4734),(VLOOKUP(TRIM(D4734), CATALOGO!A:B, 2, FALSE) * C4734+I4734)),""))</f>
        <v/>
      </c>
      <c r="K4734" s="196"/>
      <c r="L4734" s="87"/>
      <c r="M4734" s="245"/>
      <c r="N4734" s="168"/>
    </row>
    <row r="4735" ht="22.5" hidden="1" customHeight="1">
      <c r="A4735" s="137"/>
      <c r="B4735" s="90"/>
      <c r="C4735" s="55"/>
      <c r="D4735" s="193"/>
      <c r="E4735" s="201"/>
      <c r="F4735" s="202"/>
      <c r="G4735" s="194"/>
      <c r="H4735" s="198"/>
      <c r="I4735" s="196"/>
      <c r="J4735" s="179" t="str">
        <f>IF(A4735="RAPPI",(VLOOKUP(TRIM(D4735), CATALOGO!F:G, 2, FALSE) * C4735)+I4735,IFERROR(IF(COUNTIF('RESTAURANTESDESCUENTOS 2026'!A:A,TRIM(A4735))&gt;0,((VLOOKUP(TRIM(D4735), CATALOGO!A:B, 2, FALSE) * C4735)*(1-VALUE(SUBSTITUTE(VLOOKUP(TRIM(A4735),'RESTAURANTESDESCUENTOS 2026'!A:B,2,FALSE),"%",""))/100)+I4735),(VLOOKUP(TRIM(D4735), CATALOGO!A:B, 2, FALSE) * C4735+I4735)),""))</f>
        <v/>
      </c>
      <c r="K4735" s="196"/>
      <c r="L4735" s="87"/>
      <c r="M4735" s="245"/>
      <c r="N4735" s="168"/>
    </row>
    <row r="4736" ht="22.5" hidden="1" customHeight="1">
      <c r="A4736" s="137"/>
      <c r="B4736" s="90"/>
      <c r="C4736" s="55"/>
      <c r="D4736" s="193"/>
      <c r="E4736" s="201"/>
      <c r="F4736" s="202"/>
      <c r="G4736" s="194"/>
      <c r="H4736" s="198"/>
      <c r="I4736" s="196"/>
      <c r="J4736" s="179" t="str">
        <f>IF(A4736="RAPPI",(VLOOKUP(TRIM(D4736), CATALOGO!F:G, 2, FALSE) * C4736)+I4736,IFERROR(IF(COUNTIF('RESTAURANTESDESCUENTOS 2026'!A:A,TRIM(A4736))&gt;0,((VLOOKUP(TRIM(D4736), CATALOGO!A:B, 2, FALSE) * C4736)*(1-VALUE(SUBSTITUTE(VLOOKUP(TRIM(A4736),'RESTAURANTESDESCUENTOS 2026'!A:B,2,FALSE),"%",""))/100)+I4736),(VLOOKUP(TRIM(D4736), CATALOGO!A:B, 2, FALSE) * C4736+I4736)),""))</f>
        <v/>
      </c>
      <c r="K4736" s="196"/>
      <c r="L4736" s="87"/>
      <c r="M4736" s="245"/>
      <c r="N4736" s="168"/>
    </row>
    <row r="4737" ht="22.5" hidden="1" customHeight="1">
      <c r="A4737" s="137"/>
      <c r="B4737" s="90"/>
      <c r="C4737" s="55"/>
      <c r="D4737" s="193"/>
      <c r="E4737" s="201"/>
      <c r="F4737" s="202"/>
      <c r="G4737" s="194"/>
      <c r="H4737" s="198"/>
      <c r="I4737" s="196"/>
      <c r="J4737" s="179" t="str">
        <f>IF(A4737="RAPPI",(VLOOKUP(TRIM(D4737), CATALOGO!F:G, 2, FALSE) * C4737)+I4737,IFERROR(IF(COUNTIF('RESTAURANTESDESCUENTOS 2026'!A:A,TRIM(A4737))&gt;0,((VLOOKUP(TRIM(D4737), CATALOGO!A:B, 2, FALSE) * C4737)*(1-VALUE(SUBSTITUTE(VLOOKUP(TRIM(A4737),'RESTAURANTESDESCUENTOS 2026'!A:B,2,FALSE),"%",""))/100)+I4737),(VLOOKUP(TRIM(D4737), CATALOGO!A:B, 2, FALSE) * C4737+I4737)),""))</f>
        <v/>
      </c>
      <c r="K4737" s="196"/>
      <c r="L4737" s="87"/>
      <c r="M4737" s="245"/>
      <c r="N4737" s="168"/>
    </row>
    <row r="4738" ht="22.5" hidden="1" customHeight="1">
      <c r="A4738" s="137"/>
      <c r="B4738" s="90"/>
      <c r="C4738" s="55"/>
      <c r="D4738" s="193"/>
      <c r="E4738" s="201"/>
      <c r="F4738" s="202"/>
      <c r="G4738" s="194"/>
      <c r="H4738" s="198"/>
      <c r="I4738" s="196"/>
      <c r="J4738" s="179" t="str">
        <f>IF(A4738="RAPPI",(VLOOKUP(TRIM(D4738), CATALOGO!F:G, 2, FALSE) * C4738)+I4738,IFERROR(IF(COUNTIF('RESTAURANTESDESCUENTOS 2026'!A:A,TRIM(A4738))&gt;0,((VLOOKUP(TRIM(D4738), CATALOGO!A:B, 2, FALSE) * C4738)*(1-VALUE(SUBSTITUTE(VLOOKUP(TRIM(A4738),'RESTAURANTESDESCUENTOS 2026'!A:B,2,FALSE),"%",""))/100)+I4738),(VLOOKUP(TRIM(D4738), CATALOGO!A:B, 2, FALSE) * C4738+I4738)),""))</f>
        <v/>
      </c>
      <c r="K4738" s="196"/>
      <c r="L4738" s="87"/>
      <c r="M4738" s="245"/>
      <c r="N4738" s="168"/>
    </row>
    <row r="4739" ht="22.5" hidden="1" customHeight="1">
      <c r="A4739" s="137"/>
      <c r="B4739" s="90"/>
      <c r="C4739" s="55"/>
      <c r="D4739" s="193"/>
      <c r="E4739" s="201"/>
      <c r="F4739" s="202"/>
      <c r="G4739" s="194"/>
      <c r="H4739" s="198"/>
      <c r="I4739" s="196"/>
      <c r="J4739" s="179" t="str">
        <f>IF(A4739="RAPPI",(VLOOKUP(TRIM(D4739), CATALOGO!F:G, 2, FALSE) * C4739)+I4739,IFERROR(IF(COUNTIF('RESTAURANTESDESCUENTOS 2026'!A:A,TRIM(A4739))&gt;0,((VLOOKUP(TRIM(D4739), CATALOGO!A:B, 2, FALSE) * C4739)*(1-VALUE(SUBSTITUTE(VLOOKUP(TRIM(A4739),'RESTAURANTESDESCUENTOS 2026'!A:B,2,FALSE),"%",""))/100)+I4739),(VLOOKUP(TRIM(D4739), CATALOGO!A:B, 2, FALSE) * C4739+I4739)),""))</f>
        <v/>
      </c>
      <c r="K4739" s="196"/>
      <c r="L4739" s="87"/>
      <c r="M4739" s="245"/>
      <c r="N4739" s="168"/>
    </row>
    <row r="4740" ht="22.5" hidden="1" customHeight="1">
      <c r="A4740" s="137"/>
      <c r="B4740" s="90"/>
      <c r="C4740" s="55"/>
      <c r="D4740" s="193"/>
      <c r="E4740" s="201"/>
      <c r="F4740" s="202"/>
      <c r="G4740" s="194"/>
      <c r="H4740" s="198"/>
      <c r="I4740" s="196"/>
      <c r="J4740" s="179" t="str">
        <f>IF(A4740="RAPPI",(VLOOKUP(TRIM(D4740), CATALOGO!F:G, 2, FALSE) * C4740)+I4740,IFERROR(IF(COUNTIF('RESTAURANTESDESCUENTOS 2026'!A:A,TRIM(A4740))&gt;0,((VLOOKUP(TRIM(D4740), CATALOGO!A:B, 2, FALSE) * C4740)*(1-VALUE(SUBSTITUTE(VLOOKUP(TRIM(A4740),'RESTAURANTESDESCUENTOS 2026'!A:B,2,FALSE),"%",""))/100)+I4740),(VLOOKUP(TRIM(D4740), CATALOGO!A:B, 2, FALSE) * C4740+I4740)),""))</f>
        <v/>
      </c>
      <c r="K4740" s="196"/>
      <c r="L4740" s="87"/>
      <c r="M4740" s="245"/>
      <c r="N4740" s="168"/>
    </row>
    <row r="4741" ht="22.5" hidden="1" customHeight="1">
      <c r="A4741" s="137"/>
      <c r="B4741" s="90"/>
      <c r="C4741" s="55"/>
      <c r="D4741" s="193"/>
      <c r="E4741" s="201"/>
      <c r="F4741" s="202"/>
      <c r="G4741" s="194"/>
      <c r="H4741" s="198"/>
      <c r="I4741" s="196"/>
      <c r="J4741" s="179" t="str">
        <f>IF(A4741="RAPPI",(VLOOKUP(TRIM(D4741), CATALOGO!F:G, 2, FALSE) * C4741)+I4741,IFERROR(IF(COUNTIF('RESTAURANTESDESCUENTOS 2026'!A:A,TRIM(A4741))&gt;0,((VLOOKUP(TRIM(D4741), CATALOGO!A:B, 2, FALSE) * C4741)*(1-VALUE(SUBSTITUTE(VLOOKUP(TRIM(A4741),'RESTAURANTESDESCUENTOS 2026'!A:B,2,FALSE),"%",""))/100)+I4741),(VLOOKUP(TRIM(D4741), CATALOGO!A:B, 2, FALSE) * C4741+I4741)),""))</f>
        <v/>
      </c>
      <c r="K4741" s="196"/>
      <c r="L4741" s="87"/>
      <c r="M4741" s="245"/>
      <c r="N4741" s="168"/>
    </row>
    <row r="4742" ht="22.5" hidden="1" customHeight="1">
      <c r="A4742" s="137"/>
      <c r="B4742" s="90"/>
      <c r="C4742" s="55"/>
      <c r="D4742" s="193"/>
      <c r="E4742" s="201"/>
      <c r="F4742" s="202"/>
      <c r="G4742" s="194"/>
      <c r="H4742" s="198"/>
      <c r="I4742" s="196"/>
      <c r="J4742" s="179" t="str">
        <f>IF(A4742="RAPPI",(VLOOKUP(TRIM(D4742), CATALOGO!F:G, 2, FALSE) * C4742)+I4742,IFERROR(IF(COUNTIF('RESTAURANTESDESCUENTOS 2026'!A:A,TRIM(A4742))&gt;0,((VLOOKUP(TRIM(D4742), CATALOGO!A:B, 2, FALSE) * C4742)*(1-VALUE(SUBSTITUTE(VLOOKUP(TRIM(A4742),'RESTAURANTESDESCUENTOS 2026'!A:B,2,FALSE),"%",""))/100)+I4742),(VLOOKUP(TRIM(D4742), CATALOGO!A:B, 2, FALSE) * C4742+I4742)),""))</f>
        <v/>
      </c>
      <c r="K4742" s="196"/>
      <c r="L4742" s="87"/>
      <c r="M4742" s="245"/>
      <c r="N4742" s="168"/>
    </row>
    <row r="4743" ht="22.5" hidden="1" customHeight="1">
      <c r="A4743" s="137"/>
      <c r="B4743" s="90"/>
      <c r="C4743" s="55"/>
      <c r="D4743" s="193"/>
      <c r="E4743" s="201"/>
      <c r="F4743" s="202"/>
      <c r="G4743" s="194"/>
      <c r="H4743" s="198"/>
      <c r="I4743" s="196"/>
      <c r="J4743" s="179" t="str">
        <f>IF(A4743="RAPPI",(VLOOKUP(TRIM(D4743), CATALOGO!F:G, 2, FALSE) * C4743)+I4743,IFERROR(IF(COUNTIF('RESTAURANTESDESCUENTOS 2026'!A:A,TRIM(A4743))&gt;0,((VLOOKUP(TRIM(D4743), CATALOGO!A:B, 2, FALSE) * C4743)*(1-VALUE(SUBSTITUTE(VLOOKUP(TRIM(A4743),'RESTAURANTESDESCUENTOS 2026'!A:B,2,FALSE),"%",""))/100)+I4743),(VLOOKUP(TRIM(D4743), CATALOGO!A:B, 2, FALSE) * C4743+I4743)),""))</f>
        <v/>
      </c>
      <c r="K4743" s="196"/>
      <c r="L4743" s="87"/>
      <c r="M4743" s="245"/>
      <c r="N4743" s="168"/>
    </row>
    <row r="4744" ht="22.5" hidden="1" customHeight="1">
      <c r="A4744" s="137"/>
      <c r="B4744" s="90"/>
      <c r="C4744" s="55"/>
      <c r="D4744" s="193"/>
      <c r="E4744" s="201"/>
      <c r="F4744" s="202"/>
      <c r="G4744" s="194"/>
      <c r="H4744" s="198"/>
      <c r="I4744" s="196"/>
      <c r="J4744" s="179" t="str">
        <f>IF(A4744="RAPPI",(VLOOKUP(TRIM(D4744), CATALOGO!F:G, 2, FALSE) * C4744)+I4744,IFERROR(IF(COUNTIF('RESTAURANTESDESCUENTOS 2026'!A:A,TRIM(A4744))&gt;0,((VLOOKUP(TRIM(D4744), CATALOGO!A:B, 2, FALSE) * C4744)*(1-VALUE(SUBSTITUTE(VLOOKUP(TRIM(A4744),'RESTAURANTESDESCUENTOS 2026'!A:B,2,FALSE),"%",""))/100)+I4744),(VLOOKUP(TRIM(D4744), CATALOGO!A:B, 2, FALSE) * C4744+I4744)),""))</f>
        <v/>
      </c>
      <c r="K4744" s="196"/>
      <c r="L4744" s="87"/>
      <c r="M4744" s="245"/>
      <c r="N4744" s="168"/>
    </row>
    <row r="4745" ht="22.5" hidden="1" customHeight="1">
      <c r="A4745" s="137"/>
      <c r="B4745" s="90"/>
      <c r="C4745" s="55"/>
      <c r="D4745" s="193"/>
      <c r="E4745" s="201"/>
      <c r="F4745" s="202"/>
      <c r="G4745" s="194"/>
      <c r="H4745" s="198"/>
      <c r="I4745" s="196"/>
      <c r="J4745" s="179" t="str">
        <f>IF(A4745="RAPPI",(VLOOKUP(TRIM(D4745), CATALOGO!F:G, 2, FALSE) * C4745)+I4745,IFERROR(IF(COUNTIF('RESTAURANTESDESCUENTOS 2026'!A:A,TRIM(A4745))&gt;0,((VLOOKUP(TRIM(D4745), CATALOGO!A:B, 2, FALSE) * C4745)*(1-VALUE(SUBSTITUTE(VLOOKUP(TRIM(A4745),'RESTAURANTESDESCUENTOS 2026'!A:B,2,FALSE),"%",""))/100)+I4745),(VLOOKUP(TRIM(D4745), CATALOGO!A:B, 2, FALSE) * C4745+I4745)),""))</f>
        <v/>
      </c>
      <c r="K4745" s="196"/>
      <c r="L4745" s="87"/>
      <c r="M4745" s="245"/>
      <c r="N4745" s="168"/>
    </row>
    <row r="4746" ht="22.5" hidden="1" customHeight="1">
      <c r="A4746" s="137"/>
      <c r="B4746" s="90"/>
      <c r="C4746" s="55"/>
      <c r="D4746" s="193"/>
      <c r="E4746" s="201"/>
      <c r="F4746" s="202"/>
      <c r="G4746" s="194"/>
      <c r="H4746" s="198"/>
      <c r="I4746" s="196"/>
      <c r="J4746" s="179" t="str">
        <f>IF(A4746="RAPPI",(VLOOKUP(TRIM(D4746), CATALOGO!F:G, 2, FALSE) * C4746)+I4746,IFERROR(IF(COUNTIF('RESTAURANTESDESCUENTOS 2026'!A:A,TRIM(A4746))&gt;0,((VLOOKUP(TRIM(D4746), CATALOGO!A:B, 2, FALSE) * C4746)*(1-VALUE(SUBSTITUTE(VLOOKUP(TRIM(A4746),'RESTAURANTESDESCUENTOS 2026'!A:B,2,FALSE),"%",""))/100)+I4746),(VLOOKUP(TRIM(D4746), CATALOGO!A:B, 2, FALSE) * C4746+I4746)),""))</f>
        <v/>
      </c>
      <c r="K4746" s="196"/>
      <c r="L4746" s="87"/>
      <c r="M4746" s="245"/>
      <c r="N4746" s="168"/>
    </row>
    <row r="4747" ht="22.5" hidden="1" customHeight="1">
      <c r="A4747" s="137"/>
      <c r="B4747" s="90"/>
      <c r="C4747" s="55"/>
      <c r="D4747" s="193"/>
      <c r="E4747" s="201"/>
      <c r="F4747" s="202"/>
      <c r="G4747" s="194"/>
      <c r="H4747" s="198"/>
      <c r="I4747" s="196"/>
      <c r="J4747" s="179" t="str">
        <f>IF(A4747="RAPPI",(VLOOKUP(TRIM(D4747), CATALOGO!F:G, 2, FALSE) * C4747)+I4747,IFERROR(IF(COUNTIF('RESTAURANTESDESCUENTOS 2026'!A:A,TRIM(A4747))&gt;0,((VLOOKUP(TRIM(D4747), CATALOGO!A:B, 2, FALSE) * C4747)*(1-VALUE(SUBSTITUTE(VLOOKUP(TRIM(A4747),'RESTAURANTESDESCUENTOS 2026'!A:B,2,FALSE),"%",""))/100)+I4747),(VLOOKUP(TRIM(D4747), CATALOGO!A:B, 2, FALSE) * C4747+I4747)),""))</f>
        <v/>
      </c>
      <c r="K4747" s="196"/>
      <c r="L4747" s="87"/>
      <c r="M4747" s="245"/>
      <c r="N4747" s="168"/>
    </row>
    <row r="4748" ht="22.5" hidden="1" customHeight="1">
      <c r="A4748" s="137"/>
      <c r="B4748" s="90"/>
      <c r="C4748" s="55"/>
      <c r="D4748" s="193"/>
      <c r="E4748" s="201"/>
      <c r="F4748" s="202"/>
      <c r="G4748" s="194"/>
      <c r="H4748" s="198"/>
      <c r="I4748" s="196"/>
      <c r="J4748" s="179" t="str">
        <f>IF(A4748="RAPPI",(VLOOKUP(TRIM(D4748), CATALOGO!F:G, 2, FALSE) * C4748)+I4748,IFERROR(IF(COUNTIF('RESTAURANTESDESCUENTOS 2026'!A:A,TRIM(A4748))&gt;0,((VLOOKUP(TRIM(D4748), CATALOGO!A:B, 2, FALSE) * C4748)*(1-VALUE(SUBSTITUTE(VLOOKUP(TRIM(A4748),'RESTAURANTESDESCUENTOS 2026'!A:B,2,FALSE),"%",""))/100)+I4748),(VLOOKUP(TRIM(D4748), CATALOGO!A:B, 2, FALSE) * C4748+I4748)),""))</f>
        <v/>
      </c>
      <c r="K4748" s="196"/>
      <c r="L4748" s="87"/>
      <c r="M4748" s="245"/>
      <c r="N4748" s="168"/>
    </row>
    <row r="4749" ht="22.5" hidden="1" customHeight="1">
      <c r="A4749" s="137"/>
      <c r="B4749" s="90"/>
      <c r="C4749" s="55"/>
      <c r="D4749" s="193"/>
      <c r="E4749" s="201"/>
      <c r="F4749" s="202"/>
      <c r="G4749" s="194"/>
      <c r="H4749" s="198"/>
      <c r="I4749" s="196"/>
      <c r="J4749" s="179" t="str">
        <f>IF(A4749="RAPPI",(VLOOKUP(TRIM(D4749), CATALOGO!F:G, 2, FALSE) * C4749)+I4749,IFERROR(IF(COUNTIF('RESTAURANTESDESCUENTOS 2026'!A:A,TRIM(A4749))&gt;0,((VLOOKUP(TRIM(D4749), CATALOGO!A:B, 2, FALSE) * C4749)*(1-VALUE(SUBSTITUTE(VLOOKUP(TRIM(A4749),'RESTAURANTESDESCUENTOS 2026'!A:B,2,FALSE),"%",""))/100)+I4749),(VLOOKUP(TRIM(D4749), CATALOGO!A:B, 2, FALSE) * C4749+I4749)),""))</f>
        <v/>
      </c>
      <c r="K4749" s="196"/>
      <c r="L4749" s="87"/>
      <c r="M4749" s="245"/>
      <c r="N4749" s="168"/>
    </row>
    <row r="4750" ht="22.5" hidden="1" customHeight="1">
      <c r="A4750" s="137"/>
      <c r="B4750" s="90"/>
      <c r="C4750" s="55"/>
      <c r="D4750" s="193"/>
      <c r="E4750" s="201"/>
      <c r="F4750" s="202"/>
      <c r="G4750" s="194"/>
      <c r="H4750" s="198"/>
      <c r="I4750" s="196"/>
      <c r="J4750" s="179" t="str">
        <f>IF(A4750="RAPPI",(VLOOKUP(TRIM(D4750), CATALOGO!F:G, 2, FALSE) * C4750)+I4750,IFERROR(IF(COUNTIF('RESTAURANTESDESCUENTOS 2026'!A:A,TRIM(A4750))&gt;0,((VLOOKUP(TRIM(D4750), CATALOGO!A:B, 2, FALSE) * C4750)*(1-VALUE(SUBSTITUTE(VLOOKUP(TRIM(A4750),'RESTAURANTESDESCUENTOS 2026'!A:B,2,FALSE),"%",""))/100)+I4750),(VLOOKUP(TRIM(D4750), CATALOGO!A:B, 2, FALSE) * C4750+I4750)),""))</f>
        <v/>
      </c>
      <c r="K4750" s="196"/>
      <c r="L4750" s="87"/>
      <c r="M4750" s="245"/>
      <c r="N4750" s="168"/>
    </row>
    <row r="4751" ht="22.5" hidden="1" customHeight="1">
      <c r="A4751" s="137"/>
      <c r="B4751" s="90"/>
      <c r="C4751" s="55"/>
      <c r="D4751" s="193"/>
      <c r="E4751" s="201"/>
      <c r="F4751" s="202"/>
      <c r="G4751" s="194"/>
      <c r="H4751" s="198"/>
      <c r="I4751" s="196"/>
      <c r="J4751" s="179" t="str">
        <f>IF(A4751="RAPPI",(VLOOKUP(TRIM(D4751), CATALOGO!F:G, 2, FALSE) * C4751)+I4751,IFERROR(IF(COUNTIF('RESTAURANTESDESCUENTOS 2026'!A:A,TRIM(A4751))&gt;0,((VLOOKUP(TRIM(D4751), CATALOGO!A:B, 2, FALSE) * C4751)*(1-VALUE(SUBSTITUTE(VLOOKUP(TRIM(A4751),'RESTAURANTESDESCUENTOS 2026'!A:B,2,FALSE),"%",""))/100)+I4751),(VLOOKUP(TRIM(D4751), CATALOGO!A:B, 2, FALSE) * C4751+I4751)),""))</f>
        <v/>
      </c>
      <c r="K4751" s="196"/>
      <c r="L4751" s="87"/>
      <c r="M4751" s="245"/>
      <c r="N4751" s="168"/>
    </row>
    <row r="4752" ht="22.5" hidden="1" customHeight="1">
      <c r="A4752" s="137"/>
      <c r="B4752" s="90"/>
      <c r="C4752" s="55"/>
      <c r="D4752" s="193"/>
      <c r="E4752" s="201"/>
      <c r="F4752" s="202"/>
      <c r="G4752" s="194"/>
      <c r="H4752" s="198"/>
      <c r="I4752" s="196"/>
      <c r="J4752" s="179" t="str">
        <f>IF(A4752="RAPPI",(VLOOKUP(TRIM(D4752), CATALOGO!F:G, 2, FALSE) * C4752)+I4752,IFERROR(IF(COUNTIF('RESTAURANTESDESCUENTOS 2026'!A:A,TRIM(A4752))&gt;0,((VLOOKUP(TRIM(D4752), CATALOGO!A:B, 2, FALSE) * C4752)*(1-VALUE(SUBSTITUTE(VLOOKUP(TRIM(A4752),'RESTAURANTESDESCUENTOS 2026'!A:B,2,FALSE),"%",""))/100)+I4752),(VLOOKUP(TRIM(D4752), CATALOGO!A:B, 2, FALSE) * C4752+I4752)),""))</f>
        <v/>
      </c>
      <c r="K4752" s="196"/>
      <c r="L4752" s="87"/>
      <c r="M4752" s="245"/>
      <c r="N4752" s="168"/>
    </row>
    <row r="4753" ht="22.5" hidden="1" customHeight="1">
      <c r="A4753" s="137"/>
      <c r="B4753" s="90"/>
      <c r="C4753" s="55"/>
      <c r="D4753" s="193"/>
      <c r="E4753" s="201"/>
      <c r="F4753" s="202"/>
      <c r="G4753" s="194"/>
      <c r="H4753" s="198"/>
      <c r="I4753" s="196"/>
      <c r="J4753" s="179" t="str">
        <f>IF(A4753="RAPPI",(VLOOKUP(TRIM(D4753), CATALOGO!F:G, 2, FALSE) * C4753)+I4753,IFERROR(IF(COUNTIF('RESTAURANTESDESCUENTOS 2026'!A:A,TRIM(A4753))&gt;0,((VLOOKUP(TRIM(D4753), CATALOGO!A:B, 2, FALSE) * C4753)*(1-VALUE(SUBSTITUTE(VLOOKUP(TRIM(A4753),'RESTAURANTESDESCUENTOS 2026'!A:B,2,FALSE),"%",""))/100)+I4753),(VLOOKUP(TRIM(D4753), CATALOGO!A:B, 2, FALSE) * C4753+I4753)),""))</f>
        <v/>
      </c>
      <c r="K4753" s="196"/>
      <c r="L4753" s="87"/>
      <c r="M4753" s="245"/>
      <c r="N4753" s="168"/>
    </row>
    <row r="4754" ht="22.5" hidden="1" customHeight="1">
      <c r="A4754" s="137"/>
      <c r="B4754" s="90"/>
      <c r="C4754" s="55"/>
      <c r="D4754" s="193"/>
      <c r="E4754" s="201"/>
      <c r="F4754" s="202"/>
      <c r="G4754" s="194"/>
      <c r="H4754" s="198"/>
      <c r="I4754" s="196"/>
      <c r="J4754" s="179" t="str">
        <f>IF(A4754="RAPPI",(VLOOKUP(TRIM(D4754), CATALOGO!F:G, 2, FALSE) * C4754)+I4754,IFERROR(IF(COUNTIF('RESTAURANTESDESCUENTOS 2026'!A:A,TRIM(A4754))&gt;0,((VLOOKUP(TRIM(D4754), CATALOGO!A:B, 2, FALSE) * C4754)*(1-VALUE(SUBSTITUTE(VLOOKUP(TRIM(A4754),'RESTAURANTESDESCUENTOS 2026'!A:B,2,FALSE),"%",""))/100)+I4754),(VLOOKUP(TRIM(D4754), CATALOGO!A:B, 2, FALSE) * C4754+I4754)),""))</f>
        <v/>
      </c>
      <c r="K4754" s="196"/>
      <c r="L4754" s="87"/>
      <c r="M4754" s="245"/>
      <c r="N4754" s="168"/>
    </row>
    <row r="4755" ht="22.5" hidden="1" customHeight="1">
      <c r="A4755" s="137"/>
      <c r="B4755" s="90"/>
      <c r="C4755" s="55"/>
      <c r="D4755" s="193"/>
      <c r="E4755" s="201"/>
      <c r="F4755" s="202"/>
      <c r="G4755" s="194"/>
      <c r="H4755" s="198"/>
      <c r="I4755" s="196"/>
      <c r="J4755" s="179" t="str">
        <f>IF(A4755="RAPPI",(VLOOKUP(TRIM(D4755), CATALOGO!F:G, 2, FALSE) * C4755)+I4755,IFERROR(IF(COUNTIF('RESTAURANTESDESCUENTOS 2026'!A:A,TRIM(A4755))&gt;0,((VLOOKUP(TRIM(D4755), CATALOGO!A:B, 2, FALSE) * C4755)*(1-VALUE(SUBSTITUTE(VLOOKUP(TRIM(A4755),'RESTAURANTESDESCUENTOS 2026'!A:B,2,FALSE),"%",""))/100)+I4755),(VLOOKUP(TRIM(D4755), CATALOGO!A:B, 2, FALSE) * C4755+I4755)),""))</f>
        <v/>
      </c>
      <c r="K4755" s="196"/>
      <c r="L4755" s="87"/>
      <c r="M4755" s="245"/>
      <c r="N4755" s="168"/>
    </row>
    <row r="4756" ht="22.5" hidden="1" customHeight="1">
      <c r="A4756" s="137"/>
      <c r="B4756" s="90"/>
      <c r="C4756" s="55"/>
      <c r="D4756" s="193"/>
      <c r="E4756" s="201"/>
      <c r="F4756" s="202"/>
      <c r="G4756" s="194"/>
      <c r="H4756" s="198"/>
      <c r="I4756" s="196"/>
      <c r="J4756" s="179" t="str">
        <f>IF(A4756="RAPPI",(VLOOKUP(TRIM(D4756), CATALOGO!F:G, 2, FALSE) * C4756)+I4756,IFERROR(IF(COUNTIF('RESTAURANTESDESCUENTOS 2026'!A:A,TRIM(A4756))&gt;0,((VLOOKUP(TRIM(D4756), CATALOGO!A:B, 2, FALSE) * C4756)*(1-VALUE(SUBSTITUTE(VLOOKUP(TRIM(A4756),'RESTAURANTESDESCUENTOS 2026'!A:B,2,FALSE),"%",""))/100)+I4756),(VLOOKUP(TRIM(D4756), CATALOGO!A:B, 2, FALSE) * C4756+I4756)),""))</f>
        <v/>
      </c>
      <c r="K4756" s="196"/>
      <c r="L4756" s="87"/>
      <c r="M4756" s="245"/>
      <c r="N4756" s="168"/>
    </row>
    <row r="4757" ht="22.5" hidden="1" customHeight="1">
      <c r="A4757" s="137"/>
      <c r="B4757" s="90"/>
      <c r="C4757" s="55"/>
      <c r="D4757" s="193"/>
      <c r="E4757" s="201"/>
      <c r="F4757" s="202"/>
      <c r="G4757" s="194"/>
      <c r="H4757" s="198"/>
      <c r="I4757" s="196"/>
      <c r="J4757" s="179" t="str">
        <f>IF(A4757="RAPPI",(VLOOKUP(TRIM(D4757), CATALOGO!F:G, 2, FALSE) * C4757)+I4757,IFERROR(IF(COUNTIF('RESTAURANTESDESCUENTOS 2026'!A:A,TRIM(A4757))&gt;0,((VLOOKUP(TRIM(D4757), CATALOGO!A:B, 2, FALSE) * C4757)*(1-VALUE(SUBSTITUTE(VLOOKUP(TRIM(A4757),'RESTAURANTESDESCUENTOS 2026'!A:B,2,FALSE),"%",""))/100)+I4757),(VLOOKUP(TRIM(D4757), CATALOGO!A:B, 2, FALSE) * C4757+I4757)),""))</f>
        <v/>
      </c>
      <c r="K4757" s="196"/>
      <c r="L4757" s="87"/>
      <c r="M4757" s="245"/>
      <c r="N4757" s="168"/>
    </row>
    <row r="4758" ht="22.5" hidden="1" customHeight="1">
      <c r="A4758" s="137"/>
      <c r="B4758" s="90"/>
      <c r="C4758" s="55"/>
      <c r="D4758" s="193"/>
      <c r="E4758" s="201"/>
      <c r="F4758" s="202"/>
      <c r="G4758" s="194"/>
      <c r="H4758" s="198"/>
      <c r="I4758" s="196"/>
      <c r="J4758" s="179" t="str">
        <f>IF(A4758="RAPPI",(VLOOKUP(TRIM(D4758), CATALOGO!F:G, 2, FALSE) * C4758)+I4758,IFERROR(IF(COUNTIF('RESTAURANTESDESCUENTOS 2026'!A:A,TRIM(A4758))&gt;0,((VLOOKUP(TRIM(D4758), CATALOGO!A:B, 2, FALSE) * C4758)*(1-VALUE(SUBSTITUTE(VLOOKUP(TRIM(A4758),'RESTAURANTESDESCUENTOS 2026'!A:B,2,FALSE),"%",""))/100)+I4758),(VLOOKUP(TRIM(D4758), CATALOGO!A:B, 2, FALSE) * C4758+I4758)),""))</f>
        <v/>
      </c>
      <c r="K4758" s="196"/>
      <c r="L4758" s="87"/>
      <c r="M4758" s="245"/>
      <c r="N4758" s="168"/>
    </row>
    <row r="4759" ht="22.5" hidden="1" customHeight="1">
      <c r="A4759" s="137"/>
      <c r="B4759" s="90"/>
      <c r="C4759" s="55"/>
      <c r="D4759" s="193"/>
      <c r="E4759" s="201"/>
      <c r="F4759" s="202"/>
      <c r="G4759" s="194"/>
      <c r="H4759" s="198"/>
      <c r="I4759" s="196"/>
      <c r="J4759" s="179" t="str">
        <f>IF(A4759="RAPPI",(VLOOKUP(TRIM(D4759), CATALOGO!F:G, 2, FALSE) * C4759)+I4759,IFERROR(IF(COUNTIF('RESTAURANTESDESCUENTOS 2026'!A:A,TRIM(A4759))&gt;0,((VLOOKUP(TRIM(D4759), CATALOGO!A:B, 2, FALSE) * C4759)*(1-VALUE(SUBSTITUTE(VLOOKUP(TRIM(A4759),'RESTAURANTESDESCUENTOS 2026'!A:B,2,FALSE),"%",""))/100)+I4759),(VLOOKUP(TRIM(D4759), CATALOGO!A:B, 2, FALSE) * C4759+I4759)),""))</f>
        <v/>
      </c>
      <c r="K4759" s="196"/>
      <c r="L4759" s="87"/>
      <c r="M4759" s="245"/>
      <c r="N4759" s="168"/>
    </row>
    <row r="4760" ht="22.5" hidden="1" customHeight="1">
      <c r="A4760" s="137"/>
      <c r="B4760" s="90"/>
      <c r="C4760" s="55"/>
      <c r="D4760" s="193"/>
      <c r="E4760" s="201"/>
      <c r="F4760" s="202"/>
      <c r="G4760" s="194"/>
      <c r="H4760" s="198"/>
      <c r="I4760" s="196"/>
      <c r="J4760" s="179" t="str">
        <f>IF(A4760="RAPPI",(VLOOKUP(TRIM(D4760), CATALOGO!F:G, 2, FALSE) * C4760)+I4760,IFERROR(IF(COUNTIF('RESTAURANTESDESCUENTOS 2026'!A:A,TRIM(A4760))&gt;0,((VLOOKUP(TRIM(D4760), CATALOGO!A:B, 2, FALSE) * C4760)*(1-VALUE(SUBSTITUTE(VLOOKUP(TRIM(A4760),'RESTAURANTESDESCUENTOS 2026'!A:B,2,FALSE),"%",""))/100)+I4760),(VLOOKUP(TRIM(D4760), CATALOGO!A:B, 2, FALSE) * C4760+I4760)),""))</f>
        <v/>
      </c>
      <c r="K4760" s="196"/>
      <c r="L4760" s="87"/>
      <c r="M4760" s="245"/>
      <c r="N4760" s="168"/>
    </row>
    <row r="4761" ht="22.5" hidden="1" customHeight="1">
      <c r="A4761" s="137"/>
      <c r="B4761" s="90"/>
      <c r="C4761" s="55"/>
      <c r="D4761" s="193"/>
      <c r="E4761" s="201"/>
      <c r="F4761" s="202"/>
      <c r="G4761" s="194"/>
      <c r="H4761" s="198"/>
      <c r="I4761" s="196"/>
      <c r="J4761" s="179" t="str">
        <f>IF(A4761="RAPPI",(VLOOKUP(TRIM(D4761), CATALOGO!F:G, 2, FALSE) * C4761)+I4761,IFERROR(IF(COUNTIF('RESTAURANTESDESCUENTOS 2026'!A:A,TRIM(A4761))&gt;0,((VLOOKUP(TRIM(D4761), CATALOGO!A:B, 2, FALSE) * C4761)*(1-VALUE(SUBSTITUTE(VLOOKUP(TRIM(A4761),'RESTAURANTESDESCUENTOS 2026'!A:B,2,FALSE),"%",""))/100)+I4761),(VLOOKUP(TRIM(D4761), CATALOGO!A:B, 2, FALSE) * C4761+I4761)),""))</f>
        <v/>
      </c>
      <c r="K4761" s="196"/>
      <c r="L4761" s="87"/>
      <c r="M4761" s="245"/>
      <c r="N4761" s="168"/>
    </row>
    <row r="4762" ht="22.5" hidden="1" customHeight="1">
      <c r="A4762" s="137"/>
      <c r="B4762" s="90"/>
      <c r="C4762" s="55"/>
      <c r="D4762" s="193"/>
      <c r="E4762" s="201"/>
      <c r="F4762" s="202"/>
      <c r="G4762" s="194"/>
      <c r="H4762" s="198"/>
      <c r="I4762" s="196"/>
      <c r="J4762" s="179" t="str">
        <f>IF(A4762="RAPPI",(VLOOKUP(TRIM(D4762), CATALOGO!F:G, 2, FALSE) * C4762)+I4762,IFERROR(IF(COUNTIF('RESTAURANTESDESCUENTOS 2026'!A:A,TRIM(A4762))&gt;0,((VLOOKUP(TRIM(D4762), CATALOGO!A:B, 2, FALSE) * C4762)*(1-VALUE(SUBSTITUTE(VLOOKUP(TRIM(A4762),'RESTAURANTESDESCUENTOS 2026'!A:B,2,FALSE),"%",""))/100)+I4762),(VLOOKUP(TRIM(D4762), CATALOGO!A:B, 2, FALSE) * C4762+I4762)),""))</f>
        <v/>
      </c>
      <c r="K4762" s="196"/>
      <c r="L4762" s="87"/>
      <c r="M4762" s="245"/>
      <c r="N4762" s="168"/>
    </row>
    <row r="4763" ht="22.5" hidden="1" customHeight="1">
      <c r="A4763" s="137"/>
      <c r="B4763" s="90"/>
      <c r="C4763" s="55"/>
      <c r="D4763" s="193"/>
      <c r="E4763" s="201"/>
      <c r="F4763" s="202"/>
      <c r="G4763" s="194"/>
      <c r="H4763" s="198"/>
      <c r="I4763" s="196"/>
      <c r="J4763" s="179" t="str">
        <f>IF(A4763="RAPPI",(VLOOKUP(TRIM(D4763), CATALOGO!F:G, 2, FALSE) * C4763)+I4763,IFERROR(IF(COUNTIF('RESTAURANTESDESCUENTOS 2026'!A:A,TRIM(A4763))&gt;0,((VLOOKUP(TRIM(D4763), CATALOGO!A:B, 2, FALSE) * C4763)*(1-VALUE(SUBSTITUTE(VLOOKUP(TRIM(A4763),'RESTAURANTESDESCUENTOS 2026'!A:B,2,FALSE),"%",""))/100)+I4763),(VLOOKUP(TRIM(D4763), CATALOGO!A:B, 2, FALSE) * C4763+I4763)),""))</f>
        <v/>
      </c>
      <c r="K4763" s="196"/>
      <c r="L4763" s="87"/>
      <c r="M4763" s="245"/>
      <c r="N4763" s="168"/>
    </row>
    <row r="4764" ht="22.5" hidden="1" customHeight="1">
      <c r="A4764" s="137"/>
      <c r="B4764" s="90"/>
      <c r="C4764" s="55"/>
      <c r="D4764" s="193"/>
      <c r="E4764" s="201"/>
      <c r="F4764" s="202"/>
      <c r="G4764" s="194"/>
      <c r="H4764" s="198"/>
      <c r="I4764" s="196"/>
      <c r="J4764" s="179" t="str">
        <f>IF(A4764="RAPPI",(VLOOKUP(TRIM(D4764), CATALOGO!F:G, 2, FALSE) * C4764)+I4764,IFERROR(IF(COUNTIF('RESTAURANTESDESCUENTOS 2026'!A:A,TRIM(A4764))&gt;0,((VLOOKUP(TRIM(D4764), CATALOGO!A:B, 2, FALSE) * C4764)*(1-VALUE(SUBSTITUTE(VLOOKUP(TRIM(A4764),'RESTAURANTESDESCUENTOS 2026'!A:B,2,FALSE),"%",""))/100)+I4764),(VLOOKUP(TRIM(D4764), CATALOGO!A:B, 2, FALSE) * C4764+I4764)),""))</f>
        <v/>
      </c>
      <c r="K4764" s="196"/>
      <c r="L4764" s="87"/>
      <c r="M4764" s="245"/>
      <c r="N4764" s="168"/>
    </row>
    <row r="4765" ht="22.5" hidden="1" customHeight="1">
      <c r="A4765" s="137"/>
      <c r="B4765" s="90"/>
      <c r="C4765" s="55"/>
      <c r="D4765" s="193"/>
      <c r="E4765" s="201"/>
      <c r="F4765" s="202"/>
      <c r="G4765" s="194"/>
      <c r="H4765" s="198"/>
      <c r="I4765" s="196"/>
      <c r="J4765" s="179" t="str">
        <f>IF(A4765="RAPPI",(VLOOKUP(TRIM(D4765), CATALOGO!F:G, 2, FALSE) * C4765)+I4765,IFERROR(IF(COUNTIF('RESTAURANTESDESCUENTOS 2026'!A:A,TRIM(A4765))&gt;0,((VLOOKUP(TRIM(D4765), CATALOGO!A:B, 2, FALSE) * C4765)*(1-VALUE(SUBSTITUTE(VLOOKUP(TRIM(A4765),'RESTAURANTESDESCUENTOS 2026'!A:B,2,FALSE),"%",""))/100)+I4765),(VLOOKUP(TRIM(D4765), CATALOGO!A:B, 2, FALSE) * C4765+I4765)),""))</f>
        <v/>
      </c>
      <c r="K4765" s="196"/>
      <c r="L4765" s="87"/>
      <c r="M4765" s="245"/>
      <c r="N4765" s="168"/>
    </row>
    <row r="4766" ht="22.5" hidden="1" customHeight="1">
      <c r="A4766" s="137"/>
      <c r="B4766" s="90"/>
      <c r="C4766" s="55"/>
      <c r="D4766" s="193"/>
      <c r="E4766" s="201"/>
      <c r="F4766" s="202"/>
      <c r="G4766" s="194"/>
      <c r="H4766" s="198"/>
      <c r="I4766" s="196"/>
      <c r="J4766" s="179" t="str">
        <f>IF(A4766="RAPPI",(VLOOKUP(TRIM(D4766), CATALOGO!F:G, 2, FALSE) * C4766)+I4766,IFERROR(IF(COUNTIF('RESTAURANTESDESCUENTOS 2026'!A:A,TRIM(A4766))&gt;0,((VLOOKUP(TRIM(D4766), CATALOGO!A:B, 2, FALSE) * C4766)*(1-VALUE(SUBSTITUTE(VLOOKUP(TRIM(A4766),'RESTAURANTESDESCUENTOS 2026'!A:B,2,FALSE),"%",""))/100)+I4766),(VLOOKUP(TRIM(D4766), CATALOGO!A:B, 2, FALSE) * C4766+I4766)),""))</f>
        <v/>
      </c>
      <c r="K4766" s="196"/>
      <c r="L4766" s="87"/>
      <c r="M4766" s="245"/>
      <c r="N4766" s="168"/>
    </row>
    <row r="4767" ht="22.5" hidden="1" customHeight="1">
      <c r="A4767" s="137"/>
      <c r="B4767" s="90"/>
      <c r="C4767" s="55"/>
      <c r="D4767" s="193"/>
      <c r="E4767" s="201"/>
      <c r="F4767" s="202"/>
      <c r="G4767" s="194"/>
      <c r="H4767" s="198"/>
      <c r="I4767" s="196"/>
      <c r="J4767" s="179" t="str">
        <f>IF(A4767="RAPPI",(VLOOKUP(TRIM(D4767), CATALOGO!F:G, 2, FALSE) * C4767)+I4767,IFERROR(IF(COUNTIF('RESTAURANTESDESCUENTOS 2026'!A:A,TRIM(A4767))&gt;0,((VLOOKUP(TRIM(D4767), CATALOGO!A:B, 2, FALSE) * C4767)*(1-VALUE(SUBSTITUTE(VLOOKUP(TRIM(A4767),'RESTAURANTESDESCUENTOS 2026'!A:B,2,FALSE),"%",""))/100)+I4767),(VLOOKUP(TRIM(D4767), CATALOGO!A:B, 2, FALSE) * C4767+I4767)),""))</f>
        <v/>
      </c>
      <c r="K4767" s="196"/>
      <c r="L4767" s="87"/>
      <c r="M4767" s="245"/>
      <c r="N4767" s="168"/>
    </row>
    <row r="4768" ht="22.5" hidden="1" customHeight="1">
      <c r="A4768" s="137"/>
      <c r="B4768" s="90"/>
      <c r="C4768" s="55"/>
      <c r="D4768" s="193"/>
      <c r="E4768" s="201"/>
      <c r="F4768" s="202"/>
      <c r="G4768" s="194"/>
      <c r="H4768" s="198"/>
      <c r="I4768" s="196"/>
      <c r="J4768" s="179" t="str">
        <f>IF(A4768="RAPPI",(VLOOKUP(TRIM(D4768), CATALOGO!F:G, 2, FALSE) * C4768)+I4768,IFERROR(IF(COUNTIF('RESTAURANTESDESCUENTOS 2026'!A:A,TRIM(A4768))&gt;0,((VLOOKUP(TRIM(D4768), CATALOGO!A:B, 2, FALSE) * C4768)*(1-VALUE(SUBSTITUTE(VLOOKUP(TRIM(A4768),'RESTAURANTESDESCUENTOS 2026'!A:B,2,FALSE),"%",""))/100)+I4768),(VLOOKUP(TRIM(D4768), CATALOGO!A:B, 2, FALSE) * C4768+I4768)),""))</f>
        <v/>
      </c>
      <c r="K4768" s="196"/>
      <c r="L4768" s="87"/>
      <c r="M4768" s="245"/>
      <c r="N4768" s="168"/>
    </row>
    <row r="4769" ht="22.5" hidden="1" customHeight="1">
      <c r="A4769" s="137"/>
      <c r="B4769" s="90"/>
      <c r="C4769" s="55"/>
      <c r="D4769" s="193"/>
      <c r="E4769" s="201"/>
      <c r="F4769" s="202"/>
      <c r="G4769" s="194"/>
      <c r="H4769" s="198"/>
      <c r="I4769" s="196"/>
      <c r="J4769" s="179" t="str">
        <f>IF(A4769="RAPPI",(VLOOKUP(TRIM(D4769), CATALOGO!F:G, 2, FALSE) * C4769)+I4769,IFERROR(IF(COUNTIF('RESTAURANTESDESCUENTOS 2026'!A:A,TRIM(A4769))&gt;0,((VLOOKUP(TRIM(D4769), CATALOGO!A:B, 2, FALSE) * C4769)*(1-VALUE(SUBSTITUTE(VLOOKUP(TRIM(A4769),'RESTAURANTESDESCUENTOS 2026'!A:B,2,FALSE),"%",""))/100)+I4769),(VLOOKUP(TRIM(D4769), CATALOGO!A:B, 2, FALSE) * C4769+I4769)),""))</f>
        <v/>
      </c>
      <c r="K4769" s="196"/>
      <c r="L4769" s="87"/>
      <c r="M4769" s="245"/>
      <c r="N4769" s="168"/>
    </row>
    <row r="4770" ht="22.5" hidden="1" customHeight="1">
      <c r="A4770" s="137"/>
      <c r="B4770" s="90"/>
      <c r="C4770" s="55"/>
      <c r="D4770" s="193"/>
      <c r="E4770" s="201"/>
      <c r="F4770" s="202"/>
      <c r="G4770" s="194"/>
      <c r="H4770" s="198"/>
      <c r="I4770" s="196"/>
      <c r="J4770" s="179" t="str">
        <f>IF(A4770="RAPPI",(VLOOKUP(TRIM(D4770), CATALOGO!F:G, 2, FALSE) * C4770)+I4770,IFERROR(IF(COUNTIF('RESTAURANTESDESCUENTOS 2026'!A:A,TRIM(A4770))&gt;0,((VLOOKUP(TRIM(D4770), CATALOGO!A:B, 2, FALSE) * C4770)*(1-VALUE(SUBSTITUTE(VLOOKUP(TRIM(A4770),'RESTAURANTESDESCUENTOS 2026'!A:B,2,FALSE),"%",""))/100)+I4770),(VLOOKUP(TRIM(D4770), CATALOGO!A:B, 2, FALSE) * C4770+I4770)),""))</f>
        <v/>
      </c>
      <c r="K4770" s="196"/>
      <c r="L4770" s="87"/>
      <c r="M4770" s="245"/>
      <c r="N4770" s="168"/>
    </row>
    <row r="4771" ht="22.5" hidden="1" customHeight="1">
      <c r="A4771" s="137"/>
      <c r="B4771" s="90"/>
      <c r="C4771" s="55"/>
      <c r="D4771" s="193"/>
      <c r="E4771" s="201"/>
      <c r="F4771" s="202"/>
      <c r="G4771" s="194"/>
      <c r="H4771" s="198"/>
      <c r="I4771" s="196"/>
      <c r="J4771" s="179" t="str">
        <f>IF(A4771="RAPPI",(VLOOKUP(TRIM(D4771), CATALOGO!F:G, 2, FALSE) * C4771)+I4771,IFERROR(IF(COUNTIF('RESTAURANTESDESCUENTOS 2026'!A:A,TRIM(A4771))&gt;0,((VLOOKUP(TRIM(D4771), CATALOGO!A:B, 2, FALSE) * C4771)*(1-VALUE(SUBSTITUTE(VLOOKUP(TRIM(A4771),'RESTAURANTESDESCUENTOS 2026'!A:B,2,FALSE),"%",""))/100)+I4771),(VLOOKUP(TRIM(D4771), CATALOGO!A:B, 2, FALSE) * C4771+I4771)),""))</f>
        <v/>
      </c>
      <c r="K4771" s="196"/>
      <c r="L4771" s="87"/>
      <c r="M4771" s="245"/>
      <c r="N4771" s="168"/>
    </row>
    <row r="4772" ht="22.5" hidden="1" customHeight="1">
      <c r="A4772" s="137"/>
      <c r="B4772" s="90"/>
      <c r="C4772" s="55"/>
      <c r="D4772" s="193"/>
      <c r="E4772" s="201"/>
      <c r="F4772" s="202"/>
      <c r="G4772" s="194"/>
      <c r="H4772" s="198"/>
      <c r="I4772" s="196"/>
      <c r="J4772" s="179" t="str">
        <f>IF(A4772="RAPPI",(VLOOKUP(TRIM(D4772), CATALOGO!F:G, 2, FALSE) * C4772)+I4772,IFERROR(IF(COUNTIF('RESTAURANTESDESCUENTOS 2026'!A:A,TRIM(A4772))&gt;0,((VLOOKUP(TRIM(D4772), CATALOGO!A:B, 2, FALSE) * C4772)*(1-VALUE(SUBSTITUTE(VLOOKUP(TRIM(A4772),'RESTAURANTESDESCUENTOS 2026'!A:B,2,FALSE),"%",""))/100)+I4772),(VLOOKUP(TRIM(D4772), CATALOGO!A:B, 2, FALSE) * C4772+I4772)),""))</f>
        <v/>
      </c>
      <c r="K4772" s="196"/>
      <c r="L4772" s="87"/>
      <c r="M4772" s="245"/>
      <c r="N4772" s="168"/>
    </row>
    <row r="4773" ht="22.5" hidden="1" customHeight="1">
      <c r="A4773" s="137"/>
      <c r="B4773" s="90"/>
      <c r="C4773" s="55"/>
      <c r="D4773" s="193"/>
      <c r="E4773" s="201"/>
      <c r="F4773" s="202"/>
      <c r="G4773" s="194"/>
      <c r="H4773" s="198"/>
      <c r="I4773" s="196"/>
      <c r="J4773" s="179" t="str">
        <f>IF(A4773="RAPPI",(VLOOKUP(TRIM(D4773), CATALOGO!F:G, 2, FALSE) * C4773)+I4773,IFERROR(IF(COUNTIF('RESTAURANTESDESCUENTOS 2026'!A:A,TRIM(A4773))&gt;0,((VLOOKUP(TRIM(D4773), CATALOGO!A:B, 2, FALSE) * C4773)*(1-VALUE(SUBSTITUTE(VLOOKUP(TRIM(A4773),'RESTAURANTESDESCUENTOS 2026'!A:B,2,FALSE),"%",""))/100)+I4773),(VLOOKUP(TRIM(D4773), CATALOGO!A:B, 2, FALSE) * C4773+I4773)),""))</f>
        <v/>
      </c>
      <c r="K4773" s="196"/>
      <c r="L4773" s="87"/>
      <c r="M4773" s="245"/>
      <c r="N4773" s="168"/>
    </row>
    <row r="4774" ht="22.5" hidden="1" customHeight="1">
      <c r="A4774" s="137"/>
      <c r="B4774" s="90"/>
      <c r="C4774" s="55"/>
      <c r="D4774" s="193"/>
      <c r="E4774" s="201"/>
      <c r="F4774" s="202"/>
      <c r="G4774" s="194"/>
      <c r="H4774" s="198"/>
      <c r="I4774" s="196"/>
      <c r="J4774" s="179" t="str">
        <f>IF(A4774="RAPPI",(VLOOKUP(TRIM(D4774), CATALOGO!F:G, 2, FALSE) * C4774)+I4774,IFERROR(IF(COUNTIF('RESTAURANTESDESCUENTOS 2026'!A:A,TRIM(A4774))&gt;0,((VLOOKUP(TRIM(D4774), CATALOGO!A:B, 2, FALSE) * C4774)*(1-VALUE(SUBSTITUTE(VLOOKUP(TRIM(A4774),'RESTAURANTESDESCUENTOS 2026'!A:B,2,FALSE),"%",""))/100)+I4774),(VLOOKUP(TRIM(D4774), CATALOGO!A:B, 2, FALSE) * C4774+I4774)),""))</f>
        <v/>
      </c>
      <c r="K4774" s="196"/>
      <c r="L4774" s="87"/>
      <c r="M4774" s="245"/>
      <c r="N4774" s="168"/>
    </row>
    <row r="4775" ht="22.5" hidden="1" customHeight="1">
      <c r="A4775" s="137"/>
      <c r="B4775" s="90"/>
      <c r="C4775" s="55"/>
      <c r="D4775" s="193"/>
      <c r="E4775" s="201"/>
      <c r="F4775" s="202"/>
      <c r="G4775" s="194"/>
      <c r="H4775" s="198"/>
      <c r="I4775" s="196"/>
      <c r="J4775" s="179" t="str">
        <f>IF(A4775="RAPPI",(VLOOKUP(TRIM(D4775), CATALOGO!F:G, 2, FALSE) * C4775)+I4775,IFERROR(IF(COUNTIF('RESTAURANTESDESCUENTOS 2026'!A:A,TRIM(A4775))&gt;0,((VLOOKUP(TRIM(D4775), CATALOGO!A:B, 2, FALSE) * C4775)*(1-VALUE(SUBSTITUTE(VLOOKUP(TRIM(A4775),'RESTAURANTESDESCUENTOS 2026'!A:B,2,FALSE),"%",""))/100)+I4775),(VLOOKUP(TRIM(D4775), CATALOGO!A:B, 2, FALSE) * C4775+I4775)),""))</f>
        <v/>
      </c>
      <c r="K4775" s="196"/>
      <c r="L4775" s="87"/>
      <c r="M4775" s="245"/>
      <c r="N4775" s="168"/>
    </row>
    <row r="4776" ht="22.5" hidden="1" customHeight="1">
      <c r="A4776" s="137"/>
      <c r="B4776" s="90"/>
      <c r="C4776" s="55"/>
      <c r="D4776" s="193"/>
      <c r="E4776" s="201"/>
      <c r="F4776" s="202"/>
      <c r="G4776" s="194"/>
      <c r="H4776" s="198"/>
      <c r="I4776" s="196"/>
      <c r="J4776" s="179" t="str">
        <f>IF(A4776="RAPPI",(VLOOKUP(TRIM(D4776), CATALOGO!F:G, 2, FALSE) * C4776)+I4776,IFERROR(IF(COUNTIF('RESTAURANTESDESCUENTOS 2026'!A:A,TRIM(A4776))&gt;0,((VLOOKUP(TRIM(D4776), CATALOGO!A:B, 2, FALSE) * C4776)*(1-VALUE(SUBSTITUTE(VLOOKUP(TRIM(A4776),'RESTAURANTESDESCUENTOS 2026'!A:B,2,FALSE),"%",""))/100)+I4776),(VLOOKUP(TRIM(D4776), CATALOGO!A:B, 2, FALSE) * C4776+I4776)),""))</f>
        <v/>
      </c>
      <c r="K4776" s="196"/>
      <c r="L4776" s="87"/>
      <c r="M4776" s="245"/>
      <c r="N4776" s="168"/>
    </row>
    <row r="4777" ht="22.5" hidden="1" customHeight="1">
      <c r="A4777" s="137"/>
      <c r="B4777" s="90"/>
      <c r="C4777" s="55"/>
      <c r="D4777" s="193"/>
      <c r="E4777" s="201"/>
      <c r="F4777" s="202"/>
      <c r="G4777" s="194"/>
      <c r="H4777" s="198"/>
      <c r="I4777" s="196"/>
      <c r="J4777" s="179" t="str">
        <f>IF(A4777="RAPPI",(VLOOKUP(TRIM(D4777), CATALOGO!F:G, 2, FALSE) * C4777)+I4777,IFERROR(IF(COUNTIF('RESTAURANTESDESCUENTOS 2026'!A:A,TRIM(A4777))&gt;0,((VLOOKUP(TRIM(D4777), CATALOGO!A:B, 2, FALSE) * C4777)*(1-VALUE(SUBSTITUTE(VLOOKUP(TRIM(A4777),'RESTAURANTESDESCUENTOS 2026'!A:B,2,FALSE),"%",""))/100)+I4777),(VLOOKUP(TRIM(D4777), CATALOGO!A:B, 2, FALSE) * C4777+I4777)),""))</f>
        <v/>
      </c>
      <c r="K4777" s="196"/>
      <c r="L4777" s="87"/>
      <c r="M4777" s="245"/>
      <c r="N4777" s="168"/>
    </row>
    <row r="4778" ht="22.5" hidden="1" customHeight="1">
      <c r="A4778" s="137"/>
      <c r="B4778" s="90"/>
      <c r="C4778" s="55"/>
      <c r="D4778" s="193"/>
      <c r="E4778" s="201"/>
      <c r="F4778" s="202"/>
      <c r="G4778" s="194"/>
      <c r="H4778" s="198"/>
      <c r="I4778" s="196"/>
      <c r="J4778" s="179" t="str">
        <f>IF(A4778="RAPPI",(VLOOKUP(TRIM(D4778), CATALOGO!F:G, 2, FALSE) * C4778)+I4778,IFERROR(IF(COUNTIF('RESTAURANTESDESCUENTOS 2026'!A:A,TRIM(A4778))&gt;0,((VLOOKUP(TRIM(D4778), CATALOGO!A:B, 2, FALSE) * C4778)*(1-VALUE(SUBSTITUTE(VLOOKUP(TRIM(A4778),'RESTAURANTESDESCUENTOS 2026'!A:B,2,FALSE),"%",""))/100)+I4778),(VLOOKUP(TRIM(D4778), CATALOGO!A:B, 2, FALSE) * C4778+I4778)),""))</f>
        <v/>
      </c>
      <c r="K4778" s="196"/>
      <c r="L4778" s="87"/>
      <c r="M4778" s="245"/>
      <c r="N4778" s="168"/>
    </row>
    <row r="4779" ht="22.5" hidden="1" customHeight="1">
      <c r="A4779" s="137"/>
      <c r="B4779" s="90"/>
      <c r="C4779" s="55"/>
      <c r="D4779" s="193"/>
      <c r="E4779" s="201"/>
      <c r="F4779" s="202"/>
      <c r="G4779" s="194"/>
      <c r="H4779" s="198"/>
      <c r="I4779" s="196"/>
      <c r="J4779" s="179" t="str">
        <f>IF(A4779="RAPPI",(VLOOKUP(TRIM(D4779), CATALOGO!F:G, 2, FALSE) * C4779)+I4779,IFERROR(IF(COUNTIF('RESTAURANTESDESCUENTOS 2026'!A:A,TRIM(A4779))&gt;0,((VLOOKUP(TRIM(D4779), CATALOGO!A:B, 2, FALSE) * C4779)*(1-VALUE(SUBSTITUTE(VLOOKUP(TRIM(A4779),'RESTAURANTESDESCUENTOS 2026'!A:B,2,FALSE),"%",""))/100)+I4779),(VLOOKUP(TRIM(D4779), CATALOGO!A:B, 2, FALSE) * C4779+I4779)),""))</f>
        <v/>
      </c>
      <c r="K4779" s="196"/>
      <c r="L4779" s="87"/>
      <c r="M4779" s="245"/>
      <c r="N4779" s="168"/>
    </row>
    <row r="4780" ht="22.5" hidden="1" customHeight="1">
      <c r="A4780" s="137"/>
      <c r="B4780" s="90"/>
      <c r="C4780" s="55"/>
      <c r="D4780" s="193"/>
      <c r="E4780" s="201"/>
      <c r="F4780" s="202"/>
      <c r="G4780" s="194"/>
      <c r="H4780" s="198"/>
      <c r="I4780" s="196"/>
      <c r="J4780" s="179" t="str">
        <f>IF(A4780="RAPPI",(VLOOKUP(TRIM(D4780), CATALOGO!F:G, 2, FALSE) * C4780)+I4780,IFERROR(IF(COUNTIF('RESTAURANTESDESCUENTOS 2026'!A:A,TRIM(A4780))&gt;0,((VLOOKUP(TRIM(D4780), CATALOGO!A:B, 2, FALSE) * C4780)*(1-VALUE(SUBSTITUTE(VLOOKUP(TRIM(A4780),'RESTAURANTESDESCUENTOS 2026'!A:B,2,FALSE),"%",""))/100)+I4780),(VLOOKUP(TRIM(D4780), CATALOGO!A:B, 2, FALSE) * C4780+I4780)),""))</f>
        <v/>
      </c>
      <c r="K4780" s="196"/>
      <c r="L4780" s="87"/>
      <c r="M4780" s="245"/>
      <c r="N4780" s="168"/>
    </row>
    <row r="4781" ht="22.5" hidden="1" customHeight="1">
      <c r="A4781" s="137"/>
      <c r="B4781" s="90"/>
      <c r="C4781" s="55"/>
      <c r="D4781" s="193"/>
      <c r="E4781" s="201"/>
      <c r="F4781" s="202"/>
      <c r="G4781" s="194"/>
      <c r="H4781" s="198"/>
      <c r="I4781" s="196"/>
      <c r="J4781" s="179" t="str">
        <f>IF(A4781="RAPPI",(VLOOKUP(TRIM(D4781), CATALOGO!F:G, 2, FALSE) * C4781)+I4781,IFERROR(IF(COUNTIF('RESTAURANTESDESCUENTOS 2026'!A:A,TRIM(A4781))&gt;0,((VLOOKUP(TRIM(D4781), CATALOGO!A:B, 2, FALSE) * C4781)*(1-VALUE(SUBSTITUTE(VLOOKUP(TRIM(A4781),'RESTAURANTESDESCUENTOS 2026'!A:B,2,FALSE),"%",""))/100)+I4781),(VLOOKUP(TRIM(D4781), CATALOGO!A:B, 2, FALSE) * C4781+I4781)),""))</f>
        <v/>
      </c>
      <c r="K4781" s="196"/>
      <c r="L4781" s="87"/>
      <c r="M4781" s="245"/>
      <c r="N4781" s="168"/>
    </row>
    <row r="4782" ht="22.5" hidden="1" customHeight="1">
      <c r="A4782" s="137"/>
      <c r="B4782" s="90"/>
      <c r="C4782" s="55"/>
      <c r="D4782" s="193"/>
      <c r="E4782" s="201"/>
      <c r="F4782" s="202"/>
      <c r="G4782" s="194"/>
      <c r="H4782" s="198"/>
      <c r="I4782" s="196"/>
      <c r="J4782" s="179" t="str">
        <f>IF(A4782="RAPPI",(VLOOKUP(TRIM(D4782), CATALOGO!F:G, 2, FALSE) * C4782)+I4782,IFERROR(IF(COUNTIF('RESTAURANTESDESCUENTOS 2026'!A:A,TRIM(A4782))&gt;0,((VLOOKUP(TRIM(D4782), CATALOGO!A:B, 2, FALSE) * C4782)*(1-VALUE(SUBSTITUTE(VLOOKUP(TRIM(A4782),'RESTAURANTESDESCUENTOS 2026'!A:B,2,FALSE),"%",""))/100)+I4782),(VLOOKUP(TRIM(D4782), CATALOGO!A:B, 2, FALSE) * C4782+I4782)),""))</f>
        <v/>
      </c>
      <c r="K4782" s="196"/>
      <c r="L4782" s="87"/>
      <c r="M4782" s="245"/>
      <c r="N4782" s="168"/>
    </row>
    <row r="4783" ht="22.5" hidden="1" customHeight="1">
      <c r="A4783" s="137"/>
      <c r="B4783" s="90"/>
      <c r="C4783" s="55"/>
      <c r="D4783" s="193"/>
      <c r="E4783" s="201"/>
      <c r="F4783" s="202"/>
      <c r="G4783" s="194"/>
      <c r="H4783" s="198"/>
      <c r="I4783" s="196"/>
      <c r="J4783" s="179" t="str">
        <f>IF(A4783="RAPPI",(VLOOKUP(TRIM(D4783), CATALOGO!F:G, 2, FALSE) * C4783)+I4783,IFERROR(IF(COUNTIF('RESTAURANTESDESCUENTOS 2026'!A:A,TRIM(A4783))&gt;0,((VLOOKUP(TRIM(D4783), CATALOGO!A:B, 2, FALSE) * C4783)*(1-VALUE(SUBSTITUTE(VLOOKUP(TRIM(A4783),'RESTAURANTESDESCUENTOS 2026'!A:B,2,FALSE),"%",""))/100)+I4783),(VLOOKUP(TRIM(D4783), CATALOGO!A:B, 2, FALSE) * C4783+I4783)),""))</f>
        <v/>
      </c>
      <c r="K4783" s="196"/>
      <c r="L4783" s="87"/>
      <c r="M4783" s="245"/>
      <c r="N4783" s="168"/>
    </row>
    <row r="4784" ht="22.5" hidden="1" customHeight="1">
      <c r="A4784" s="137"/>
      <c r="B4784" s="90"/>
      <c r="C4784" s="55"/>
      <c r="D4784" s="193"/>
      <c r="E4784" s="201"/>
      <c r="F4784" s="202"/>
      <c r="G4784" s="194"/>
      <c r="H4784" s="198"/>
      <c r="I4784" s="196"/>
      <c r="J4784" s="179" t="str">
        <f>IF(A4784="RAPPI",(VLOOKUP(TRIM(D4784), CATALOGO!F:G, 2, FALSE) * C4784)+I4784,IFERROR(IF(COUNTIF('RESTAURANTESDESCUENTOS 2026'!A:A,TRIM(A4784))&gt;0,((VLOOKUP(TRIM(D4784), CATALOGO!A:B, 2, FALSE) * C4784)*(1-VALUE(SUBSTITUTE(VLOOKUP(TRIM(A4784),'RESTAURANTESDESCUENTOS 2026'!A:B,2,FALSE),"%",""))/100)+I4784),(VLOOKUP(TRIM(D4784), CATALOGO!A:B, 2, FALSE) * C4784+I4784)),""))</f>
        <v/>
      </c>
      <c r="K4784" s="196"/>
      <c r="L4784" s="87"/>
      <c r="M4784" s="245"/>
      <c r="N4784" s="168"/>
    </row>
    <row r="4785" ht="22.5" hidden="1" customHeight="1">
      <c r="A4785" s="137"/>
      <c r="B4785" s="90"/>
      <c r="C4785" s="55"/>
      <c r="D4785" s="193"/>
      <c r="E4785" s="201"/>
      <c r="F4785" s="202"/>
      <c r="G4785" s="194"/>
      <c r="H4785" s="198"/>
      <c r="I4785" s="196"/>
      <c r="J4785" s="179" t="str">
        <f>IF(A4785="RAPPI",(VLOOKUP(TRIM(D4785), CATALOGO!F:G, 2, FALSE) * C4785)+I4785,IFERROR(IF(COUNTIF('RESTAURANTESDESCUENTOS 2026'!A:A,TRIM(A4785))&gt;0,((VLOOKUP(TRIM(D4785), CATALOGO!A:B, 2, FALSE) * C4785)*(1-VALUE(SUBSTITUTE(VLOOKUP(TRIM(A4785),'RESTAURANTESDESCUENTOS 2026'!A:B,2,FALSE),"%",""))/100)+I4785),(VLOOKUP(TRIM(D4785), CATALOGO!A:B, 2, FALSE) * C4785+I4785)),""))</f>
        <v/>
      </c>
      <c r="K4785" s="196"/>
      <c r="L4785" s="87"/>
      <c r="M4785" s="245"/>
      <c r="N4785" s="168"/>
    </row>
    <row r="4786" ht="22.5" hidden="1" customHeight="1">
      <c r="A4786" s="137"/>
      <c r="B4786" s="90"/>
      <c r="C4786" s="55"/>
      <c r="D4786" s="193"/>
      <c r="E4786" s="201"/>
      <c r="F4786" s="202"/>
      <c r="G4786" s="194"/>
      <c r="H4786" s="198"/>
      <c r="I4786" s="196"/>
      <c r="J4786" s="179" t="str">
        <f>IF(A4786="RAPPI",(VLOOKUP(TRIM(D4786), CATALOGO!F:G, 2, FALSE) * C4786)+I4786,IFERROR(IF(COUNTIF('RESTAURANTESDESCUENTOS 2026'!A:A,TRIM(A4786))&gt;0,((VLOOKUP(TRIM(D4786), CATALOGO!A:B, 2, FALSE) * C4786)*(1-VALUE(SUBSTITUTE(VLOOKUP(TRIM(A4786),'RESTAURANTESDESCUENTOS 2026'!A:B,2,FALSE),"%",""))/100)+I4786),(VLOOKUP(TRIM(D4786), CATALOGO!A:B, 2, FALSE) * C4786+I4786)),""))</f>
        <v/>
      </c>
      <c r="K4786" s="196"/>
      <c r="L4786" s="87"/>
      <c r="M4786" s="245"/>
      <c r="N4786" s="168"/>
    </row>
    <row r="4787" ht="22.5" hidden="1" customHeight="1">
      <c r="A4787" s="137"/>
      <c r="B4787" s="90"/>
      <c r="C4787" s="55"/>
      <c r="D4787" s="193"/>
      <c r="E4787" s="201"/>
      <c r="F4787" s="202"/>
      <c r="G4787" s="194"/>
      <c r="H4787" s="198"/>
      <c r="I4787" s="196"/>
      <c r="J4787" s="179" t="str">
        <f>IF(A4787="RAPPI",(VLOOKUP(TRIM(D4787), CATALOGO!F:G, 2, FALSE) * C4787)+I4787,IFERROR(IF(COUNTIF('RESTAURANTESDESCUENTOS 2026'!A:A,TRIM(A4787))&gt;0,((VLOOKUP(TRIM(D4787), CATALOGO!A:B, 2, FALSE) * C4787)*(1-VALUE(SUBSTITUTE(VLOOKUP(TRIM(A4787),'RESTAURANTESDESCUENTOS 2026'!A:B,2,FALSE),"%",""))/100)+I4787),(VLOOKUP(TRIM(D4787), CATALOGO!A:B, 2, FALSE) * C4787+I4787)),""))</f>
        <v/>
      </c>
      <c r="K4787" s="196"/>
      <c r="L4787" s="87"/>
      <c r="M4787" s="245"/>
      <c r="N4787" s="168"/>
    </row>
    <row r="4788" ht="22.5" hidden="1" customHeight="1">
      <c r="A4788" s="137"/>
      <c r="B4788" s="90"/>
      <c r="C4788" s="55"/>
      <c r="D4788" s="193"/>
      <c r="E4788" s="201"/>
      <c r="F4788" s="202"/>
      <c r="G4788" s="194"/>
      <c r="H4788" s="198"/>
      <c r="I4788" s="196"/>
      <c r="J4788" s="179" t="str">
        <f>IF(A4788="RAPPI",(VLOOKUP(TRIM(D4788), CATALOGO!F:G, 2, FALSE) * C4788)+I4788,IFERROR(IF(COUNTIF('RESTAURANTESDESCUENTOS 2026'!A:A,TRIM(A4788))&gt;0,((VLOOKUP(TRIM(D4788), CATALOGO!A:B, 2, FALSE) * C4788)*(1-VALUE(SUBSTITUTE(VLOOKUP(TRIM(A4788),'RESTAURANTESDESCUENTOS 2026'!A:B,2,FALSE),"%",""))/100)+I4788),(VLOOKUP(TRIM(D4788), CATALOGO!A:B, 2, FALSE) * C4788+I4788)),""))</f>
        <v/>
      </c>
      <c r="K4788" s="196"/>
      <c r="L4788" s="87"/>
      <c r="M4788" s="245"/>
      <c r="N4788" s="168"/>
    </row>
    <row r="4789" ht="22.5" hidden="1" customHeight="1">
      <c r="A4789" s="137"/>
      <c r="B4789" s="90"/>
      <c r="C4789" s="55"/>
      <c r="D4789" s="193"/>
      <c r="E4789" s="201"/>
      <c r="F4789" s="202"/>
      <c r="G4789" s="194"/>
      <c r="H4789" s="198"/>
      <c r="I4789" s="196"/>
      <c r="J4789" s="179" t="str">
        <f>IF(A4789="RAPPI",(VLOOKUP(TRIM(D4789), CATALOGO!F:G, 2, FALSE) * C4789)+I4789,IFERROR(IF(COUNTIF('RESTAURANTESDESCUENTOS 2026'!A:A,TRIM(A4789))&gt;0,((VLOOKUP(TRIM(D4789), CATALOGO!A:B, 2, FALSE) * C4789)*(1-VALUE(SUBSTITUTE(VLOOKUP(TRIM(A4789),'RESTAURANTESDESCUENTOS 2026'!A:B,2,FALSE),"%",""))/100)+I4789),(VLOOKUP(TRIM(D4789), CATALOGO!A:B, 2, FALSE) * C4789+I4789)),""))</f>
        <v/>
      </c>
      <c r="K4789" s="196"/>
      <c r="L4789" s="87"/>
      <c r="M4789" s="245"/>
      <c r="N4789" s="168"/>
    </row>
    <row r="4790" ht="22.5" hidden="1" customHeight="1">
      <c r="A4790" s="137"/>
      <c r="B4790" s="90"/>
      <c r="C4790" s="55"/>
      <c r="D4790" s="193"/>
      <c r="E4790" s="201"/>
      <c r="F4790" s="202"/>
      <c r="G4790" s="194"/>
      <c r="H4790" s="198"/>
      <c r="I4790" s="196"/>
      <c r="J4790" s="179" t="str">
        <f>IF(A4790="RAPPI",(VLOOKUP(TRIM(D4790), CATALOGO!F:G, 2, FALSE) * C4790)+I4790,IFERROR(IF(COUNTIF('RESTAURANTESDESCUENTOS 2026'!A:A,TRIM(A4790))&gt;0,((VLOOKUP(TRIM(D4790), CATALOGO!A:B, 2, FALSE) * C4790)*(1-VALUE(SUBSTITUTE(VLOOKUP(TRIM(A4790),'RESTAURANTESDESCUENTOS 2026'!A:B,2,FALSE),"%",""))/100)+I4790),(VLOOKUP(TRIM(D4790), CATALOGO!A:B, 2, FALSE) * C4790+I4790)),""))</f>
        <v/>
      </c>
      <c r="K4790" s="196"/>
      <c r="L4790" s="87"/>
      <c r="M4790" s="245"/>
      <c r="N4790" s="168"/>
    </row>
    <row r="4791" ht="22.5" hidden="1" customHeight="1">
      <c r="A4791" s="137"/>
      <c r="B4791" s="90"/>
      <c r="C4791" s="55"/>
      <c r="D4791" s="193"/>
      <c r="E4791" s="201"/>
      <c r="F4791" s="202"/>
      <c r="G4791" s="194"/>
      <c r="H4791" s="198"/>
      <c r="I4791" s="196"/>
      <c r="J4791" s="179" t="str">
        <f>IF(A4791="RAPPI",(VLOOKUP(TRIM(D4791), CATALOGO!F:G, 2, FALSE) * C4791)+I4791,IFERROR(IF(COUNTIF('RESTAURANTESDESCUENTOS 2026'!A:A,TRIM(A4791))&gt;0,((VLOOKUP(TRIM(D4791), CATALOGO!A:B, 2, FALSE) * C4791)*(1-VALUE(SUBSTITUTE(VLOOKUP(TRIM(A4791),'RESTAURANTESDESCUENTOS 2026'!A:B,2,FALSE),"%",""))/100)+I4791),(VLOOKUP(TRIM(D4791), CATALOGO!A:B, 2, FALSE) * C4791+I4791)),""))</f>
        <v/>
      </c>
      <c r="K4791" s="196"/>
      <c r="L4791" s="87"/>
      <c r="M4791" s="245"/>
      <c r="N4791" s="168"/>
    </row>
    <row r="4792" ht="22.5" hidden="1" customHeight="1">
      <c r="A4792" s="137"/>
      <c r="B4792" s="90"/>
      <c r="C4792" s="55"/>
      <c r="D4792" s="193"/>
      <c r="E4792" s="201"/>
      <c r="F4792" s="202"/>
      <c r="G4792" s="194"/>
      <c r="H4792" s="198"/>
      <c r="I4792" s="196"/>
      <c r="J4792" s="179" t="str">
        <f>IF(A4792="RAPPI",(VLOOKUP(TRIM(D4792), CATALOGO!F:G, 2, FALSE) * C4792)+I4792,IFERROR(IF(COUNTIF('RESTAURANTESDESCUENTOS 2026'!A:A,TRIM(A4792))&gt;0,((VLOOKUP(TRIM(D4792), CATALOGO!A:B, 2, FALSE) * C4792)*(1-VALUE(SUBSTITUTE(VLOOKUP(TRIM(A4792),'RESTAURANTESDESCUENTOS 2026'!A:B,2,FALSE),"%",""))/100)+I4792),(VLOOKUP(TRIM(D4792), CATALOGO!A:B, 2, FALSE) * C4792+I4792)),""))</f>
        <v/>
      </c>
      <c r="K4792" s="196"/>
      <c r="L4792" s="87"/>
      <c r="M4792" s="245"/>
      <c r="N4792" s="168"/>
    </row>
    <row r="4793" ht="22.5" hidden="1" customHeight="1">
      <c r="A4793" s="137"/>
      <c r="B4793" s="90"/>
      <c r="C4793" s="55"/>
      <c r="D4793" s="193"/>
      <c r="E4793" s="201"/>
      <c r="F4793" s="202"/>
      <c r="G4793" s="194"/>
      <c r="H4793" s="198"/>
      <c r="I4793" s="196"/>
      <c r="J4793" s="179" t="str">
        <f>IF(A4793="RAPPI",(VLOOKUP(TRIM(D4793), CATALOGO!F:G, 2, FALSE) * C4793)+I4793,IFERROR(IF(COUNTIF('RESTAURANTESDESCUENTOS 2026'!A:A,TRIM(A4793))&gt;0,((VLOOKUP(TRIM(D4793), CATALOGO!A:B, 2, FALSE) * C4793)*(1-VALUE(SUBSTITUTE(VLOOKUP(TRIM(A4793),'RESTAURANTESDESCUENTOS 2026'!A:B,2,FALSE),"%",""))/100)+I4793),(VLOOKUP(TRIM(D4793), CATALOGO!A:B, 2, FALSE) * C4793+I4793)),""))</f>
        <v/>
      </c>
      <c r="K4793" s="196"/>
      <c r="L4793" s="87"/>
      <c r="M4793" s="245"/>
      <c r="N4793" s="168"/>
    </row>
    <row r="4794" ht="22.5" hidden="1" customHeight="1">
      <c r="A4794" s="137"/>
      <c r="B4794" s="90"/>
      <c r="C4794" s="55"/>
      <c r="D4794" s="193"/>
      <c r="E4794" s="201"/>
      <c r="F4794" s="202"/>
      <c r="G4794" s="194"/>
      <c r="H4794" s="198"/>
      <c r="I4794" s="196"/>
      <c r="J4794" s="179" t="str">
        <f>IF(A4794="RAPPI",(VLOOKUP(TRIM(D4794), CATALOGO!F:G, 2, FALSE) * C4794)+I4794,IFERROR(IF(COUNTIF('RESTAURANTESDESCUENTOS 2026'!A:A,TRIM(A4794))&gt;0,((VLOOKUP(TRIM(D4794), CATALOGO!A:B, 2, FALSE) * C4794)*(1-VALUE(SUBSTITUTE(VLOOKUP(TRIM(A4794),'RESTAURANTESDESCUENTOS 2026'!A:B,2,FALSE),"%",""))/100)+I4794),(VLOOKUP(TRIM(D4794), CATALOGO!A:B, 2, FALSE) * C4794+I4794)),""))</f>
        <v/>
      </c>
      <c r="K4794" s="196"/>
      <c r="L4794" s="87"/>
      <c r="M4794" s="245"/>
      <c r="N4794" s="168"/>
    </row>
    <row r="4795" ht="22.5" hidden="1" customHeight="1">
      <c r="A4795" s="137"/>
      <c r="B4795" s="90"/>
      <c r="C4795" s="55"/>
      <c r="D4795" s="193"/>
      <c r="E4795" s="201"/>
      <c r="F4795" s="202"/>
      <c r="G4795" s="194"/>
      <c r="H4795" s="198"/>
      <c r="I4795" s="196"/>
      <c r="J4795" s="179" t="str">
        <f>IF(A4795="RAPPI",(VLOOKUP(TRIM(D4795), CATALOGO!F:G, 2, FALSE) * C4795)+I4795,IFERROR(IF(COUNTIF('RESTAURANTESDESCUENTOS 2026'!A:A,TRIM(A4795))&gt;0,((VLOOKUP(TRIM(D4795), CATALOGO!A:B, 2, FALSE) * C4795)*(1-VALUE(SUBSTITUTE(VLOOKUP(TRIM(A4795),'RESTAURANTESDESCUENTOS 2026'!A:B,2,FALSE),"%",""))/100)+I4795),(VLOOKUP(TRIM(D4795), CATALOGO!A:B, 2, FALSE) * C4795+I4795)),""))</f>
        <v/>
      </c>
      <c r="K4795" s="196"/>
      <c r="L4795" s="87"/>
      <c r="M4795" s="245"/>
      <c r="N4795" s="168"/>
    </row>
    <row r="4796" ht="22.5" hidden="1" customHeight="1">
      <c r="A4796" s="137"/>
      <c r="B4796" s="90"/>
      <c r="C4796" s="55"/>
      <c r="D4796" s="193"/>
      <c r="E4796" s="201"/>
      <c r="F4796" s="202"/>
      <c r="G4796" s="194"/>
      <c r="H4796" s="198"/>
      <c r="I4796" s="196"/>
      <c r="J4796" s="179" t="str">
        <f>IF(A4796="RAPPI",(VLOOKUP(TRIM(D4796), CATALOGO!F:G, 2, FALSE) * C4796)+I4796,IFERROR(IF(COUNTIF('RESTAURANTESDESCUENTOS 2026'!A:A,TRIM(A4796))&gt;0,((VLOOKUP(TRIM(D4796), CATALOGO!A:B, 2, FALSE) * C4796)*(1-VALUE(SUBSTITUTE(VLOOKUP(TRIM(A4796),'RESTAURANTESDESCUENTOS 2026'!A:B,2,FALSE),"%",""))/100)+I4796),(VLOOKUP(TRIM(D4796), CATALOGO!A:B, 2, FALSE) * C4796+I4796)),""))</f>
        <v/>
      </c>
      <c r="K4796" s="196"/>
      <c r="L4796" s="87"/>
      <c r="M4796" s="245"/>
      <c r="N4796" s="168"/>
    </row>
    <row r="4797" ht="22.5" hidden="1" customHeight="1">
      <c r="A4797" s="137"/>
      <c r="B4797" s="90"/>
      <c r="C4797" s="55"/>
      <c r="D4797" s="193"/>
      <c r="E4797" s="201"/>
      <c r="F4797" s="202"/>
      <c r="G4797" s="194"/>
      <c r="H4797" s="198"/>
      <c r="I4797" s="196"/>
      <c r="J4797" s="179" t="str">
        <f>IF(A4797="RAPPI",(VLOOKUP(TRIM(D4797), CATALOGO!F:G, 2, FALSE) * C4797)+I4797,IFERROR(IF(COUNTIF('RESTAURANTESDESCUENTOS 2026'!A:A,TRIM(A4797))&gt;0,((VLOOKUP(TRIM(D4797), CATALOGO!A:B, 2, FALSE) * C4797)*(1-VALUE(SUBSTITUTE(VLOOKUP(TRIM(A4797),'RESTAURANTESDESCUENTOS 2026'!A:B,2,FALSE),"%",""))/100)+I4797),(VLOOKUP(TRIM(D4797), CATALOGO!A:B, 2, FALSE) * C4797+I4797)),""))</f>
        <v/>
      </c>
      <c r="K4797" s="196"/>
      <c r="L4797" s="87"/>
      <c r="M4797" s="245"/>
      <c r="N4797" s="168"/>
    </row>
    <row r="4798" ht="22.5" hidden="1" customHeight="1">
      <c r="A4798" s="137"/>
      <c r="B4798" s="90"/>
      <c r="C4798" s="55"/>
      <c r="D4798" s="193"/>
      <c r="E4798" s="201"/>
      <c r="F4798" s="202"/>
      <c r="G4798" s="194"/>
      <c r="H4798" s="198"/>
      <c r="I4798" s="196"/>
      <c r="J4798" s="179" t="str">
        <f>IF(A4798="RAPPI",(VLOOKUP(TRIM(D4798), CATALOGO!F:G, 2, FALSE) * C4798)+I4798,IFERROR(IF(COUNTIF('RESTAURANTESDESCUENTOS 2026'!A:A,TRIM(A4798))&gt;0,((VLOOKUP(TRIM(D4798), CATALOGO!A:B, 2, FALSE) * C4798)*(1-VALUE(SUBSTITUTE(VLOOKUP(TRIM(A4798),'RESTAURANTESDESCUENTOS 2026'!A:B,2,FALSE),"%",""))/100)+I4798),(VLOOKUP(TRIM(D4798), CATALOGO!A:B, 2, FALSE) * C4798+I4798)),""))</f>
        <v/>
      </c>
      <c r="K4798" s="196"/>
      <c r="L4798" s="87"/>
      <c r="M4798" s="245"/>
      <c r="N4798" s="168"/>
    </row>
    <row r="4799" ht="22.5" hidden="1" customHeight="1">
      <c r="A4799" s="137"/>
      <c r="B4799" s="90"/>
      <c r="C4799" s="55"/>
      <c r="D4799" s="193"/>
      <c r="E4799" s="201"/>
      <c r="F4799" s="202"/>
      <c r="G4799" s="194"/>
      <c r="H4799" s="198"/>
      <c r="I4799" s="196"/>
      <c r="J4799" s="179" t="str">
        <f>IF(A4799="RAPPI",(VLOOKUP(TRIM(D4799), CATALOGO!F:G, 2, FALSE) * C4799)+I4799,IFERROR(IF(COUNTIF('RESTAURANTESDESCUENTOS 2026'!A:A,TRIM(A4799))&gt;0,((VLOOKUP(TRIM(D4799), CATALOGO!A:B, 2, FALSE) * C4799)*(1-VALUE(SUBSTITUTE(VLOOKUP(TRIM(A4799),'RESTAURANTESDESCUENTOS 2026'!A:B,2,FALSE),"%",""))/100)+I4799),(VLOOKUP(TRIM(D4799), CATALOGO!A:B, 2, FALSE) * C4799+I4799)),""))</f>
        <v/>
      </c>
      <c r="K4799" s="196"/>
      <c r="L4799" s="87"/>
      <c r="M4799" s="245"/>
      <c r="N4799" s="168"/>
    </row>
    <row r="4800" ht="22.5" hidden="1" customHeight="1">
      <c r="A4800" s="137"/>
      <c r="B4800" s="90"/>
      <c r="C4800" s="55"/>
      <c r="D4800" s="193"/>
      <c r="E4800" s="201"/>
      <c r="F4800" s="202"/>
      <c r="G4800" s="194"/>
      <c r="H4800" s="198"/>
      <c r="I4800" s="196"/>
      <c r="J4800" s="179" t="str">
        <f>IF(A4800="RAPPI",(VLOOKUP(TRIM(D4800), CATALOGO!F:G, 2, FALSE) * C4800)+I4800,IFERROR(IF(COUNTIF('RESTAURANTESDESCUENTOS 2026'!A:A,TRIM(A4800))&gt;0,((VLOOKUP(TRIM(D4800), CATALOGO!A:B, 2, FALSE) * C4800)*(1-VALUE(SUBSTITUTE(VLOOKUP(TRIM(A4800),'RESTAURANTESDESCUENTOS 2026'!A:B,2,FALSE),"%",""))/100)+I4800),(VLOOKUP(TRIM(D4800), CATALOGO!A:B, 2, FALSE) * C4800+I4800)),""))</f>
        <v/>
      </c>
      <c r="K4800" s="196"/>
      <c r="L4800" s="87"/>
      <c r="M4800" s="245"/>
      <c r="N4800" s="168"/>
    </row>
    <row r="4801" ht="22.5" hidden="1" customHeight="1">
      <c r="A4801" s="137"/>
      <c r="B4801" s="90"/>
      <c r="C4801" s="55"/>
      <c r="D4801" s="193"/>
      <c r="E4801" s="201"/>
      <c r="F4801" s="202"/>
      <c r="G4801" s="194"/>
      <c r="H4801" s="198"/>
      <c r="I4801" s="196"/>
      <c r="J4801" s="179" t="str">
        <f>IF(A4801="RAPPI",(VLOOKUP(TRIM(D4801), CATALOGO!F:G, 2, FALSE) * C4801)+I4801,IFERROR(IF(COUNTIF('RESTAURANTESDESCUENTOS 2026'!A:A,TRIM(A4801))&gt;0,((VLOOKUP(TRIM(D4801), CATALOGO!A:B, 2, FALSE) * C4801)*(1-VALUE(SUBSTITUTE(VLOOKUP(TRIM(A4801),'RESTAURANTESDESCUENTOS 2026'!A:B,2,FALSE),"%",""))/100)+I4801),(VLOOKUP(TRIM(D4801), CATALOGO!A:B, 2, FALSE) * C4801+I4801)),""))</f>
        <v/>
      </c>
      <c r="K4801" s="196"/>
      <c r="L4801" s="87"/>
      <c r="M4801" s="245"/>
      <c r="N4801" s="168"/>
    </row>
    <row r="4802" ht="22.5" hidden="1" customHeight="1">
      <c r="A4802" s="137"/>
      <c r="B4802" s="90"/>
      <c r="C4802" s="55"/>
      <c r="D4802" s="193"/>
      <c r="E4802" s="201"/>
      <c r="F4802" s="202"/>
      <c r="G4802" s="194"/>
      <c r="H4802" s="198"/>
      <c r="I4802" s="196"/>
      <c r="J4802" s="179" t="str">
        <f>IF(A4802="RAPPI",(VLOOKUP(TRIM(D4802), CATALOGO!F:G, 2, FALSE) * C4802)+I4802,IFERROR(IF(COUNTIF('RESTAURANTESDESCUENTOS 2026'!A:A,TRIM(A4802))&gt;0,((VLOOKUP(TRIM(D4802), CATALOGO!A:B, 2, FALSE) * C4802)*(1-VALUE(SUBSTITUTE(VLOOKUP(TRIM(A4802),'RESTAURANTESDESCUENTOS 2026'!A:B,2,FALSE),"%",""))/100)+I4802),(VLOOKUP(TRIM(D4802), CATALOGO!A:B, 2, FALSE) * C4802+I4802)),""))</f>
        <v/>
      </c>
      <c r="K4802" s="196"/>
      <c r="L4802" s="87"/>
      <c r="M4802" s="245"/>
      <c r="N4802" s="168"/>
    </row>
    <row r="4803" ht="22.5" hidden="1" customHeight="1">
      <c r="A4803" s="137"/>
      <c r="B4803" s="90"/>
      <c r="C4803" s="55"/>
      <c r="D4803" s="193"/>
      <c r="E4803" s="201"/>
      <c r="F4803" s="202"/>
      <c r="G4803" s="194"/>
      <c r="H4803" s="198"/>
      <c r="I4803" s="196"/>
      <c r="J4803" s="179" t="str">
        <f>IF(A4803="RAPPI",(VLOOKUP(TRIM(D4803), CATALOGO!F:G, 2, FALSE) * C4803)+I4803,IFERROR(IF(COUNTIF('RESTAURANTESDESCUENTOS 2026'!A:A,TRIM(A4803))&gt;0,((VLOOKUP(TRIM(D4803), CATALOGO!A:B, 2, FALSE) * C4803)*(1-VALUE(SUBSTITUTE(VLOOKUP(TRIM(A4803),'RESTAURANTESDESCUENTOS 2026'!A:B,2,FALSE),"%",""))/100)+I4803),(VLOOKUP(TRIM(D4803), CATALOGO!A:B, 2, FALSE) * C4803+I4803)),""))</f>
        <v/>
      </c>
      <c r="K4803" s="196"/>
      <c r="L4803" s="87"/>
      <c r="M4803" s="245"/>
      <c r="N4803" s="168"/>
    </row>
    <row r="4804" ht="22.5" hidden="1" customHeight="1">
      <c r="A4804" s="137"/>
      <c r="B4804" s="90"/>
      <c r="C4804" s="55"/>
      <c r="D4804" s="193"/>
      <c r="E4804" s="201"/>
      <c r="F4804" s="202"/>
      <c r="G4804" s="194"/>
      <c r="H4804" s="198"/>
      <c r="I4804" s="196"/>
      <c r="J4804" s="179" t="str">
        <f>IF(A4804="RAPPI",(VLOOKUP(TRIM(D4804), CATALOGO!F:G, 2, FALSE) * C4804)+I4804,IFERROR(IF(COUNTIF('RESTAURANTESDESCUENTOS 2026'!A:A,TRIM(A4804))&gt;0,((VLOOKUP(TRIM(D4804), CATALOGO!A:B, 2, FALSE) * C4804)*(1-VALUE(SUBSTITUTE(VLOOKUP(TRIM(A4804),'RESTAURANTESDESCUENTOS 2026'!A:B,2,FALSE),"%",""))/100)+I4804),(VLOOKUP(TRIM(D4804), CATALOGO!A:B, 2, FALSE) * C4804+I4804)),""))</f>
        <v/>
      </c>
      <c r="K4804" s="196"/>
      <c r="L4804" s="87"/>
      <c r="M4804" s="245"/>
      <c r="N4804" s="168"/>
    </row>
    <row r="4805" ht="22.5" hidden="1" customHeight="1">
      <c r="A4805" s="137"/>
      <c r="B4805" s="90"/>
      <c r="C4805" s="55"/>
      <c r="D4805" s="193"/>
      <c r="E4805" s="201"/>
      <c r="F4805" s="202"/>
      <c r="G4805" s="194"/>
      <c r="H4805" s="198"/>
      <c r="I4805" s="196"/>
      <c r="J4805" s="179" t="str">
        <f>IF(A4805="RAPPI",(VLOOKUP(TRIM(D4805), CATALOGO!F:G, 2, FALSE) * C4805)+I4805,IFERROR(IF(COUNTIF('RESTAURANTESDESCUENTOS 2026'!A:A,TRIM(A4805))&gt;0,((VLOOKUP(TRIM(D4805), CATALOGO!A:B, 2, FALSE) * C4805)*(1-VALUE(SUBSTITUTE(VLOOKUP(TRIM(A4805),'RESTAURANTESDESCUENTOS 2026'!A:B,2,FALSE),"%",""))/100)+I4805),(VLOOKUP(TRIM(D4805), CATALOGO!A:B, 2, FALSE) * C4805+I4805)),""))</f>
        <v/>
      </c>
      <c r="K4805" s="196"/>
      <c r="L4805" s="87"/>
      <c r="M4805" s="245"/>
      <c r="N4805" s="168"/>
    </row>
    <row r="4806" ht="22.5" hidden="1" customHeight="1">
      <c r="A4806" s="137"/>
      <c r="B4806" s="90"/>
      <c r="C4806" s="55"/>
      <c r="D4806" s="193"/>
      <c r="E4806" s="201"/>
      <c r="F4806" s="202"/>
      <c r="G4806" s="194"/>
      <c r="H4806" s="198"/>
      <c r="I4806" s="196"/>
      <c r="J4806" s="179" t="str">
        <f>IF(A4806="RAPPI",(VLOOKUP(TRIM(D4806), CATALOGO!F:G, 2, FALSE) * C4806)+I4806,IFERROR(IF(COUNTIF('RESTAURANTESDESCUENTOS 2026'!A:A,TRIM(A4806))&gt;0,((VLOOKUP(TRIM(D4806), CATALOGO!A:B, 2, FALSE) * C4806)*(1-VALUE(SUBSTITUTE(VLOOKUP(TRIM(A4806),'RESTAURANTESDESCUENTOS 2026'!A:B,2,FALSE),"%",""))/100)+I4806),(VLOOKUP(TRIM(D4806), CATALOGO!A:B, 2, FALSE) * C4806+I4806)),""))</f>
        <v/>
      </c>
      <c r="K4806" s="196"/>
      <c r="L4806" s="87"/>
      <c r="M4806" s="245"/>
      <c r="N4806" s="168"/>
    </row>
    <row r="4807" ht="22.5" hidden="1" customHeight="1">
      <c r="A4807" s="137"/>
      <c r="B4807" s="90"/>
      <c r="C4807" s="55"/>
      <c r="D4807" s="193"/>
      <c r="E4807" s="201"/>
      <c r="F4807" s="202"/>
      <c r="G4807" s="194"/>
      <c r="H4807" s="198"/>
      <c r="I4807" s="196"/>
      <c r="J4807" s="179" t="str">
        <f>IF(A4807="RAPPI",(VLOOKUP(TRIM(D4807), CATALOGO!F:G, 2, FALSE) * C4807)+I4807,IFERROR(IF(COUNTIF('RESTAURANTESDESCUENTOS 2026'!A:A,TRIM(A4807))&gt;0,((VLOOKUP(TRIM(D4807), CATALOGO!A:B, 2, FALSE) * C4807)*(1-VALUE(SUBSTITUTE(VLOOKUP(TRIM(A4807),'RESTAURANTESDESCUENTOS 2026'!A:B,2,FALSE),"%",""))/100)+I4807),(VLOOKUP(TRIM(D4807), CATALOGO!A:B, 2, FALSE) * C4807+I4807)),""))</f>
        <v/>
      </c>
      <c r="K4807" s="196"/>
      <c r="L4807" s="87"/>
      <c r="M4807" s="245"/>
      <c r="N4807" s="168"/>
    </row>
    <row r="4808" ht="22.5" hidden="1" customHeight="1">
      <c r="A4808" s="137"/>
      <c r="B4808" s="90"/>
      <c r="C4808" s="55"/>
      <c r="D4808" s="193"/>
      <c r="E4808" s="201"/>
      <c r="F4808" s="202"/>
      <c r="G4808" s="194"/>
      <c r="H4808" s="198"/>
      <c r="I4808" s="196"/>
      <c r="J4808" s="179" t="str">
        <f>IF(A4808="RAPPI",(VLOOKUP(TRIM(D4808), CATALOGO!F:G, 2, FALSE) * C4808)+I4808,IFERROR(IF(COUNTIF('RESTAURANTESDESCUENTOS 2026'!A:A,TRIM(A4808))&gt;0,((VLOOKUP(TRIM(D4808), CATALOGO!A:B, 2, FALSE) * C4808)*(1-VALUE(SUBSTITUTE(VLOOKUP(TRIM(A4808),'RESTAURANTESDESCUENTOS 2026'!A:B,2,FALSE),"%",""))/100)+I4808),(VLOOKUP(TRIM(D4808), CATALOGO!A:B, 2, FALSE) * C4808+I4808)),""))</f>
        <v/>
      </c>
      <c r="K4808" s="196"/>
      <c r="L4808" s="87"/>
      <c r="M4808" s="245"/>
      <c r="N4808" s="168"/>
    </row>
    <row r="4809" ht="22.5" hidden="1" customHeight="1">
      <c r="A4809" s="137"/>
      <c r="B4809" s="90"/>
      <c r="C4809" s="55"/>
      <c r="D4809" s="193"/>
      <c r="E4809" s="201"/>
      <c r="F4809" s="202"/>
      <c r="G4809" s="194"/>
      <c r="H4809" s="198"/>
      <c r="I4809" s="196"/>
      <c r="J4809" s="179" t="str">
        <f>IF(A4809="RAPPI",(VLOOKUP(TRIM(D4809), CATALOGO!F:G, 2, FALSE) * C4809)+I4809,IFERROR(IF(COUNTIF('RESTAURANTESDESCUENTOS 2026'!A:A,TRIM(A4809))&gt;0,((VLOOKUP(TRIM(D4809), CATALOGO!A:B, 2, FALSE) * C4809)*(1-VALUE(SUBSTITUTE(VLOOKUP(TRIM(A4809),'RESTAURANTESDESCUENTOS 2026'!A:B,2,FALSE),"%",""))/100)+I4809),(VLOOKUP(TRIM(D4809), CATALOGO!A:B, 2, FALSE) * C4809+I4809)),""))</f>
        <v/>
      </c>
      <c r="K4809" s="196"/>
      <c r="L4809" s="87"/>
      <c r="M4809" s="245"/>
      <c r="N4809" s="168"/>
    </row>
    <row r="4810" ht="22.5" hidden="1" customHeight="1">
      <c r="A4810" s="137"/>
      <c r="B4810" s="90"/>
      <c r="C4810" s="55"/>
      <c r="D4810" s="193"/>
      <c r="E4810" s="201"/>
      <c r="F4810" s="202"/>
      <c r="G4810" s="194"/>
      <c r="H4810" s="198"/>
      <c r="I4810" s="196"/>
      <c r="J4810" s="179" t="str">
        <f>IF(A4810="RAPPI",(VLOOKUP(TRIM(D4810), CATALOGO!F:G, 2, FALSE) * C4810)+I4810,IFERROR(IF(COUNTIF('RESTAURANTESDESCUENTOS 2026'!A:A,TRIM(A4810))&gt;0,((VLOOKUP(TRIM(D4810), CATALOGO!A:B, 2, FALSE) * C4810)*(1-VALUE(SUBSTITUTE(VLOOKUP(TRIM(A4810),'RESTAURANTESDESCUENTOS 2026'!A:B,2,FALSE),"%",""))/100)+I4810),(VLOOKUP(TRIM(D4810), CATALOGO!A:B, 2, FALSE) * C4810+I4810)),""))</f>
        <v/>
      </c>
      <c r="K4810" s="196"/>
      <c r="L4810" s="87"/>
      <c r="M4810" s="245"/>
      <c r="N4810" s="168"/>
    </row>
    <row r="4811" ht="22.5" hidden="1" customHeight="1">
      <c r="A4811" s="137"/>
      <c r="B4811" s="90"/>
      <c r="C4811" s="55"/>
      <c r="D4811" s="193"/>
      <c r="E4811" s="201"/>
      <c r="F4811" s="202"/>
      <c r="G4811" s="194"/>
      <c r="H4811" s="198"/>
      <c r="I4811" s="196"/>
      <c r="J4811" s="179" t="str">
        <f>IF(A4811="RAPPI",(VLOOKUP(TRIM(D4811), CATALOGO!F:G, 2, FALSE) * C4811)+I4811,IFERROR(IF(COUNTIF('RESTAURANTESDESCUENTOS 2026'!A:A,TRIM(A4811))&gt;0,((VLOOKUP(TRIM(D4811), CATALOGO!A:B, 2, FALSE) * C4811)*(1-VALUE(SUBSTITUTE(VLOOKUP(TRIM(A4811),'RESTAURANTESDESCUENTOS 2026'!A:B,2,FALSE),"%",""))/100)+I4811),(VLOOKUP(TRIM(D4811), CATALOGO!A:B, 2, FALSE) * C4811+I4811)),""))</f>
        <v/>
      </c>
      <c r="K4811" s="196"/>
      <c r="L4811" s="87"/>
      <c r="M4811" s="245"/>
      <c r="N4811" s="168"/>
    </row>
    <row r="4812" ht="22.5" hidden="1" customHeight="1">
      <c r="A4812" s="137"/>
      <c r="B4812" s="90"/>
      <c r="C4812" s="55"/>
      <c r="D4812" s="193"/>
      <c r="E4812" s="201"/>
      <c r="F4812" s="202"/>
      <c r="G4812" s="194"/>
      <c r="H4812" s="198"/>
      <c r="I4812" s="196"/>
      <c r="J4812" s="179" t="str">
        <f>IF(A4812="RAPPI",(VLOOKUP(TRIM(D4812), CATALOGO!F:G, 2, FALSE) * C4812)+I4812,IFERROR(IF(COUNTIF('RESTAURANTESDESCUENTOS 2026'!A:A,TRIM(A4812))&gt;0,((VLOOKUP(TRIM(D4812), CATALOGO!A:B, 2, FALSE) * C4812)*(1-VALUE(SUBSTITUTE(VLOOKUP(TRIM(A4812),'RESTAURANTESDESCUENTOS 2026'!A:B,2,FALSE),"%",""))/100)+I4812),(VLOOKUP(TRIM(D4812), CATALOGO!A:B, 2, FALSE) * C4812+I4812)),""))</f>
        <v/>
      </c>
      <c r="K4812" s="196"/>
      <c r="L4812" s="87"/>
      <c r="M4812" s="245"/>
      <c r="N4812" s="168"/>
    </row>
    <row r="4813" ht="22.5" hidden="1" customHeight="1">
      <c r="A4813" s="137"/>
      <c r="B4813" s="90"/>
      <c r="C4813" s="55"/>
      <c r="D4813" s="193"/>
      <c r="E4813" s="201"/>
      <c r="F4813" s="202"/>
      <c r="G4813" s="194"/>
      <c r="H4813" s="198"/>
      <c r="I4813" s="196"/>
      <c r="J4813" s="179" t="str">
        <f>IF(A4813="RAPPI",(VLOOKUP(TRIM(D4813), CATALOGO!F:G, 2, FALSE) * C4813)+I4813,IFERROR(IF(COUNTIF('RESTAURANTESDESCUENTOS 2026'!A:A,TRIM(A4813))&gt;0,((VLOOKUP(TRIM(D4813), CATALOGO!A:B, 2, FALSE) * C4813)*(1-VALUE(SUBSTITUTE(VLOOKUP(TRIM(A4813),'RESTAURANTESDESCUENTOS 2026'!A:B,2,FALSE),"%",""))/100)+I4813),(VLOOKUP(TRIM(D4813), CATALOGO!A:B, 2, FALSE) * C4813+I4813)),""))</f>
        <v/>
      </c>
      <c r="K4813" s="196"/>
      <c r="L4813" s="87"/>
      <c r="M4813" s="245"/>
      <c r="N4813" s="168"/>
    </row>
    <row r="4814" ht="22.5" hidden="1" customHeight="1">
      <c r="A4814" s="137"/>
      <c r="B4814" s="90"/>
      <c r="C4814" s="55"/>
      <c r="D4814" s="193"/>
      <c r="E4814" s="201"/>
      <c r="F4814" s="202"/>
      <c r="G4814" s="194"/>
      <c r="H4814" s="198"/>
      <c r="I4814" s="196"/>
      <c r="J4814" s="179" t="str">
        <f>IF(A4814="RAPPI",(VLOOKUP(TRIM(D4814), CATALOGO!F:G, 2, FALSE) * C4814)+I4814,IFERROR(IF(COUNTIF('RESTAURANTESDESCUENTOS 2026'!A:A,TRIM(A4814))&gt;0,((VLOOKUP(TRIM(D4814), CATALOGO!A:B, 2, FALSE) * C4814)*(1-VALUE(SUBSTITUTE(VLOOKUP(TRIM(A4814),'RESTAURANTESDESCUENTOS 2026'!A:B,2,FALSE),"%",""))/100)+I4814),(VLOOKUP(TRIM(D4814), CATALOGO!A:B, 2, FALSE) * C4814+I4814)),""))</f>
        <v/>
      </c>
      <c r="K4814" s="196"/>
      <c r="L4814" s="87"/>
      <c r="M4814" s="245"/>
      <c r="N4814" s="168"/>
    </row>
    <row r="4815" ht="22.5" hidden="1" customHeight="1">
      <c r="A4815" s="137"/>
      <c r="B4815" s="90"/>
      <c r="C4815" s="55"/>
      <c r="D4815" s="193"/>
      <c r="E4815" s="201"/>
      <c r="F4815" s="202"/>
      <c r="G4815" s="194"/>
      <c r="H4815" s="198"/>
      <c r="I4815" s="196"/>
      <c r="J4815" s="179" t="str">
        <f>IF(A4815="RAPPI",(VLOOKUP(TRIM(D4815), CATALOGO!F:G, 2, FALSE) * C4815)+I4815,IFERROR(IF(COUNTIF('RESTAURANTESDESCUENTOS 2026'!A:A,TRIM(A4815))&gt;0,((VLOOKUP(TRIM(D4815), CATALOGO!A:B, 2, FALSE) * C4815)*(1-VALUE(SUBSTITUTE(VLOOKUP(TRIM(A4815),'RESTAURANTESDESCUENTOS 2026'!A:B,2,FALSE),"%",""))/100)+I4815),(VLOOKUP(TRIM(D4815), CATALOGO!A:B, 2, FALSE) * C4815+I4815)),""))</f>
        <v/>
      </c>
      <c r="K4815" s="196"/>
      <c r="L4815" s="87"/>
      <c r="M4815" s="245"/>
      <c r="N4815" s="168"/>
    </row>
    <row r="4816" ht="22.5" hidden="1" customHeight="1">
      <c r="A4816" s="137"/>
      <c r="B4816" s="90"/>
      <c r="C4816" s="55"/>
      <c r="D4816" s="193"/>
      <c r="E4816" s="201"/>
      <c r="F4816" s="202"/>
      <c r="G4816" s="194"/>
      <c r="H4816" s="198"/>
      <c r="I4816" s="196"/>
      <c r="J4816" s="179" t="str">
        <f>IF(A4816="RAPPI",(VLOOKUP(TRIM(D4816), CATALOGO!F:G, 2, FALSE) * C4816)+I4816,IFERROR(IF(COUNTIF('RESTAURANTESDESCUENTOS 2026'!A:A,TRIM(A4816))&gt;0,((VLOOKUP(TRIM(D4816), CATALOGO!A:B, 2, FALSE) * C4816)*(1-VALUE(SUBSTITUTE(VLOOKUP(TRIM(A4816),'RESTAURANTESDESCUENTOS 2026'!A:B,2,FALSE),"%",""))/100)+I4816),(VLOOKUP(TRIM(D4816), CATALOGO!A:B, 2, FALSE) * C4816+I4816)),""))</f>
        <v/>
      </c>
      <c r="K4816" s="196"/>
      <c r="L4816" s="87"/>
      <c r="M4816" s="245"/>
      <c r="N4816" s="168"/>
    </row>
    <row r="4817" ht="22.5" hidden="1" customHeight="1">
      <c r="A4817" s="137"/>
      <c r="B4817" s="90"/>
      <c r="C4817" s="55"/>
      <c r="D4817" s="193"/>
      <c r="E4817" s="201"/>
      <c r="F4817" s="202"/>
      <c r="G4817" s="194"/>
      <c r="H4817" s="198"/>
      <c r="I4817" s="196"/>
      <c r="J4817" s="179" t="str">
        <f>IF(A4817="RAPPI",(VLOOKUP(TRIM(D4817), CATALOGO!F:G, 2, FALSE) * C4817)+I4817,IFERROR(IF(COUNTIF('RESTAURANTESDESCUENTOS 2026'!A:A,TRIM(A4817))&gt;0,((VLOOKUP(TRIM(D4817), CATALOGO!A:B, 2, FALSE) * C4817)*(1-VALUE(SUBSTITUTE(VLOOKUP(TRIM(A4817),'RESTAURANTESDESCUENTOS 2026'!A:B,2,FALSE),"%",""))/100)+I4817),(VLOOKUP(TRIM(D4817), CATALOGO!A:B, 2, FALSE) * C4817+I4817)),""))</f>
        <v/>
      </c>
      <c r="K4817" s="196"/>
      <c r="L4817" s="87"/>
      <c r="M4817" s="245"/>
      <c r="N4817" s="168"/>
    </row>
    <row r="4818" ht="22.5" hidden="1" customHeight="1">
      <c r="A4818" s="137"/>
      <c r="B4818" s="90"/>
      <c r="C4818" s="55"/>
      <c r="D4818" s="193"/>
      <c r="E4818" s="201"/>
      <c r="F4818" s="202"/>
      <c r="G4818" s="194"/>
      <c r="H4818" s="198"/>
      <c r="I4818" s="196"/>
      <c r="J4818" s="179" t="str">
        <f>IF(A4818="RAPPI",(VLOOKUP(TRIM(D4818), CATALOGO!F:G, 2, FALSE) * C4818)+I4818,IFERROR(IF(COUNTIF('RESTAURANTESDESCUENTOS 2026'!A:A,TRIM(A4818))&gt;0,((VLOOKUP(TRIM(D4818), CATALOGO!A:B, 2, FALSE) * C4818)*(1-VALUE(SUBSTITUTE(VLOOKUP(TRIM(A4818),'RESTAURANTESDESCUENTOS 2026'!A:B,2,FALSE),"%",""))/100)+I4818),(VLOOKUP(TRIM(D4818), CATALOGO!A:B, 2, FALSE) * C4818+I4818)),""))</f>
        <v/>
      </c>
      <c r="K4818" s="196"/>
      <c r="L4818" s="87"/>
      <c r="M4818" s="245"/>
      <c r="N4818" s="168"/>
    </row>
    <row r="4819" ht="22.5" hidden="1" customHeight="1">
      <c r="A4819" s="137"/>
      <c r="B4819" s="90"/>
      <c r="C4819" s="55"/>
      <c r="D4819" s="193"/>
      <c r="E4819" s="201"/>
      <c r="F4819" s="202"/>
      <c r="G4819" s="194"/>
      <c r="H4819" s="198"/>
      <c r="I4819" s="196"/>
      <c r="J4819" s="179" t="str">
        <f>IF(A4819="RAPPI",(VLOOKUP(TRIM(D4819), CATALOGO!F:G, 2, FALSE) * C4819)+I4819,IFERROR(IF(COUNTIF('RESTAURANTESDESCUENTOS 2026'!A:A,TRIM(A4819))&gt;0,((VLOOKUP(TRIM(D4819), CATALOGO!A:B, 2, FALSE) * C4819)*(1-VALUE(SUBSTITUTE(VLOOKUP(TRIM(A4819),'RESTAURANTESDESCUENTOS 2026'!A:B,2,FALSE),"%",""))/100)+I4819),(VLOOKUP(TRIM(D4819), CATALOGO!A:B, 2, FALSE) * C4819+I4819)),""))</f>
        <v/>
      </c>
      <c r="K4819" s="196"/>
      <c r="L4819" s="87"/>
      <c r="M4819" s="245"/>
      <c r="N4819" s="168"/>
    </row>
    <row r="4820" ht="22.5" hidden="1" customHeight="1">
      <c r="A4820" s="137"/>
      <c r="B4820" s="90"/>
      <c r="C4820" s="55"/>
      <c r="D4820" s="193"/>
      <c r="E4820" s="201"/>
      <c r="F4820" s="202"/>
      <c r="G4820" s="194"/>
      <c r="H4820" s="198"/>
      <c r="I4820" s="196"/>
      <c r="J4820" s="179" t="str">
        <f>IF(A4820="RAPPI",(VLOOKUP(TRIM(D4820), CATALOGO!F:G, 2, FALSE) * C4820)+I4820,IFERROR(IF(COUNTIF('RESTAURANTESDESCUENTOS 2026'!A:A,TRIM(A4820))&gt;0,((VLOOKUP(TRIM(D4820), CATALOGO!A:B, 2, FALSE) * C4820)*(1-VALUE(SUBSTITUTE(VLOOKUP(TRIM(A4820),'RESTAURANTESDESCUENTOS 2026'!A:B,2,FALSE),"%",""))/100)+I4820),(VLOOKUP(TRIM(D4820), CATALOGO!A:B, 2, FALSE) * C4820+I4820)),""))</f>
        <v/>
      </c>
      <c r="K4820" s="196"/>
      <c r="L4820" s="87"/>
      <c r="M4820" s="245"/>
      <c r="N4820" s="168"/>
    </row>
    <row r="4821" ht="22.5" hidden="1" customHeight="1">
      <c r="A4821" s="137"/>
      <c r="B4821" s="90"/>
      <c r="C4821" s="55"/>
      <c r="D4821" s="193"/>
      <c r="E4821" s="201"/>
      <c r="F4821" s="202"/>
      <c r="G4821" s="194"/>
      <c r="H4821" s="198"/>
      <c r="I4821" s="196"/>
      <c r="J4821" s="179" t="str">
        <f>IF(A4821="RAPPI",(VLOOKUP(TRIM(D4821), CATALOGO!F:G, 2, FALSE) * C4821)+I4821,IFERROR(IF(COUNTIF('RESTAURANTESDESCUENTOS 2026'!A:A,TRIM(A4821))&gt;0,((VLOOKUP(TRIM(D4821), CATALOGO!A:B, 2, FALSE) * C4821)*(1-VALUE(SUBSTITUTE(VLOOKUP(TRIM(A4821),'RESTAURANTESDESCUENTOS 2026'!A:B,2,FALSE),"%",""))/100)+I4821),(VLOOKUP(TRIM(D4821), CATALOGO!A:B, 2, FALSE) * C4821+I4821)),""))</f>
        <v/>
      </c>
      <c r="K4821" s="196"/>
      <c r="L4821" s="87"/>
      <c r="M4821" s="245"/>
      <c r="N4821" s="168"/>
    </row>
    <row r="4822" ht="22.5" hidden="1" customHeight="1">
      <c r="A4822" s="137"/>
      <c r="B4822" s="90"/>
      <c r="C4822" s="55"/>
      <c r="D4822" s="193"/>
      <c r="E4822" s="201"/>
      <c r="F4822" s="202"/>
      <c r="G4822" s="194"/>
      <c r="H4822" s="198"/>
      <c r="I4822" s="196"/>
      <c r="J4822" s="179" t="str">
        <f>IF(A4822="RAPPI",(VLOOKUP(TRIM(D4822), CATALOGO!F:G, 2, FALSE) * C4822)+I4822,IFERROR(IF(COUNTIF('RESTAURANTESDESCUENTOS 2026'!A:A,TRIM(A4822))&gt;0,((VLOOKUP(TRIM(D4822), CATALOGO!A:B, 2, FALSE) * C4822)*(1-VALUE(SUBSTITUTE(VLOOKUP(TRIM(A4822),'RESTAURANTESDESCUENTOS 2026'!A:B,2,FALSE),"%",""))/100)+I4822),(VLOOKUP(TRIM(D4822), CATALOGO!A:B, 2, FALSE) * C4822+I4822)),""))</f>
        <v/>
      </c>
      <c r="K4822" s="196"/>
      <c r="L4822" s="87"/>
      <c r="M4822" s="245"/>
      <c r="N4822" s="168"/>
    </row>
    <row r="4823" ht="22.5" hidden="1" customHeight="1">
      <c r="A4823" s="137"/>
      <c r="B4823" s="90"/>
      <c r="C4823" s="55"/>
      <c r="D4823" s="193"/>
      <c r="E4823" s="201"/>
      <c r="F4823" s="202"/>
      <c r="G4823" s="194"/>
      <c r="H4823" s="198"/>
      <c r="I4823" s="196"/>
      <c r="J4823" s="179" t="str">
        <f>IF(A4823="RAPPI",(VLOOKUP(TRIM(D4823), CATALOGO!F:G, 2, FALSE) * C4823)+I4823,IFERROR(IF(COUNTIF('RESTAURANTESDESCUENTOS 2026'!A:A,TRIM(A4823))&gt;0,((VLOOKUP(TRIM(D4823), CATALOGO!A:B, 2, FALSE) * C4823)*(1-VALUE(SUBSTITUTE(VLOOKUP(TRIM(A4823),'RESTAURANTESDESCUENTOS 2026'!A:B,2,FALSE),"%",""))/100)+I4823),(VLOOKUP(TRIM(D4823), CATALOGO!A:B, 2, FALSE) * C4823+I4823)),""))</f>
        <v/>
      </c>
      <c r="K4823" s="196"/>
      <c r="L4823" s="87"/>
      <c r="M4823" s="245"/>
      <c r="N4823" s="168"/>
    </row>
    <row r="4824" ht="22.5" hidden="1" customHeight="1">
      <c r="A4824" s="137"/>
      <c r="B4824" s="90"/>
      <c r="C4824" s="55"/>
      <c r="D4824" s="193"/>
      <c r="E4824" s="201"/>
      <c r="F4824" s="202"/>
      <c r="G4824" s="194"/>
      <c r="H4824" s="198"/>
      <c r="I4824" s="196"/>
      <c r="J4824" s="179" t="str">
        <f>IF(A4824="RAPPI",(VLOOKUP(TRIM(D4824), CATALOGO!F:G, 2, FALSE) * C4824)+I4824,IFERROR(IF(COUNTIF('RESTAURANTESDESCUENTOS 2026'!A:A,TRIM(A4824))&gt;0,((VLOOKUP(TRIM(D4824), CATALOGO!A:B, 2, FALSE) * C4824)*(1-VALUE(SUBSTITUTE(VLOOKUP(TRIM(A4824),'RESTAURANTESDESCUENTOS 2026'!A:B,2,FALSE),"%",""))/100)+I4824),(VLOOKUP(TRIM(D4824), CATALOGO!A:B, 2, FALSE) * C4824+I4824)),""))</f>
        <v/>
      </c>
      <c r="K4824" s="196"/>
      <c r="L4824" s="87"/>
      <c r="M4824" s="245"/>
      <c r="N4824" s="168"/>
    </row>
    <row r="4825" ht="22.5" hidden="1" customHeight="1">
      <c r="A4825" s="137"/>
      <c r="B4825" s="90"/>
      <c r="C4825" s="55"/>
      <c r="D4825" s="193"/>
      <c r="E4825" s="201"/>
      <c r="F4825" s="202"/>
      <c r="G4825" s="194"/>
      <c r="H4825" s="198"/>
      <c r="I4825" s="196"/>
      <c r="J4825" s="179" t="str">
        <f>IF(A4825="RAPPI",(VLOOKUP(TRIM(D4825), CATALOGO!F:G, 2, FALSE) * C4825)+I4825,IFERROR(IF(COUNTIF('RESTAURANTESDESCUENTOS 2026'!A:A,TRIM(A4825))&gt;0,((VLOOKUP(TRIM(D4825), CATALOGO!A:B, 2, FALSE) * C4825)*(1-VALUE(SUBSTITUTE(VLOOKUP(TRIM(A4825),'RESTAURANTESDESCUENTOS 2026'!A:B,2,FALSE),"%",""))/100)+I4825),(VLOOKUP(TRIM(D4825), CATALOGO!A:B, 2, FALSE) * C4825+I4825)),""))</f>
        <v/>
      </c>
      <c r="K4825" s="196"/>
      <c r="L4825" s="87"/>
      <c r="M4825" s="245"/>
      <c r="N4825" s="168"/>
    </row>
    <row r="4826" ht="22.5" hidden="1" customHeight="1">
      <c r="A4826" s="137"/>
      <c r="B4826" s="90"/>
      <c r="C4826" s="55"/>
      <c r="D4826" s="193"/>
      <c r="E4826" s="201"/>
      <c r="F4826" s="202"/>
      <c r="G4826" s="194"/>
      <c r="H4826" s="198"/>
      <c r="I4826" s="196"/>
      <c r="J4826" s="179" t="str">
        <f>IF(A4826="RAPPI",(VLOOKUP(TRIM(D4826), CATALOGO!F:G, 2, FALSE) * C4826)+I4826,IFERROR(IF(COUNTIF('RESTAURANTESDESCUENTOS 2026'!A:A,TRIM(A4826))&gt;0,((VLOOKUP(TRIM(D4826), CATALOGO!A:B, 2, FALSE) * C4826)*(1-VALUE(SUBSTITUTE(VLOOKUP(TRIM(A4826),'RESTAURANTESDESCUENTOS 2026'!A:B,2,FALSE),"%",""))/100)+I4826),(VLOOKUP(TRIM(D4826), CATALOGO!A:B, 2, FALSE) * C4826+I4826)),""))</f>
        <v/>
      </c>
      <c r="K4826" s="196"/>
      <c r="L4826" s="87"/>
      <c r="M4826" s="245"/>
      <c r="N4826" s="168"/>
    </row>
    <row r="4827" ht="22.5" hidden="1" customHeight="1">
      <c r="A4827" s="137"/>
      <c r="B4827" s="90"/>
      <c r="C4827" s="55"/>
      <c r="D4827" s="193"/>
      <c r="E4827" s="201"/>
      <c r="F4827" s="202"/>
      <c r="G4827" s="194"/>
      <c r="H4827" s="198"/>
      <c r="I4827" s="196"/>
      <c r="J4827" s="179" t="str">
        <f>IF(A4827="RAPPI",(VLOOKUP(TRIM(D4827), CATALOGO!F:G, 2, FALSE) * C4827)+I4827,IFERROR(IF(COUNTIF('RESTAURANTESDESCUENTOS 2026'!A:A,TRIM(A4827))&gt;0,((VLOOKUP(TRIM(D4827), CATALOGO!A:B, 2, FALSE) * C4827)*(1-VALUE(SUBSTITUTE(VLOOKUP(TRIM(A4827),'RESTAURANTESDESCUENTOS 2026'!A:B,2,FALSE),"%",""))/100)+I4827),(VLOOKUP(TRIM(D4827), CATALOGO!A:B, 2, FALSE) * C4827+I4827)),""))</f>
        <v/>
      </c>
      <c r="K4827" s="196"/>
      <c r="L4827" s="87"/>
      <c r="M4827" s="245"/>
      <c r="N4827" s="168"/>
    </row>
    <row r="4828" ht="22.5" hidden="1" customHeight="1">
      <c r="A4828" s="137"/>
      <c r="B4828" s="90"/>
      <c r="C4828" s="55"/>
      <c r="D4828" s="193"/>
      <c r="E4828" s="201"/>
      <c r="F4828" s="202"/>
      <c r="G4828" s="194"/>
      <c r="H4828" s="198"/>
      <c r="I4828" s="196"/>
      <c r="J4828" s="179" t="str">
        <f>IF(A4828="RAPPI",(VLOOKUP(TRIM(D4828), CATALOGO!F:G, 2, FALSE) * C4828)+I4828,IFERROR(IF(COUNTIF('RESTAURANTESDESCUENTOS 2026'!A:A,TRIM(A4828))&gt;0,((VLOOKUP(TRIM(D4828), CATALOGO!A:B, 2, FALSE) * C4828)*(1-VALUE(SUBSTITUTE(VLOOKUP(TRIM(A4828),'RESTAURANTESDESCUENTOS 2026'!A:B,2,FALSE),"%",""))/100)+I4828),(VLOOKUP(TRIM(D4828), CATALOGO!A:B, 2, FALSE) * C4828+I4828)),""))</f>
        <v/>
      </c>
      <c r="K4828" s="196"/>
      <c r="L4828" s="87"/>
      <c r="M4828" s="245"/>
      <c r="N4828" s="168"/>
    </row>
    <row r="4829" ht="22.5" hidden="1" customHeight="1">
      <c r="A4829" s="137"/>
      <c r="B4829" s="90"/>
      <c r="C4829" s="55"/>
      <c r="D4829" s="193"/>
      <c r="E4829" s="201"/>
      <c r="F4829" s="202"/>
      <c r="G4829" s="194"/>
      <c r="H4829" s="198"/>
      <c r="I4829" s="196"/>
      <c r="J4829" s="179" t="str">
        <f>IF(A4829="RAPPI",(VLOOKUP(TRIM(D4829), CATALOGO!F:G, 2, FALSE) * C4829)+I4829,IFERROR(IF(COUNTIF('RESTAURANTESDESCUENTOS 2026'!A:A,TRIM(A4829))&gt;0,((VLOOKUP(TRIM(D4829), CATALOGO!A:B, 2, FALSE) * C4829)*(1-VALUE(SUBSTITUTE(VLOOKUP(TRIM(A4829),'RESTAURANTESDESCUENTOS 2026'!A:B,2,FALSE),"%",""))/100)+I4829),(VLOOKUP(TRIM(D4829), CATALOGO!A:B, 2, FALSE) * C4829+I4829)),""))</f>
        <v/>
      </c>
      <c r="K4829" s="196"/>
      <c r="L4829" s="87"/>
      <c r="M4829" s="245"/>
      <c r="N4829" s="168"/>
    </row>
    <row r="4830" ht="22.5" hidden="1" customHeight="1">
      <c r="A4830" s="137"/>
      <c r="B4830" s="90"/>
      <c r="C4830" s="55"/>
      <c r="D4830" s="193"/>
      <c r="E4830" s="201"/>
      <c r="F4830" s="202"/>
      <c r="G4830" s="194"/>
      <c r="H4830" s="198"/>
      <c r="I4830" s="196"/>
      <c r="J4830" s="179" t="str">
        <f>IF(A4830="RAPPI",(VLOOKUP(TRIM(D4830), CATALOGO!F:G, 2, FALSE) * C4830)+I4830,IFERROR(IF(COUNTIF('RESTAURANTESDESCUENTOS 2026'!A:A,TRIM(A4830))&gt;0,((VLOOKUP(TRIM(D4830), CATALOGO!A:B, 2, FALSE) * C4830)*(1-VALUE(SUBSTITUTE(VLOOKUP(TRIM(A4830),'RESTAURANTESDESCUENTOS 2026'!A:B,2,FALSE),"%",""))/100)+I4830),(VLOOKUP(TRIM(D4830), CATALOGO!A:B, 2, FALSE) * C4830+I4830)),""))</f>
        <v/>
      </c>
      <c r="K4830" s="196"/>
      <c r="L4830" s="87"/>
      <c r="M4830" s="245"/>
      <c r="N4830" s="168"/>
    </row>
    <row r="4831" ht="22.5" hidden="1" customHeight="1">
      <c r="A4831" s="137"/>
      <c r="B4831" s="90"/>
      <c r="C4831" s="55"/>
      <c r="D4831" s="193"/>
      <c r="E4831" s="201"/>
      <c r="F4831" s="202"/>
      <c r="G4831" s="194"/>
      <c r="H4831" s="198"/>
      <c r="I4831" s="196"/>
      <c r="J4831" s="179" t="str">
        <f>IF(A4831="RAPPI",(VLOOKUP(TRIM(D4831), CATALOGO!F:G, 2, FALSE) * C4831)+I4831,IFERROR(IF(COUNTIF('RESTAURANTESDESCUENTOS 2026'!A:A,TRIM(A4831))&gt;0,((VLOOKUP(TRIM(D4831), CATALOGO!A:B, 2, FALSE) * C4831)*(1-VALUE(SUBSTITUTE(VLOOKUP(TRIM(A4831),'RESTAURANTESDESCUENTOS 2026'!A:B,2,FALSE),"%",""))/100)+I4831),(VLOOKUP(TRIM(D4831), CATALOGO!A:B, 2, FALSE) * C4831+I4831)),""))</f>
        <v/>
      </c>
      <c r="K4831" s="196"/>
      <c r="L4831" s="87"/>
      <c r="M4831" s="245"/>
      <c r="N4831" s="168"/>
    </row>
    <row r="4832" ht="22.5" hidden="1" customHeight="1">
      <c r="A4832" s="137"/>
      <c r="B4832" s="90"/>
      <c r="C4832" s="55"/>
      <c r="D4832" s="193"/>
      <c r="E4832" s="201"/>
      <c r="F4832" s="202"/>
      <c r="G4832" s="194"/>
      <c r="H4832" s="198"/>
      <c r="I4832" s="196"/>
      <c r="J4832" s="179" t="str">
        <f>IF(A4832="RAPPI",(VLOOKUP(TRIM(D4832), CATALOGO!F:G, 2, FALSE) * C4832)+I4832,IFERROR(IF(COUNTIF('RESTAURANTESDESCUENTOS 2026'!A:A,TRIM(A4832))&gt;0,((VLOOKUP(TRIM(D4832), CATALOGO!A:B, 2, FALSE) * C4832)*(1-VALUE(SUBSTITUTE(VLOOKUP(TRIM(A4832),'RESTAURANTESDESCUENTOS 2026'!A:B,2,FALSE),"%",""))/100)+I4832),(VLOOKUP(TRIM(D4832), CATALOGO!A:B, 2, FALSE) * C4832+I4832)),""))</f>
        <v/>
      </c>
      <c r="K4832" s="196"/>
      <c r="L4832" s="87"/>
      <c r="M4832" s="245"/>
      <c r="N4832" s="168"/>
    </row>
    <row r="4833" ht="22.5" hidden="1" customHeight="1">
      <c r="A4833" s="137"/>
      <c r="B4833" s="90"/>
      <c r="C4833" s="55"/>
      <c r="D4833" s="193"/>
      <c r="E4833" s="201"/>
      <c r="F4833" s="202"/>
      <c r="G4833" s="194"/>
      <c r="H4833" s="198"/>
      <c r="I4833" s="196"/>
      <c r="J4833" s="179" t="str">
        <f>IF(A4833="RAPPI",(VLOOKUP(TRIM(D4833), CATALOGO!F:G, 2, FALSE) * C4833)+I4833,IFERROR(IF(COUNTIF('RESTAURANTESDESCUENTOS 2026'!A:A,TRIM(A4833))&gt;0,((VLOOKUP(TRIM(D4833), CATALOGO!A:B, 2, FALSE) * C4833)*(1-VALUE(SUBSTITUTE(VLOOKUP(TRIM(A4833),'RESTAURANTESDESCUENTOS 2026'!A:B,2,FALSE),"%",""))/100)+I4833),(VLOOKUP(TRIM(D4833), CATALOGO!A:B, 2, FALSE) * C4833+I4833)),""))</f>
        <v/>
      </c>
      <c r="K4833" s="196"/>
      <c r="L4833" s="87"/>
      <c r="M4833" s="245"/>
      <c r="N4833" s="168"/>
    </row>
    <row r="4834" ht="22.5" hidden="1" customHeight="1">
      <c r="A4834" s="137"/>
      <c r="B4834" s="90"/>
      <c r="C4834" s="55"/>
      <c r="D4834" s="193"/>
      <c r="E4834" s="201"/>
      <c r="F4834" s="202"/>
      <c r="G4834" s="194"/>
      <c r="H4834" s="198"/>
      <c r="I4834" s="196"/>
      <c r="J4834" s="179" t="str">
        <f>IF(A4834="RAPPI",(VLOOKUP(TRIM(D4834), CATALOGO!F:G, 2, FALSE) * C4834)+I4834,IFERROR(IF(COUNTIF('RESTAURANTESDESCUENTOS 2026'!A:A,TRIM(A4834))&gt;0,((VLOOKUP(TRIM(D4834), CATALOGO!A:B, 2, FALSE) * C4834)*(1-VALUE(SUBSTITUTE(VLOOKUP(TRIM(A4834),'RESTAURANTESDESCUENTOS 2026'!A:B,2,FALSE),"%",""))/100)+I4834),(VLOOKUP(TRIM(D4834), CATALOGO!A:B, 2, FALSE) * C4834+I4834)),""))</f>
        <v/>
      </c>
      <c r="K4834" s="196"/>
      <c r="L4834" s="87"/>
      <c r="M4834" s="245"/>
      <c r="N4834" s="168"/>
    </row>
    <row r="4835" ht="22.5" hidden="1" customHeight="1">
      <c r="A4835" s="137"/>
      <c r="B4835" s="90"/>
      <c r="C4835" s="55"/>
      <c r="D4835" s="193"/>
      <c r="E4835" s="201"/>
      <c r="F4835" s="202"/>
      <c r="G4835" s="194"/>
      <c r="H4835" s="198"/>
      <c r="I4835" s="196"/>
      <c r="J4835" s="179" t="str">
        <f>IF(A4835="RAPPI",(VLOOKUP(TRIM(D4835), CATALOGO!F:G, 2, FALSE) * C4835)+I4835,IFERROR(IF(COUNTIF('RESTAURANTESDESCUENTOS 2026'!A:A,TRIM(A4835))&gt;0,((VLOOKUP(TRIM(D4835), CATALOGO!A:B, 2, FALSE) * C4835)*(1-VALUE(SUBSTITUTE(VLOOKUP(TRIM(A4835),'RESTAURANTESDESCUENTOS 2026'!A:B,2,FALSE),"%",""))/100)+I4835),(VLOOKUP(TRIM(D4835), CATALOGO!A:B, 2, FALSE) * C4835+I4835)),""))</f>
        <v/>
      </c>
      <c r="K4835" s="196"/>
      <c r="L4835" s="87"/>
      <c r="M4835" s="245"/>
      <c r="N4835" s="168"/>
    </row>
    <row r="4836" ht="22.5" hidden="1" customHeight="1">
      <c r="A4836" s="137"/>
      <c r="B4836" s="90"/>
      <c r="C4836" s="55"/>
      <c r="D4836" s="193"/>
      <c r="E4836" s="201"/>
      <c r="F4836" s="202"/>
      <c r="G4836" s="194"/>
      <c r="H4836" s="198"/>
      <c r="I4836" s="196"/>
      <c r="J4836" s="179" t="str">
        <f>IF(A4836="RAPPI",(VLOOKUP(TRIM(D4836), CATALOGO!F:G, 2, FALSE) * C4836)+I4836,IFERROR(IF(COUNTIF('RESTAURANTESDESCUENTOS 2026'!A:A,TRIM(A4836))&gt;0,((VLOOKUP(TRIM(D4836), CATALOGO!A:B, 2, FALSE) * C4836)*(1-VALUE(SUBSTITUTE(VLOOKUP(TRIM(A4836),'RESTAURANTESDESCUENTOS 2026'!A:B,2,FALSE),"%",""))/100)+I4836),(VLOOKUP(TRIM(D4836), CATALOGO!A:B, 2, FALSE) * C4836+I4836)),""))</f>
        <v/>
      </c>
      <c r="K4836" s="196"/>
      <c r="L4836" s="87"/>
      <c r="M4836" s="245"/>
      <c r="N4836" s="168"/>
    </row>
    <row r="4837" ht="22.5" hidden="1" customHeight="1">
      <c r="A4837" s="137"/>
      <c r="B4837" s="90"/>
      <c r="C4837" s="55"/>
      <c r="D4837" s="193"/>
      <c r="E4837" s="201"/>
      <c r="F4837" s="202"/>
      <c r="G4837" s="194"/>
      <c r="H4837" s="198"/>
      <c r="I4837" s="196"/>
      <c r="J4837" s="179" t="str">
        <f>IF(A4837="RAPPI",(VLOOKUP(TRIM(D4837), CATALOGO!F:G, 2, FALSE) * C4837)+I4837,IFERROR(IF(COUNTIF('RESTAURANTESDESCUENTOS 2026'!A:A,TRIM(A4837))&gt;0,((VLOOKUP(TRIM(D4837), CATALOGO!A:B, 2, FALSE) * C4837)*(1-VALUE(SUBSTITUTE(VLOOKUP(TRIM(A4837),'RESTAURANTESDESCUENTOS 2026'!A:B,2,FALSE),"%",""))/100)+I4837),(VLOOKUP(TRIM(D4837), CATALOGO!A:B, 2, FALSE) * C4837+I4837)),""))</f>
        <v/>
      </c>
      <c r="K4837" s="196"/>
      <c r="L4837" s="87"/>
      <c r="M4837" s="245"/>
      <c r="N4837" s="168"/>
    </row>
    <row r="4838" ht="22.5" hidden="1" customHeight="1">
      <c r="A4838" s="137"/>
      <c r="B4838" s="90"/>
      <c r="C4838" s="55"/>
      <c r="D4838" s="193"/>
      <c r="E4838" s="201"/>
      <c r="F4838" s="202"/>
      <c r="G4838" s="194"/>
      <c r="H4838" s="198"/>
      <c r="I4838" s="196"/>
      <c r="J4838" s="179" t="str">
        <f>IF(A4838="RAPPI",(VLOOKUP(TRIM(D4838), CATALOGO!F:G, 2, FALSE) * C4838)+I4838,IFERROR(IF(COUNTIF('RESTAURANTESDESCUENTOS 2026'!A:A,TRIM(A4838))&gt;0,((VLOOKUP(TRIM(D4838), CATALOGO!A:B, 2, FALSE) * C4838)*(1-VALUE(SUBSTITUTE(VLOOKUP(TRIM(A4838),'RESTAURANTESDESCUENTOS 2026'!A:B,2,FALSE),"%",""))/100)+I4838),(VLOOKUP(TRIM(D4838), CATALOGO!A:B, 2, FALSE) * C4838+I4838)),""))</f>
        <v/>
      </c>
      <c r="K4838" s="196"/>
      <c r="L4838" s="87"/>
      <c r="M4838" s="245"/>
      <c r="N4838" s="168"/>
    </row>
    <row r="4839" ht="22.5" hidden="1" customHeight="1">
      <c r="A4839" s="137"/>
      <c r="B4839" s="90"/>
      <c r="C4839" s="55"/>
      <c r="D4839" s="193"/>
      <c r="E4839" s="201"/>
      <c r="F4839" s="202"/>
      <c r="G4839" s="194"/>
      <c r="H4839" s="198"/>
      <c r="I4839" s="196"/>
      <c r="J4839" s="179" t="str">
        <f>IF(A4839="RAPPI",(VLOOKUP(TRIM(D4839), CATALOGO!F:G, 2, FALSE) * C4839)+I4839,IFERROR(IF(COUNTIF('RESTAURANTESDESCUENTOS 2026'!A:A,TRIM(A4839))&gt;0,((VLOOKUP(TRIM(D4839), CATALOGO!A:B, 2, FALSE) * C4839)*(1-VALUE(SUBSTITUTE(VLOOKUP(TRIM(A4839),'RESTAURANTESDESCUENTOS 2026'!A:B,2,FALSE),"%",""))/100)+I4839),(VLOOKUP(TRIM(D4839), CATALOGO!A:B, 2, FALSE) * C4839+I4839)),""))</f>
        <v/>
      </c>
      <c r="K4839" s="196"/>
      <c r="L4839" s="87"/>
      <c r="M4839" s="245"/>
      <c r="N4839" s="168"/>
    </row>
    <row r="4840" ht="22.5" hidden="1" customHeight="1">
      <c r="A4840" s="137"/>
      <c r="B4840" s="90"/>
      <c r="C4840" s="55"/>
      <c r="D4840" s="193"/>
      <c r="E4840" s="201"/>
      <c r="F4840" s="202"/>
      <c r="G4840" s="194"/>
      <c r="H4840" s="198"/>
      <c r="I4840" s="196"/>
      <c r="J4840" s="179" t="str">
        <f>IF(A4840="RAPPI",(VLOOKUP(TRIM(D4840), CATALOGO!F:G, 2, FALSE) * C4840)+I4840,IFERROR(IF(COUNTIF('RESTAURANTESDESCUENTOS 2026'!A:A,TRIM(A4840))&gt;0,((VLOOKUP(TRIM(D4840), CATALOGO!A:B, 2, FALSE) * C4840)*(1-VALUE(SUBSTITUTE(VLOOKUP(TRIM(A4840),'RESTAURANTESDESCUENTOS 2026'!A:B,2,FALSE),"%",""))/100)+I4840),(VLOOKUP(TRIM(D4840), CATALOGO!A:B, 2, FALSE) * C4840+I4840)),""))</f>
        <v/>
      </c>
      <c r="K4840" s="196"/>
      <c r="L4840" s="87"/>
      <c r="M4840" s="245"/>
      <c r="N4840" s="168"/>
    </row>
    <row r="4841" ht="22.5" hidden="1" customHeight="1">
      <c r="A4841" s="137"/>
      <c r="B4841" s="90"/>
      <c r="C4841" s="55"/>
      <c r="D4841" s="193"/>
      <c r="E4841" s="201"/>
      <c r="F4841" s="202"/>
      <c r="G4841" s="194"/>
      <c r="H4841" s="198"/>
      <c r="I4841" s="196"/>
      <c r="J4841" s="179" t="str">
        <f>IF(A4841="RAPPI",(VLOOKUP(TRIM(D4841), CATALOGO!F:G, 2, FALSE) * C4841)+I4841,IFERROR(IF(COUNTIF('RESTAURANTESDESCUENTOS 2026'!A:A,TRIM(A4841))&gt;0,((VLOOKUP(TRIM(D4841), CATALOGO!A:B, 2, FALSE) * C4841)*(1-VALUE(SUBSTITUTE(VLOOKUP(TRIM(A4841),'RESTAURANTESDESCUENTOS 2026'!A:B,2,FALSE),"%",""))/100)+I4841),(VLOOKUP(TRIM(D4841), CATALOGO!A:B, 2, FALSE) * C4841+I4841)),""))</f>
        <v/>
      </c>
      <c r="K4841" s="196"/>
      <c r="L4841" s="87"/>
      <c r="M4841" s="245"/>
      <c r="N4841" s="168"/>
    </row>
    <row r="4842" ht="22.5" hidden="1" customHeight="1">
      <c r="A4842" s="137"/>
      <c r="B4842" s="90"/>
      <c r="C4842" s="55"/>
      <c r="D4842" s="193"/>
      <c r="E4842" s="201"/>
      <c r="F4842" s="202"/>
      <c r="G4842" s="194"/>
      <c r="H4842" s="198"/>
      <c r="I4842" s="196"/>
      <c r="J4842" s="179" t="str">
        <f>IF(A4842="RAPPI",(VLOOKUP(TRIM(D4842), CATALOGO!F:G, 2, FALSE) * C4842)+I4842,IFERROR(IF(COUNTIF('RESTAURANTESDESCUENTOS 2026'!A:A,TRIM(A4842))&gt;0,((VLOOKUP(TRIM(D4842), CATALOGO!A:B, 2, FALSE) * C4842)*(1-VALUE(SUBSTITUTE(VLOOKUP(TRIM(A4842),'RESTAURANTESDESCUENTOS 2026'!A:B,2,FALSE),"%",""))/100)+I4842),(VLOOKUP(TRIM(D4842), CATALOGO!A:B, 2, FALSE) * C4842+I4842)),""))</f>
        <v/>
      </c>
      <c r="K4842" s="196"/>
      <c r="L4842" s="87"/>
      <c r="M4842" s="245"/>
      <c r="N4842" s="168"/>
    </row>
    <row r="4843" ht="22.5" hidden="1" customHeight="1">
      <c r="A4843" s="137"/>
      <c r="B4843" s="90"/>
      <c r="C4843" s="55"/>
      <c r="D4843" s="193"/>
      <c r="E4843" s="201"/>
      <c r="F4843" s="202"/>
      <c r="G4843" s="194"/>
      <c r="H4843" s="198"/>
      <c r="I4843" s="196"/>
      <c r="J4843" s="179" t="str">
        <f>IF(A4843="RAPPI",(VLOOKUP(TRIM(D4843), CATALOGO!F:G, 2, FALSE) * C4843)+I4843,IFERROR(IF(COUNTIF('RESTAURANTESDESCUENTOS 2026'!A:A,TRIM(A4843))&gt;0,((VLOOKUP(TRIM(D4843), CATALOGO!A:B, 2, FALSE) * C4843)*(1-VALUE(SUBSTITUTE(VLOOKUP(TRIM(A4843),'RESTAURANTESDESCUENTOS 2026'!A:B,2,FALSE),"%",""))/100)+I4843),(VLOOKUP(TRIM(D4843), CATALOGO!A:B, 2, FALSE) * C4843+I4843)),""))</f>
        <v/>
      </c>
      <c r="K4843" s="196"/>
      <c r="L4843" s="87"/>
      <c r="M4843" s="245"/>
      <c r="N4843" s="168"/>
    </row>
    <row r="4844" ht="22.5" hidden="1" customHeight="1">
      <c r="A4844" s="137"/>
      <c r="B4844" s="90"/>
      <c r="C4844" s="55"/>
      <c r="D4844" s="193"/>
      <c r="E4844" s="201"/>
      <c r="F4844" s="202"/>
      <c r="G4844" s="194"/>
      <c r="H4844" s="198"/>
      <c r="I4844" s="196"/>
      <c r="J4844" s="179" t="str">
        <f>IF(A4844="RAPPI",(VLOOKUP(TRIM(D4844), CATALOGO!F:G, 2, FALSE) * C4844)+I4844,IFERROR(IF(COUNTIF('RESTAURANTESDESCUENTOS 2026'!A:A,TRIM(A4844))&gt;0,((VLOOKUP(TRIM(D4844), CATALOGO!A:B, 2, FALSE) * C4844)*(1-VALUE(SUBSTITUTE(VLOOKUP(TRIM(A4844),'RESTAURANTESDESCUENTOS 2026'!A:B,2,FALSE),"%",""))/100)+I4844),(VLOOKUP(TRIM(D4844), CATALOGO!A:B, 2, FALSE) * C4844+I4844)),""))</f>
        <v/>
      </c>
      <c r="K4844" s="196"/>
      <c r="L4844" s="87"/>
      <c r="M4844" s="245"/>
      <c r="N4844" s="168"/>
    </row>
    <row r="4845" ht="22.5" hidden="1" customHeight="1">
      <c r="A4845" s="137"/>
      <c r="B4845" s="90"/>
      <c r="C4845" s="55"/>
      <c r="D4845" s="193"/>
      <c r="E4845" s="201"/>
      <c r="F4845" s="202"/>
      <c r="G4845" s="194"/>
      <c r="H4845" s="198"/>
      <c r="I4845" s="196"/>
      <c r="J4845" s="179" t="str">
        <f>IF(A4845="RAPPI",(VLOOKUP(TRIM(D4845), CATALOGO!F:G, 2, FALSE) * C4845)+I4845,IFERROR(IF(COUNTIF('RESTAURANTESDESCUENTOS 2026'!A:A,TRIM(A4845))&gt;0,((VLOOKUP(TRIM(D4845), CATALOGO!A:B, 2, FALSE) * C4845)*(1-VALUE(SUBSTITUTE(VLOOKUP(TRIM(A4845),'RESTAURANTESDESCUENTOS 2026'!A:B,2,FALSE),"%",""))/100)+I4845),(VLOOKUP(TRIM(D4845), CATALOGO!A:B, 2, FALSE) * C4845+I4845)),""))</f>
        <v/>
      </c>
      <c r="K4845" s="196"/>
      <c r="L4845" s="87"/>
      <c r="M4845" s="245"/>
      <c r="N4845" s="168"/>
    </row>
    <row r="4846" ht="22.5" hidden="1" customHeight="1">
      <c r="A4846" s="137"/>
      <c r="B4846" s="90"/>
      <c r="C4846" s="55"/>
      <c r="D4846" s="193"/>
      <c r="E4846" s="201"/>
      <c r="F4846" s="202"/>
      <c r="G4846" s="194"/>
      <c r="H4846" s="198"/>
      <c r="I4846" s="196"/>
      <c r="J4846" s="179" t="str">
        <f>IF(A4846="RAPPI",(VLOOKUP(TRIM(D4846), CATALOGO!F:G, 2, FALSE) * C4846)+I4846,IFERROR(IF(COUNTIF('RESTAURANTESDESCUENTOS 2026'!A:A,TRIM(A4846))&gt;0,((VLOOKUP(TRIM(D4846), CATALOGO!A:B, 2, FALSE) * C4846)*(1-VALUE(SUBSTITUTE(VLOOKUP(TRIM(A4846),'RESTAURANTESDESCUENTOS 2026'!A:B,2,FALSE),"%",""))/100)+I4846),(VLOOKUP(TRIM(D4846), CATALOGO!A:B, 2, FALSE) * C4846+I4846)),""))</f>
        <v/>
      </c>
      <c r="K4846" s="196"/>
      <c r="L4846" s="87"/>
      <c r="M4846" s="245"/>
      <c r="N4846" s="168"/>
    </row>
    <row r="4847" ht="22.5" hidden="1" customHeight="1">
      <c r="A4847" s="137"/>
      <c r="B4847" s="90"/>
      <c r="C4847" s="55"/>
      <c r="D4847" s="193"/>
      <c r="E4847" s="201"/>
      <c r="F4847" s="202"/>
      <c r="G4847" s="194"/>
      <c r="H4847" s="198"/>
      <c r="I4847" s="196"/>
      <c r="J4847" s="179" t="str">
        <f>IF(A4847="RAPPI",(VLOOKUP(TRIM(D4847), CATALOGO!F:G, 2, FALSE) * C4847)+I4847,IFERROR(IF(COUNTIF('RESTAURANTESDESCUENTOS 2026'!A:A,TRIM(A4847))&gt;0,((VLOOKUP(TRIM(D4847), CATALOGO!A:B, 2, FALSE) * C4847)*(1-VALUE(SUBSTITUTE(VLOOKUP(TRIM(A4847),'RESTAURANTESDESCUENTOS 2026'!A:B,2,FALSE),"%",""))/100)+I4847),(VLOOKUP(TRIM(D4847), CATALOGO!A:B, 2, FALSE) * C4847+I4847)),""))</f>
        <v/>
      </c>
      <c r="K4847" s="196"/>
      <c r="L4847" s="87"/>
      <c r="M4847" s="245"/>
      <c r="N4847" s="168"/>
    </row>
    <row r="4848" ht="22.5" hidden="1" customHeight="1">
      <c r="A4848" s="137"/>
      <c r="B4848" s="90"/>
      <c r="C4848" s="55"/>
      <c r="D4848" s="193"/>
      <c r="E4848" s="201"/>
      <c r="F4848" s="202"/>
      <c r="G4848" s="194"/>
      <c r="H4848" s="198"/>
      <c r="I4848" s="196"/>
      <c r="J4848" s="179" t="str">
        <f>IF(A4848="RAPPI",(VLOOKUP(TRIM(D4848), CATALOGO!F:G, 2, FALSE) * C4848)+I4848,IFERROR(IF(COUNTIF('RESTAURANTESDESCUENTOS 2026'!A:A,TRIM(A4848))&gt;0,((VLOOKUP(TRIM(D4848), CATALOGO!A:B, 2, FALSE) * C4848)*(1-VALUE(SUBSTITUTE(VLOOKUP(TRIM(A4848),'RESTAURANTESDESCUENTOS 2026'!A:B,2,FALSE),"%",""))/100)+I4848),(VLOOKUP(TRIM(D4848), CATALOGO!A:B, 2, FALSE) * C4848+I4848)),""))</f>
        <v/>
      </c>
      <c r="K4848" s="196"/>
      <c r="L4848" s="87"/>
      <c r="M4848" s="245"/>
      <c r="N4848" s="168"/>
    </row>
    <row r="4849" ht="22.5" hidden="1" customHeight="1">
      <c r="A4849" s="137"/>
      <c r="B4849" s="90"/>
      <c r="C4849" s="55"/>
      <c r="D4849" s="193"/>
      <c r="E4849" s="201"/>
      <c r="F4849" s="202"/>
      <c r="G4849" s="194"/>
      <c r="H4849" s="198"/>
      <c r="I4849" s="196"/>
      <c r="J4849" s="179" t="str">
        <f>IF(A4849="RAPPI",(VLOOKUP(TRIM(D4849), CATALOGO!F:G, 2, FALSE) * C4849)+I4849,IFERROR(IF(COUNTIF('RESTAURANTESDESCUENTOS 2026'!A:A,TRIM(A4849))&gt;0,((VLOOKUP(TRIM(D4849), CATALOGO!A:B, 2, FALSE) * C4849)*(1-VALUE(SUBSTITUTE(VLOOKUP(TRIM(A4849),'RESTAURANTESDESCUENTOS 2026'!A:B,2,FALSE),"%",""))/100)+I4849),(VLOOKUP(TRIM(D4849), CATALOGO!A:B, 2, FALSE) * C4849+I4849)),""))</f>
        <v/>
      </c>
      <c r="K4849" s="196"/>
      <c r="L4849" s="87"/>
      <c r="M4849" s="245"/>
      <c r="N4849" s="168"/>
    </row>
    <row r="4850" ht="22.5" hidden="1" customHeight="1">
      <c r="A4850" s="137"/>
      <c r="B4850" s="90"/>
      <c r="C4850" s="55"/>
      <c r="D4850" s="193"/>
      <c r="E4850" s="201"/>
      <c r="F4850" s="202"/>
      <c r="G4850" s="194"/>
      <c r="H4850" s="198"/>
      <c r="I4850" s="196"/>
      <c r="J4850" s="179" t="str">
        <f>IF(A4850="RAPPI",(VLOOKUP(TRIM(D4850), CATALOGO!F:G, 2, FALSE) * C4850)+I4850,IFERROR(IF(COUNTIF('RESTAURANTESDESCUENTOS 2026'!A:A,TRIM(A4850))&gt;0,((VLOOKUP(TRIM(D4850), CATALOGO!A:B, 2, FALSE) * C4850)*(1-VALUE(SUBSTITUTE(VLOOKUP(TRIM(A4850),'RESTAURANTESDESCUENTOS 2026'!A:B,2,FALSE),"%",""))/100)+I4850),(VLOOKUP(TRIM(D4850), CATALOGO!A:B, 2, FALSE) * C4850+I4850)),""))</f>
        <v/>
      </c>
      <c r="K4850" s="196"/>
      <c r="L4850" s="87"/>
      <c r="M4850" s="245"/>
      <c r="N4850" s="168"/>
    </row>
    <row r="4851" ht="22.5" hidden="1" customHeight="1">
      <c r="A4851" s="137"/>
      <c r="B4851" s="90"/>
      <c r="C4851" s="55"/>
      <c r="D4851" s="193"/>
      <c r="E4851" s="201"/>
      <c r="F4851" s="202"/>
      <c r="G4851" s="194"/>
      <c r="H4851" s="198"/>
      <c r="I4851" s="196"/>
      <c r="J4851" s="179" t="str">
        <f>IF(A4851="RAPPI",(VLOOKUP(TRIM(D4851), CATALOGO!F:G, 2, FALSE) * C4851)+I4851,IFERROR(IF(COUNTIF('RESTAURANTESDESCUENTOS 2026'!A:A,TRIM(A4851))&gt;0,((VLOOKUP(TRIM(D4851), CATALOGO!A:B, 2, FALSE) * C4851)*(1-VALUE(SUBSTITUTE(VLOOKUP(TRIM(A4851),'RESTAURANTESDESCUENTOS 2026'!A:B,2,FALSE),"%",""))/100)+I4851),(VLOOKUP(TRIM(D4851), CATALOGO!A:B, 2, FALSE) * C4851+I4851)),""))</f>
        <v/>
      </c>
      <c r="K4851" s="196"/>
      <c r="L4851" s="87"/>
      <c r="M4851" s="245"/>
      <c r="N4851" s="168"/>
    </row>
    <row r="4852" ht="22.5" hidden="1" customHeight="1">
      <c r="A4852" s="137"/>
      <c r="B4852" s="90"/>
      <c r="C4852" s="55"/>
      <c r="D4852" s="193"/>
      <c r="E4852" s="201"/>
      <c r="F4852" s="202"/>
      <c r="G4852" s="194"/>
      <c r="H4852" s="198"/>
      <c r="I4852" s="196"/>
      <c r="J4852" s="179" t="str">
        <f>IF(A4852="RAPPI",(VLOOKUP(TRIM(D4852), CATALOGO!F:G, 2, FALSE) * C4852)+I4852,IFERROR(IF(COUNTIF('RESTAURANTESDESCUENTOS 2026'!A:A,TRIM(A4852))&gt;0,((VLOOKUP(TRIM(D4852), CATALOGO!A:B, 2, FALSE) * C4852)*(1-VALUE(SUBSTITUTE(VLOOKUP(TRIM(A4852),'RESTAURANTESDESCUENTOS 2026'!A:B,2,FALSE),"%",""))/100)+I4852),(VLOOKUP(TRIM(D4852), CATALOGO!A:B, 2, FALSE) * C4852+I4852)),""))</f>
        <v/>
      </c>
      <c r="K4852" s="196"/>
      <c r="L4852" s="87"/>
      <c r="M4852" s="245"/>
      <c r="N4852" s="168"/>
    </row>
    <row r="4853" ht="22.5" hidden="1" customHeight="1">
      <c r="A4853" s="137"/>
      <c r="B4853" s="90"/>
      <c r="C4853" s="55"/>
      <c r="D4853" s="193"/>
      <c r="E4853" s="201"/>
      <c r="F4853" s="202"/>
      <c r="G4853" s="194"/>
      <c r="H4853" s="198"/>
      <c r="I4853" s="196"/>
      <c r="J4853" s="179" t="str">
        <f>IF(A4853="RAPPI",(VLOOKUP(TRIM(D4853), CATALOGO!F:G, 2, FALSE) * C4853)+I4853,IFERROR(IF(COUNTIF('RESTAURANTESDESCUENTOS 2026'!A:A,TRIM(A4853))&gt;0,((VLOOKUP(TRIM(D4853), CATALOGO!A:B, 2, FALSE) * C4853)*(1-VALUE(SUBSTITUTE(VLOOKUP(TRIM(A4853),'RESTAURANTESDESCUENTOS 2026'!A:B,2,FALSE),"%",""))/100)+I4853),(VLOOKUP(TRIM(D4853), CATALOGO!A:B, 2, FALSE) * C4853+I4853)),""))</f>
        <v/>
      </c>
      <c r="K4853" s="196"/>
      <c r="L4853" s="87"/>
      <c r="M4853" s="245"/>
      <c r="N4853" s="168"/>
    </row>
    <row r="4854" ht="22.5" hidden="1" customHeight="1">
      <c r="A4854" s="137"/>
      <c r="B4854" s="90"/>
      <c r="C4854" s="55"/>
      <c r="D4854" s="193"/>
      <c r="E4854" s="201"/>
      <c r="F4854" s="202"/>
      <c r="G4854" s="194"/>
      <c r="H4854" s="198"/>
      <c r="I4854" s="196"/>
      <c r="J4854" s="179" t="str">
        <f>IF(A4854="RAPPI",(VLOOKUP(TRIM(D4854), CATALOGO!F:G, 2, FALSE) * C4854)+I4854,IFERROR(IF(COUNTIF('RESTAURANTESDESCUENTOS 2026'!A:A,TRIM(A4854))&gt;0,((VLOOKUP(TRIM(D4854), CATALOGO!A:B, 2, FALSE) * C4854)*(1-VALUE(SUBSTITUTE(VLOOKUP(TRIM(A4854),'RESTAURANTESDESCUENTOS 2026'!A:B,2,FALSE),"%",""))/100)+I4854),(VLOOKUP(TRIM(D4854), CATALOGO!A:B, 2, FALSE) * C4854+I4854)),""))</f>
        <v/>
      </c>
      <c r="K4854" s="196"/>
      <c r="L4854" s="87"/>
      <c r="M4854" s="245"/>
      <c r="N4854" s="168"/>
    </row>
    <row r="4855" ht="22.5" hidden="1" customHeight="1">
      <c r="A4855" s="137"/>
      <c r="B4855" s="90"/>
      <c r="C4855" s="55"/>
      <c r="D4855" s="193"/>
      <c r="E4855" s="201"/>
      <c r="F4855" s="202"/>
      <c r="G4855" s="194"/>
      <c r="H4855" s="198"/>
      <c r="I4855" s="196"/>
      <c r="J4855" s="179" t="str">
        <f>IF(A4855="RAPPI",(VLOOKUP(TRIM(D4855), CATALOGO!F:G, 2, FALSE) * C4855)+I4855,IFERROR(IF(COUNTIF('RESTAURANTESDESCUENTOS 2026'!A:A,TRIM(A4855))&gt;0,((VLOOKUP(TRIM(D4855), CATALOGO!A:B, 2, FALSE) * C4855)*(1-VALUE(SUBSTITUTE(VLOOKUP(TRIM(A4855),'RESTAURANTESDESCUENTOS 2026'!A:B,2,FALSE),"%",""))/100)+I4855),(VLOOKUP(TRIM(D4855), CATALOGO!A:B, 2, FALSE) * C4855+I4855)),""))</f>
        <v/>
      </c>
      <c r="K4855" s="196"/>
      <c r="L4855" s="87"/>
      <c r="M4855" s="245"/>
      <c r="N4855" s="168"/>
    </row>
    <row r="4856" ht="22.5" hidden="1" customHeight="1">
      <c r="A4856" s="137"/>
      <c r="B4856" s="90"/>
      <c r="C4856" s="55"/>
      <c r="D4856" s="193"/>
      <c r="E4856" s="201"/>
      <c r="F4856" s="202"/>
      <c r="G4856" s="194"/>
      <c r="H4856" s="198"/>
      <c r="I4856" s="196"/>
      <c r="J4856" s="179" t="str">
        <f>IF(A4856="RAPPI",(VLOOKUP(TRIM(D4856), CATALOGO!F:G, 2, FALSE) * C4856)+I4856,IFERROR(IF(COUNTIF('RESTAURANTESDESCUENTOS 2026'!A:A,TRIM(A4856))&gt;0,((VLOOKUP(TRIM(D4856), CATALOGO!A:B, 2, FALSE) * C4856)*(1-VALUE(SUBSTITUTE(VLOOKUP(TRIM(A4856),'RESTAURANTESDESCUENTOS 2026'!A:B,2,FALSE),"%",""))/100)+I4856),(VLOOKUP(TRIM(D4856), CATALOGO!A:B, 2, FALSE) * C4856+I4856)),""))</f>
        <v/>
      </c>
      <c r="K4856" s="196"/>
      <c r="L4856" s="87"/>
      <c r="M4856" s="245"/>
      <c r="N4856" s="168"/>
    </row>
    <row r="4857" ht="22.5" hidden="1" customHeight="1">
      <c r="A4857" s="137"/>
      <c r="B4857" s="90"/>
      <c r="C4857" s="55"/>
      <c r="D4857" s="193"/>
      <c r="E4857" s="201"/>
      <c r="F4857" s="202"/>
      <c r="G4857" s="194"/>
      <c r="H4857" s="198"/>
      <c r="I4857" s="196"/>
      <c r="J4857" s="179" t="str">
        <f>IF(A4857="RAPPI",(VLOOKUP(TRIM(D4857), CATALOGO!F:G, 2, FALSE) * C4857)+I4857,IFERROR(IF(COUNTIF('RESTAURANTESDESCUENTOS 2026'!A:A,TRIM(A4857))&gt;0,((VLOOKUP(TRIM(D4857), CATALOGO!A:B, 2, FALSE) * C4857)*(1-VALUE(SUBSTITUTE(VLOOKUP(TRIM(A4857),'RESTAURANTESDESCUENTOS 2026'!A:B,2,FALSE),"%",""))/100)+I4857),(VLOOKUP(TRIM(D4857), CATALOGO!A:B, 2, FALSE) * C4857+I4857)),""))</f>
        <v/>
      </c>
      <c r="K4857" s="196"/>
      <c r="L4857" s="87"/>
      <c r="M4857" s="245"/>
      <c r="N4857" s="168"/>
    </row>
    <row r="4858" ht="22.5" hidden="1" customHeight="1">
      <c r="A4858" s="137"/>
      <c r="B4858" s="90"/>
      <c r="C4858" s="55"/>
      <c r="D4858" s="193"/>
      <c r="E4858" s="201"/>
      <c r="F4858" s="202"/>
      <c r="G4858" s="194"/>
      <c r="H4858" s="198"/>
      <c r="I4858" s="196"/>
      <c r="J4858" s="179" t="str">
        <f>IF(A4858="RAPPI",(VLOOKUP(TRIM(D4858), CATALOGO!F:G, 2, FALSE) * C4858)+I4858,IFERROR(IF(COUNTIF('RESTAURANTESDESCUENTOS 2026'!A:A,TRIM(A4858))&gt;0,((VLOOKUP(TRIM(D4858), CATALOGO!A:B, 2, FALSE) * C4858)*(1-VALUE(SUBSTITUTE(VLOOKUP(TRIM(A4858),'RESTAURANTESDESCUENTOS 2026'!A:B,2,FALSE),"%",""))/100)+I4858),(VLOOKUP(TRIM(D4858), CATALOGO!A:B, 2, FALSE) * C4858+I4858)),""))</f>
        <v/>
      </c>
      <c r="K4858" s="196"/>
      <c r="L4858" s="87"/>
      <c r="M4858" s="245"/>
      <c r="N4858" s="168"/>
    </row>
    <row r="4859" ht="22.5" hidden="1" customHeight="1">
      <c r="A4859" s="137"/>
      <c r="B4859" s="90"/>
      <c r="C4859" s="55"/>
      <c r="D4859" s="193"/>
      <c r="E4859" s="201"/>
      <c r="F4859" s="202"/>
      <c r="G4859" s="194"/>
      <c r="H4859" s="198"/>
      <c r="I4859" s="196"/>
      <c r="J4859" s="179" t="str">
        <f>IF(A4859="RAPPI",(VLOOKUP(TRIM(D4859), CATALOGO!F:G, 2, FALSE) * C4859)+I4859,IFERROR(IF(COUNTIF('RESTAURANTESDESCUENTOS 2026'!A:A,TRIM(A4859))&gt;0,((VLOOKUP(TRIM(D4859), CATALOGO!A:B, 2, FALSE) * C4859)*(1-VALUE(SUBSTITUTE(VLOOKUP(TRIM(A4859),'RESTAURANTESDESCUENTOS 2026'!A:B,2,FALSE),"%",""))/100)+I4859),(VLOOKUP(TRIM(D4859), CATALOGO!A:B, 2, FALSE) * C4859+I4859)),""))</f>
        <v/>
      </c>
      <c r="K4859" s="196"/>
      <c r="L4859" s="87"/>
      <c r="M4859" s="245"/>
      <c r="N4859" s="168"/>
    </row>
    <row r="4860" ht="22.5" hidden="1" customHeight="1">
      <c r="A4860" s="137"/>
      <c r="B4860" s="90"/>
      <c r="C4860" s="55"/>
      <c r="D4860" s="193"/>
      <c r="E4860" s="201"/>
      <c r="F4860" s="202"/>
      <c r="G4860" s="194"/>
      <c r="H4860" s="198"/>
      <c r="I4860" s="196"/>
      <c r="J4860" s="179" t="str">
        <f>IF(A4860="RAPPI",(VLOOKUP(TRIM(D4860), CATALOGO!F:G, 2, FALSE) * C4860)+I4860,IFERROR(IF(COUNTIF('RESTAURANTESDESCUENTOS 2026'!A:A,TRIM(A4860))&gt;0,((VLOOKUP(TRIM(D4860), CATALOGO!A:B, 2, FALSE) * C4860)*(1-VALUE(SUBSTITUTE(VLOOKUP(TRIM(A4860),'RESTAURANTESDESCUENTOS 2026'!A:B,2,FALSE),"%",""))/100)+I4860),(VLOOKUP(TRIM(D4860), CATALOGO!A:B, 2, FALSE) * C4860+I4860)),""))</f>
        <v/>
      </c>
      <c r="K4860" s="196"/>
      <c r="L4860" s="87"/>
      <c r="M4860" s="245"/>
      <c r="N4860" s="168"/>
    </row>
    <row r="4861" ht="22.5" hidden="1" customHeight="1">
      <c r="A4861" s="137"/>
      <c r="B4861" s="90"/>
      <c r="C4861" s="55"/>
      <c r="D4861" s="193"/>
      <c r="E4861" s="201"/>
      <c r="F4861" s="202"/>
      <c r="G4861" s="194"/>
      <c r="H4861" s="198"/>
      <c r="I4861" s="196"/>
      <c r="J4861" s="179" t="str">
        <f>IF(A4861="RAPPI",(VLOOKUP(TRIM(D4861), CATALOGO!F:G, 2, FALSE) * C4861)+I4861,IFERROR(IF(COUNTIF('RESTAURANTESDESCUENTOS 2026'!A:A,TRIM(A4861))&gt;0,((VLOOKUP(TRIM(D4861), CATALOGO!A:B, 2, FALSE) * C4861)*(1-VALUE(SUBSTITUTE(VLOOKUP(TRIM(A4861),'RESTAURANTESDESCUENTOS 2026'!A:B,2,FALSE),"%",""))/100)+I4861),(VLOOKUP(TRIM(D4861), CATALOGO!A:B, 2, FALSE) * C4861+I4861)),""))</f>
        <v/>
      </c>
      <c r="K4861" s="196"/>
      <c r="L4861" s="87"/>
      <c r="M4861" s="245"/>
      <c r="N4861" s="168"/>
    </row>
    <row r="4862" ht="22.5" hidden="1" customHeight="1">
      <c r="A4862" s="137"/>
      <c r="B4862" s="90"/>
      <c r="C4862" s="55"/>
      <c r="D4862" s="193"/>
      <c r="E4862" s="201"/>
      <c r="F4862" s="202"/>
      <c r="G4862" s="194"/>
      <c r="H4862" s="198"/>
      <c r="I4862" s="196"/>
      <c r="J4862" s="179" t="str">
        <f>IF(A4862="RAPPI",(VLOOKUP(TRIM(D4862), CATALOGO!F:G, 2, FALSE) * C4862)+I4862,IFERROR(IF(COUNTIF('RESTAURANTESDESCUENTOS 2026'!A:A,TRIM(A4862))&gt;0,((VLOOKUP(TRIM(D4862), CATALOGO!A:B, 2, FALSE) * C4862)*(1-VALUE(SUBSTITUTE(VLOOKUP(TRIM(A4862),'RESTAURANTESDESCUENTOS 2026'!A:B,2,FALSE),"%",""))/100)+I4862),(VLOOKUP(TRIM(D4862), CATALOGO!A:B, 2, FALSE) * C4862+I4862)),""))</f>
        <v/>
      </c>
      <c r="K4862" s="196"/>
      <c r="L4862" s="87"/>
      <c r="M4862" s="245"/>
      <c r="N4862" s="168"/>
    </row>
    <row r="4863" ht="22.5" hidden="1" customHeight="1">
      <c r="A4863" s="137"/>
      <c r="B4863" s="90"/>
      <c r="C4863" s="55"/>
      <c r="D4863" s="193"/>
      <c r="E4863" s="201"/>
      <c r="F4863" s="202"/>
      <c r="G4863" s="194"/>
      <c r="H4863" s="198"/>
      <c r="I4863" s="196"/>
      <c r="J4863" s="179" t="str">
        <f>IF(A4863="RAPPI",(VLOOKUP(TRIM(D4863), CATALOGO!F:G, 2, FALSE) * C4863)+I4863,IFERROR(IF(COUNTIF('RESTAURANTESDESCUENTOS 2026'!A:A,TRIM(A4863))&gt;0,((VLOOKUP(TRIM(D4863), CATALOGO!A:B, 2, FALSE) * C4863)*(1-VALUE(SUBSTITUTE(VLOOKUP(TRIM(A4863),'RESTAURANTESDESCUENTOS 2026'!A:B,2,FALSE),"%",""))/100)+I4863),(VLOOKUP(TRIM(D4863), CATALOGO!A:B, 2, FALSE) * C4863+I4863)),""))</f>
        <v/>
      </c>
      <c r="K4863" s="196"/>
      <c r="L4863" s="87"/>
      <c r="M4863" s="245"/>
      <c r="N4863" s="168"/>
    </row>
    <row r="4864" ht="22.5" hidden="1" customHeight="1">
      <c r="A4864" s="137"/>
      <c r="B4864" s="90"/>
      <c r="C4864" s="55"/>
      <c r="D4864" s="193"/>
      <c r="E4864" s="201"/>
      <c r="F4864" s="202"/>
      <c r="G4864" s="194"/>
      <c r="H4864" s="198"/>
      <c r="I4864" s="196"/>
      <c r="J4864" s="179" t="str">
        <f>IF(A4864="RAPPI",(VLOOKUP(TRIM(D4864), CATALOGO!F:G, 2, FALSE) * C4864)+I4864,IFERROR(IF(COUNTIF('RESTAURANTESDESCUENTOS 2026'!A:A,TRIM(A4864))&gt;0,((VLOOKUP(TRIM(D4864), CATALOGO!A:B, 2, FALSE) * C4864)*(1-VALUE(SUBSTITUTE(VLOOKUP(TRIM(A4864),'RESTAURANTESDESCUENTOS 2026'!A:B,2,FALSE),"%",""))/100)+I4864),(VLOOKUP(TRIM(D4864), CATALOGO!A:B, 2, FALSE) * C4864+I4864)),""))</f>
        <v/>
      </c>
      <c r="K4864" s="196"/>
      <c r="L4864" s="87"/>
      <c r="M4864" s="245"/>
      <c r="N4864" s="168"/>
    </row>
    <row r="4865" ht="22.5" hidden="1" customHeight="1">
      <c r="A4865" s="137"/>
      <c r="B4865" s="90"/>
      <c r="C4865" s="55"/>
      <c r="D4865" s="193"/>
      <c r="E4865" s="201"/>
      <c r="F4865" s="202"/>
      <c r="G4865" s="194"/>
      <c r="H4865" s="198"/>
      <c r="I4865" s="196"/>
      <c r="J4865" s="179" t="str">
        <f>IF(A4865="RAPPI",(VLOOKUP(TRIM(D4865), CATALOGO!F:G, 2, FALSE) * C4865)+I4865,IFERROR(IF(COUNTIF('RESTAURANTESDESCUENTOS 2026'!A:A,TRIM(A4865))&gt;0,((VLOOKUP(TRIM(D4865), CATALOGO!A:B, 2, FALSE) * C4865)*(1-VALUE(SUBSTITUTE(VLOOKUP(TRIM(A4865),'RESTAURANTESDESCUENTOS 2026'!A:B,2,FALSE),"%",""))/100)+I4865),(VLOOKUP(TRIM(D4865), CATALOGO!A:B, 2, FALSE) * C4865+I4865)),""))</f>
        <v/>
      </c>
      <c r="K4865" s="196"/>
      <c r="L4865" s="87"/>
      <c r="M4865" s="245"/>
      <c r="N4865" s="168"/>
    </row>
    <row r="4866" ht="22.5" hidden="1" customHeight="1">
      <c r="A4866" s="137"/>
      <c r="B4866" s="90"/>
      <c r="C4866" s="55"/>
      <c r="D4866" s="193"/>
      <c r="E4866" s="201"/>
      <c r="F4866" s="202"/>
      <c r="G4866" s="194"/>
      <c r="H4866" s="198"/>
      <c r="I4866" s="196"/>
      <c r="J4866" s="179" t="str">
        <f>IF(A4866="RAPPI",(VLOOKUP(TRIM(D4866), CATALOGO!F:G, 2, FALSE) * C4866)+I4866,IFERROR(IF(COUNTIF('RESTAURANTESDESCUENTOS 2026'!A:A,TRIM(A4866))&gt;0,((VLOOKUP(TRIM(D4866), CATALOGO!A:B, 2, FALSE) * C4866)*(1-VALUE(SUBSTITUTE(VLOOKUP(TRIM(A4866),'RESTAURANTESDESCUENTOS 2026'!A:B,2,FALSE),"%",""))/100)+I4866),(VLOOKUP(TRIM(D4866), CATALOGO!A:B, 2, FALSE) * C4866+I4866)),""))</f>
        <v/>
      </c>
      <c r="K4866" s="196"/>
      <c r="L4866" s="87"/>
      <c r="M4866" s="245"/>
      <c r="N4866" s="168"/>
    </row>
    <row r="4867" ht="22.5" hidden="1" customHeight="1">
      <c r="A4867" s="137"/>
      <c r="B4867" s="90"/>
      <c r="C4867" s="55"/>
      <c r="D4867" s="193"/>
      <c r="E4867" s="201"/>
      <c r="F4867" s="202"/>
      <c r="G4867" s="194"/>
      <c r="H4867" s="198"/>
      <c r="I4867" s="196"/>
      <c r="J4867" s="179" t="str">
        <f>IF(A4867="RAPPI",(VLOOKUP(TRIM(D4867), CATALOGO!F:G, 2, FALSE) * C4867)+I4867,IFERROR(IF(COUNTIF('RESTAURANTESDESCUENTOS 2026'!A:A,TRIM(A4867))&gt;0,((VLOOKUP(TRIM(D4867), CATALOGO!A:B, 2, FALSE) * C4867)*(1-VALUE(SUBSTITUTE(VLOOKUP(TRIM(A4867),'RESTAURANTESDESCUENTOS 2026'!A:B,2,FALSE),"%",""))/100)+I4867),(VLOOKUP(TRIM(D4867), CATALOGO!A:B, 2, FALSE) * C4867+I4867)),""))</f>
        <v/>
      </c>
      <c r="K4867" s="196"/>
      <c r="L4867" s="87"/>
      <c r="M4867" s="245"/>
      <c r="N4867" s="168"/>
    </row>
    <row r="4868" ht="22.5" hidden="1" customHeight="1">
      <c r="A4868" s="137"/>
      <c r="B4868" s="90"/>
      <c r="C4868" s="55"/>
      <c r="D4868" s="193"/>
      <c r="E4868" s="201"/>
      <c r="F4868" s="202"/>
      <c r="G4868" s="194"/>
      <c r="H4868" s="198"/>
      <c r="I4868" s="196"/>
      <c r="J4868" s="179" t="str">
        <f>IF(A4868="RAPPI",(VLOOKUP(TRIM(D4868), CATALOGO!F:G, 2, FALSE) * C4868)+I4868,IFERROR(IF(COUNTIF('RESTAURANTESDESCUENTOS 2026'!A:A,TRIM(A4868))&gt;0,((VLOOKUP(TRIM(D4868), CATALOGO!A:B, 2, FALSE) * C4868)*(1-VALUE(SUBSTITUTE(VLOOKUP(TRIM(A4868),'RESTAURANTESDESCUENTOS 2026'!A:B,2,FALSE),"%",""))/100)+I4868),(VLOOKUP(TRIM(D4868), CATALOGO!A:B, 2, FALSE) * C4868+I4868)),""))</f>
        <v/>
      </c>
      <c r="K4868" s="196"/>
      <c r="L4868" s="87"/>
      <c r="M4868" s="245"/>
      <c r="N4868" s="168"/>
    </row>
    <row r="4869" ht="22.5" hidden="1" customHeight="1">
      <c r="A4869" s="137"/>
      <c r="B4869" s="90"/>
      <c r="C4869" s="55"/>
      <c r="D4869" s="193"/>
      <c r="E4869" s="201"/>
      <c r="F4869" s="202"/>
      <c r="G4869" s="194"/>
      <c r="H4869" s="198"/>
      <c r="I4869" s="196"/>
      <c r="J4869" s="179" t="str">
        <f>IF(A4869="RAPPI",(VLOOKUP(TRIM(D4869), CATALOGO!F:G, 2, FALSE) * C4869)+I4869,IFERROR(IF(COUNTIF('RESTAURANTESDESCUENTOS 2026'!A:A,TRIM(A4869))&gt;0,((VLOOKUP(TRIM(D4869), CATALOGO!A:B, 2, FALSE) * C4869)*(1-VALUE(SUBSTITUTE(VLOOKUP(TRIM(A4869),'RESTAURANTESDESCUENTOS 2026'!A:B,2,FALSE),"%",""))/100)+I4869),(VLOOKUP(TRIM(D4869), CATALOGO!A:B, 2, FALSE) * C4869+I4869)),""))</f>
        <v/>
      </c>
      <c r="K4869" s="196"/>
      <c r="L4869" s="87"/>
      <c r="M4869" s="245"/>
      <c r="N4869" s="168"/>
    </row>
    <row r="4870" ht="22.5" hidden="1" customHeight="1">
      <c r="A4870" s="137"/>
      <c r="B4870" s="90"/>
      <c r="C4870" s="55"/>
      <c r="D4870" s="193"/>
      <c r="E4870" s="201"/>
      <c r="F4870" s="202"/>
      <c r="G4870" s="194"/>
      <c r="H4870" s="198"/>
      <c r="I4870" s="196"/>
      <c r="J4870" s="179" t="str">
        <f>IF(A4870="RAPPI",(VLOOKUP(TRIM(D4870), CATALOGO!F:G, 2, FALSE) * C4870)+I4870,IFERROR(IF(COUNTIF('RESTAURANTESDESCUENTOS 2026'!A:A,TRIM(A4870))&gt;0,((VLOOKUP(TRIM(D4870), CATALOGO!A:B, 2, FALSE) * C4870)*(1-VALUE(SUBSTITUTE(VLOOKUP(TRIM(A4870),'RESTAURANTESDESCUENTOS 2026'!A:B,2,FALSE),"%",""))/100)+I4870),(VLOOKUP(TRIM(D4870), CATALOGO!A:B, 2, FALSE) * C4870+I4870)),""))</f>
        <v/>
      </c>
      <c r="K4870" s="196"/>
      <c r="L4870" s="87"/>
      <c r="M4870" s="245"/>
      <c r="N4870" s="168"/>
    </row>
    <row r="4871" ht="22.5" hidden="1" customHeight="1">
      <c r="A4871" s="137"/>
      <c r="B4871" s="90"/>
      <c r="C4871" s="55"/>
      <c r="D4871" s="193"/>
      <c r="E4871" s="201"/>
      <c r="F4871" s="202"/>
      <c r="G4871" s="194"/>
      <c r="H4871" s="198"/>
      <c r="I4871" s="196"/>
      <c r="J4871" s="179" t="str">
        <f>IF(A4871="RAPPI",(VLOOKUP(TRIM(D4871), CATALOGO!F:G, 2, FALSE) * C4871)+I4871,IFERROR(IF(COUNTIF('RESTAURANTESDESCUENTOS 2026'!A:A,TRIM(A4871))&gt;0,((VLOOKUP(TRIM(D4871), CATALOGO!A:B, 2, FALSE) * C4871)*(1-VALUE(SUBSTITUTE(VLOOKUP(TRIM(A4871),'RESTAURANTESDESCUENTOS 2026'!A:B,2,FALSE),"%",""))/100)+I4871),(VLOOKUP(TRIM(D4871), CATALOGO!A:B, 2, FALSE) * C4871+I4871)),""))</f>
        <v/>
      </c>
      <c r="K4871" s="196"/>
      <c r="L4871" s="87"/>
      <c r="M4871" s="245"/>
      <c r="N4871" s="168"/>
    </row>
    <row r="4872" ht="22.5" hidden="1" customHeight="1">
      <c r="A4872" s="137"/>
      <c r="B4872" s="90"/>
      <c r="C4872" s="55"/>
      <c r="D4872" s="193"/>
      <c r="E4872" s="201"/>
      <c r="F4872" s="202"/>
      <c r="G4872" s="194"/>
      <c r="H4872" s="198"/>
      <c r="I4872" s="196"/>
      <c r="J4872" s="179" t="str">
        <f>IF(A4872="RAPPI",(VLOOKUP(TRIM(D4872), CATALOGO!F:G, 2, FALSE) * C4872)+I4872,IFERROR(IF(COUNTIF('RESTAURANTESDESCUENTOS 2026'!A:A,TRIM(A4872))&gt;0,((VLOOKUP(TRIM(D4872), CATALOGO!A:B, 2, FALSE) * C4872)*(1-VALUE(SUBSTITUTE(VLOOKUP(TRIM(A4872),'RESTAURANTESDESCUENTOS 2026'!A:B,2,FALSE),"%",""))/100)+I4872),(VLOOKUP(TRIM(D4872), CATALOGO!A:B, 2, FALSE) * C4872+I4872)),""))</f>
        <v/>
      </c>
      <c r="K4872" s="196"/>
      <c r="L4872" s="87"/>
      <c r="M4872" s="245"/>
      <c r="N4872" s="168"/>
    </row>
    <row r="4873" ht="22.5" hidden="1" customHeight="1">
      <c r="A4873" s="137"/>
      <c r="B4873" s="90"/>
      <c r="C4873" s="55"/>
      <c r="D4873" s="193"/>
      <c r="E4873" s="201"/>
      <c r="F4873" s="202"/>
      <c r="G4873" s="194"/>
      <c r="H4873" s="198"/>
      <c r="I4873" s="196"/>
      <c r="J4873" s="179" t="str">
        <f>IF(A4873="RAPPI",(VLOOKUP(TRIM(D4873), CATALOGO!F:G, 2, FALSE) * C4873)+I4873,IFERROR(IF(COUNTIF('RESTAURANTESDESCUENTOS 2026'!A:A,TRIM(A4873))&gt;0,((VLOOKUP(TRIM(D4873), CATALOGO!A:B, 2, FALSE) * C4873)*(1-VALUE(SUBSTITUTE(VLOOKUP(TRIM(A4873),'RESTAURANTESDESCUENTOS 2026'!A:B,2,FALSE),"%",""))/100)+I4873),(VLOOKUP(TRIM(D4873), CATALOGO!A:B, 2, FALSE) * C4873+I4873)),""))</f>
        <v/>
      </c>
      <c r="K4873" s="196"/>
      <c r="L4873" s="87"/>
      <c r="M4873" s="245"/>
      <c r="N4873" s="168"/>
    </row>
    <row r="4874" ht="22.5" hidden="1" customHeight="1">
      <c r="A4874" s="137"/>
      <c r="B4874" s="90"/>
      <c r="C4874" s="55"/>
      <c r="D4874" s="193"/>
      <c r="E4874" s="201"/>
      <c r="F4874" s="202"/>
      <c r="G4874" s="194"/>
      <c r="H4874" s="198"/>
      <c r="I4874" s="196"/>
      <c r="J4874" s="179" t="str">
        <f>IF(A4874="RAPPI",(VLOOKUP(TRIM(D4874), CATALOGO!F:G, 2, FALSE) * C4874)+I4874,IFERROR(IF(COUNTIF('RESTAURANTESDESCUENTOS 2026'!A:A,TRIM(A4874))&gt;0,((VLOOKUP(TRIM(D4874), CATALOGO!A:B, 2, FALSE) * C4874)*(1-VALUE(SUBSTITUTE(VLOOKUP(TRIM(A4874),'RESTAURANTESDESCUENTOS 2026'!A:B,2,FALSE),"%",""))/100)+I4874),(VLOOKUP(TRIM(D4874), CATALOGO!A:B, 2, FALSE) * C4874+I4874)),""))</f>
        <v/>
      </c>
      <c r="K4874" s="196"/>
      <c r="L4874" s="87"/>
      <c r="M4874" s="245"/>
      <c r="N4874" s="168"/>
    </row>
    <row r="4875" ht="22.5" hidden="1" customHeight="1">
      <c r="A4875" s="137"/>
      <c r="B4875" s="90"/>
      <c r="C4875" s="55"/>
      <c r="D4875" s="193"/>
      <c r="E4875" s="201"/>
      <c r="F4875" s="202"/>
      <c r="G4875" s="194"/>
      <c r="H4875" s="198"/>
      <c r="I4875" s="196"/>
      <c r="J4875" s="179" t="str">
        <f>IF(A4875="RAPPI",(VLOOKUP(TRIM(D4875), CATALOGO!F:G, 2, FALSE) * C4875)+I4875,IFERROR(IF(COUNTIF('RESTAURANTESDESCUENTOS 2026'!A:A,TRIM(A4875))&gt;0,((VLOOKUP(TRIM(D4875), CATALOGO!A:B, 2, FALSE) * C4875)*(1-VALUE(SUBSTITUTE(VLOOKUP(TRIM(A4875),'RESTAURANTESDESCUENTOS 2026'!A:B,2,FALSE),"%",""))/100)+I4875),(VLOOKUP(TRIM(D4875), CATALOGO!A:B, 2, FALSE) * C4875+I4875)),""))</f>
        <v/>
      </c>
      <c r="K4875" s="196"/>
      <c r="L4875" s="87"/>
      <c r="M4875" s="245"/>
      <c r="N4875" s="168"/>
    </row>
    <row r="4876" ht="22.5" hidden="1" customHeight="1">
      <c r="A4876" s="137"/>
      <c r="B4876" s="90"/>
      <c r="C4876" s="55"/>
      <c r="D4876" s="193"/>
      <c r="E4876" s="201"/>
      <c r="F4876" s="202"/>
      <c r="G4876" s="194"/>
      <c r="H4876" s="198"/>
      <c r="I4876" s="196"/>
      <c r="J4876" s="179" t="str">
        <f>IF(A4876="RAPPI",(VLOOKUP(TRIM(D4876), CATALOGO!F:G, 2, FALSE) * C4876)+I4876,IFERROR(IF(COUNTIF('RESTAURANTESDESCUENTOS 2026'!A:A,TRIM(A4876))&gt;0,((VLOOKUP(TRIM(D4876), CATALOGO!A:B, 2, FALSE) * C4876)*(1-VALUE(SUBSTITUTE(VLOOKUP(TRIM(A4876),'RESTAURANTESDESCUENTOS 2026'!A:B,2,FALSE),"%",""))/100)+I4876),(VLOOKUP(TRIM(D4876), CATALOGO!A:B, 2, FALSE) * C4876+I4876)),""))</f>
        <v/>
      </c>
      <c r="K4876" s="196"/>
      <c r="L4876" s="87"/>
      <c r="M4876" s="245"/>
      <c r="N4876" s="168"/>
    </row>
    <row r="4877" ht="22.5" hidden="1" customHeight="1">
      <c r="A4877" s="137"/>
      <c r="B4877" s="90"/>
      <c r="C4877" s="55"/>
      <c r="D4877" s="193"/>
      <c r="E4877" s="201"/>
      <c r="F4877" s="202"/>
      <c r="G4877" s="194"/>
      <c r="H4877" s="198"/>
      <c r="I4877" s="196"/>
      <c r="J4877" s="179" t="str">
        <f>IF(A4877="RAPPI",(VLOOKUP(TRIM(D4877), CATALOGO!F:G, 2, FALSE) * C4877)+I4877,IFERROR(IF(COUNTIF('RESTAURANTESDESCUENTOS 2026'!A:A,TRIM(A4877))&gt;0,((VLOOKUP(TRIM(D4877), CATALOGO!A:B, 2, FALSE) * C4877)*(1-VALUE(SUBSTITUTE(VLOOKUP(TRIM(A4877),'RESTAURANTESDESCUENTOS 2026'!A:B,2,FALSE),"%",""))/100)+I4877),(VLOOKUP(TRIM(D4877), CATALOGO!A:B, 2, FALSE) * C4877+I4877)),""))</f>
        <v/>
      </c>
      <c r="K4877" s="196"/>
      <c r="L4877" s="87"/>
      <c r="M4877" s="245"/>
      <c r="N4877" s="168"/>
    </row>
    <row r="4878" ht="22.5" hidden="1" customHeight="1">
      <c r="A4878" s="137"/>
      <c r="B4878" s="90"/>
      <c r="C4878" s="55"/>
      <c r="D4878" s="193"/>
      <c r="E4878" s="201"/>
      <c r="F4878" s="202"/>
      <c r="G4878" s="194"/>
      <c r="H4878" s="198"/>
      <c r="I4878" s="196"/>
      <c r="J4878" s="179" t="str">
        <f>IF(A4878="RAPPI",(VLOOKUP(TRIM(D4878), CATALOGO!F:G, 2, FALSE) * C4878)+I4878,IFERROR(IF(COUNTIF('RESTAURANTESDESCUENTOS 2026'!A:A,TRIM(A4878))&gt;0,((VLOOKUP(TRIM(D4878), CATALOGO!A:B, 2, FALSE) * C4878)*(1-VALUE(SUBSTITUTE(VLOOKUP(TRIM(A4878),'RESTAURANTESDESCUENTOS 2026'!A:B,2,FALSE),"%",""))/100)+I4878),(VLOOKUP(TRIM(D4878), CATALOGO!A:B, 2, FALSE) * C4878+I4878)),""))</f>
        <v/>
      </c>
      <c r="K4878" s="196"/>
      <c r="L4878" s="87"/>
      <c r="M4878" s="245"/>
      <c r="N4878" s="168"/>
    </row>
    <row r="4879" ht="22.5" hidden="1" customHeight="1">
      <c r="A4879" s="137"/>
      <c r="B4879" s="90"/>
      <c r="C4879" s="55"/>
      <c r="D4879" s="193"/>
      <c r="E4879" s="201"/>
      <c r="F4879" s="202"/>
      <c r="G4879" s="194"/>
      <c r="H4879" s="198"/>
      <c r="I4879" s="196"/>
      <c r="J4879" s="179" t="str">
        <f>IF(A4879="RAPPI",(VLOOKUP(TRIM(D4879), CATALOGO!F:G, 2, FALSE) * C4879)+I4879,IFERROR(IF(COUNTIF('RESTAURANTESDESCUENTOS 2026'!A:A,TRIM(A4879))&gt;0,((VLOOKUP(TRIM(D4879), CATALOGO!A:B, 2, FALSE) * C4879)*(1-VALUE(SUBSTITUTE(VLOOKUP(TRIM(A4879),'RESTAURANTESDESCUENTOS 2026'!A:B,2,FALSE),"%",""))/100)+I4879),(VLOOKUP(TRIM(D4879), CATALOGO!A:B, 2, FALSE) * C4879+I4879)),""))</f>
        <v/>
      </c>
      <c r="K4879" s="196"/>
      <c r="L4879" s="87"/>
      <c r="M4879" s="245"/>
      <c r="N4879" s="168"/>
    </row>
    <row r="4880" ht="22.5" hidden="1" customHeight="1">
      <c r="A4880" s="137"/>
      <c r="B4880" s="90"/>
      <c r="C4880" s="55"/>
      <c r="D4880" s="193"/>
      <c r="E4880" s="201"/>
      <c r="F4880" s="202"/>
      <c r="G4880" s="194"/>
      <c r="H4880" s="198"/>
      <c r="I4880" s="196"/>
      <c r="J4880" s="179" t="str">
        <f>IF(A4880="RAPPI",(VLOOKUP(TRIM(D4880), CATALOGO!F:G, 2, FALSE) * C4880)+I4880,IFERROR(IF(COUNTIF('RESTAURANTESDESCUENTOS 2026'!A:A,TRIM(A4880))&gt;0,((VLOOKUP(TRIM(D4880), CATALOGO!A:B, 2, FALSE) * C4880)*(1-VALUE(SUBSTITUTE(VLOOKUP(TRIM(A4880),'RESTAURANTESDESCUENTOS 2026'!A:B,2,FALSE),"%",""))/100)+I4880),(VLOOKUP(TRIM(D4880), CATALOGO!A:B, 2, FALSE) * C4880+I4880)),""))</f>
        <v/>
      </c>
      <c r="K4880" s="196"/>
      <c r="L4880" s="87"/>
      <c r="M4880" s="245"/>
      <c r="N4880" s="168"/>
    </row>
    <row r="4881" ht="22.5" hidden="1" customHeight="1">
      <c r="A4881" s="137"/>
      <c r="B4881" s="90"/>
      <c r="C4881" s="55"/>
      <c r="D4881" s="193"/>
      <c r="E4881" s="201"/>
      <c r="F4881" s="202"/>
      <c r="G4881" s="194"/>
      <c r="H4881" s="198"/>
      <c r="I4881" s="196"/>
      <c r="J4881" s="179" t="str">
        <f>IF(A4881="RAPPI",(VLOOKUP(TRIM(D4881), CATALOGO!F:G, 2, FALSE) * C4881)+I4881,IFERROR(IF(COUNTIF('RESTAURANTESDESCUENTOS 2026'!A:A,TRIM(A4881))&gt;0,((VLOOKUP(TRIM(D4881), CATALOGO!A:B, 2, FALSE) * C4881)*(1-VALUE(SUBSTITUTE(VLOOKUP(TRIM(A4881),'RESTAURANTESDESCUENTOS 2026'!A:B,2,FALSE),"%",""))/100)+I4881),(VLOOKUP(TRIM(D4881), CATALOGO!A:B, 2, FALSE) * C4881+I4881)),""))</f>
        <v/>
      </c>
      <c r="K4881" s="196"/>
      <c r="L4881" s="87"/>
      <c r="M4881" s="245"/>
      <c r="N4881" s="168"/>
    </row>
    <row r="4882" ht="22.5" hidden="1" customHeight="1">
      <c r="A4882" s="137"/>
      <c r="B4882" s="90"/>
      <c r="C4882" s="55"/>
      <c r="D4882" s="193"/>
      <c r="E4882" s="201"/>
      <c r="F4882" s="202"/>
      <c r="G4882" s="194"/>
      <c r="H4882" s="198"/>
      <c r="I4882" s="196"/>
      <c r="J4882" s="179" t="str">
        <f>IF(A4882="RAPPI",(VLOOKUP(TRIM(D4882), CATALOGO!F:G, 2, FALSE) * C4882)+I4882,IFERROR(IF(COUNTIF('RESTAURANTESDESCUENTOS 2026'!A:A,TRIM(A4882))&gt;0,((VLOOKUP(TRIM(D4882), CATALOGO!A:B, 2, FALSE) * C4882)*(1-VALUE(SUBSTITUTE(VLOOKUP(TRIM(A4882),'RESTAURANTESDESCUENTOS 2026'!A:B,2,FALSE),"%",""))/100)+I4882),(VLOOKUP(TRIM(D4882), CATALOGO!A:B, 2, FALSE) * C4882+I4882)),""))</f>
        <v/>
      </c>
      <c r="K4882" s="196"/>
      <c r="L4882" s="87"/>
      <c r="M4882" s="245"/>
      <c r="N4882" s="168"/>
    </row>
    <row r="4883" ht="22.5" hidden="1" customHeight="1">
      <c r="A4883" s="137"/>
      <c r="B4883" s="90"/>
      <c r="C4883" s="55"/>
      <c r="D4883" s="193"/>
      <c r="E4883" s="201"/>
      <c r="F4883" s="202"/>
      <c r="G4883" s="194"/>
      <c r="H4883" s="198"/>
      <c r="I4883" s="196"/>
      <c r="J4883" s="179" t="str">
        <f>IF(A4883="RAPPI",(VLOOKUP(TRIM(D4883), CATALOGO!F:G, 2, FALSE) * C4883)+I4883,IFERROR(IF(COUNTIF('RESTAURANTESDESCUENTOS 2026'!A:A,TRIM(A4883))&gt;0,((VLOOKUP(TRIM(D4883), CATALOGO!A:B, 2, FALSE) * C4883)*(1-VALUE(SUBSTITUTE(VLOOKUP(TRIM(A4883),'RESTAURANTESDESCUENTOS 2026'!A:B,2,FALSE),"%",""))/100)+I4883),(VLOOKUP(TRIM(D4883), CATALOGO!A:B, 2, FALSE) * C4883+I4883)),""))</f>
        <v/>
      </c>
      <c r="K4883" s="196"/>
      <c r="L4883" s="87"/>
      <c r="M4883" s="245"/>
      <c r="N4883" s="168"/>
    </row>
    <row r="4884" ht="22.5" hidden="1" customHeight="1">
      <c r="A4884" s="137"/>
      <c r="B4884" s="90"/>
      <c r="C4884" s="55"/>
      <c r="D4884" s="193"/>
      <c r="E4884" s="201"/>
      <c r="F4884" s="202"/>
      <c r="G4884" s="194"/>
      <c r="H4884" s="198"/>
      <c r="I4884" s="196"/>
      <c r="J4884" s="179" t="str">
        <f>IF(A4884="RAPPI",(VLOOKUP(TRIM(D4884), CATALOGO!F:G, 2, FALSE) * C4884)+I4884,IFERROR(IF(COUNTIF('RESTAURANTESDESCUENTOS 2026'!A:A,TRIM(A4884))&gt;0,((VLOOKUP(TRIM(D4884), CATALOGO!A:B, 2, FALSE) * C4884)*(1-VALUE(SUBSTITUTE(VLOOKUP(TRIM(A4884),'RESTAURANTESDESCUENTOS 2026'!A:B,2,FALSE),"%",""))/100)+I4884),(VLOOKUP(TRIM(D4884), CATALOGO!A:B, 2, FALSE) * C4884+I4884)),""))</f>
        <v/>
      </c>
      <c r="K4884" s="196"/>
      <c r="L4884" s="87"/>
      <c r="M4884" s="245"/>
      <c r="N4884" s="168"/>
    </row>
    <row r="4885" ht="22.5" hidden="1" customHeight="1">
      <c r="A4885" s="137"/>
      <c r="B4885" s="90"/>
      <c r="C4885" s="55"/>
      <c r="D4885" s="193"/>
      <c r="E4885" s="201"/>
      <c r="F4885" s="202"/>
      <c r="G4885" s="194"/>
      <c r="H4885" s="198"/>
      <c r="I4885" s="196"/>
      <c r="J4885" s="179" t="str">
        <f>IF(A4885="RAPPI",(VLOOKUP(TRIM(D4885), CATALOGO!F:G, 2, FALSE) * C4885)+I4885,IFERROR(IF(COUNTIF('RESTAURANTESDESCUENTOS 2026'!A:A,TRIM(A4885))&gt;0,((VLOOKUP(TRIM(D4885), CATALOGO!A:B, 2, FALSE) * C4885)*(1-VALUE(SUBSTITUTE(VLOOKUP(TRIM(A4885),'RESTAURANTESDESCUENTOS 2026'!A:B,2,FALSE),"%",""))/100)+I4885),(VLOOKUP(TRIM(D4885), CATALOGO!A:B, 2, FALSE) * C4885+I4885)),""))</f>
        <v/>
      </c>
      <c r="K4885" s="196"/>
      <c r="L4885" s="87"/>
      <c r="M4885" s="245"/>
      <c r="N4885" s="168"/>
    </row>
    <row r="4886" ht="22.5" hidden="1" customHeight="1">
      <c r="A4886" s="137"/>
      <c r="B4886" s="90"/>
      <c r="C4886" s="55"/>
      <c r="D4886" s="193"/>
      <c r="E4886" s="201"/>
      <c r="F4886" s="202"/>
      <c r="G4886" s="194"/>
      <c r="H4886" s="198"/>
      <c r="I4886" s="196"/>
      <c r="J4886" s="179" t="str">
        <f>IF(A4886="RAPPI",(VLOOKUP(TRIM(D4886), CATALOGO!F:G, 2, FALSE) * C4886)+I4886,IFERROR(IF(COUNTIF('RESTAURANTESDESCUENTOS 2026'!A:A,TRIM(A4886))&gt;0,((VLOOKUP(TRIM(D4886), CATALOGO!A:B, 2, FALSE) * C4886)*(1-VALUE(SUBSTITUTE(VLOOKUP(TRIM(A4886),'RESTAURANTESDESCUENTOS 2026'!A:B,2,FALSE),"%",""))/100)+I4886),(VLOOKUP(TRIM(D4886), CATALOGO!A:B, 2, FALSE) * C4886+I4886)),""))</f>
        <v/>
      </c>
      <c r="K4886" s="196"/>
      <c r="L4886" s="87"/>
      <c r="M4886" s="245"/>
      <c r="N4886" s="168"/>
    </row>
    <row r="4887" ht="22.5" hidden="1" customHeight="1">
      <c r="A4887" s="137"/>
      <c r="B4887" s="90"/>
      <c r="C4887" s="55"/>
      <c r="D4887" s="193"/>
      <c r="E4887" s="201"/>
      <c r="F4887" s="202"/>
      <c r="G4887" s="194"/>
      <c r="H4887" s="198"/>
      <c r="I4887" s="196"/>
      <c r="J4887" s="179" t="str">
        <f>IF(A4887="RAPPI",(VLOOKUP(TRIM(D4887), CATALOGO!F:G, 2, FALSE) * C4887)+I4887,IFERROR(IF(COUNTIF('RESTAURANTESDESCUENTOS 2026'!A:A,TRIM(A4887))&gt;0,((VLOOKUP(TRIM(D4887), CATALOGO!A:B, 2, FALSE) * C4887)*(1-VALUE(SUBSTITUTE(VLOOKUP(TRIM(A4887),'RESTAURANTESDESCUENTOS 2026'!A:B,2,FALSE),"%",""))/100)+I4887),(VLOOKUP(TRIM(D4887), CATALOGO!A:B, 2, FALSE) * C4887+I4887)),""))</f>
        <v/>
      </c>
      <c r="K4887" s="196"/>
      <c r="L4887" s="87"/>
      <c r="M4887" s="245"/>
      <c r="N4887" s="168"/>
    </row>
    <row r="4888" ht="22.5" hidden="1" customHeight="1">
      <c r="A4888" s="137"/>
      <c r="B4888" s="90"/>
      <c r="C4888" s="55"/>
      <c r="D4888" s="193"/>
      <c r="E4888" s="201"/>
      <c r="F4888" s="202"/>
      <c r="G4888" s="194"/>
      <c r="H4888" s="198"/>
      <c r="I4888" s="196"/>
      <c r="J4888" s="179" t="str">
        <f>IF(A4888="RAPPI",(VLOOKUP(TRIM(D4888), CATALOGO!F:G, 2, FALSE) * C4888)+I4888,IFERROR(IF(COUNTIF('RESTAURANTESDESCUENTOS 2026'!A:A,TRIM(A4888))&gt;0,((VLOOKUP(TRIM(D4888), CATALOGO!A:B, 2, FALSE) * C4888)*(1-VALUE(SUBSTITUTE(VLOOKUP(TRIM(A4888),'RESTAURANTESDESCUENTOS 2026'!A:B,2,FALSE),"%",""))/100)+I4888),(VLOOKUP(TRIM(D4888), CATALOGO!A:B, 2, FALSE) * C4888+I4888)),""))</f>
        <v/>
      </c>
      <c r="K4888" s="196"/>
      <c r="L4888" s="87"/>
      <c r="M4888" s="245"/>
      <c r="N4888" s="168"/>
    </row>
    <row r="4889" ht="22.5" hidden="1" customHeight="1">
      <c r="A4889" s="137"/>
      <c r="B4889" s="90"/>
      <c r="C4889" s="55"/>
      <c r="D4889" s="193"/>
      <c r="E4889" s="201"/>
      <c r="F4889" s="202"/>
      <c r="G4889" s="194"/>
      <c r="H4889" s="198"/>
      <c r="I4889" s="196"/>
      <c r="J4889" s="179" t="str">
        <f>IF(A4889="RAPPI",(VLOOKUP(TRIM(D4889), CATALOGO!F:G, 2, FALSE) * C4889)+I4889,IFERROR(IF(COUNTIF('RESTAURANTESDESCUENTOS 2026'!A:A,TRIM(A4889))&gt;0,((VLOOKUP(TRIM(D4889), CATALOGO!A:B, 2, FALSE) * C4889)*(1-VALUE(SUBSTITUTE(VLOOKUP(TRIM(A4889),'RESTAURANTESDESCUENTOS 2026'!A:B,2,FALSE),"%",""))/100)+I4889),(VLOOKUP(TRIM(D4889), CATALOGO!A:B, 2, FALSE) * C4889+I4889)),""))</f>
        <v/>
      </c>
      <c r="K4889" s="196"/>
      <c r="L4889" s="87"/>
      <c r="M4889" s="245"/>
      <c r="N4889" s="168"/>
    </row>
    <row r="4890" ht="22.5" hidden="1" customHeight="1">
      <c r="A4890" s="137"/>
      <c r="B4890" s="90"/>
      <c r="C4890" s="55"/>
      <c r="D4890" s="193"/>
      <c r="E4890" s="201"/>
      <c r="F4890" s="202"/>
      <c r="G4890" s="194"/>
      <c r="H4890" s="198"/>
      <c r="I4890" s="196"/>
      <c r="J4890" s="179" t="str">
        <f>IF(A4890="RAPPI",(VLOOKUP(TRIM(D4890), CATALOGO!F:G, 2, FALSE) * C4890)+I4890,IFERROR(IF(COUNTIF('RESTAURANTESDESCUENTOS 2026'!A:A,TRIM(A4890))&gt;0,((VLOOKUP(TRIM(D4890), CATALOGO!A:B, 2, FALSE) * C4890)*(1-VALUE(SUBSTITUTE(VLOOKUP(TRIM(A4890),'RESTAURANTESDESCUENTOS 2026'!A:B,2,FALSE),"%",""))/100)+I4890),(VLOOKUP(TRIM(D4890), CATALOGO!A:B, 2, FALSE) * C4890+I4890)),""))</f>
        <v/>
      </c>
      <c r="K4890" s="196"/>
      <c r="L4890" s="87"/>
      <c r="M4890" s="245"/>
      <c r="N4890" s="168"/>
    </row>
    <row r="4891" ht="22.5" hidden="1" customHeight="1">
      <c r="A4891" s="137"/>
      <c r="B4891" s="90"/>
      <c r="C4891" s="55"/>
      <c r="D4891" s="193"/>
      <c r="E4891" s="201"/>
      <c r="F4891" s="202"/>
      <c r="G4891" s="194"/>
      <c r="H4891" s="198"/>
      <c r="I4891" s="196"/>
      <c r="J4891" s="179" t="str">
        <f>IF(A4891="RAPPI",(VLOOKUP(TRIM(D4891), CATALOGO!F:G, 2, FALSE) * C4891)+I4891,IFERROR(IF(COUNTIF('RESTAURANTESDESCUENTOS 2026'!A:A,TRIM(A4891))&gt;0,((VLOOKUP(TRIM(D4891), CATALOGO!A:B, 2, FALSE) * C4891)*(1-VALUE(SUBSTITUTE(VLOOKUP(TRIM(A4891),'RESTAURANTESDESCUENTOS 2026'!A:B,2,FALSE),"%",""))/100)+I4891),(VLOOKUP(TRIM(D4891), CATALOGO!A:B, 2, FALSE) * C4891+I4891)),""))</f>
        <v/>
      </c>
      <c r="K4891" s="196"/>
      <c r="L4891" s="87"/>
      <c r="M4891" s="245"/>
      <c r="N4891" s="168"/>
    </row>
    <row r="4892" ht="22.5" hidden="1" customHeight="1">
      <c r="A4892" s="137"/>
      <c r="B4892" s="90"/>
      <c r="C4892" s="55"/>
      <c r="D4892" s="193"/>
      <c r="E4892" s="201"/>
      <c r="F4892" s="202"/>
      <c r="G4892" s="194"/>
      <c r="H4892" s="198"/>
      <c r="I4892" s="196"/>
      <c r="J4892" s="179" t="str">
        <f>IF(A4892="RAPPI",(VLOOKUP(TRIM(D4892), CATALOGO!F:G, 2, FALSE) * C4892)+I4892,IFERROR(IF(COUNTIF('RESTAURANTESDESCUENTOS 2026'!A:A,TRIM(A4892))&gt;0,((VLOOKUP(TRIM(D4892), CATALOGO!A:B, 2, FALSE) * C4892)*(1-VALUE(SUBSTITUTE(VLOOKUP(TRIM(A4892),'RESTAURANTESDESCUENTOS 2026'!A:B,2,FALSE),"%",""))/100)+I4892),(VLOOKUP(TRIM(D4892), CATALOGO!A:B, 2, FALSE) * C4892+I4892)),""))</f>
        <v/>
      </c>
      <c r="K4892" s="196"/>
      <c r="L4892" s="87"/>
      <c r="M4892" s="245"/>
      <c r="N4892" s="168"/>
    </row>
    <row r="4893" ht="22.5" hidden="1" customHeight="1">
      <c r="A4893" s="137"/>
      <c r="B4893" s="90"/>
      <c r="C4893" s="55"/>
      <c r="D4893" s="193"/>
      <c r="E4893" s="201"/>
      <c r="F4893" s="202"/>
      <c r="G4893" s="194"/>
      <c r="H4893" s="198"/>
      <c r="I4893" s="196"/>
      <c r="J4893" s="179" t="str">
        <f>IF(A4893="RAPPI",(VLOOKUP(TRIM(D4893), CATALOGO!F:G, 2, FALSE) * C4893)+I4893,IFERROR(IF(COUNTIF('RESTAURANTESDESCUENTOS 2026'!A:A,TRIM(A4893))&gt;0,((VLOOKUP(TRIM(D4893), CATALOGO!A:B, 2, FALSE) * C4893)*(1-VALUE(SUBSTITUTE(VLOOKUP(TRIM(A4893),'RESTAURANTESDESCUENTOS 2026'!A:B,2,FALSE),"%",""))/100)+I4893),(VLOOKUP(TRIM(D4893), CATALOGO!A:B, 2, FALSE) * C4893+I4893)),""))</f>
        <v/>
      </c>
      <c r="K4893" s="196"/>
      <c r="L4893" s="87"/>
      <c r="M4893" s="245"/>
      <c r="N4893" s="168"/>
    </row>
    <row r="4894" ht="22.5" hidden="1" customHeight="1">
      <c r="A4894" s="137"/>
      <c r="B4894" s="90"/>
      <c r="C4894" s="55"/>
      <c r="D4894" s="193"/>
      <c r="E4894" s="201"/>
      <c r="F4894" s="202"/>
      <c r="G4894" s="194"/>
      <c r="H4894" s="198"/>
      <c r="I4894" s="196"/>
      <c r="J4894" s="179" t="str">
        <f>IF(A4894="RAPPI",(VLOOKUP(TRIM(D4894), CATALOGO!F:G, 2, FALSE) * C4894)+I4894,IFERROR(IF(COUNTIF('RESTAURANTESDESCUENTOS 2026'!A:A,TRIM(A4894))&gt;0,((VLOOKUP(TRIM(D4894), CATALOGO!A:B, 2, FALSE) * C4894)*(1-VALUE(SUBSTITUTE(VLOOKUP(TRIM(A4894),'RESTAURANTESDESCUENTOS 2026'!A:B,2,FALSE),"%",""))/100)+I4894),(VLOOKUP(TRIM(D4894), CATALOGO!A:B, 2, FALSE) * C4894+I4894)),""))</f>
        <v/>
      </c>
      <c r="K4894" s="196"/>
      <c r="L4894" s="87"/>
      <c r="M4894" s="245"/>
      <c r="N4894" s="168"/>
    </row>
    <row r="4895" ht="22.5" hidden="1" customHeight="1">
      <c r="A4895" s="137"/>
      <c r="B4895" s="90"/>
      <c r="C4895" s="55"/>
      <c r="D4895" s="193"/>
      <c r="E4895" s="201"/>
      <c r="F4895" s="202"/>
      <c r="G4895" s="194"/>
      <c r="H4895" s="198"/>
      <c r="I4895" s="196"/>
      <c r="J4895" s="179" t="str">
        <f>IF(A4895="RAPPI",(VLOOKUP(TRIM(D4895), CATALOGO!F:G, 2, FALSE) * C4895)+I4895,IFERROR(IF(COUNTIF('RESTAURANTESDESCUENTOS 2026'!A:A,TRIM(A4895))&gt;0,((VLOOKUP(TRIM(D4895), CATALOGO!A:B, 2, FALSE) * C4895)*(1-VALUE(SUBSTITUTE(VLOOKUP(TRIM(A4895),'RESTAURANTESDESCUENTOS 2026'!A:B,2,FALSE),"%",""))/100)+I4895),(VLOOKUP(TRIM(D4895), CATALOGO!A:B, 2, FALSE) * C4895+I4895)),""))</f>
        <v/>
      </c>
      <c r="K4895" s="196"/>
      <c r="L4895" s="87"/>
      <c r="M4895" s="245"/>
      <c r="N4895" s="168"/>
    </row>
    <row r="4896" ht="22.5" hidden="1" customHeight="1">
      <c r="A4896" s="137"/>
      <c r="B4896" s="90"/>
      <c r="C4896" s="55"/>
      <c r="D4896" s="193"/>
      <c r="E4896" s="201"/>
      <c r="F4896" s="202"/>
      <c r="G4896" s="194"/>
      <c r="H4896" s="198"/>
      <c r="I4896" s="196"/>
      <c r="J4896" s="179" t="str">
        <f>IF(A4896="RAPPI",(VLOOKUP(TRIM(D4896), CATALOGO!F:G, 2, FALSE) * C4896)+I4896,IFERROR(IF(COUNTIF('RESTAURANTESDESCUENTOS 2026'!A:A,TRIM(A4896))&gt;0,((VLOOKUP(TRIM(D4896), CATALOGO!A:B, 2, FALSE) * C4896)*(1-VALUE(SUBSTITUTE(VLOOKUP(TRIM(A4896),'RESTAURANTESDESCUENTOS 2026'!A:B,2,FALSE),"%",""))/100)+I4896),(VLOOKUP(TRIM(D4896), CATALOGO!A:B, 2, FALSE) * C4896+I4896)),""))</f>
        <v/>
      </c>
      <c r="K4896" s="196"/>
      <c r="L4896" s="87"/>
      <c r="M4896" s="245"/>
      <c r="N4896" s="168"/>
    </row>
    <row r="4897" ht="22.5" hidden="1" customHeight="1">
      <c r="A4897" s="137"/>
      <c r="B4897" s="90"/>
      <c r="C4897" s="55"/>
      <c r="D4897" s="193"/>
      <c r="E4897" s="201"/>
      <c r="F4897" s="202"/>
      <c r="G4897" s="194"/>
      <c r="H4897" s="198"/>
      <c r="I4897" s="196"/>
      <c r="J4897" s="179" t="str">
        <f>IF(A4897="RAPPI",(VLOOKUP(TRIM(D4897), CATALOGO!F:G, 2, FALSE) * C4897)+I4897,IFERROR(IF(COUNTIF('RESTAURANTESDESCUENTOS 2026'!A:A,TRIM(A4897))&gt;0,((VLOOKUP(TRIM(D4897), CATALOGO!A:B, 2, FALSE) * C4897)*(1-VALUE(SUBSTITUTE(VLOOKUP(TRIM(A4897),'RESTAURANTESDESCUENTOS 2026'!A:B,2,FALSE),"%",""))/100)+I4897),(VLOOKUP(TRIM(D4897), CATALOGO!A:B, 2, FALSE) * C4897+I4897)),""))</f>
        <v/>
      </c>
      <c r="K4897" s="196"/>
      <c r="L4897" s="87"/>
      <c r="M4897" s="245"/>
      <c r="N4897" s="168"/>
    </row>
    <row r="4898" ht="22.5" hidden="1" customHeight="1">
      <c r="A4898" s="137"/>
      <c r="B4898" s="90"/>
      <c r="C4898" s="55"/>
      <c r="D4898" s="193"/>
      <c r="E4898" s="201"/>
      <c r="F4898" s="202"/>
      <c r="G4898" s="194"/>
      <c r="H4898" s="198"/>
      <c r="I4898" s="196"/>
      <c r="J4898" s="179" t="str">
        <f>IF(A4898="RAPPI",(VLOOKUP(TRIM(D4898), CATALOGO!F:G, 2, FALSE) * C4898)+I4898,IFERROR(IF(COUNTIF('RESTAURANTESDESCUENTOS 2026'!A:A,TRIM(A4898))&gt;0,((VLOOKUP(TRIM(D4898), CATALOGO!A:B, 2, FALSE) * C4898)*(1-VALUE(SUBSTITUTE(VLOOKUP(TRIM(A4898),'RESTAURANTESDESCUENTOS 2026'!A:B,2,FALSE),"%",""))/100)+I4898),(VLOOKUP(TRIM(D4898), CATALOGO!A:B, 2, FALSE) * C4898+I4898)),""))</f>
        <v/>
      </c>
      <c r="K4898" s="196"/>
      <c r="L4898" s="87"/>
      <c r="M4898" s="245"/>
      <c r="N4898" s="168"/>
    </row>
    <row r="4899" ht="22.5" hidden="1" customHeight="1">
      <c r="A4899" s="137"/>
      <c r="B4899" s="90"/>
      <c r="C4899" s="55"/>
      <c r="D4899" s="193"/>
      <c r="E4899" s="201"/>
      <c r="F4899" s="202"/>
      <c r="G4899" s="194"/>
      <c r="H4899" s="198"/>
      <c r="I4899" s="196"/>
      <c r="J4899" s="179" t="str">
        <f>IF(A4899="RAPPI",(VLOOKUP(TRIM(D4899), CATALOGO!F:G, 2, FALSE) * C4899)+I4899,IFERROR(IF(COUNTIF('RESTAURANTESDESCUENTOS 2026'!A:A,TRIM(A4899))&gt;0,((VLOOKUP(TRIM(D4899), CATALOGO!A:B, 2, FALSE) * C4899)*(1-VALUE(SUBSTITUTE(VLOOKUP(TRIM(A4899),'RESTAURANTESDESCUENTOS 2026'!A:B,2,FALSE),"%",""))/100)+I4899),(VLOOKUP(TRIM(D4899), CATALOGO!A:B, 2, FALSE) * C4899+I4899)),""))</f>
        <v/>
      </c>
      <c r="K4899" s="196"/>
      <c r="L4899" s="87"/>
      <c r="M4899" s="245"/>
      <c r="N4899" s="168"/>
    </row>
    <row r="4900" ht="22.5" hidden="1" customHeight="1">
      <c r="A4900" s="137"/>
      <c r="B4900" s="90"/>
      <c r="C4900" s="55"/>
      <c r="D4900" s="193"/>
      <c r="E4900" s="201"/>
      <c r="F4900" s="202"/>
      <c r="G4900" s="194"/>
      <c r="H4900" s="198"/>
      <c r="I4900" s="196"/>
      <c r="J4900" s="179" t="str">
        <f>IF(A4900="RAPPI",(VLOOKUP(TRIM(D4900), CATALOGO!F:G, 2, FALSE) * C4900)+I4900,IFERROR(IF(COUNTIF('RESTAURANTESDESCUENTOS 2026'!A:A,TRIM(A4900))&gt;0,((VLOOKUP(TRIM(D4900), CATALOGO!A:B, 2, FALSE) * C4900)*(1-VALUE(SUBSTITUTE(VLOOKUP(TRIM(A4900),'RESTAURANTESDESCUENTOS 2026'!A:B,2,FALSE),"%",""))/100)+I4900),(VLOOKUP(TRIM(D4900), CATALOGO!A:B, 2, FALSE) * C4900+I4900)),""))</f>
        <v/>
      </c>
      <c r="K4900" s="196"/>
      <c r="L4900" s="87"/>
      <c r="M4900" s="245"/>
      <c r="N4900" s="168"/>
    </row>
    <row r="4901" ht="22.5" hidden="1" customHeight="1">
      <c r="A4901" s="137"/>
      <c r="B4901" s="90"/>
      <c r="C4901" s="55"/>
      <c r="D4901" s="193"/>
      <c r="E4901" s="201"/>
      <c r="F4901" s="202"/>
      <c r="G4901" s="194"/>
      <c r="H4901" s="198"/>
      <c r="I4901" s="196"/>
      <c r="J4901" s="179" t="str">
        <f>IF(A4901="RAPPI",(VLOOKUP(TRIM(D4901), CATALOGO!F:G, 2, FALSE) * C4901)+I4901,IFERROR(IF(COUNTIF('RESTAURANTESDESCUENTOS 2026'!A:A,TRIM(A4901))&gt;0,((VLOOKUP(TRIM(D4901), CATALOGO!A:B, 2, FALSE) * C4901)*(1-VALUE(SUBSTITUTE(VLOOKUP(TRIM(A4901),'RESTAURANTESDESCUENTOS 2026'!A:B,2,FALSE),"%",""))/100)+I4901),(VLOOKUP(TRIM(D4901), CATALOGO!A:B, 2, FALSE) * C4901+I4901)),""))</f>
        <v/>
      </c>
      <c r="K4901" s="196"/>
      <c r="L4901" s="87"/>
      <c r="M4901" s="245"/>
      <c r="N4901" s="168"/>
    </row>
    <row r="4902" ht="22.5" hidden="1" customHeight="1">
      <c r="A4902" s="137"/>
      <c r="B4902" s="90"/>
      <c r="C4902" s="55"/>
      <c r="D4902" s="193"/>
      <c r="E4902" s="201"/>
      <c r="F4902" s="202"/>
      <c r="G4902" s="194"/>
      <c r="H4902" s="198"/>
      <c r="I4902" s="196"/>
      <c r="J4902" s="179" t="str">
        <f>IF(A4902="RAPPI",(VLOOKUP(TRIM(D4902), CATALOGO!F:G, 2, FALSE) * C4902)+I4902,IFERROR(IF(COUNTIF('RESTAURANTESDESCUENTOS 2026'!A:A,TRIM(A4902))&gt;0,((VLOOKUP(TRIM(D4902), CATALOGO!A:B, 2, FALSE) * C4902)*(1-VALUE(SUBSTITUTE(VLOOKUP(TRIM(A4902),'RESTAURANTESDESCUENTOS 2026'!A:B,2,FALSE),"%",""))/100)+I4902),(VLOOKUP(TRIM(D4902), CATALOGO!A:B, 2, FALSE) * C4902+I4902)),""))</f>
        <v/>
      </c>
      <c r="K4902" s="196"/>
      <c r="L4902" s="87"/>
      <c r="M4902" s="245"/>
      <c r="N4902" s="168"/>
    </row>
    <row r="4903" ht="22.5" hidden="1" customHeight="1">
      <c r="A4903" s="137"/>
      <c r="B4903" s="90"/>
      <c r="C4903" s="55"/>
      <c r="D4903" s="193"/>
      <c r="E4903" s="201"/>
      <c r="F4903" s="202"/>
      <c r="G4903" s="194"/>
      <c r="H4903" s="198"/>
      <c r="I4903" s="196"/>
      <c r="J4903" s="179" t="str">
        <f>IF(A4903="RAPPI",(VLOOKUP(TRIM(D4903), CATALOGO!F:G, 2, FALSE) * C4903)+I4903,IFERROR(IF(COUNTIF('RESTAURANTESDESCUENTOS 2026'!A:A,TRIM(A4903))&gt;0,((VLOOKUP(TRIM(D4903), CATALOGO!A:B, 2, FALSE) * C4903)*(1-VALUE(SUBSTITUTE(VLOOKUP(TRIM(A4903),'RESTAURANTESDESCUENTOS 2026'!A:B,2,FALSE),"%",""))/100)+I4903),(VLOOKUP(TRIM(D4903), CATALOGO!A:B, 2, FALSE) * C4903+I4903)),""))</f>
        <v/>
      </c>
      <c r="K4903" s="196"/>
      <c r="L4903" s="87"/>
      <c r="M4903" s="245"/>
      <c r="N4903" s="168"/>
    </row>
    <row r="4904" ht="22.5" hidden="1" customHeight="1">
      <c r="A4904" s="137"/>
      <c r="B4904" s="90"/>
      <c r="C4904" s="55"/>
      <c r="D4904" s="193"/>
      <c r="E4904" s="201"/>
      <c r="F4904" s="202"/>
      <c r="G4904" s="194"/>
      <c r="H4904" s="198"/>
      <c r="I4904" s="196"/>
      <c r="J4904" s="179" t="str">
        <f>IF(A4904="RAPPI",(VLOOKUP(TRIM(D4904), CATALOGO!F:G, 2, FALSE) * C4904)+I4904,IFERROR(IF(COUNTIF('RESTAURANTESDESCUENTOS 2026'!A:A,TRIM(A4904))&gt;0,((VLOOKUP(TRIM(D4904), CATALOGO!A:B, 2, FALSE) * C4904)*(1-VALUE(SUBSTITUTE(VLOOKUP(TRIM(A4904),'RESTAURANTESDESCUENTOS 2026'!A:B,2,FALSE),"%",""))/100)+I4904),(VLOOKUP(TRIM(D4904), CATALOGO!A:B, 2, FALSE) * C4904+I4904)),""))</f>
        <v/>
      </c>
      <c r="K4904" s="196"/>
      <c r="L4904" s="87"/>
      <c r="M4904" s="245"/>
      <c r="N4904" s="168"/>
    </row>
    <row r="4905" ht="22.5" hidden="1" customHeight="1">
      <c r="A4905" s="137"/>
      <c r="B4905" s="90"/>
      <c r="C4905" s="55"/>
      <c r="D4905" s="193"/>
      <c r="E4905" s="201"/>
      <c r="F4905" s="202"/>
      <c r="G4905" s="194"/>
      <c r="H4905" s="198"/>
      <c r="I4905" s="196"/>
      <c r="J4905" s="179" t="str">
        <f>IF(A4905="RAPPI",(VLOOKUP(TRIM(D4905), CATALOGO!F:G, 2, FALSE) * C4905)+I4905,IFERROR(IF(COUNTIF('RESTAURANTESDESCUENTOS 2026'!A:A,TRIM(A4905))&gt;0,((VLOOKUP(TRIM(D4905), CATALOGO!A:B, 2, FALSE) * C4905)*(1-VALUE(SUBSTITUTE(VLOOKUP(TRIM(A4905),'RESTAURANTESDESCUENTOS 2026'!A:B,2,FALSE),"%",""))/100)+I4905),(VLOOKUP(TRIM(D4905), CATALOGO!A:B, 2, FALSE) * C4905+I4905)),""))</f>
        <v/>
      </c>
      <c r="K4905" s="196"/>
      <c r="L4905" s="87"/>
      <c r="M4905" s="245"/>
      <c r="N4905" s="168"/>
    </row>
    <row r="4906" ht="22.5" hidden="1" customHeight="1">
      <c r="A4906" s="137"/>
      <c r="B4906" s="90"/>
      <c r="C4906" s="55"/>
      <c r="D4906" s="193"/>
      <c r="E4906" s="201"/>
      <c r="F4906" s="202"/>
      <c r="G4906" s="194"/>
      <c r="H4906" s="198"/>
      <c r="I4906" s="196"/>
      <c r="J4906" s="179" t="str">
        <f>IF(A4906="RAPPI",(VLOOKUP(TRIM(D4906), CATALOGO!F:G, 2, FALSE) * C4906)+I4906,IFERROR(IF(COUNTIF('RESTAURANTESDESCUENTOS 2026'!A:A,TRIM(A4906))&gt;0,((VLOOKUP(TRIM(D4906), CATALOGO!A:B, 2, FALSE) * C4906)*(1-VALUE(SUBSTITUTE(VLOOKUP(TRIM(A4906),'RESTAURANTESDESCUENTOS 2026'!A:B,2,FALSE),"%",""))/100)+I4906),(VLOOKUP(TRIM(D4906), CATALOGO!A:B, 2, FALSE) * C4906+I4906)),""))</f>
        <v/>
      </c>
      <c r="K4906" s="196"/>
      <c r="L4906" s="87"/>
      <c r="M4906" s="245"/>
      <c r="N4906" s="168"/>
    </row>
    <row r="4907" ht="22.5" hidden="1" customHeight="1">
      <c r="A4907" s="137"/>
      <c r="B4907" s="90"/>
      <c r="C4907" s="55"/>
      <c r="D4907" s="193"/>
      <c r="E4907" s="201"/>
      <c r="F4907" s="202"/>
      <c r="G4907" s="194"/>
      <c r="H4907" s="198"/>
      <c r="I4907" s="196"/>
      <c r="J4907" s="179" t="str">
        <f>IF(A4907="RAPPI",(VLOOKUP(TRIM(D4907), CATALOGO!F:G, 2, FALSE) * C4907)+I4907,IFERROR(IF(COUNTIF('RESTAURANTESDESCUENTOS 2026'!A:A,TRIM(A4907))&gt;0,((VLOOKUP(TRIM(D4907), CATALOGO!A:B, 2, FALSE) * C4907)*(1-VALUE(SUBSTITUTE(VLOOKUP(TRIM(A4907),'RESTAURANTESDESCUENTOS 2026'!A:B,2,FALSE),"%",""))/100)+I4907),(VLOOKUP(TRIM(D4907), CATALOGO!A:B, 2, FALSE) * C4907+I4907)),""))</f>
        <v/>
      </c>
      <c r="K4907" s="196"/>
      <c r="L4907" s="87"/>
      <c r="M4907" s="245"/>
      <c r="N4907" s="168"/>
    </row>
    <row r="4908" ht="22.5" hidden="1" customHeight="1">
      <c r="A4908" s="137"/>
      <c r="B4908" s="90"/>
      <c r="C4908" s="55"/>
      <c r="D4908" s="193"/>
      <c r="E4908" s="201"/>
      <c r="F4908" s="202"/>
      <c r="G4908" s="194"/>
      <c r="H4908" s="198"/>
      <c r="I4908" s="196"/>
      <c r="J4908" s="179" t="str">
        <f>IF(A4908="RAPPI",(VLOOKUP(TRIM(D4908), CATALOGO!F:G, 2, FALSE) * C4908)+I4908,IFERROR(IF(COUNTIF('RESTAURANTESDESCUENTOS 2026'!A:A,TRIM(A4908))&gt;0,((VLOOKUP(TRIM(D4908), CATALOGO!A:B, 2, FALSE) * C4908)*(1-VALUE(SUBSTITUTE(VLOOKUP(TRIM(A4908),'RESTAURANTESDESCUENTOS 2026'!A:B,2,FALSE),"%",""))/100)+I4908),(VLOOKUP(TRIM(D4908), CATALOGO!A:B, 2, FALSE) * C4908+I4908)),""))</f>
        <v/>
      </c>
      <c r="K4908" s="196"/>
      <c r="L4908" s="87"/>
      <c r="M4908" s="245"/>
      <c r="N4908" s="168"/>
    </row>
    <row r="4909" ht="22.5" hidden="1" customHeight="1">
      <c r="A4909" s="137"/>
      <c r="B4909" s="90"/>
      <c r="C4909" s="55"/>
      <c r="D4909" s="193"/>
      <c r="E4909" s="201"/>
      <c r="F4909" s="202"/>
      <c r="G4909" s="194"/>
      <c r="H4909" s="198"/>
      <c r="I4909" s="196"/>
      <c r="J4909" s="179" t="str">
        <f>IF(A4909="RAPPI",(VLOOKUP(TRIM(D4909), CATALOGO!F:G, 2, FALSE) * C4909)+I4909,IFERROR(IF(COUNTIF('RESTAURANTESDESCUENTOS 2026'!A:A,TRIM(A4909))&gt;0,((VLOOKUP(TRIM(D4909), CATALOGO!A:B, 2, FALSE) * C4909)*(1-VALUE(SUBSTITUTE(VLOOKUP(TRIM(A4909),'RESTAURANTESDESCUENTOS 2026'!A:B,2,FALSE),"%",""))/100)+I4909),(VLOOKUP(TRIM(D4909), CATALOGO!A:B, 2, FALSE) * C4909+I4909)),""))</f>
        <v/>
      </c>
      <c r="K4909" s="196"/>
      <c r="L4909" s="87"/>
      <c r="M4909" s="245"/>
      <c r="N4909" s="168"/>
    </row>
    <row r="4910" ht="22.5" hidden="1" customHeight="1">
      <c r="A4910" s="137"/>
      <c r="B4910" s="90"/>
      <c r="C4910" s="55"/>
      <c r="D4910" s="193"/>
      <c r="E4910" s="201"/>
      <c r="F4910" s="202"/>
      <c r="G4910" s="194"/>
      <c r="H4910" s="198"/>
      <c r="I4910" s="196"/>
      <c r="J4910" s="179" t="str">
        <f>IF(A4910="RAPPI",(VLOOKUP(TRIM(D4910), CATALOGO!F:G, 2, FALSE) * C4910)+I4910,IFERROR(IF(COUNTIF('RESTAURANTESDESCUENTOS 2026'!A:A,TRIM(A4910))&gt;0,((VLOOKUP(TRIM(D4910), CATALOGO!A:B, 2, FALSE) * C4910)*(1-VALUE(SUBSTITUTE(VLOOKUP(TRIM(A4910),'RESTAURANTESDESCUENTOS 2026'!A:B,2,FALSE),"%",""))/100)+I4910),(VLOOKUP(TRIM(D4910), CATALOGO!A:B, 2, FALSE) * C4910+I4910)),""))</f>
        <v/>
      </c>
      <c r="K4910" s="196"/>
      <c r="L4910" s="87"/>
      <c r="M4910" s="245"/>
      <c r="N4910" s="168"/>
    </row>
    <row r="4911" ht="22.5" hidden="1" customHeight="1">
      <c r="A4911" s="137"/>
      <c r="B4911" s="90"/>
      <c r="C4911" s="55"/>
      <c r="D4911" s="193"/>
      <c r="E4911" s="201"/>
      <c r="F4911" s="202"/>
      <c r="G4911" s="194"/>
      <c r="H4911" s="198"/>
      <c r="I4911" s="196"/>
      <c r="J4911" s="179" t="str">
        <f>IF(A4911="RAPPI",(VLOOKUP(TRIM(D4911), CATALOGO!F:G, 2, FALSE) * C4911)+I4911,IFERROR(IF(COUNTIF('RESTAURANTESDESCUENTOS 2026'!A:A,TRIM(A4911))&gt;0,((VLOOKUP(TRIM(D4911), CATALOGO!A:B, 2, FALSE) * C4911)*(1-VALUE(SUBSTITUTE(VLOOKUP(TRIM(A4911),'RESTAURANTESDESCUENTOS 2026'!A:B,2,FALSE),"%",""))/100)+I4911),(VLOOKUP(TRIM(D4911), CATALOGO!A:B, 2, FALSE) * C4911+I4911)),""))</f>
        <v/>
      </c>
      <c r="K4911" s="196"/>
      <c r="L4911" s="87"/>
      <c r="M4911" s="245"/>
      <c r="N4911" s="168"/>
    </row>
    <row r="4912" ht="22.5" hidden="1" customHeight="1">
      <c r="A4912" s="137"/>
      <c r="B4912" s="90"/>
      <c r="C4912" s="55"/>
      <c r="D4912" s="193"/>
      <c r="E4912" s="201"/>
      <c r="F4912" s="202"/>
      <c r="G4912" s="194"/>
      <c r="H4912" s="198"/>
      <c r="I4912" s="196"/>
      <c r="J4912" s="179" t="str">
        <f>IF(A4912="RAPPI",(VLOOKUP(TRIM(D4912), CATALOGO!F:G, 2, FALSE) * C4912)+I4912,IFERROR(IF(COUNTIF('RESTAURANTESDESCUENTOS 2026'!A:A,TRIM(A4912))&gt;0,((VLOOKUP(TRIM(D4912), CATALOGO!A:B, 2, FALSE) * C4912)*(1-VALUE(SUBSTITUTE(VLOOKUP(TRIM(A4912),'RESTAURANTESDESCUENTOS 2026'!A:B,2,FALSE),"%",""))/100)+I4912),(VLOOKUP(TRIM(D4912), CATALOGO!A:B, 2, FALSE) * C4912+I4912)),""))</f>
        <v/>
      </c>
      <c r="K4912" s="196"/>
      <c r="L4912" s="87"/>
      <c r="M4912" s="245"/>
      <c r="N4912" s="168"/>
    </row>
    <row r="4913" ht="22.5" hidden="1" customHeight="1">
      <c r="A4913" s="137"/>
      <c r="B4913" s="90"/>
      <c r="C4913" s="55"/>
      <c r="D4913" s="193"/>
      <c r="E4913" s="201"/>
      <c r="F4913" s="202"/>
      <c r="G4913" s="194"/>
      <c r="H4913" s="198"/>
      <c r="I4913" s="196"/>
      <c r="J4913" s="179" t="str">
        <f>IF(A4913="RAPPI",(VLOOKUP(TRIM(D4913), CATALOGO!F:G, 2, FALSE) * C4913)+I4913,IFERROR(IF(COUNTIF('RESTAURANTESDESCUENTOS 2026'!A:A,TRIM(A4913))&gt;0,((VLOOKUP(TRIM(D4913), CATALOGO!A:B, 2, FALSE) * C4913)*(1-VALUE(SUBSTITUTE(VLOOKUP(TRIM(A4913),'RESTAURANTESDESCUENTOS 2026'!A:B,2,FALSE),"%",""))/100)+I4913),(VLOOKUP(TRIM(D4913), CATALOGO!A:B, 2, FALSE) * C4913+I4913)),""))</f>
        <v/>
      </c>
      <c r="K4913" s="196"/>
      <c r="L4913" s="87"/>
      <c r="M4913" s="245"/>
      <c r="N4913" s="168"/>
    </row>
    <row r="4914" ht="22.5" hidden="1" customHeight="1">
      <c r="A4914" s="137"/>
      <c r="B4914" s="90"/>
      <c r="C4914" s="55"/>
      <c r="D4914" s="193"/>
      <c r="E4914" s="201"/>
      <c r="F4914" s="202"/>
      <c r="G4914" s="194"/>
      <c r="H4914" s="198"/>
      <c r="I4914" s="196"/>
      <c r="J4914" s="179" t="str">
        <f>IF(A4914="RAPPI",(VLOOKUP(TRIM(D4914), CATALOGO!F:G, 2, FALSE) * C4914)+I4914,IFERROR(IF(COUNTIF('RESTAURANTESDESCUENTOS 2026'!A:A,TRIM(A4914))&gt;0,((VLOOKUP(TRIM(D4914), CATALOGO!A:B, 2, FALSE) * C4914)*(1-VALUE(SUBSTITUTE(VLOOKUP(TRIM(A4914),'RESTAURANTESDESCUENTOS 2026'!A:B,2,FALSE),"%",""))/100)+I4914),(VLOOKUP(TRIM(D4914), CATALOGO!A:B, 2, FALSE) * C4914+I4914)),""))</f>
        <v/>
      </c>
      <c r="K4914" s="196"/>
      <c r="L4914" s="87"/>
      <c r="M4914" s="245"/>
      <c r="N4914" s="168"/>
    </row>
    <row r="4915" ht="22.5" hidden="1" customHeight="1">
      <c r="A4915" s="137"/>
      <c r="B4915" s="90"/>
      <c r="C4915" s="55"/>
      <c r="D4915" s="193"/>
      <c r="E4915" s="201"/>
      <c r="F4915" s="202"/>
      <c r="G4915" s="194"/>
      <c r="H4915" s="198"/>
      <c r="I4915" s="196"/>
      <c r="J4915" s="179" t="str">
        <f>IF(A4915="RAPPI",(VLOOKUP(TRIM(D4915), CATALOGO!F:G, 2, FALSE) * C4915)+I4915,IFERROR(IF(COUNTIF('RESTAURANTESDESCUENTOS 2026'!A:A,TRIM(A4915))&gt;0,((VLOOKUP(TRIM(D4915), CATALOGO!A:B, 2, FALSE) * C4915)*(1-VALUE(SUBSTITUTE(VLOOKUP(TRIM(A4915),'RESTAURANTESDESCUENTOS 2026'!A:B,2,FALSE),"%",""))/100)+I4915),(VLOOKUP(TRIM(D4915), CATALOGO!A:B, 2, FALSE) * C4915+I4915)),""))</f>
        <v/>
      </c>
      <c r="K4915" s="196"/>
      <c r="L4915" s="87"/>
      <c r="M4915" s="245"/>
      <c r="N4915" s="168"/>
    </row>
    <row r="4916" ht="22.5" hidden="1" customHeight="1">
      <c r="A4916" s="137"/>
      <c r="B4916" s="90"/>
      <c r="C4916" s="55"/>
      <c r="D4916" s="193"/>
      <c r="E4916" s="201"/>
      <c r="F4916" s="202"/>
      <c r="G4916" s="194"/>
      <c r="H4916" s="198"/>
      <c r="I4916" s="196"/>
      <c r="J4916" s="179" t="str">
        <f>IF(A4916="RAPPI",(VLOOKUP(TRIM(D4916), CATALOGO!F:G, 2, FALSE) * C4916)+I4916,IFERROR(IF(COUNTIF('RESTAURANTESDESCUENTOS 2026'!A:A,TRIM(A4916))&gt;0,((VLOOKUP(TRIM(D4916), CATALOGO!A:B, 2, FALSE) * C4916)*(1-VALUE(SUBSTITUTE(VLOOKUP(TRIM(A4916),'RESTAURANTESDESCUENTOS 2026'!A:B,2,FALSE),"%",""))/100)+I4916),(VLOOKUP(TRIM(D4916), CATALOGO!A:B, 2, FALSE) * C4916+I4916)),""))</f>
        <v/>
      </c>
      <c r="K4916" s="196"/>
      <c r="L4916" s="87"/>
      <c r="M4916" s="245"/>
      <c r="N4916" s="168"/>
    </row>
    <row r="4917" ht="22.5" hidden="1" customHeight="1">
      <c r="A4917" s="137"/>
      <c r="B4917" s="90"/>
      <c r="C4917" s="55"/>
      <c r="D4917" s="193"/>
      <c r="E4917" s="201"/>
      <c r="F4917" s="202"/>
      <c r="G4917" s="194"/>
      <c r="H4917" s="198"/>
      <c r="I4917" s="196"/>
      <c r="J4917" s="179" t="str">
        <f>IF(A4917="RAPPI",(VLOOKUP(TRIM(D4917), CATALOGO!F:G, 2, FALSE) * C4917)+I4917,IFERROR(IF(COUNTIF('RESTAURANTESDESCUENTOS 2026'!A:A,TRIM(A4917))&gt;0,((VLOOKUP(TRIM(D4917), CATALOGO!A:B, 2, FALSE) * C4917)*(1-VALUE(SUBSTITUTE(VLOOKUP(TRIM(A4917),'RESTAURANTESDESCUENTOS 2026'!A:B,2,FALSE),"%",""))/100)+I4917),(VLOOKUP(TRIM(D4917), CATALOGO!A:B, 2, FALSE) * C4917+I4917)),""))</f>
        <v/>
      </c>
      <c r="K4917" s="196"/>
      <c r="L4917" s="87"/>
      <c r="M4917" s="245"/>
      <c r="N4917" s="168"/>
    </row>
    <row r="4918" ht="22.5" hidden="1" customHeight="1">
      <c r="A4918" s="137"/>
      <c r="B4918" s="90"/>
      <c r="C4918" s="55"/>
      <c r="D4918" s="193"/>
      <c r="E4918" s="201"/>
      <c r="F4918" s="202"/>
      <c r="G4918" s="194"/>
      <c r="H4918" s="198"/>
      <c r="I4918" s="196"/>
      <c r="J4918" s="179" t="str">
        <f>IF(A4918="RAPPI",(VLOOKUP(TRIM(D4918), CATALOGO!F:G, 2, FALSE) * C4918)+I4918,IFERROR(IF(COUNTIF('RESTAURANTESDESCUENTOS 2026'!A:A,TRIM(A4918))&gt;0,((VLOOKUP(TRIM(D4918), CATALOGO!A:B, 2, FALSE) * C4918)*(1-VALUE(SUBSTITUTE(VLOOKUP(TRIM(A4918),'RESTAURANTESDESCUENTOS 2026'!A:B,2,FALSE),"%",""))/100)+I4918),(VLOOKUP(TRIM(D4918), CATALOGO!A:B, 2, FALSE) * C4918+I4918)),""))</f>
        <v/>
      </c>
      <c r="K4918" s="196"/>
      <c r="L4918" s="87"/>
      <c r="M4918" s="245"/>
      <c r="N4918" s="168"/>
    </row>
    <row r="4919" ht="22.5" hidden="1" customHeight="1">
      <c r="A4919" s="137"/>
      <c r="B4919" s="90"/>
      <c r="C4919" s="55"/>
      <c r="D4919" s="193"/>
      <c r="E4919" s="201"/>
      <c r="F4919" s="202"/>
      <c r="G4919" s="194"/>
      <c r="H4919" s="198"/>
      <c r="I4919" s="196"/>
      <c r="J4919" s="179" t="str">
        <f>IF(A4919="RAPPI",(VLOOKUP(TRIM(D4919), CATALOGO!F:G, 2, FALSE) * C4919)+I4919,IFERROR(IF(COUNTIF('RESTAURANTESDESCUENTOS 2026'!A:A,TRIM(A4919))&gt;0,((VLOOKUP(TRIM(D4919), CATALOGO!A:B, 2, FALSE) * C4919)*(1-VALUE(SUBSTITUTE(VLOOKUP(TRIM(A4919),'RESTAURANTESDESCUENTOS 2026'!A:B,2,FALSE),"%",""))/100)+I4919),(VLOOKUP(TRIM(D4919), CATALOGO!A:B, 2, FALSE) * C4919+I4919)),""))</f>
        <v/>
      </c>
      <c r="K4919" s="196"/>
      <c r="L4919" s="87"/>
      <c r="M4919" s="245"/>
      <c r="N4919" s="168"/>
    </row>
    <row r="4920" ht="22.5" hidden="1" customHeight="1">
      <c r="A4920" s="137"/>
      <c r="B4920" s="90"/>
      <c r="C4920" s="55"/>
      <c r="D4920" s="193"/>
      <c r="E4920" s="201"/>
      <c r="F4920" s="202"/>
      <c r="G4920" s="194"/>
      <c r="H4920" s="198"/>
      <c r="I4920" s="196"/>
      <c r="J4920" s="179" t="str">
        <f>IF(A4920="RAPPI",(VLOOKUP(TRIM(D4920), CATALOGO!F:G, 2, FALSE) * C4920)+I4920,IFERROR(IF(COUNTIF('RESTAURANTESDESCUENTOS 2026'!A:A,TRIM(A4920))&gt;0,((VLOOKUP(TRIM(D4920), CATALOGO!A:B, 2, FALSE) * C4920)*(1-VALUE(SUBSTITUTE(VLOOKUP(TRIM(A4920),'RESTAURANTESDESCUENTOS 2026'!A:B,2,FALSE),"%",""))/100)+I4920),(VLOOKUP(TRIM(D4920), CATALOGO!A:B, 2, FALSE) * C4920+I4920)),""))</f>
        <v/>
      </c>
      <c r="K4920" s="196"/>
      <c r="L4920" s="87"/>
      <c r="M4920" s="245"/>
      <c r="N4920" s="168"/>
    </row>
    <row r="4921" ht="22.5" hidden="1" customHeight="1">
      <c r="A4921" s="137"/>
      <c r="B4921" s="90"/>
      <c r="C4921" s="55"/>
      <c r="D4921" s="193"/>
      <c r="E4921" s="201"/>
      <c r="F4921" s="202"/>
      <c r="G4921" s="194"/>
      <c r="H4921" s="198"/>
      <c r="I4921" s="196"/>
      <c r="J4921" s="179" t="str">
        <f>IF(A4921="RAPPI",(VLOOKUP(TRIM(D4921), CATALOGO!F:G, 2, FALSE) * C4921)+I4921,IFERROR(IF(COUNTIF('RESTAURANTESDESCUENTOS 2026'!A:A,TRIM(A4921))&gt;0,((VLOOKUP(TRIM(D4921), CATALOGO!A:B, 2, FALSE) * C4921)*(1-VALUE(SUBSTITUTE(VLOOKUP(TRIM(A4921),'RESTAURANTESDESCUENTOS 2026'!A:B,2,FALSE),"%",""))/100)+I4921),(VLOOKUP(TRIM(D4921), CATALOGO!A:B, 2, FALSE) * C4921+I4921)),""))</f>
        <v/>
      </c>
      <c r="K4921" s="196"/>
      <c r="L4921" s="87"/>
      <c r="M4921" s="245"/>
      <c r="N4921" s="168"/>
    </row>
    <row r="4922" ht="22.5" hidden="1" customHeight="1">
      <c r="A4922" s="137"/>
      <c r="B4922" s="90"/>
      <c r="C4922" s="55"/>
      <c r="D4922" s="193"/>
      <c r="E4922" s="201"/>
      <c r="F4922" s="202"/>
      <c r="G4922" s="194"/>
      <c r="H4922" s="198"/>
      <c r="I4922" s="196"/>
      <c r="J4922" s="179" t="str">
        <f>IF(A4922="RAPPI",(VLOOKUP(TRIM(D4922), CATALOGO!F:G, 2, FALSE) * C4922)+I4922,IFERROR(IF(COUNTIF('RESTAURANTESDESCUENTOS 2026'!A:A,TRIM(A4922))&gt;0,((VLOOKUP(TRIM(D4922), CATALOGO!A:B, 2, FALSE) * C4922)*(1-VALUE(SUBSTITUTE(VLOOKUP(TRIM(A4922),'RESTAURANTESDESCUENTOS 2026'!A:B,2,FALSE),"%",""))/100)+I4922),(VLOOKUP(TRIM(D4922), CATALOGO!A:B, 2, FALSE) * C4922+I4922)),""))</f>
        <v/>
      </c>
      <c r="K4922" s="196"/>
      <c r="L4922" s="87"/>
      <c r="M4922" s="245"/>
      <c r="N4922" s="168"/>
    </row>
    <row r="4923" ht="22.5" hidden="1" customHeight="1">
      <c r="A4923" s="137"/>
      <c r="B4923" s="90"/>
      <c r="C4923" s="55"/>
      <c r="D4923" s="193"/>
      <c r="E4923" s="201"/>
      <c r="F4923" s="202"/>
      <c r="G4923" s="194"/>
      <c r="H4923" s="198"/>
      <c r="I4923" s="196"/>
      <c r="J4923" s="179" t="str">
        <f>IF(A4923="RAPPI",(VLOOKUP(TRIM(D4923), CATALOGO!F:G, 2, FALSE) * C4923)+I4923,IFERROR(IF(COUNTIF('RESTAURANTESDESCUENTOS 2026'!A:A,TRIM(A4923))&gt;0,((VLOOKUP(TRIM(D4923), CATALOGO!A:B, 2, FALSE) * C4923)*(1-VALUE(SUBSTITUTE(VLOOKUP(TRIM(A4923),'RESTAURANTESDESCUENTOS 2026'!A:B,2,FALSE),"%",""))/100)+I4923),(VLOOKUP(TRIM(D4923), CATALOGO!A:B, 2, FALSE) * C4923+I4923)),""))</f>
        <v/>
      </c>
      <c r="K4923" s="196"/>
      <c r="L4923" s="87"/>
      <c r="M4923" s="245"/>
      <c r="N4923" s="168"/>
    </row>
    <row r="4924" ht="22.5" hidden="1" customHeight="1">
      <c r="A4924" s="137"/>
      <c r="B4924" s="90"/>
      <c r="C4924" s="55"/>
      <c r="D4924" s="193"/>
      <c r="E4924" s="201"/>
      <c r="F4924" s="202"/>
      <c r="G4924" s="194"/>
      <c r="H4924" s="198"/>
      <c r="I4924" s="196"/>
      <c r="J4924" s="179" t="str">
        <f>IF(A4924="RAPPI",(VLOOKUP(TRIM(D4924), CATALOGO!F:G, 2, FALSE) * C4924)+I4924,IFERROR(IF(COUNTIF('RESTAURANTESDESCUENTOS 2026'!A:A,TRIM(A4924))&gt;0,((VLOOKUP(TRIM(D4924), CATALOGO!A:B, 2, FALSE) * C4924)*(1-VALUE(SUBSTITUTE(VLOOKUP(TRIM(A4924),'RESTAURANTESDESCUENTOS 2026'!A:B,2,FALSE),"%",""))/100)+I4924),(VLOOKUP(TRIM(D4924), CATALOGO!A:B, 2, FALSE) * C4924+I4924)),""))</f>
        <v/>
      </c>
      <c r="K4924" s="196"/>
      <c r="L4924" s="87"/>
      <c r="M4924" s="245"/>
      <c r="N4924" s="168"/>
    </row>
    <row r="4925" ht="22.5" hidden="1" customHeight="1">
      <c r="A4925" s="137"/>
      <c r="B4925" s="90"/>
      <c r="C4925" s="55"/>
      <c r="D4925" s="193"/>
      <c r="E4925" s="201"/>
      <c r="F4925" s="202"/>
      <c r="G4925" s="194"/>
      <c r="H4925" s="198"/>
      <c r="I4925" s="196"/>
      <c r="J4925" s="179" t="str">
        <f>IF(A4925="RAPPI",(VLOOKUP(TRIM(D4925), CATALOGO!F:G, 2, FALSE) * C4925)+I4925,IFERROR(IF(COUNTIF('RESTAURANTESDESCUENTOS 2026'!A:A,TRIM(A4925))&gt;0,((VLOOKUP(TRIM(D4925), CATALOGO!A:B, 2, FALSE) * C4925)*(1-VALUE(SUBSTITUTE(VLOOKUP(TRIM(A4925),'RESTAURANTESDESCUENTOS 2026'!A:B,2,FALSE),"%",""))/100)+I4925),(VLOOKUP(TRIM(D4925), CATALOGO!A:B, 2, FALSE) * C4925+I4925)),""))</f>
        <v/>
      </c>
      <c r="K4925" s="196"/>
      <c r="L4925" s="87"/>
      <c r="M4925" s="245"/>
      <c r="N4925" s="168"/>
    </row>
    <row r="4926" ht="22.5" hidden="1" customHeight="1">
      <c r="A4926" s="137"/>
      <c r="B4926" s="90"/>
      <c r="C4926" s="55"/>
      <c r="D4926" s="193"/>
      <c r="E4926" s="201"/>
      <c r="F4926" s="202"/>
      <c r="G4926" s="194"/>
      <c r="H4926" s="198"/>
      <c r="I4926" s="196"/>
      <c r="J4926" s="179" t="str">
        <f>IF(A4926="RAPPI",(VLOOKUP(TRIM(D4926), CATALOGO!F:G, 2, FALSE) * C4926)+I4926,IFERROR(IF(COUNTIF('RESTAURANTESDESCUENTOS 2026'!A:A,TRIM(A4926))&gt;0,((VLOOKUP(TRIM(D4926), CATALOGO!A:B, 2, FALSE) * C4926)*(1-VALUE(SUBSTITUTE(VLOOKUP(TRIM(A4926),'RESTAURANTESDESCUENTOS 2026'!A:B,2,FALSE),"%",""))/100)+I4926),(VLOOKUP(TRIM(D4926), CATALOGO!A:B, 2, FALSE) * C4926+I4926)),""))</f>
        <v/>
      </c>
      <c r="K4926" s="196"/>
      <c r="L4926" s="87"/>
      <c r="M4926" s="245"/>
      <c r="N4926" s="168"/>
    </row>
    <row r="4927" ht="22.5" hidden="1" customHeight="1">
      <c r="A4927" s="137"/>
      <c r="B4927" s="90"/>
      <c r="C4927" s="55"/>
      <c r="D4927" s="193"/>
      <c r="E4927" s="201"/>
      <c r="F4927" s="202"/>
      <c r="G4927" s="194"/>
      <c r="H4927" s="198"/>
      <c r="I4927" s="196"/>
      <c r="J4927" s="179" t="str">
        <f>IF(A4927="RAPPI",(VLOOKUP(TRIM(D4927), CATALOGO!F:G, 2, FALSE) * C4927)+I4927,IFERROR(IF(COUNTIF('RESTAURANTESDESCUENTOS 2026'!A:A,TRIM(A4927))&gt;0,((VLOOKUP(TRIM(D4927), CATALOGO!A:B, 2, FALSE) * C4927)*(1-VALUE(SUBSTITUTE(VLOOKUP(TRIM(A4927),'RESTAURANTESDESCUENTOS 2026'!A:B,2,FALSE),"%",""))/100)+I4927),(VLOOKUP(TRIM(D4927), CATALOGO!A:B, 2, FALSE) * C4927+I4927)),""))</f>
        <v/>
      </c>
      <c r="K4927" s="196"/>
      <c r="L4927" s="87"/>
      <c r="M4927" s="245"/>
      <c r="N4927" s="168"/>
    </row>
    <row r="4928" ht="22.5" hidden="1" customHeight="1">
      <c r="A4928" s="137"/>
      <c r="B4928" s="90"/>
      <c r="C4928" s="55"/>
      <c r="D4928" s="193"/>
      <c r="E4928" s="201"/>
      <c r="F4928" s="202"/>
      <c r="G4928" s="194"/>
      <c r="H4928" s="198"/>
      <c r="I4928" s="196"/>
      <c r="J4928" s="179" t="str">
        <f>IF(A4928="RAPPI",(VLOOKUP(TRIM(D4928), CATALOGO!F:G, 2, FALSE) * C4928)+I4928,IFERROR(IF(COUNTIF('RESTAURANTESDESCUENTOS 2026'!A:A,TRIM(A4928))&gt;0,((VLOOKUP(TRIM(D4928), CATALOGO!A:B, 2, FALSE) * C4928)*(1-VALUE(SUBSTITUTE(VLOOKUP(TRIM(A4928),'RESTAURANTESDESCUENTOS 2026'!A:B,2,FALSE),"%",""))/100)+I4928),(VLOOKUP(TRIM(D4928), CATALOGO!A:B, 2, FALSE) * C4928+I4928)),""))</f>
        <v/>
      </c>
      <c r="K4928" s="196"/>
      <c r="L4928" s="87"/>
      <c r="M4928" s="245"/>
      <c r="N4928" s="168"/>
    </row>
    <row r="4929" ht="22.5" hidden="1" customHeight="1">
      <c r="A4929" s="137"/>
      <c r="B4929" s="90"/>
      <c r="C4929" s="55"/>
      <c r="D4929" s="193"/>
      <c r="E4929" s="201"/>
      <c r="F4929" s="202"/>
      <c r="G4929" s="194"/>
      <c r="H4929" s="198"/>
      <c r="I4929" s="196"/>
      <c r="J4929" s="179" t="str">
        <f>IF(A4929="RAPPI",(VLOOKUP(TRIM(D4929), CATALOGO!F:G, 2, FALSE) * C4929)+I4929,IFERROR(IF(COUNTIF('RESTAURANTESDESCUENTOS 2026'!A:A,TRIM(A4929))&gt;0,((VLOOKUP(TRIM(D4929), CATALOGO!A:B, 2, FALSE) * C4929)*(1-VALUE(SUBSTITUTE(VLOOKUP(TRIM(A4929),'RESTAURANTESDESCUENTOS 2026'!A:B,2,FALSE),"%",""))/100)+I4929),(VLOOKUP(TRIM(D4929), CATALOGO!A:B, 2, FALSE) * C4929+I4929)),""))</f>
        <v/>
      </c>
      <c r="K4929" s="196"/>
      <c r="L4929" s="87"/>
      <c r="M4929" s="245"/>
      <c r="N4929" s="168"/>
    </row>
    <row r="4930" ht="22.5" hidden="1" customHeight="1">
      <c r="A4930" s="137"/>
      <c r="B4930" s="90"/>
      <c r="C4930" s="55"/>
      <c r="D4930" s="193"/>
      <c r="E4930" s="201"/>
      <c r="F4930" s="202"/>
      <c r="G4930" s="194"/>
      <c r="H4930" s="198"/>
      <c r="I4930" s="196"/>
      <c r="J4930" s="179" t="str">
        <f>IF(A4930="RAPPI",(VLOOKUP(TRIM(D4930), CATALOGO!F:G, 2, FALSE) * C4930)+I4930,IFERROR(IF(COUNTIF('RESTAURANTESDESCUENTOS 2026'!A:A,TRIM(A4930))&gt;0,((VLOOKUP(TRIM(D4930), CATALOGO!A:B, 2, FALSE) * C4930)*(1-VALUE(SUBSTITUTE(VLOOKUP(TRIM(A4930),'RESTAURANTESDESCUENTOS 2026'!A:B,2,FALSE),"%",""))/100)+I4930),(VLOOKUP(TRIM(D4930), CATALOGO!A:B, 2, FALSE) * C4930+I4930)),""))</f>
        <v/>
      </c>
      <c r="K4930" s="196"/>
      <c r="L4930" s="87"/>
      <c r="M4930" s="245"/>
      <c r="N4930" s="168"/>
    </row>
    <row r="4931" ht="22.5" hidden="1" customHeight="1">
      <c r="A4931" s="137"/>
      <c r="B4931" s="90"/>
      <c r="C4931" s="55"/>
      <c r="D4931" s="193"/>
      <c r="E4931" s="201"/>
      <c r="F4931" s="202"/>
      <c r="G4931" s="194"/>
      <c r="H4931" s="198"/>
      <c r="I4931" s="196"/>
      <c r="J4931" s="179" t="str">
        <f>IF(A4931="RAPPI",(VLOOKUP(TRIM(D4931), CATALOGO!F:G, 2, FALSE) * C4931)+I4931,IFERROR(IF(COUNTIF('RESTAURANTESDESCUENTOS 2026'!A:A,TRIM(A4931))&gt;0,((VLOOKUP(TRIM(D4931), CATALOGO!A:B, 2, FALSE) * C4931)*(1-VALUE(SUBSTITUTE(VLOOKUP(TRIM(A4931),'RESTAURANTESDESCUENTOS 2026'!A:B,2,FALSE),"%",""))/100)+I4931),(VLOOKUP(TRIM(D4931), CATALOGO!A:B, 2, FALSE) * C4931+I4931)),""))</f>
        <v/>
      </c>
      <c r="K4931" s="196"/>
      <c r="L4931" s="87"/>
      <c r="M4931" s="245"/>
      <c r="N4931" s="168"/>
    </row>
    <row r="4932" ht="22.5" hidden="1" customHeight="1">
      <c r="A4932" s="137"/>
      <c r="B4932" s="90"/>
      <c r="C4932" s="55"/>
      <c r="D4932" s="193"/>
      <c r="E4932" s="201"/>
      <c r="F4932" s="202"/>
      <c r="G4932" s="194"/>
      <c r="H4932" s="198"/>
      <c r="I4932" s="196"/>
      <c r="J4932" s="179" t="str">
        <f>IF(A4932="RAPPI",(VLOOKUP(TRIM(D4932), CATALOGO!F:G, 2, FALSE) * C4932)+I4932,IFERROR(IF(COUNTIF('RESTAURANTESDESCUENTOS 2026'!A:A,TRIM(A4932))&gt;0,((VLOOKUP(TRIM(D4932), CATALOGO!A:B, 2, FALSE) * C4932)*(1-VALUE(SUBSTITUTE(VLOOKUP(TRIM(A4932),'RESTAURANTESDESCUENTOS 2026'!A:B,2,FALSE),"%",""))/100)+I4932),(VLOOKUP(TRIM(D4932), CATALOGO!A:B, 2, FALSE) * C4932+I4932)),""))</f>
        <v/>
      </c>
      <c r="K4932" s="196"/>
      <c r="L4932" s="87"/>
      <c r="M4932" s="245"/>
      <c r="N4932" s="168"/>
    </row>
    <row r="4933" ht="22.5" hidden="1" customHeight="1">
      <c r="A4933" s="137"/>
      <c r="B4933" s="90"/>
      <c r="C4933" s="55"/>
      <c r="D4933" s="193"/>
      <c r="E4933" s="201"/>
      <c r="F4933" s="202"/>
      <c r="G4933" s="194"/>
      <c r="H4933" s="198"/>
      <c r="I4933" s="196"/>
      <c r="J4933" s="179" t="str">
        <f>IF(A4933="RAPPI",(VLOOKUP(TRIM(D4933), CATALOGO!F:G, 2, FALSE) * C4933)+I4933,IFERROR(IF(COUNTIF('RESTAURANTESDESCUENTOS 2026'!A:A,TRIM(A4933))&gt;0,((VLOOKUP(TRIM(D4933), CATALOGO!A:B, 2, FALSE) * C4933)*(1-VALUE(SUBSTITUTE(VLOOKUP(TRIM(A4933),'RESTAURANTESDESCUENTOS 2026'!A:B,2,FALSE),"%",""))/100)+I4933),(VLOOKUP(TRIM(D4933), CATALOGO!A:B, 2, FALSE) * C4933+I4933)),""))</f>
        <v/>
      </c>
      <c r="K4933" s="196"/>
      <c r="L4933" s="87"/>
      <c r="M4933" s="245"/>
      <c r="N4933" s="168"/>
    </row>
    <row r="4934" ht="22.5" hidden="1" customHeight="1">
      <c r="A4934" s="137"/>
      <c r="B4934" s="90"/>
      <c r="C4934" s="55"/>
      <c r="D4934" s="193"/>
      <c r="E4934" s="201"/>
      <c r="F4934" s="202"/>
      <c r="G4934" s="194"/>
      <c r="H4934" s="198"/>
      <c r="I4934" s="196"/>
      <c r="J4934" s="179" t="str">
        <f>IF(A4934="RAPPI",(VLOOKUP(TRIM(D4934), CATALOGO!F:G, 2, FALSE) * C4934)+I4934,IFERROR(IF(COUNTIF('RESTAURANTESDESCUENTOS 2026'!A:A,TRIM(A4934))&gt;0,((VLOOKUP(TRIM(D4934), CATALOGO!A:B, 2, FALSE) * C4934)*(1-VALUE(SUBSTITUTE(VLOOKUP(TRIM(A4934),'RESTAURANTESDESCUENTOS 2026'!A:B,2,FALSE),"%",""))/100)+I4934),(VLOOKUP(TRIM(D4934), CATALOGO!A:B, 2, FALSE) * C4934+I4934)),""))</f>
        <v/>
      </c>
      <c r="K4934" s="196"/>
      <c r="L4934" s="87"/>
      <c r="M4934" s="245"/>
      <c r="N4934" s="168"/>
    </row>
    <row r="4935" ht="22.5" hidden="1" customHeight="1">
      <c r="A4935" s="137"/>
      <c r="B4935" s="90"/>
      <c r="C4935" s="55"/>
      <c r="D4935" s="193"/>
      <c r="E4935" s="201"/>
      <c r="F4935" s="202"/>
      <c r="G4935" s="194"/>
      <c r="H4935" s="198"/>
      <c r="I4935" s="196"/>
      <c r="J4935" s="179" t="str">
        <f>IF(A4935="RAPPI",(VLOOKUP(TRIM(D4935), CATALOGO!F:G, 2, FALSE) * C4935)+I4935,IFERROR(IF(COUNTIF('RESTAURANTESDESCUENTOS 2026'!A:A,TRIM(A4935))&gt;0,((VLOOKUP(TRIM(D4935), CATALOGO!A:B, 2, FALSE) * C4935)*(1-VALUE(SUBSTITUTE(VLOOKUP(TRIM(A4935),'RESTAURANTESDESCUENTOS 2026'!A:B,2,FALSE),"%",""))/100)+I4935),(VLOOKUP(TRIM(D4935), CATALOGO!A:B, 2, FALSE) * C4935+I4935)),""))</f>
        <v/>
      </c>
      <c r="K4935" s="196"/>
      <c r="L4935" s="87"/>
      <c r="M4935" s="245"/>
      <c r="N4935" s="168"/>
    </row>
    <row r="4936" ht="22.5" hidden="1" customHeight="1">
      <c r="A4936" s="137"/>
      <c r="B4936" s="90"/>
      <c r="C4936" s="55"/>
      <c r="D4936" s="193"/>
      <c r="E4936" s="201"/>
      <c r="F4936" s="202"/>
      <c r="G4936" s="194"/>
      <c r="H4936" s="198"/>
      <c r="I4936" s="196"/>
      <c r="J4936" s="179" t="str">
        <f>IF(A4936="RAPPI",(VLOOKUP(TRIM(D4936), CATALOGO!F:G, 2, FALSE) * C4936)+I4936,IFERROR(IF(COUNTIF('RESTAURANTESDESCUENTOS 2026'!A:A,TRIM(A4936))&gt;0,((VLOOKUP(TRIM(D4936), CATALOGO!A:B, 2, FALSE) * C4936)*(1-VALUE(SUBSTITUTE(VLOOKUP(TRIM(A4936),'RESTAURANTESDESCUENTOS 2026'!A:B,2,FALSE),"%",""))/100)+I4936),(VLOOKUP(TRIM(D4936), CATALOGO!A:B, 2, FALSE) * C4936+I4936)),""))</f>
        <v/>
      </c>
      <c r="K4936" s="196"/>
      <c r="L4936" s="87"/>
      <c r="M4936" s="245"/>
      <c r="N4936" s="168"/>
    </row>
    <row r="4937" ht="22.5" hidden="1" customHeight="1">
      <c r="A4937" s="137"/>
      <c r="B4937" s="90"/>
      <c r="C4937" s="55"/>
      <c r="D4937" s="193"/>
      <c r="E4937" s="201"/>
      <c r="F4937" s="202"/>
      <c r="G4937" s="194"/>
      <c r="H4937" s="198"/>
      <c r="I4937" s="196"/>
      <c r="J4937" s="179" t="str">
        <f>IF(A4937="RAPPI",(VLOOKUP(TRIM(D4937), CATALOGO!F:G, 2, FALSE) * C4937)+I4937,IFERROR(IF(COUNTIF('RESTAURANTESDESCUENTOS 2026'!A:A,TRIM(A4937))&gt;0,((VLOOKUP(TRIM(D4937), CATALOGO!A:B, 2, FALSE) * C4937)*(1-VALUE(SUBSTITUTE(VLOOKUP(TRIM(A4937),'RESTAURANTESDESCUENTOS 2026'!A:B,2,FALSE),"%",""))/100)+I4937),(VLOOKUP(TRIM(D4937), CATALOGO!A:B, 2, FALSE) * C4937+I4937)),""))</f>
        <v/>
      </c>
      <c r="K4937" s="196"/>
      <c r="L4937" s="87"/>
      <c r="M4937" s="245"/>
      <c r="N4937" s="168"/>
    </row>
    <row r="4938" ht="22.5" hidden="1" customHeight="1">
      <c r="A4938" s="137"/>
      <c r="B4938" s="90"/>
      <c r="C4938" s="55"/>
      <c r="D4938" s="193"/>
      <c r="E4938" s="201"/>
      <c r="F4938" s="202"/>
      <c r="G4938" s="194"/>
      <c r="H4938" s="198"/>
      <c r="I4938" s="196"/>
      <c r="J4938" s="179" t="str">
        <f>IF(A4938="RAPPI",(VLOOKUP(TRIM(D4938), CATALOGO!F:G, 2, FALSE) * C4938)+I4938,IFERROR(IF(COUNTIF('RESTAURANTESDESCUENTOS 2026'!A:A,TRIM(A4938))&gt;0,((VLOOKUP(TRIM(D4938), CATALOGO!A:B, 2, FALSE) * C4938)*(1-VALUE(SUBSTITUTE(VLOOKUP(TRIM(A4938),'RESTAURANTESDESCUENTOS 2026'!A:B,2,FALSE),"%",""))/100)+I4938),(VLOOKUP(TRIM(D4938), CATALOGO!A:B, 2, FALSE) * C4938+I4938)),""))</f>
        <v/>
      </c>
      <c r="K4938" s="196"/>
      <c r="L4938" s="87"/>
      <c r="M4938" s="245"/>
      <c r="N4938" s="168"/>
    </row>
    <row r="4939" ht="22.5" hidden="1" customHeight="1">
      <c r="A4939" s="137"/>
      <c r="B4939" s="90"/>
      <c r="C4939" s="55"/>
      <c r="D4939" s="193"/>
      <c r="E4939" s="201"/>
      <c r="F4939" s="202"/>
      <c r="G4939" s="194"/>
      <c r="H4939" s="198"/>
      <c r="I4939" s="196"/>
      <c r="J4939" s="179" t="str">
        <f>IF(A4939="RAPPI",(VLOOKUP(TRIM(D4939), CATALOGO!F:G, 2, FALSE) * C4939)+I4939,IFERROR(IF(COUNTIF('RESTAURANTESDESCUENTOS 2026'!A:A,TRIM(A4939))&gt;0,((VLOOKUP(TRIM(D4939), CATALOGO!A:B, 2, FALSE) * C4939)*(1-VALUE(SUBSTITUTE(VLOOKUP(TRIM(A4939),'RESTAURANTESDESCUENTOS 2026'!A:B,2,FALSE),"%",""))/100)+I4939),(VLOOKUP(TRIM(D4939), CATALOGO!A:B, 2, FALSE) * C4939+I4939)),""))</f>
        <v/>
      </c>
      <c r="K4939" s="196"/>
      <c r="L4939" s="87"/>
      <c r="M4939" s="245"/>
      <c r="N4939" s="168"/>
    </row>
    <row r="4940" ht="22.5" hidden="1" customHeight="1">
      <c r="A4940" s="137"/>
      <c r="B4940" s="90"/>
      <c r="C4940" s="55"/>
      <c r="D4940" s="193"/>
      <c r="E4940" s="201"/>
      <c r="F4940" s="202"/>
      <c r="G4940" s="194"/>
      <c r="H4940" s="198"/>
      <c r="I4940" s="196"/>
      <c r="J4940" s="179" t="str">
        <f>IF(A4940="RAPPI",(VLOOKUP(TRIM(D4940), CATALOGO!F:G, 2, FALSE) * C4940)+I4940,IFERROR(IF(COUNTIF('RESTAURANTESDESCUENTOS 2026'!A:A,TRIM(A4940))&gt;0,((VLOOKUP(TRIM(D4940), CATALOGO!A:B, 2, FALSE) * C4940)*(1-VALUE(SUBSTITUTE(VLOOKUP(TRIM(A4940),'RESTAURANTESDESCUENTOS 2026'!A:B,2,FALSE),"%",""))/100)+I4940),(VLOOKUP(TRIM(D4940), CATALOGO!A:B, 2, FALSE) * C4940+I4940)),""))</f>
        <v/>
      </c>
      <c r="K4940" s="196"/>
      <c r="L4940" s="87"/>
      <c r="M4940" s="245"/>
      <c r="N4940" s="168"/>
    </row>
    <row r="4941" ht="22.5" hidden="1" customHeight="1">
      <c r="A4941" s="137"/>
      <c r="B4941" s="90"/>
      <c r="C4941" s="55"/>
      <c r="D4941" s="193"/>
      <c r="E4941" s="201"/>
      <c r="F4941" s="202"/>
      <c r="G4941" s="194"/>
      <c r="H4941" s="198"/>
      <c r="I4941" s="196"/>
      <c r="J4941" s="179" t="str">
        <f>IF(A4941="RAPPI",(VLOOKUP(TRIM(D4941), CATALOGO!F:G, 2, FALSE) * C4941)+I4941,IFERROR(IF(COUNTIF('RESTAURANTESDESCUENTOS 2026'!A:A,TRIM(A4941))&gt;0,((VLOOKUP(TRIM(D4941), CATALOGO!A:B, 2, FALSE) * C4941)*(1-VALUE(SUBSTITUTE(VLOOKUP(TRIM(A4941),'RESTAURANTESDESCUENTOS 2026'!A:B,2,FALSE),"%",""))/100)+I4941),(VLOOKUP(TRIM(D4941), CATALOGO!A:B, 2, FALSE) * C4941+I4941)),""))</f>
        <v/>
      </c>
      <c r="K4941" s="196"/>
      <c r="L4941" s="87"/>
      <c r="M4941" s="245"/>
      <c r="N4941" s="168"/>
    </row>
    <row r="4942" ht="22.5" hidden="1" customHeight="1">
      <c r="A4942" s="137"/>
      <c r="B4942" s="90"/>
      <c r="C4942" s="55"/>
      <c r="D4942" s="193"/>
      <c r="E4942" s="201"/>
      <c r="F4942" s="202"/>
      <c r="G4942" s="194"/>
      <c r="H4942" s="198"/>
      <c r="I4942" s="196"/>
      <c r="J4942" s="179" t="str">
        <f>IF(A4942="RAPPI",(VLOOKUP(TRIM(D4942), CATALOGO!F:G, 2, FALSE) * C4942)+I4942,IFERROR(IF(COUNTIF('RESTAURANTESDESCUENTOS 2026'!A:A,TRIM(A4942))&gt;0,((VLOOKUP(TRIM(D4942), CATALOGO!A:B, 2, FALSE) * C4942)*(1-VALUE(SUBSTITUTE(VLOOKUP(TRIM(A4942),'RESTAURANTESDESCUENTOS 2026'!A:B,2,FALSE),"%",""))/100)+I4942),(VLOOKUP(TRIM(D4942), CATALOGO!A:B, 2, FALSE) * C4942+I4942)),""))</f>
        <v/>
      </c>
      <c r="K4942" s="196"/>
      <c r="L4942" s="87"/>
      <c r="M4942" s="245"/>
      <c r="N4942" s="168"/>
    </row>
    <row r="4943" ht="22.5" hidden="1" customHeight="1">
      <c r="A4943" s="137"/>
      <c r="B4943" s="90"/>
      <c r="C4943" s="55"/>
      <c r="D4943" s="193"/>
      <c r="E4943" s="201"/>
      <c r="F4943" s="202"/>
      <c r="G4943" s="194"/>
      <c r="H4943" s="198"/>
      <c r="I4943" s="196"/>
      <c r="J4943" s="179" t="str">
        <f>IF(A4943="RAPPI",(VLOOKUP(TRIM(D4943), CATALOGO!F:G, 2, FALSE) * C4943)+I4943,IFERROR(IF(COUNTIF('RESTAURANTESDESCUENTOS 2026'!A:A,TRIM(A4943))&gt;0,((VLOOKUP(TRIM(D4943), CATALOGO!A:B, 2, FALSE) * C4943)*(1-VALUE(SUBSTITUTE(VLOOKUP(TRIM(A4943),'RESTAURANTESDESCUENTOS 2026'!A:B,2,FALSE),"%",""))/100)+I4943),(VLOOKUP(TRIM(D4943), CATALOGO!A:B, 2, FALSE) * C4943+I4943)),""))</f>
        <v/>
      </c>
      <c r="K4943" s="196"/>
      <c r="L4943" s="87"/>
      <c r="M4943" s="245"/>
      <c r="N4943" s="168"/>
    </row>
    <row r="4944" ht="22.5" hidden="1" customHeight="1">
      <c r="A4944" s="137"/>
      <c r="B4944" s="90"/>
      <c r="C4944" s="55"/>
      <c r="D4944" s="193"/>
      <c r="E4944" s="201"/>
      <c r="F4944" s="202"/>
      <c r="G4944" s="194"/>
      <c r="H4944" s="198"/>
      <c r="I4944" s="196"/>
      <c r="J4944" s="179" t="str">
        <f>IF(A4944="RAPPI",(VLOOKUP(TRIM(D4944), CATALOGO!F:G, 2, FALSE) * C4944)+I4944,IFERROR(IF(COUNTIF('RESTAURANTESDESCUENTOS 2026'!A:A,TRIM(A4944))&gt;0,((VLOOKUP(TRIM(D4944), CATALOGO!A:B, 2, FALSE) * C4944)*(1-VALUE(SUBSTITUTE(VLOOKUP(TRIM(A4944),'RESTAURANTESDESCUENTOS 2026'!A:B,2,FALSE),"%",""))/100)+I4944),(VLOOKUP(TRIM(D4944), CATALOGO!A:B, 2, FALSE) * C4944+I4944)),""))</f>
        <v/>
      </c>
      <c r="K4944" s="196"/>
      <c r="L4944" s="87"/>
      <c r="M4944" s="245"/>
      <c r="N4944" s="168"/>
    </row>
    <row r="4945" ht="22.5" hidden="1" customHeight="1">
      <c r="A4945" s="137"/>
      <c r="B4945" s="90"/>
      <c r="C4945" s="55"/>
      <c r="D4945" s="193"/>
      <c r="E4945" s="201"/>
      <c r="F4945" s="202"/>
      <c r="G4945" s="194"/>
      <c r="H4945" s="198"/>
      <c r="I4945" s="196"/>
      <c r="J4945" s="179" t="str">
        <f>IF(A4945="RAPPI",(VLOOKUP(TRIM(D4945), CATALOGO!F:G, 2, FALSE) * C4945)+I4945,IFERROR(IF(COUNTIF('RESTAURANTESDESCUENTOS 2026'!A:A,TRIM(A4945))&gt;0,((VLOOKUP(TRIM(D4945), CATALOGO!A:B, 2, FALSE) * C4945)*(1-VALUE(SUBSTITUTE(VLOOKUP(TRIM(A4945),'RESTAURANTESDESCUENTOS 2026'!A:B,2,FALSE),"%",""))/100)+I4945),(VLOOKUP(TRIM(D4945), CATALOGO!A:B, 2, FALSE) * C4945+I4945)),""))</f>
        <v/>
      </c>
      <c r="K4945" s="196"/>
      <c r="L4945" s="87"/>
      <c r="M4945" s="245"/>
      <c r="N4945" s="168"/>
    </row>
    <row r="4946" ht="22.5" hidden="1" customHeight="1">
      <c r="A4946" s="137"/>
      <c r="B4946" s="90"/>
      <c r="C4946" s="55"/>
      <c r="D4946" s="193"/>
      <c r="E4946" s="201"/>
      <c r="F4946" s="202"/>
      <c r="G4946" s="194"/>
      <c r="H4946" s="198"/>
      <c r="I4946" s="196"/>
      <c r="J4946" s="179" t="str">
        <f>IF(A4946="RAPPI",(VLOOKUP(TRIM(D4946), CATALOGO!F:G, 2, FALSE) * C4946)+I4946,IFERROR(IF(COUNTIF('RESTAURANTESDESCUENTOS 2026'!A:A,TRIM(A4946))&gt;0,((VLOOKUP(TRIM(D4946), CATALOGO!A:B, 2, FALSE) * C4946)*(1-VALUE(SUBSTITUTE(VLOOKUP(TRIM(A4946),'RESTAURANTESDESCUENTOS 2026'!A:B,2,FALSE),"%",""))/100)+I4946),(VLOOKUP(TRIM(D4946), CATALOGO!A:B, 2, FALSE) * C4946+I4946)),""))</f>
        <v/>
      </c>
      <c r="K4946" s="196"/>
      <c r="L4946" s="87"/>
      <c r="M4946" s="245"/>
      <c r="N4946" s="168"/>
    </row>
    <row r="4947" ht="22.5" hidden="1" customHeight="1">
      <c r="A4947" s="137"/>
      <c r="B4947" s="90"/>
      <c r="C4947" s="55"/>
      <c r="D4947" s="193"/>
      <c r="E4947" s="201"/>
      <c r="F4947" s="202"/>
      <c r="G4947" s="194"/>
      <c r="H4947" s="198"/>
      <c r="I4947" s="196"/>
      <c r="J4947" s="179" t="str">
        <f>IF(A4947="RAPPI",(VLOOKUP(TRIM(D4947), CATALOGO!F:G, 2, FALSE) * C4947)+I4947,IFERROR(IF(COUNTIF('RESTAURANTESDESCUENTOS 2026'!A:A,TRIM(A4947))&gt;0,((VLOOKUP(TRIM(D4947), CATALOGO!A:B, 2, FALSE) * C4947)*(1-VALUE(SUBSTITUTE(VLOOKUP(TRIM(A4947),'RESTAURANTESDESCUENTOS 2026'!A:B,2,FALSE),"%",""))/100)+I4947),(VLOOKUP(TRIM(D4947), CATALOGO!A:B, 2, FALSE) * C4947+I4947)),""))</f>
        <v/>
      </c>
      <c r="K4947" s="196"/>
      <c r="L4947" s="87"/>
      <c r="M4947" s="245"/>
      <c r="N4947" s="168"/>
    </row>
    <row r="4948" ht="22.5" hidden="1" customHeight="1">
      <c r="A4948" s="137"/>
      <c r="B4948" s="90"/>
      <c r="C4948" s="55"/>
      <c r="D4948" s="193"/>
      <c r="E4948" s="201"/>
      <c r="F4948" s="202"/>
      <c r="G4948" s="194"/>
      <c r="H4948" s="198"/>
      <c r="I4948" s="196"/>
      <c r="J4948" s="179" t="str">
        <f>IF(A4948="RAPPI",(VLOOKUP(TRIM(D4948), CATALOGO!F:G, 2, FALSE) * C4948)+I4948,IFERROR(IF(COUNTIF('RESTAURANTESDESCUENTOS 2026'!A:A,TRIM(A4948))&gt;0,((VLOOKUP(TRIM(D4948), CATALOGO!A:B, 2, FALSE) * C4948)*(1-VALUE(SUBSTITUTE(VLOOKUP(TRIM(A4948),'RESTAURANTESDESCUENTOS 2026'!A:B,2,FALSE),"%",""))/100)+I4948),(VLOOKUP(TRIM(D4948), CATALOGO!A:B, 2, FALSE) * C4948+I4948)),""))</f>
        <v/>
      </c>
      <c r="K4948" s="196"/>
      <c r="L4948" s="87"/>
      <c r="M4948" s="245"/>
      <c r="N4948" s="168"/>
    </row>
    <row r="4949" ht="22.5" hidden="1" customHeight="1">
      <c r="A4949" s="137"/>
      <c r="B4949" s="90"/>
      <c r="C4949" s="55"/>
      <c r="D4949" s="193"/>
      <c r="E4949" s="201"/>
      <c r="F4949" s="202"/>
      <c r="G4949" s="194"/>
      <c r="H4949" s="198"/>
      <c r="I4949" s="196"/>
      <c r="J4949" s="179" t="str">
        <f>IF(A4949="RAPPI",(VLOOKUP(TRIM(D4949), CATALOGO!F:G, 2, FALSE) * C4949)+I4949,IFERROR(IF(COUNTIF('RESTAURANTESDESCUENTOS 2026'!A:A,TRIM(A4949))&gt;0,((VLOOKUP(TRIM(D4949), CATALOGO!A:B, 2, FALSE) * C4949)*(1-VALUE(SUBSTITUTE(VLOOKUP(TRIM(A4949),'RESTAURANTESDESCUENTOS 2026'!A:B,2,FALSE),"%",""))/100)+I4949),(VLOOKUP(TRIM(D4949), CATALOGO!A:B, 2, FALSE) * C4949+I4949)),""))</f>
        <v/>
      </c>
      <c r="K4949" s="196"/>
      <c r="L4949" s="87"/>
      <c r="M4949" s="245"/>
      <c r="N4949" s="168"/>
    </row>
    <row r="4950" ht="22.5" hidden="1" customHeight="1">
      <c r="A4950" s="137"/>
      <c r="B4950" s="90"/>
      <c r="C4950" s="55"/>
      <c r="D4950" s="193"/>
      <c r="E4950" s="201"/>
      <c r="F4950" s="202"/>
      <c r="G4950" s="194"/>
      <c r="H4950" s="198"/>
      <c r="I4950" s="196"/>
      <c r="J4950" s="179" t="str">
        <f>IF(A4950="RAPPI",(VLOOKUP(TRIM(D4950), CATALOGO!F:G, 2, FALSE) * C4950)+I4950,IFERROR(IF(COUNTIF('RESTAURANTESDESCUENTOS 2026'!A:A,TRIM(A4950))&gt;0,((VLOOKUP(TRIM(D4950), CATALOGO!A:B, 2, FALSE) * C4950)*(1-VALUE(SUBSTITUTE(VLOOKUP(TRIM(A4950),'RESTAURANTESDESCUENTOS 2026'!A:B,2,FALSE),"%",""))/100)+I4950),(VLOOKUP(TRIM(D4950), CATALOGO!A:B, 2, FALSE) * C4950+I4950)),""))</f>
        <v/>
      </c>
      <c r="K4950" s="196"/>
      <c r="L4950" s="87"/>
      <c r="M4950" s="245"/>
      <c r="N4950" s="168"/>
    </row>
    <row r="4951" ht="22.5" hidden="1" customHeight="1">
      <c r="A4951" s="137"/>
      <c r="B4951" s="90"/>
      <c r="C4951" s="55"/>
      <c r="D4951" s="193"/>
      <c r="E4951" s="201"/>
      <c r="F4951" s="202"/>
      <c r="G4951" s="194"/>
      <c r="H4951" s="198"/>
      <c r="I4951" s="196"/>
      <c r="J4951" s="179" t="str">
        <f>IF(A4951="RAPPI",(VLOOKUP(TRIM(D4951), CATALOGO!F:G, 2, FALSE) * C4951)+I4951,IFERROR(IF(COUNTIF('RESTAURANTESDESCUENTOS 2026'!A:A,TRIM(A4951))&gt;0,((VLOOKUP(TRIM(D4951), CATALOGO!A:B, 2, FALSE) * C4951)*(1-VALUE(SUBSTITUTE(VLOOKUP(TRIM(A4951),'RESTAURANTESDESCUENTOS 2026'!A:B,2,FALSE),"%",""))/100)+I4951),(VLOOKUP(TRIM(D4951), CATALOGO!A:B, 2, FALSE) * C4951+I4951)),""))</f>
        <v/>
      </c>
      <c r="K4951" s="196"/>
      <c r="L4951" s="87"/>
      <c r="M4951" s="245"/>
      <c r="N4951" s="168"/>
    </row>
    <row r="4952" ht="22.5" hidden="1" customHeight="1">
      <c r="A4952" s="137"/>
      <c r="B4952" s="90"/>
      <c r="C4952" s="55"/>
      <c r="D4952" s="193"/>
      <c r="E4952" s="201"/>
      <c r="F4952" s="202"/>
      <c r="G4952" s="194"/>
      <c r="H4952" s="198"/>
      <c r="I4952" s="196"/>
      <c r="J4952" s="179" t="str">
        <f>IF(A4952="RAPPI",(VLOOKUP(TRIM(D4952), CATALOGO!F:G, 2, FALSE) * C4952)+I4952,IFERROR(IF(COUNTIF('RESTAURANTESDESCUENTOS 2026'!A:A,TRIM(A4952))&gt;0,((VLOOKUP(TRIM(D4952), CATALOGO!A:B, 2, FALSE) * C4952)*(1-VALUE(SUBSTITUTE(VLOOKUP(TRIM(A4952),'RESTAURANTESDESCUENTOS 2026'!A:B,2,FALSE),"%",""))/100)+I4952),(VLOOKUP(TRIM(D4952), CATALOGO!A:B, 2, FALSE) * C4952+I4952)),""))</f>
        <v/>
      </c>
      <c r="K4952" s="196"/>
      <c r="L4952" s="87"/>
      <c r="M4952" s="245"/>
      <c r="N4952" s="168"/>
    </row>
    <row r="4953" ht="22.5" hidden="1" customHeight="1">
      <c r="A4953" s="137"/>
      <c r="B4953" s="90"/>
      <c r="C4953" s="55"/>
      <c r="D4953" s="193"/>
      <c r="E4953" s="201"/>
      <c r="F4953" s="202"/>
      <c r="G4953" s="194"/>
      <c r="H4953" s="198"/>
      <c r="I4953" s="196"/>
      <c r="J4953" s="179" t="str">
        <f>IF(A4953="RAPPI",(VLOOKUP(TRIM(D4953), CATALOGO!F:G, 2, FALSE) * C4953)+I4953,IFERROR(IF(COUNTIF('RESTAURANTESDESCUENTOS 2026'!A:A,TRIM(A4953))&gt;0,((VLOOKUP(TRIM(D4953), CATALOGO!A:B, 2, FALSE) * C4953)*(1-VALUE(SUBSTITUTE(VLOOKUP(TRIM(A4953),'RESTAURANTESDESCUENTOS 2026'!A:B,2,FALSE),"%",""))/100)+I4953),(VLOOKUP(TRIM(D4953), CATALOGO!A:B, 2, FALSE) * C4953+I4953)),""))</f>
        <v/>
      </c>
      <c r="K4953" s="196"/>
      <c r="L4953" s="87"/>
      <c r="M4953" s="245"/>
      <c r="N4953" s="168"/>
    </row>
    <row r="4954" ht="22.5" hidden="1" customHeight="1">
      <c r="A4954" s="137"/>
      <c r="B4954" s="90"/>
      <c r="C4954" s="55"/>
      <c r="D4954" s="193"/>
      <c r="E4954" s="201"/>
      <c r="F4954" s="202"/>
      <c r="G4954" s="194"/>
      <c r="H4954" s="198"/>
      <c r="I4954" s="196"/>
      <c r="J4954" s="179" t="str">
        <f>IF(A4954="RAPPI",(VLOOKUP(TRIM(D4954), CATALOGO!F:G, 2, FALSE) * C4954)+I4954,IFERROR(IF(COUNTIF('RESTAURANTESDESCUENTOS 2026'!A:A,TRIM(A4954))&gt;0,((VLOOKUP(TRIM(D4954), CATALOGO!A:B, 2, FALSE) * C4954)*(1-VALUE(SUBSTITUTE(VLOOKUP(TRIM(A4954),'RESTAURANTESDESCUENTOS 2026'!A:B,2,FALSE),"%",""))/100)+I4954),(VLOOKUP(TRIM(D4954), CATALOGO!A:B, 2, FALSE) * C4954+I4954)),""))</f>
        <v/>
      </c>
      <c r="K4954" s="196"/>
      <c r="L4954" s="87"/>
      <c r="M4954" s="245"/>
      <c r="N4954" s="168"/>
    </row>
    <row r="4955" ht="22.5" hidden="1" customHeight="1">
      <c r="A4955" s="137"/>
      <c r="B4955" s="90"/>
      <c r="C4955" s="55"/>
      <c r="D4955" s="193"/>
      <c r="E4955" s="201"/>
      <c r="F4955" s="202"/>
      <c r="G4955" s="194"/>
      <c r="H4955" s="198"/>
      <c r="I4955" s="196"/>
      <c r="J4955" s="179" t="str">
        <f>IF(A4955="RAPPI",(VLOOKUP(TRIM(D4955), CATALOGO!F:G, 2, FALSE) * C4955)+I4955,IFERROR(IF(COUNTIF('RESTAURANTESDESCUENTOS 2026'!A:A,TRIM(A4955))&gt;0,((VLOOKUP(TRIM(D4955), CATALOGO!A:B, 2, FALSE) * C4955)*(1-VALUE(SUBSTITUTE(VLOOKUP(TRIM(A4955),'RESTAURANTESDESCUENTOS 2026'!A:B,2,FALSE),"%",""))/100)+I4955),(VLOOKUP(TRIM(D4955), CATALOGO!A:B, 2, FALSE) * C4955+I4955)),""))</f>
        <v/>
      </c>
      <c r="K4955" s="196"/>
      <c r="L4955" s="87"/>
      <c r="M4955" s="245"/>
      <c r="N4955" s="168"/>
    </row>
    <row r="4956" ht="22.5" hidden="1" customHeight="1">
      <c r="A4956" s="137"/>
      <c r="B4956" s="90"/>
      <c r="C4956" s="55"/>
      <c r="D4956" s="193"/>
      <c r="E4956" s="201"/>
      <c r="F4956" s="202"/>
      <c r="G4956" s="194"/>
      <c r="H4956" s="198"/>
      <c r="I4956" s="196"/>
      <c r="J4956" s="179" t="str">
        <f>IF(A4956="RAPPI",(VLOOKUP(TRIM(D4956), CATALOGO!F:G, 2, FALSE) * C4956)+I4956,IFERROR(IF(COUNTIF('RESTAURANTESDESCUENTOS 2026'!A:A,TRIM(A4956))&gt;0,((VLOOKUP(TRIM(D4956), CATALOGO!A:B, 2, FALSE) * C4956)*(1-VALUE(SUBSTITUTE(VLOOKUP(TRIM(A4956),'RESTAURANTESDESCUENTOS 2026'!A:B,2,FALSE),"%",""))/100)+I4956),(VLOOKUP(TRIM(D4956), CATALOGO!A:B, 2, FALSE) * C4956+I4956)),""))</f>
        <v/>
      </c>
      <c r="K4956" s="196"/>
      <c r="L4956" s="87"/>
      <c r="M4956" s="245"/>
      <c r="N4956" s="168"/>
    </row>
    <row r="4957" ht="22.5" hidden="1" customHeight="1">
      <c r="A4957" s="137"/>
      <c r="B4957" s="90"/>
      <c r="C4957" s="55"/>
      <c r="D4957" s="193"/>
      <c r="E4957" s="201"/>
      <c r="F4957" s="202"/>
      <c r="G4957" s="194"/>
      <c r="H4957" s="198"/>
      <c r="I4957" s="196"/>
      <c r="J4957" s="179" t="str">
        <f>IF(A4957="RAPPI",(VLOOKUP(TRIM(D4957), CATALOGO!F:G, 2, FALSE) * C4957)+I4957,IFERROR(IF(COUNTIF('RESTAURANTESDESCUENTOS 2026'!A:A,TRIM(A4957))&gt;0,((VLOOKUP(TRIM(D4957), CATALOGO!A:B, 2, FALSE) * C4957)*(1-VALUE(SUBSTITUTE(VLOOKUP(TRIM(A4957),'RESTAURANTESDESCUENTOS 2026'!A:B,2,FALSE),"%",""))/100)+I4957),(VLOOKUP(TRIM(D4957), CATALOGO!A:B, 2, FALSE) * C4957+I4957)),""))</f>
        <v/>
      </c>
      <c r="K4957" s="196"/>
      <c r="L4957" s="87"/>
      <c r="M4957" s="245"/>
      <c r="N4957" s="168"/>
    </row>
    <row r="4958" ht="22.5" hidden="1" customHeight="1">
      <c r="A4958" s="137"/>
      <c r="B4958" s="90"/>
      <c r="C4958" s="55"/>
      <c r="D4958" s="193"/>
      <c r="E4958" s="201"/>
      <c r="F4958" s="202"/>
      <c r="G4958" s="194"/>
      <c r="H4958" s="198"/>
      <c r="I4958" s="196"/>
      <c r="J4958" s="179" t="str">
        <f>IF(A4958="RAPPI",(VLOOKUP(TRIM(D4958), CATALOGO!F:G, 2, FALSE) * C4958)+I4958,IFERROR(IF(COUNTIF('RESTAURANTESDESCUENTOS 2026'!A:A,TRIM(A4958))&gt;0,((VLOOKUP(TRIM(D4958), CATALOGO!A:B, 2, FALSE) * C4958)*(1-VALUE(SUBSTITUTE(VLOOKUP(TRIM(A4958),'RESTAURANTESDESCUENTOS 2026'!A:B,2,FALSE),"%",""))/100)+I4958),(VLOOKUP(TRIM(D4958), CATALOGO!A:B, 2, FALSE) * C4958+I4958)),""))</f>
        <v/>
      </c>
      <c r="K4958" s="196"/>
      <c r="L4958" s="87"/>
      <c r="M4958" s="245"/>
      <c r="N4958" s="168"/>
    </row>
    <row r="4959" ht="22.5" hidden="1" customHeight="1">
      <c r="A4959" s="137"/>
      <c r="B4959" s="90"/>
      <c r="C4959" s="55"/>
      <c r="D4959" s="193"/>
      <c r="E4959" s="201"/>
      <c r="F4959" s="202"/>
      <c r="G4959" s="194"/>
      <c r="H4959" s="198"/>
      <c r="I4959" s="196"/>
      <c r="J4959" s="179" t="str">
        <f>IF(A4959="RAPPI",(VLOOKUP(TRIM(D4959), CATALOGO!F:G, 2, FALSE) * C4959)+I4959,IFERROR(IF(COUNTIF('RESTAURANTESDESCUENTOS 2026'!A:A,TRIM(A4959))&gt;0,((VLOOKUP(TRIM(D4959), CATALOGO!A:B, 2, FALSE) * C4959)*(1-VALUE(SUBSTITUTE(VLOOKUP(TRIM(A4959),'RESTAURANTESDESCUENTOS 2026'!A:B,2,FALSE),"%",""))/100)+I4959),(VLOOKUP(TRIM(D4959), CATALOGO!A:B, 2, FALSE) * C4959+I4959)),""))</f>
        <v/>
      </c>
      <c r="K4959" s="196"/>
      <c r="L4959" s="87"/>
      <c r="M4959" s="245"/>
      <c r="N4959" s="168"/>
    </row>
    <row r="4960" ht="22.5" hidden="1" customHeight="1">
      <c r="A4960" s="137"/>
      <c r="B4960" s="90"/>
      <c r="C4960" s="55"/>
      <c r="D4960" s="193"/>
      <c r="E4960" s="201"/>
      <c r="F4960" s="202"/>
      <c r="G4960" s="194"/>
      <c r="H4960" s="198"/>
      <c r="I4960" s="196"/>
      <c r="J4960" s="179" t="str">
        <f>IF(A4960="RAPPI",(VLOOKUP(TRIM(D4960), CATALOGO!F:G, 2, FALSE) * C4960)+I4960,IFERROR(IF(COUNTIF('RESTAURANTESDESCUENTOS 2026'!A:A,TRIM(A4960))&gt;0,((VLOOKUP(TRIM(D4960), CATALOGO!A:B, 2, FALSE) * C4960)*(1-VALUE(SUBSTITUTE(VLOOKUP(TRIM(A4960),'RESTAURANTESDESCUENTOS 2026'!A:B,2,FALSE),"%",""))/100)+I4960),(VLOOKUP(TRIM(D4960), CATALOGO!A:B, 2, FALSE) * C4960+I4960)),""))</f>
        <v/>
      </c>
      <c r="K4960" s="196"/>
      <c r="L4960" s="87"/>
      <c r="M4960" s="245"/>
      <c r="N4960" s="168"/>
    </row>
    <row r="4961" ht="22.5" hidden="1" customHeight="1">
      <c r="A4961" s="137"/>
      <c r="B4961" s="90"/>
      <c r="C4961" s="55"/>
      <c r="D4961" s="193"/>
      <c r="E4961" s="201"/>
      <c r="F4961" s="202"/>
      <c r="G4961" s="194"/>
      <c r="H4961" s="198"/>
      <c r="I4961" s="196"/>
      <c r="J4961" s="179" t="str">
        <f>IF(A4961="RAPPI",(VLOOKUP(TRIM(D4961), CATALOGO!F:G, 2, FALSE) * C4961)+I4961,IFERROR(IF(COUNTIF('RESTAURANTESDESCUENTOS 2026'!A:A,TRIM(A4961))&gt;0,((VLOOKUP(TRIM(D4961), CATALOGO!A:B, 2, FALSE) * C4961)*(1-VALUE(SUBSTITUTE(VLOOKUP(TRIM(A4961),'RESTAURANTESDESCUENTOS 2026'!A:B,2,FALSE),"%",""))/100)+I4961),(VLOOKUP(TRIM(D4961), CATALOGO!A:B, 2, FALSE) * C4961+I4961)),""))</f>
        <v/>
      </c>
      <c r="K4961" s="196"/>
      <c r="L4961" s="87"/>
      <c r="M4961" s="245"/>
      <c r="N4961" s="168"/>
    </row>
    <row r="4962" ht="22.5" hidden="1" customHeight="1">
      <c r="A4962" s="137"/>
      <c r="B4962" s="90"/>
      <c r="C4962" s="55"/>
      <c r="D4962" s="193"/>
      <c r="E4962" s="201"/>
      <c r="F4962" s="202"/>
      <c r="G4962" s="194"/>
      <c r="H4962" s="198"/>
      <c r="I4962" s="196"/>
      <c r="J4962" s="179" t="str">
        <f>IF(A4962="RAPPI",(VLOOKUP(TRIM(D4962), CATALOGO!F:G, 2, FALSE) * C4962)+I4962,IFERROR(IF(COUNTIF('RESTAURANTESDESCUENTOS 2026'!A:A,TRIM(A4962))&gt;0,((VLOOKUP(TRIM(D4962), CATALOGO!A:B, 2, FALSE) * C4962)*(1-VALUE(SUBSTITUTE(VLOOKUP(TRIM(A4962),'RESTAURANTESDESCUENTOS 2026'!A:B,2,FALSE),"%",""))/100)+I4962),(VLOOKUP(TRIM(D4962), CATALOGO!A:B, 2, FALSE) * C4962+I4962)),""))</f>
        <v/>
      </c>
      <c r="K4962" s="196"/>
      <c r="L4962" s="87"/>
      <c r="M4962" s="245"/>
      <c r="N4962" s="168"/>
    </row>
    <row r="4963" ht="22.5" hidden="1" customHeight="1">
      <c r="A4963" s="137"/>
      <c r="B4963" s="90"/>
      <c r="C4963" s="55"/>
      <c r="D4963" s="193"/>
      <c r="E4963" s="201"/>
      <c r="F4963" s="202"/>
      <c r="G4963" s="194"/>
      <c r="H4963" s="198"/>
      <c r="I4963" s="196"/>
      <c r="J4963" s="179" t="str">
        <f>IF(A4963="RAPPI",(VLOOKUP(TRIM(D4963), CATALOGO!F:G, 2, FALSE) * C4963)+I4963,IFERROR(IF(COUNTIF('RESTAURANTESDESCUENTOS 2026'!A:A,TRIM(A4963))&gt;0,((VLOOKUP(TRIM(D4963), CATALOGO!A:B, 2, FALSE) * C4963)*(1-VALUE(SUBSTITUTE(VLOOKUP(TRIM(A4963),'RESTAURANTESDESCUENTOS 2026'!A:B,2,FALSE),"%",""))/100)+I4963),(VLOOKUP(TRIM(D4963), CATALOGO!A:B, 2, FALSE) * C4963+I4963)),""))</f>
        <v/>
      </c>
      <c r="K4963" s="196"/>
      <c r="L4963" s="87"/>
      <c r="M4963" s="245"/>
      <c r="N4963" s="168"/>
    </row>
    <row r="4964" ht="22.5" hidden="1" customHeight="1">
      <c r="A4964" s="137"/>
      <c r="B4964" s="90"/>
      <c r="C4964" s="55"/>
      <c r="D4964" s="193"/>
      <c r="E4964" s="201"/>
      <c r="F4964" s="202"/>
      <c r="G4964" s="194"/>
      <c r="H4964" s="198"/>
      <c r="I4964" s="196"/>
      <c r="J4964" s="179" t="str">
        <f>IF(A4964="RAPPI",(VLOOKUP(TRIM(D4964), CATALOGO!F:G, 2, FALSE) * C4964)+I4964,IFERROR(IF(COUNTIF('RESTAURANTESDESCUENTOS 2026'!A:A,TRIM(A4964))&gt;0,((VLOOKUP(TRIM(D4964), CATALOGO!A:B, 2, FALSE) * C4964)*(1-VALUE(SUBSTITUTE(VLOOKUP(TRIM(A4964),'RESTAURANTESDESCUENTOS 2026'!A:B,2,FALSE),"%",""))/100)+I4964),(VLOOKUP(TRIM(D4964), CATALOGO!A:B, 2, FALSE) * C4964+I4964)),""))</f>
        <v/>
      </c>
      <c r="K4964" s="196"/>
      <c r="L4964" s="87"/>
      <c r="M4964" s="245"/>
      <c r="N4964" s="168"/>
    </row>
    <row r="4965" ht="22.5" hidden="1" customHeight="1">
      <c r="A4965" s="137"/>
      <c r="B4965" s="90"/>
      <c r="C4965" s="55"/>
      <c r="D4965" s="193"/>
      <c r="E4965" s="201"/>
      <c r="F4965" s="202"/>
      <c r="G4965" s="194"/>
      <c r="H4965" s="198"/>
      <c r="I4965" s="196"/>
      <c r="J4965" s="179" t="str">
        <f>IF(A4965="RAPPI",(VLOOKUP(TRIM(D4965), CATALOGO!F:G, 2, FALSE) * C4965)+I4965,IFERROR(IF(COUNTIF('RESTAURANTESDESCUENTOS 2026'!A:A,TRIM(A4965))&gt;0,((VLOOKUP(TRIM(D4965), CATALOGO!A:B, 2, FALSE) * C4965)*(1-VALUE(SUBSTITUTE(VLOOKUP(TRIM(A4965),'RESTAURANTESDESCUENTOS 2026'!A:B,2,FALSE),"%",""))/100)+I4965),(VLOOKUP(TRIM(D4965), CATALOGO!A:B, 2, FALSE) * C4965+I4965)),""))</f>
        <v/>
      </c>
      <c r="K4965" s="196"/>
      <c r="L4965" s="87"/>
      <c r="M4965" s="245"/>
      <c r="N4965" s="168"/>
    </row>
    <row r="4966" ht="22.5" hidden="1" customHeight="1">
      <c r="A4966" s="137"/>
      <c r="B4966" s="90"/>
      <c r="C4966" s="55"/>
      <c r="D4966" s="193"/>
      <c r="E4966" s="201"/>
      <c r="F4966" s="202"/>
      <c r="G4966" s="194"/>
      <c r="H4966" s="198"/>
      <c r="I4966" s="196"/>
      <c r="J4966" s="179" t="str">
        <f>IF(A4966="RAPPI",(VLOOKUP(TRIM(D4966), CATALOGO!F:G, 2, FALSE) * C4966)+I4966,IFERROR(IF(COUNTIF('RESTAURANTESDESCUENTOS 2026'!A:A,TRIM(A4966))&gt;0,((VLOOKUP(TRIM(D4966), CATALOGO!A:B, 2, FALSE) * C4966)*(1-VALUE(SUBSTITUTE(VLOOKUP(TRIM(A4966),'RESTAURANTESDESCUENTOS 2026'!A:B,2,FALSE),"%",""))/100)+I4966),(VLOOKUP(TRIM(D4966), CATALOGO!A:B, 2, FALSE) * C4966+I4966)),""))</f>
        <v/>
      </c>
      <c r="K4966" s="196"/>
      <c r="L4966" s="87"/>
      <c r="M4966" s="245"/>
      <c r="N4966" s="168"/>
    </row>
    <row r="4967" ht="22.5" hidden="1" customHeight="1">
      <c r="A4967" s="137"/>
      <c r="B4967" s="90"/>
      <c r="C4967" s="55"/>
      <c r="D4967" s="193"/>
      <c r="E4967" s="201"/>
      <c r="F4967" s="202"/>
      <c r="G4967" s="194"/>
      <c r="H4967" s="198"/>
      <c r="I4967" s="196"/>
      <c r="J4967" s="179" t="str">
        <f>IF(A4967="RAPPI",(VLOOKUP(TRIM(D4967), CATALOGO!F:G, 2, FALSE) * C4967)+I4967,IFERROR(IF(COUNTIF('RESTAURANTESDESCUENTOS 2026'!A:A,TRIM(A4967))&gt;0,((VLOOKUP(TRIM(D4967), CATALOGO!A:B, 2, FALSE) * C4967)*(1-VALUE(SUBSTITUTE(VLOOKUP(TRIM(A4967),'RESTAURANTESDESCUENTOS 2026'!A:B,2,FALSE),"%",""))/100)+I4967),(VLOOKUP(TRIM(D4967), CATALOGO!A:B, 2, FALSE) * C4967+I4967)),""))</f>
        <v/>
      </c>
      <c r="K4967" s="196"/>
      <c r="L4967" s="87"/>
      <c r="M4967" s="245"/>
      <c r="N4967" s="168"/>
    </row>
    <row r="4968" ht="22.5" hidden="1" customHeight="1">
      <c r="A4968" s="137"/>
      <c r="B4968" s="90"/>
      <c r="C4968" s="55"/>
      <c r="D4968" s="193"/>
      <c r="E4968" s="201"/>
      <c r="F4968" s="202"/>
      <c r="G4968" s="194"/>
      <c r="H4968" s="198"/>
      <c r="I4968" s="196"/>
      <c r="J4968" s="179" t="str">
        <f>IF(A4968="RAPPI",(VLOOKUP(TRIM(D4968), CATALOGO!F:G, 2, FALSE) * C4968)+I4968,IFERROR(IF(COUNTIF('RESTAURANTESDESCUENTOS 2026'!A:A,TRIM(A4968))&gt;0,((VLOOKUP(TRIM(D4968), CATALOGO!A:B, 2, FALSE) * C4968)*(1-VALUE(SUBSTITUTE(VLOOKUP(TRIM(A4968),'RESTAURANTESDESCUENTOS 2026'!A:B,2,FALSE),"%",""))/100)+I4968),(VLOOKUP(TRIM(D4968), CATALOGO!A:B, 2, FALSE) * C4968+I4968)),""))</f>
        <v/>
      </c>
      <c r="K4968" s="196"/>
      <c r="L4968" s="87"/>
      <c r="M4968" s="245"/>
      <c r="N4968" s="168"/>
    </row>
    <row r="4969" ht="22.5" hidden="1" customHeight="1">
      <c r="A4969" s="137"/>
      <c r="B4969" s="90"/>
      <c r="C4969" s="55"/>
      <c r="D4969" s="193"/>
      <c r="E4969" s="201"/>
      <c r="F4969" s="202"/>
      <c r="G4969" s="194"/>
      <c r="H4969" s="198"/>
      <c r="I4969" s="196"/>
      <c r="J4969" s="179" t="str">
        <f>IF(A4969="RAPPI",(VLOOKUP(TRIM(D4969), CATALOGO!F:G, 2, FALSE) * C4969)+I4969,IFERROR(IF(COUNTIF('RESTAURANTESDESCUENTOS 2026'!A:A,TRIM(A4969))&gt;0,((VLOOKUP(TRIM(D4969), CATALOGO!A:B, 2, FALSE) * C4969)*(1-VALUE(SUBSTITUTE(VLOOKUP(TRIM(A4969),'RESTAURANTESDESCUENTOS 2026'!A:B,2,FALSE),"%",""))/100)+I4969),(VLOOKUP(TRIM(D4969), CATALOGO!A:B, 2, FALSE) * C4969+I4969)),""))</f>
        <v/>
      </c>
      <c r="K4969" s="196"/>
      <c r="L4969" s="87"/>
      <c r="M4969" s="245"/>
      <c r="N4969" s="168"/>
    </row>
    <row r="4970" ht="22.5" hidden="1" customHeight="1">
      <c r="A4970" s="137"/>
      <c r="B4970" s="90"/>
      <c r="C4970" s="55"/>
      <c r="D4970" s="193"/>
      <c r="E4970" s="201"/>
      <c r="F4970" s="202"/>
      <c r="G4970" s="194"/>
      <c r="H4970" s="198"/>
      <c r="I4970" s="196"/>
      <c r="J4970" s="179" t="str">
        <f>IF(A4970="RAPPI",(VLOOKUP(TRIM(D4970), CATALOGO!F:G, 2, FALSE) * C4970)+I4970,IFERROR(IF(COUNTIF('RESTAURANTESDESCUENTOS 2026'!A:A,TRIM(A4970))&gt;0,((VLOOKUP(TRIM(D4970), CATALOGO!A:B, 2, FALSE) * C4970)*(1-VALUE(SUBSTITUTE(VLOOKUP(TRIM(A4970),'RESTAURANTESDESCUENTOS 2026'!A:B,2,FALSE),"%",""))/100)+I4970),(VLOOKUP(TRIM(D4970), CATALOGO!A:B, 2, FALSE) * C4970+I4970)),""))</f>
        <v/>
      </c>
      <c r="K4970" s="196"/>
      <c r="L4970" s="87"/>
      <c r="M4970" s="245"/>
      <c r="N4970" s="168"/>
    </row>
    <row r="4971" ht="22.5" hidden="1" customHeight="1">
      <c r="A4971" s="137"/>
      <c r="B4971" s="90"/>
      <c r="C4971" s="55"/>
      <c r="D4971" s="193"/>
      <c r="E4971" s="201"/>
      <c r="F4971" s="202"/>
      <c r="G4971" s="194"/>
      <c r="H4971" s="198"/>
      <c r="I4971" s="196"/>
      <c r="J4971" s="179" t="str">
        <f>IF(A4971="RAPPI",(VLOOKUP(TRIM(D4971), CATALOGO!F:G, 2, FALSE) * C4971)+I4971,IFERROR(IF(COUNTIF('RESTAURANTESDESCUENTOS 2026'!A:A,TRIM(A4971))&gt;0,((VLOOKUP(TRIM(D4971), CATALOGO!A:B, 2, FALSE) * C4971)*(1-VALUE(SUBSTITUTE(VLOOKUP(TRIM(A4971),'RESTAURANTESDESCUENTOS 2026'!A:B,2,FALSE),"%",""))/100)+I4971),(VLOOKUP(TRIM(D4971), CATALOGO!A:B, 2, FALSE) * C4971+I4971)),""))</f>
        <v/>
      </c>
      <c r="K4971" s="196"/>
      <c r="L4971" s="87"/>
      <c r="M4971" s="245"/>
      <c r="N4971" s="168"/>
    </row>
    <row r="4972" ht="22.5" hidden="1" customHeight="1">
      <c r="A4972" s="137"/>
      <c r="B4972" s="90"/>
      <c r="C4972" s="55"/>
      <c r="D4972" s="193"/>
      <c r="E4972" s="201"/>
      <c r="F4972" s="202"/>
      <c r="G4972" s="194"/>
      <c r="H4972" s="198"/>
      <c r="I4972" s="196"/>
      <c r="J4972" s="179" t="str">
        <f>IF(A4972="RAPPI",(VLOOKUP(TRIM(D4972), CATALOGO!F:G, 2, FALSE) * C4972)+I4972,IFERROR(IF(COUNTIF('RESTAURANTESDESCUENTOS 2026'!A:A,TRIM(A4972))&gt;0,((VLOOKUP(TRIM(D4972), CATALOGO!A:B, 2, FALSE) * C4972)*(1-VALUE(SUBSTITUTE(VLOOKUP(TRIM(A4972),'RESTAURANTESDESCUENTOS 2026'!A:B,2,FALSE),"%",""))/100)+I4972),(VLOOKUP(TRIM(D4972), CATALOGO!A:B, 2, FALSE) * C4972+I4972)),""))</f>
        <v/>
      </c>
      <c r="K4972" s="196"/>
      <c r="L4972" s="87"/>
      <c r="M4972" s="245"/>
      <c r="N4972" s="168"/>
    </row>
    <row r="4973" ht="22.5" hidden="1" customHeight="1">
      <c r="A4973" s="137"/>
      <c r="B4973" s="90"/>
      <c r="C4973" s="55"/>
      <c r="D4973" s="193"/>
      <c r="E4973" s="201"/>
      <c r="F4973" s="202"/>
      <c r="G4973" s="194"/>
      <c r="H4973" s="198"/>
      <c r="I4973" s="196"/>
      <c r="J4973" s="179" t="str">
        <f>IF(A4973="RAPPI",(VLOOKUP(TRIM(D4973), CATALOGO!F:G, 2, FALSE) * C4973)+I4973,IFERROR(IF(COUNTIF('RESTAURANTESDESCUENTOS 2026'!A:A,TRIM(A4973))&gt;0,((VLOOKUP(TRIM(D4973), CATALOGO!A:B, 2, FALSE) * C4973)*(1-VALUE(SUBSTITUTE(VLOOKUP(TRIM(A4973),'RESTAURANTESDESCUENTOS 2026'!A:B,2,FALSE),"%",""))/100)+I4973),(VLOOKUP(TRIM(D4973), CATALOGO!A:B, 2, FALSE) * C4973+I4973)),""))</f>
        <v/>
      </c>
      <c r="K4973" s="196"/>
      <c r="L4973" s="87"/>
      <c r="M4973" s="245"/>
      <c r="N4973" s="168"/>
    </row>
    <row r="4974" ht="22.5" hidden="1" customHeight="1">
      <c r="A4974" s="137"/>
      <c r="B4974" s="90"/>
      <c r="C4974" s="55"/>
      <c r="D4974" s="193"/>
      <c r="E4974" s="201"/>
      <c r="F4974" s="202"/>
      <c r="G4974" s="194"/>
      <c r="H4974" s="198"/>
      <c r="I4974" s="196"/>
      <c r="J4974" s="179" t="str">
        <f>IF(A4974="RAPPI",(VLOOKUP(TRIM(D4974), CATALOGO!F:G, 2, FALSE) * C4974)+I4974,IFERROR(IF(COUNTIF('RESTAURANTESDESCUENTOS 2026'!A:A,TRIM(A4974))&gt;0,((VLOOKUP(TRIM(D4974), CATALOGO!A:B, 2, FALSE) * C4974)*(1-VALUE(SUBSTITUTE(VLOOKUP(TRIM(A4974),'RESTAURANTESDESCUENTOS 2026'!A:B,2,FALSE),"%",""))/100)+I4974),(VLOOKUP(TRIM(D4974), CATALOGO!A:B, 2, FALSE) * C4974+I4974)),""))</f>
        <v/>
      </c>
      <c r="K4974" s="196"/>
      <c r="L4974" s="87"/>
      <c r="M4974" s="245"/>
      <c r="N4974" s="168"/>
    </row>
    <row r="4975" ht="22.5" hidden="1" customHeight="1">
      <c r="A4975" s="137"/>
      <c r="B4975" s="90"/>
      <c r="C4975" s="55"/>
      <c r="D4975" s="193"/>
      <c r="E4975" s="201"/>
      <c r="F4975" s="202"/>
      <c r="G4975" s="194"/>
      <c r="H4975" s="198"/>
      <c r="I4975" s="196"/>
      <c r="J4975" s="179" t="str">
        <f>IF(A4975="RAPPI",(VLOOKUP(TRIM(D4975), CATALOGO!F:G, 2, FALSE) * C4975)+I4975,IFERROR(IF(COUNTIF('RESTAURANTESDESCUENTOS 2026'!A:A,TRIM(A4975))&gt;0,((VLOOKUP(TRIM(D4975), CATALOGO!A:B, 2, FALSE) * C4975)*(1-VALUE(SUBSTITUTE(VLOOKUP(TRIM(A4975),'RESTAURANTESDESCUENTOS 2026'!A:B,2,FALSE),"%",""))/100)+I4975),(VLOOKUP(TRIM(D4975), CATALOGO!A:B, 2, FALSE) * C4975+I4975)),""))</f>
        <v/>
      </c>
      <c r="K4975" s="196"/>
      <c r="L4975" s="87"/>
      <c r="M4975" s="245"/>
      <c r="N4975" s="168"/>
    </row>
    <row r="4976" ht="22.5" hidden="1" customHeight="1">
      <c r="A4976" s="137"/>
      <c r="B4976" s="90"/>
      <c r="C4976" s="55"/>
      <c r="D4976" s="193"/>
      <c r="E4976" s="201"/>
      <c r="F4976" s="202"/>
      <c r="G4976" s="194"/>
      <c r="H4976" s="198"/>
      <c r="I4976" s="196"/>
      <c r="J4976" s="179" t="str">
        <f>IF(A4976="RAPPI",(VLOOKUP(TRIM(D4976), CATALOGO!F:G, 2, FALSE) * C4976)+I4976,IFERROR(IF(COUNTIF('RESTAURANTESDESCUENTOS 2026'!A:A,TRIM(A4976))&gt;0,((VLOOKUP(TRIM(D4976), CATALOGO!A:B, 2, FALSE) * C4976)*(1-VALUE(SUBSTITUTE(VLOOKUP(TRIM(A4976),'RESTAURANTESDESCUENTOS 2026'!A:B,2,FALSE),"%",""))/100)+I4976),(VLOOKUP(TRIM(D4976), CATALOGO!A:B, 2, FALSE) * C4976+I4976)),""))</f>
        <v/>
      </c>
      <c r="K4976" s="196"/>
      <c r="L4976" s="87"/>
      <c r="M4976" s="245"/>
      <c r="N4976" s="168"/>
    </row>
    <row r="4977" ht="22.5" hidden="1" customHeight="1">
      <c r="A4977" s="137"/>
      <c r="B4977" s="90"/>
      <c r="C4977" s="55"/>
      <c r="D4977" s="193"/>
      <c r="E4977" s="201"/>
      <c r="F4977" s="202"/>
      <c r="G4977" s="194"/>
      <c r="H4977" s="198"/>
      <c r="I4977" s="196"/>
      <c r="J4977" s="179" t="str">
        <f>IF(A4977="RAPPI",(VLOOKUP(TRIM(D4977), CATALOGO!F:G, 2, FALSE) * C4977)+I4977,IFERROR(IF(COUNTIF('RESTAURANTESDESCUENTOS 2026'!A:A,TRIM(A4977))&gt;0,((VLOOKUP(TRIM(D4977), CATALOGO!A:B, 2, FALSE) * C4977)*(1-VALUE(SUBSTITUTE(VLOOKUP(TRIM(A4977),'RESTAURANTESDESCUENTOS 2026'!A:B,2,FALSE),"%",""))/100)+I4977),(VLOOKUP(TRIM(D4977), CATALOGO!A:B, 2, FALSE) * C4977+I4977)),""))</f>
        <v/>
      </c>
      <c r="K4977" s="196"/>
      <c r="L4977" s="87"/>
      <c r="M4977" s="245"/>
      <c r="N4977" s="168"/>
    </row>
    <row r="4978" ht="22.5" hidden="1" customHeight="1">
      <c r="A4978" s="137"/>
      <c r="B4978" s="90"/>
      <c r="C4978" s="55"/>
      <c r="D4978" s="193"/>
      <c r="E4978" s="201"/>
      <c r="F4978" s="202"/>
      <c r="G4978" s="194"/>
      <c r="H4978" s="198"/>
      <c r="I4978" s="196"/>
      <c r="J4978" s="179" t="str">
        <f>IF(A4978="RAPPI",(VLOOKUP(TRIM(D4978), CATALOGO!F:G, 2, FALSE) * C4978)+I4978,IFERROR(IF(COUNTIF('RESTAURANTESDESCUENTOS 2026'!A:A,TRIM(A4978))&gt;0,((VLOOKUP(TRIM(D4978), CATALOGO!A:B, 2, FALSE) * C4978)*(1-VALUE(SUBSTITUTE(VLOOKUP(TRIM(A4978),'RESTAURANTESDESCUENTOS 2026'!A:B,2,FALSE),"%",""))/100)+I4978),(VLOOKUP(TRIM(D4978), CATALOGO!A:B, 2, FALSE) * C4978+I4978)),""))</f>
        <v/>
      </c>
      <c r="K4978" s="196"/>
      <c r="L4978" s="87"/>
      <c r="M4978" s="245"/>
      <c r="N4978" s="168"/>
    </row>
    <row r="4979" ht="22.5" hidden="1" customHeight="1">
      <c r="A4979" s="137"/>
      <c r="B4979" s="90"/>
      <c r="C4979" s="55"/>
      <c r="D4979" s="193"/>
      <c r="E4979" s="201"/>
      <c r="F4979" s="202"/>
      <c r="G4979" s="194"/>
      <c r="H4979" s="198"/>
      <c r="I4979" s="196"/>
      <c r="J4979" s="179" t="str">
        <f>IF(A4979="RAPPI",(VLOOKUP(TRIM(D4979), CATALOGO!F:G, 2, FALSE) * C4979)+I4979,IFERROR(IF(COUNTIF('RESTAURANTESDESCUENTOS 2026'!A:A,TRIM(A4979))&gt;0,((VLOOKUP(TRIM(D4979), CATALOGO!A:B, 2, FALSE) * C4979)*(1-VALUE(SUBSTITUTE(VLOOKUP(TRIM(A4979),'RESTAURANTESDESCUENTOS 2026'!A:B,2,FALSE),"%",""))/100)+I4979),(VLOOKUP(TRIM(D4979), CATALOGO!A:B, 2, FALSE) * C4979+I4979)),""))</f>
        <v/>
      </c>
      <c r="K4979" s="196"/>
      <c r="L4979" s="87"/>
      <c r="M4979" s="245"/>
      <c r="N4979" s="168"/>
    </row>
    <row r="4980" ht="22.5" hidden="1" customHeight="1">
      <c r="A4980" s="137"/>
      <c r="B4980" s="90"/>
      <c r="C4980" s="55"/>
      <c r="D4980" s="193"/>
      <c r="E4980" s="201"/>
      <c r="F4980" s="202"/>
      <c r="G4980" s="194"/>
      <c r="H4980" s="198"/>
      <c r="I4980" s="196"/>
      <c r="J4980" s="179" t="str">
        <f>IF(A4980="RAPPI",(VLOOKUP(TRIM(D4980), CATALOGO!F:G, 2, FALSE) * C4980)+I4980,IFERROR(IF(COUNTIF('RESTAURANTESDESCUENTOS 2026'!A:A,TRIM(A4980))&gt;0,((VLOOKUP(TRIM(D4980), CATALOGO!A:B, 2, FALSE) * C4980)*(1-VALUE(SUBSTITUTE(VLOOKUP(TRIM(A4980),'RESTAURANTESDESCUENTOS 2026'!A:B,2,FALSE),"%",""))/100)+I4980),(VLOOKUP(TRIM(D4980), CATALOGO!A:B, 2, FALSE) * C4980+I4980)),""))</f>
        <v/>
      </c>
      <c r="K4980" s="196"/>
      <c r="L4980" s="87"/>
      <c r="M4980" s="245"/>
      <c r="N4980" s="168"/>
    </row>
    <row r="4981" ht="22.5" hidden="1" customHeight="1">
      <c r="A4981" s="137"/>
      <c r="B4981" s="90"/>
      <c r="C4981" s="55"/>
      <c r="D4981" s="193"/>
      <c r="E4981" s="201"/>
      <c r="F4981" s="202"/>
      <c r="G4981" s="194"/>
      <c r="H4981" s="198"/>
      <c r="I4981" s="196"/>
      <c r="J4981" s="179" t="str">
        <f>IF(A4981="RAPPI",(VLOOKUP(TRIM(D4981), CATALOGO!F:G, 2, FALSE) * C4981)+I4981,IFERROR(IF(COUNTIF('RESTAURANTESDESCUENTOS 2026'!A:A,TRIM(A4981))&gt;0,((VLOOKUP(TRIM(D4981), CATALOGO!A:B, 2, FALSE) * C4981)*(1-VALUE(SUBSTITUTE(VLOOKUP(TRIM(A4981),'RESTAURANTESDESCUENTOS 2026'!A:B,2,FALSE),"%",""))/100)+I4981),(VLOOKUP(TRIM(D4981), CATALOGO!A:B, 2, FALSE) * C4981+I4981)),""))</f>
        <v/>
      </c>
      <c r="K4981" s="196"/>
      <c r="L4981" s="87"/>
      <c r="M4981" s="245"/>
      <c r="N4981" s="168"/>
    </row>
    <row r="4982" ht="22.5" hidden="1" customHeight="1">
      <c r="A4982" s="137"/>
      <c r="B4982" s="90"/>
      <c r="C4982" s="55"/>
      <c r="D4982" s="193"/>
      <c r="E4982" s="201"/>
      <c r="F4982" s="202"/>
      <c r="G4982" s="194"/>
      <c r="H4982" s="198"/>
      <c r="I4982" s="196"/>
      <c r="J4982" s="179" t="str">
        <f>IF(A4982="RAPPI",(VLOOKUP(TRIM(D4982), CATALOGO!F:G, 2, FALSE) * C4982)+I4982,IFERROR(IF(COUNTIF('RESTAURANTESDESCUENTOS 2026'!A:A,TRIM(A4982))&gt;0,((VLOOKUP(TRIM(D4982), CATALOGO!A:B, 2, FALSE) * C4982)*(1-VALUE(SUBSTITUTE(VLOOKUP(TRIM(A4982),'RESTAURANTESDESCUENTOS 2026'!A:B,2,FALSE),"%",""))/100)+I4982),(VLOOKUP(TRIM(D4982), CATALOGO!A:B, 2, FALSE) * C4982+I4982)),""))</f>
        <v/>
      </c>
      <c r="K4982" s="196"/>
      <c r="L4982" s="87"/>
      <c r="M4982" s="245"/>
      <c r="N4982" s="168"/>
    </row>
    <row r="4983" ht="22.5" hidden="1" customHeight="1">
      <c r="A4983" s="137"/>
      <c r="B4983" s="90"/>
      <c r="C4983" s="55"/>
      <c r="D4983" s="193"/>
      <c r="E4983" s="201"/>
      <c r="F4983" s="202"/>
      <c r="G4983" s="194"/>
      <c r="H4983" s="198"/>
      <c r="I4983" s="196"/>
      <c r="J4983" s="179" t="str">
        <f>IF(A4983="RAPPI",(VLOOKUP(TRIM(D4983), CATALOGO!F:G, 2, FALSE) * C4983)+I4983,IFERROR(IF(COUNTIF('RESTAURANTESDESCUENTOS 2026'!A:A,TRIM(A4983))&gt;0,((VLOOKUP(TRIM(D4983), CATALOGO!A:B, 2, FALSE) * C4983)*(1-VALUE(SUBSTITUTE(VLOOKUP(TRIM(A4983),'RESTAURANTESDESCUENTOS 2026'!A:B,2,FALSE),"%",""))/100)+I4983),(VLOOKUP(TRIM(D4983), CATALOGO!A:B, 2, FALSE) * C4983+I4983)),""))</f>
        <v/>
      </c>
      <c r="K4983" s="196"/>
      <c r="L4983" s="87"/>
      <c r="M4983" s="245"/>
      <c r="N4983" s="168"/>
    </row>
    <row r="4984" ht="22.5" hidden="1" customHeight="1">
      <c r="A4984" s="137"/>
      <c r="B4984" s="90"/>
      <c r="C4984" s="55"/>
      <c r="D4984" s="193"/>
      <c r="E4984" s="201"/>
      <c r="F4984" s="202"/>
      <c r="G4984" s="194"/>
      <c r="H4984" s="198"/>
      <c r="I4984" s="196"/>
      <c r="J4984" s="179" t="str">
        <f>IF(A4984="RAPPI",(VLOOKUP(TRIM(D4984), CATALOGO!F:G, 2, FALSE) * C4984)+I4984,IFERROR(IF(COUNTIF('RESTAURANTESDESCUENTOS 2026'!A:A,TRIM(A4984))&gt;0,((VLOOKUP(TRIM(D4984), CATALOGO!A:B, 2, FALSE) * C4984)*(1-VALUE(SUBSTITUTE(VLOOKUP(TRIM(A4984),'RESTAURANTESDESCUENTOS 2026'!A:B,2,FALSE),"%",""))/100)+I4984),(VLOOKUP(TRIM(D4984), CATALOGO!A:B, 2, FALSE) * C4984+I4984)),""))</f>
        <v/>
      </c>
      <c r="K4984" s="196"/>
      <c r="L4984" s="87"/>
      <c r="M4984" s="245"/>
      <c r="N4984" s="168"/>
    </row>
    <row r="4985" ht="22.5" hidden="1" customHeight="1">
      <c r="A4985" s="137"/>
      <c r="B4985" s="90"/>
      <c r="C4985" s="55"/>
      <c r="D4985" s="193"/>
      <c r="E4985" s="201"/>
      <c r="F4985" s="202"/>
      <c r="G4985" s="194"/>
      <c r="H4985" s="198"/>
      <c r="I4985" s="196"/>
      <c r="J4985" s="179" t="str">
        <f>IF(A4985="RAPPI",(VLOOKUP(TRIM(D4985), CATALOGO!F:G, 2, FALSE) * C4985)+I4985,IFERROR(IF(COUNTIF('RESTAURANTESDESCUENTOS 2026'!A:A,TRIM(A4985))&gt;0,((VLOOKUP(TRIM(D4985), CATALOGO!A:B, 2, FALSE) * C4985)*(1-VALUE(SUBSTITUTE(VLOOKUP(TRIM(A4985),'RESTAURANTESDESCUENTOS 2026'!A:B,2,FALSE),"%",""))/100)+I4985),(VLOOKUP(TRIM(D4985), CATALOGO!A:B, 2, FALSE) * C4985+I4985)),""))</f>
        <v/>
      </c>
      <c r="K4985" s="196"/>
      <c r="L4985" s="87"/>
      <c r="M4985" s="245"/>
      <c r="N4985" s="168"/>
    </row>
    <row r="4986" ht="22.5" hidden="1" customHeight="1">
      <c r="A4986" s="137"/>
      <c r="B4986" s="90"/>
      <c r="C4986" s="55"/>
      <c r="D4986" s="193"/>
      <c r="E4986" s="201"/>
      <c r="F4986" s="202"/>
      <c r="G4986" s="194"/>
      <c r="H4986" s="198"/>
      <c r="I4986" s="196"/>
      <c r="J4986" s="179" t="str">
        <f>IF(A4986="RAPPI",(VLOOKUP(TRIM(D4986), CATALOGO!F:G, 2, FALSE) * C4986)+I4986,IFERROR(IF(COUNTIF('RESTAURANTESDESCUENTOS 2026'!A:A,TRIM(A4986))&gt;0,((VLOOKUP(TRIM(D4986), CATALOGO!A:B, 2, FALSE) * C4986)*(1-VALUE(SUBSTITUTE(VLOOKUP(TRIM(A4986),'RESTAURANTESDESCUENTOS 2026'!A:B,2,FALSE),"%",""))/100)+I4986),(VLOOKUP(TRIM(D4986), CATALOGO!A:B, 2, FALSE) * C4986+I4986)),""))</f>
        <v/>
      </c>
      <c r="K4986" s="196"/>
      <c r="L4986" s="87"/>
      <c r="M4986" s="245"/>
      <c r="N4986" s="168"/>
    </row>
    <row r="4987" ht="22.5" hidden="1" customHeight="1">
      <c r="A4987" s="137"/>
      <c r="B4987" s="90"/>
      <c r="C4987" s="55"/>
      <c r="D4987" s="193"/>
      <c r="E4987" s="201"/>
      <c r="F4987" s="202"/>
      <c r="G4987" s="194"/>
      <c r="H4987" s="198"/>
      <c r="I4987" s="196"/>
      <c r="J4987" s="179" t="str">
        <f>IF(A4987="RAPPI",(VLOOKUP(TRIM(D4987), CATALOGO!F:G, 2, FALSE) * C4987)+I4987,IFERROR(IF(COUNTIF('RESTAURANTESDESCUENTOS 2026'!A:A,TRIM(A4987))&gt;0,((VLOOKUP(TRIM(D4987), CATALOGO!A:B, 2, FALSE) * C4987)*(1-VALUE(SUBSTITUTE(VLOOKUP(TRIM(A4987),'RESTAURANTESDESCUENTOS 2026'!A:B,2,FALSE),"%",""))/100)+I4987),(VLOOKUP(TRIM(D4987), CATALOGO!A:B, 2, FALSE) * C4987+I4987)),""))</f>
        <v/>
      </c>
      <c r="K4987" s="196"/>
      <c r="L4987" s="87"/>
      <c r="M4987" s="245"/>
      <c r="N4987" s="168"/>
    </row>
    <row r="4988" ht="22.5" hidden="1" customHeight="1">
      <c r="A4988" s="137"/>
      <c r="B4988" s="90"/>
      <c r="C4988" s="55"/>
      <c r="D4988" s="193"/>
      <c r="E4988" s="201"/>
      <c r="F4988" s="202"/>
      <c r="G4988" s="194"/>
      <c r="H4988" s="198"/>
      <c r="I4988" s="196"/>
      <c r="J4988" s="179" t="str">
        <f>IF(A4988="RAPPI",(VLOOKUP(TRIM(D4988), CATALOGO!F:G, 2, FALSE) * C4988)+I4988,IFERROR(IF(COUNTIF('RESTAURANTESDESCUENTOS 2026'!A:A,TRIM(A4988))&gt;0,((VLOOKUP(TRIM(D4988), CATALOGO!A:B, 2, FALSE) * C4988)*(1-VALUE(SUBSTITUTE(VLOOKUP(TRIM(A4988),'RESTAURANTESDESCUENTOS 2026'!A:B,2,FALSE),"%",""))/100)+I4988),(VLOOKUP(TRIM(D4988), CATALOGO!A:B, 2, FALSE) * C4988+I4988)),""))</f>
        <v/>
      </c>
      <c r="K4988" s="196"/>
      <c r="L4988" s="87"/>
      <c r="M4988" s="245"/>
      <c r="N4988" s="168"/>
    </row>
    <row r="4989" ht="22.5" hidden="1" customHeight="1">
      <c r="A4989" s="137"/>
      <c r="B4989" s="90"/>
      <c r="C4989" s="55"/>
      <c r="D4989" s="193"/>
      <c r="E4989" s="201"/>
      <c r="F4989" s="202"/>
      <c r="G4989" s="194"/>
      <c r="H4989" s="198"/>
      <c r="I4989" s="196"/>
      <c r="J4989" s="179" t="str">
        <f>IF(A4989="RAPPI",(VLOOKUP(TRIM(D4989), CATALOGO!F:G, 2, FALSE) * C4989)+I4989,IFERROR(IF(COUNTIF('RESTAURANTESDESCUENTOS 2026'!A:A,TRIM(A4989))&gt;0,((VLOOKUP(TRIM(D4989), CATALOGO!A:B, 2, FALSE) * C4989)*(1-VALUE(SUBSTITUTE(VLOOKUP(TRIM(A4989),'RESTAURANTESDESCUENTOS 2026'!A:B,2,FALSE),"%",""))/100)+I4989),(VLOOKUP(TRIM(D4989), CATALOGO!A:B, 2, FALSE) * C4989+I4989)),""))</f>
        <v/>
      </c>
      <c r="K4989" s="196"/>
      <c r="L4989" s="87"/>
      <c r="M4989" s="245"/>
      <c r="N4989" s="168"/>
    </row>
    <row r="4990" ht="22.5" hidden="1" customHeight="1">
      <c r="A4990" s="137"/>
      <c r="B4990" s="90"/>
      <c r="C4990" s="55"/>
      <c r="D4990" s="193"/>
      <c r="E4990" s="201"/>
      <c r="F4990" s="202"/>
      <c r="G4990" s="194"/>
      <c r="H4990" s="198"/>
      <c r="I4990" s="196"/>
      <c r="J4990" s="179" t="str">
        <f>IF(A4990="RAPPI",(VLOOKUP(TRIM(D4990), CATALOGO!F:G, 2, FALSE) * C4990)+I4990,IFERROR(IF(COUNTIF('RESTAURANTESDESCUENTOS 2026'!A:A,TRIM(A4990))&gt;0,((VLOOKUP(TRIM(D4990), CATALOGO!A:B, 2, FALSE) * C4990)*(1-VALUE(SUBSTITUTE(VLOOKUP(TRIM(A4990),'RESTAURANTESDESCUENTOS 2026'!A:B,2,FALSE),"%",""))/100)+I4990),(VLOOKUP(TRIM(D4990), CATALOGO!A:B, 2, FALSE) * C4990+I4990)),""))</f>
        <v/>
      </c>
      <c r="K4990" s="196"/>
      <c r="L4990" s="87"/>
      <c r="M4990" s="245"/>
      <c r="N4990" s="168"/>
    </row>
    <row r="4991" ht="22.5" hidden="1" customHeight="1">
      <c r="A4991" s="137"/>
      <c r="B4991" s="90"/>
      <c r="C4991" s="55"/>
      <c r="D4991" s="193"/>
      <c r="E4991" s="201"/>
      <c r="F4991" s="202"/>
      <c r="G4991" s="194"/>
      <c r="H4991" s="198"/>
      <c r="I4991" s="196"/>
      <c r="J4991" s="179" t="str">
        <f>IF(A4991="RAPPI",(VLOOKUP(TRIM(D4991), CATALOGO!F:G, 2, FALSE) * C4991)+I4991,IFERROR(IF(COUNTIF('RESTAURANTESDESCUENTOS 2026'!A:A,TRIM(A4991))&gt;0,((VLOOKUP(TRIM(D4991), CATALOGO!A:B, 2, FALSE) * C4991)*(1-VALUE(SUBSTITUTE(VLOOKUP(TRIM(A4991),'RESTAURANTESDESCUENTOS 2026'!A:B,2,FALSE),"%",""))/100)+I4991),(VLOOKUP(TRIM(D4991), CATALOGO!A:B, 2, FALSE) * C4991+I4991)),""))</f>
        <v/>
      </c>
      <c r="K4991" s="196"/>
      <c r="L4991" s="87"/>
      <c r="M4991" s="245"/>
      <c r="N4991" s="168"/>
    </row>
    <row r="4992" ht="22.5" hidden="1" customHeight="1">
      <c r="A4992" s="137"/>
      <c r="B4992" s="90"/>
      <c r="C4992" s="55"/>
      <c r="D4992" s="193"/>
      <c r="E4992" s="201"/>
      <c r="F4992" s="202"/>
      <c r="G4992" s="194"/>
      <c r="H4992" s="198"/>
      <c r="I4992" s="196"/>
      <c r="J4992" s="179" t="str">
        <f>IF(A4992="RAPPI",(VLOOKUP(TRIM(D4992), CATALOGO!F:G, 2, FALSE) * C4992)+I4992,IFERROR(IF(COUNTIF('RESTAURANTESDESCUENTOS 2026'!A:A,TRIM(A4992))&gt;0,((VLOOKUP(TRIM(D4992), CATALOGO!A:B, 2, FALSE) * C4992)*(1-VALUE(SUBSTITUTE(VLOOKUP(TRIM(A4992),'RESTAURANTESDESCUENTOS 2026'!A:B,2,FALSE),"%",""))/100)+I4992),(VLOOKUP(TRIM(D4992), CATALOGO!A:B, 2, FALSE) * C4992+I4992)),""))</f>
        <v/>
      </c>
      <c r="K4992" s="196"/>
      <c r="L4992" s="87"/>
      <c r="M4992" s="245"/>
      <c r="N4992" s="168"/>
    </row>
    <row r="4993" ht="22.5" hidden="1" customHeight="1">
      <c r="A4993" s="137"/>
      <c r="B4993" s="90"/>
      <c r="C4993" s="55"/>
      <c r="D4993" s="193"/>
      <c r="E4993" s="201"/>
      <c r="F4993" s="202"/>
      <c r="G4993" s="194"/>
      <c r="H4993" s="198"/>
      <c r="I4993" s="196"/>
      <c r="J4993" s="179" t="str">
        <f>IF(A4993="RAPPI",(VLOOKUP(TRIM(D4993), CATALOGO!F:G, 2, FALSE) * C4993)+I4993,IFERROR(IF(COUNTIF('RESTAURANTESDESCUENTOS 2026'!A:A,TRIM(A4993))&gt;0,((VLOOKUP(TRIM(D4993), CATALOGO!A:B, 2, FALSE) * C4993)*(1-VALUE(SUBSTITUTE(VLOOKUP(TRIM(A4993),'RESTAURANTESDESCUENTOS 2026'!A:B,2,FALSE),"%",""))/100)+I4993),(VLOOKUP(TRIM(D4993), CATALOGO!A:B, 2, FALSE) * C4993+I4993)),""))</f>
        <v/>
      </c>
      <c r="K4993" s="196"/>
      <c r="L4993" s="87"/>
      <c r="M4993" s="245"/>
      <c r="N4993" s="168"/>
    </row>
    <row r="4994" ht="22.5" hidden="1" customHeight="1">
      <c r="A4994" s="137"/>
      <c r="B4994" s="90"/>
      <c r="C4994" s="55"/>
      <c r="D4994" s="193"/>
      <c r="E4994" s="201"/>
      <c r="F4994" s="202"/>
      <c r="G4994" s="194"/>
      <c r="H4994" s="198"/>
      <c r="I4994" s="196"/>
      <c r="J4994" s="179" t="str">
        <f>IF(A4994="RAPPI",(VLOOKUP(TRIM(D4994), CATALOGO!F:G, 2, FALSE) * C4994)+I4994,IFERROR(IF(COUNTIF('RESTAURANTESDESCUENTOS 2026'!A:A,TRIM(A4994))&gt;0,((VLOOKUP(TRIM(D4994), CATALOGO!A:B, 2, FALSE) * C4994)*(1-VALUE(SUBSTITUTE(VLOOKUP(TRIM(A4994),'RESTAURANTESDESCUENTOS 2026'!A:B,2,FALSE),"%",""))/100)+I4994),(VLOOKUP(TRIM(D4994), CATALOGO!A:B, 2, FALSE) * C4994+I4994)),""))</f>
        <v/>
      </c>
      <c r="K4994" s="196"/>
      <c r="L4994" s="87"/>
      <c r="M4994" s="245"/>
      <c r="N4994" s="168"/>
    </row>
    <row r="4995" ht="22.5" hidden="1" customHeight="1">
      <c r="A4995" s="137"/>
      <c r="B4995" s="90"/>
      <c r="C4995" s="55"/>
      <c r="D4995" s="193"/>
      <c r="E4995" s="201"/>
      <c r="F4995" s="202"/>
      <c r="G4995" s="194"/>
      <c r="H4995" s="198"/>
      <c r="I4995" s="196"/>
      <c r="J4995" s="179" t="str">
        <f>IF(A4995="RAPPI",(VLOOKUP(TRIM(D4995), CATALOGO!F:G, 2, FALSE) * C4995)+I4995,IFERROR(IF(COUNTIF('RESTAURANTESDESCUENTOS 2026'!A:A,TRIM(A4995))&gt;0,((VLOOKUP(TRIM(D4995), CATALOGO!A:B, 2, FALSE) * C4995)*(1-VALUE(SUBSTITUTE(VLOOKUP(TRIM(A4995),'RESTAURANTESDESCUENTOS 2026'!A:B,2,FALSE),"%",""))/100)+I4995),(VLOOKUP(TRIM(D4995), CATALOGO!A:B, 2, FALSE) * C4995+I4995)),""))</f>
        <v/>
      </c>
      <c r="K4995" s="196"/>
      <c r="L4995" s="87"/>
      <c r="M4995" s="245"/>
      <c r="N4995" s="168"/>
    </row>
    <row r="4996" ht="22.5" hidden="1" customHeight="1">
      <c r="A4996" s="137"/>
      <c r="B4996" s="90"/>
      <c r="C4996" s="55"/>
      <c r="D4996" s="193"/>
      <c r="E4996" s="201"/>
      <c r="F4996" s="202"/>
      <c r="G4996" s="194"/>
      <c r="H4996" s="198"/>
      <c r="I4996" s="196"/>
      <c r="J4996" s="179" t="str">
        <f>IF(A4996="RAPPI",(VLOOKUP(TRIM(D4996), CATALOGO!F:G, 2, FALSE) * C4996)+I4996,IFERROR(IF(COUNTIF('RESTAURANTESDESCUENTOS 2026'!A:A,TRIM(A4996))&gt;0,((VLOOKUP(TRIM(D4996), CATALOGO!A:B, 2, FALSE) * C4996)*(1-VALUE(SUBSTITUTE(VLOOKUP(TRIM(A4996),'RESTAURANTESDESCUENTOS 2026'!A:B,2,FALSE),"%",""))/100)+I4996),(VLOOKUP(TRIM(D4996), CATALOGO!A:B, 2, FALSE) * C4996+I4996)),""))</f>
        <v/>
      </c>
      <c r="K4996" s="196"/>
      <c r="L4996" s="87"/>
      <c r="M4996" s="245"/>
      <c r="N4996" s="168"/>
    </row>
    <row r="4997" ht="22.5" hidden="1" customHeight="1">
      <c r="A4997" s="137"/>
      <c r="B4997" s="90"/>
      <c r="C4997" s="55"/>
      <c r="D4997" s="193"/>
      <c r="E4997" s="201"/>
      <c r="F4997" s="202"/>
      <c r="G4997" s="194"/>
      <c r="H4997" s="198"/>
      <c r="I4997" s="196"/>
      <c r="J4997" s="179" t="str">
        <f>IF(A4997="RAPPI",(VLOOKUP(TRIM(D4997), CATALOGO!F:G, 2, FALSE) * C4997)+I4997,IFERROR(IF(COUNTIF('RESTAURANTESDESCUENTOS 2026'!A:A,TRIM(A4997))&gt;0,((VLOOKUP(TRIM(D4997), CATALOGO!A:B, 2, FALSE) * C4997)*(1-VALUE(SUBSTITUTE(VLOOKUP(TRIM(A4997),'RESTAURANTESDESCUENTOS 2026'!A:B,2,FALSE),"%",""))/100)+I4997),(VLOOKUP(TRIM(D4997), CATALOGO!A:B, 2, FALSE) * C4997+I4997)),""))</f>
        <v/>
      </c>
      <c r="K4997" s="196"/>
      <c r="L4997" s="87"/>
      <c r="M4997" s="245"/>
      <c r="N4997" s="168"/>
    </row>
    <row r="4998" ht="22.5" hidden="1" customHeight="1">
      <c r="A4998" s="137"/>
      <c r="B4998" s="90"/>
      <c r="C4998" s="55"/>
      <c r="D4998" s="193"/>
      <c r="E4998" s="201"/>
      <c r="F4998" s="202"/>
      <c r="G4998" s="194"/>
      <c r="H4998" s="198"/>
      <c r="I4998" s="196"/>
      <c r="J4998" s="179" t="str">
        <f>IF(A4998="RAPPI",(VLOOKUP(TRIM(D4998), CATALOGO!F:G, 2, FALSE) * C4998)+I4998,IFERROR(IF(COUNTIF('RESTAURANTESDESCUENTOS 2026'!A:A,TRIM(A4998))&gt;0,((VLOOKUP(TRIM(D4998), CATALOGO!A:B, 2, FALSE) * C4998)*(1-VALUE(SUBSTITUTE(VLOOKUP(TRIM(A4998),'RESTAURANTESDESCUENTOS 2026'!A:B,2,FALSE),"%",""))/100)+I4998),(VLOOKUP(TRIM(D4998), CATALOGO!A:B, 2, FALSE) * C4998+I4998)),""))</f>
        <v/>
      </c>
      <c r="K4998" s="196"/>
      <c r="L4998" s="87"/>
      <c r="M4998" s="245"/>
      <c r="N4998" s="168"/>
    </row>
    <row r="4999" ht="22.5" hidden="1" customHeight="1">
      <c r="A4999" s="137"/>
      <c r="B4999" s="90"/>
      <c r="C4999" s="55"/>
      <c r="D4999" s="193"/>
      <c r="E4999" s="201"/>
      <c r="F4999" s="202"/>
      <c r="G4999" s="194"/>
      <c r="H4999" s="198"/>
      <c r="I4999" s="196"/>
      <c r="J4999" s="179" t="str">
        <f>IF(A4999="RAPPI",(VLOOKUP(TRIM(D4999), CATALOGO!F:G, 2, FALSE) * C4999)+I4999,IFERROR(IF(COUNTIF('RESTAURANTESDESCUENTOS 2026'!A:A,TRIM(A4999))&gt;0,((VLOOKUP(TRIM(D4999), CATALOGO!A:B, 2, FALSE) * C4999)*(1-VALUE(SUBSTITUTE(VLOOKUP(TRIM(A4999),'RESTAURANTESDESCUENTOS 2026'!A:B,2,FALSE),"%",""))/100)+I4999),(VLOOKUP(TRIM(D4999), CATALOGO!A:B, 2, FALSE) * C4999+I4999)),""))</f>
        <v/>
      </c>
      <c r="K4999" s="196"/>
      <c r="L4999" s="87"/>
      <c r="M4999" s="245"/>
      <c r="N4999" s="168"/>
    </row>
    <row r="5000" ht="22.5" hidden="1" customHeight="1">
      <c r="A5000" s="137"/>
      <c r="B5000" s="90"/>
      <c r="C5000" s="55"/>
      <c r="D5000" s="193"/>
      <c r="E5000" s="201"/>
      <c r="F5000" s="202"/>
      <c r="G5000" s="194"/>
      <c r="H5000" s="198"/>
      <c r="I5000" s="196"/>
      <c r="J5000" s="179" t="str">
        <f>IF(A5000="RAPPI",(VLOOKUP(TRIM(D5000), CATALOGO!F:G, 2, FALSE) * C5000)+I5000,IFERROR(IF(COUNTIF('RESTAURANTESDESCUENTOS 2026'!A:A,TRIM(A5000))&gt;0,((VLOOKUP(TRIM(D5000), CATALOGO!A:B, 2, FALSE) * C5000)*(1-VALUE(SUBSTITUTE(VLOOKUP(TRIM(A5000),'RESTAURANTESDESCUENTOS 2026'!A:B,2,FALSE),"%",""))/100)+I5000),(VLOOKUP(TRIM(D5000), CATALOGO!A:B, 2, FALSE) * C5000+I5000)),""))</f>
        <v/>
      </c>
      <c r="K5000" s="196"/>
      <c r="L5000" s="87"/>
      <c r="M5000" s="245"/>
      <c r="N5000" s="168"/>
    </row>
    <row r="5001" ht="22.5" hidden="1" customHeight="1">
      <c r="A5001" s="137"/>
      <c r="B5001" s="90"/>
      <c r="C5001" s="55"/>
      <c r="D5001" s="193"/>
      <c r="E5001" s="201"/>
      <c r="F5001" s="202"/>
      <c r="G5001" s="194"/>
      <c r="H5001" s="198"/>
      <c r="I5001" s="196"/>
      <c r="J5001" s="179" t="str">
        <f>IF(A5001="RAPPI",(VLOOKUP(TRIM(D5001), CATALOGO!F:G, 2, FALSE) * C5001)+I5001,IFERROR(IF(COUNTIF('RESTAURANTESDESCUENTOS 2026'!A:A,TRIM(A5001))&gt;0,((VLOOKUP(TRIM(D5001), CATALOGO!A:B, 2, FALSE) * C5001)*(1-VALUE(SUBSTITUTE(VLOOKUP(TRIM(A5001),'RESTAURANTESDESCUENTOS 2026'!A:B,2,FALSE),"%",""))/100)+I5001),(VLOOKUP(TRIM(D5001), CATALOGO!A:B, 2, FALSE) * C5001+I5001)),""))</f>
        <v/>
      </c>
      <c r="K5001" s="196"/>
      <c r="L5001" s="87"/>
      <c r="M5001" s="245"/>
      <c r="N5001" s="168"/>
    </row>
    <row r="5002" ht="22.5" hidden="1" customHeight="1">
      <c r="A5002" s="137"/>
      <c r="B5002" s="90"/>
      <c r="C5002" s="55"/>
      <c r="D5002" s="193"/>
      <c r="E5002" s="201"/>
      <c r="F5002" s="202"/>
      <c r="G5002" s="194"/>
      <c r="H5002" s="198"/>
      <c r="I5002" s="196"/>
      <c r="J5002" s="179" t="str">
        <f>IF(A5002="RAPPI",(VLOOKUP(TRIM(D5002), CATALOGO!F:G, 2, FALSE) * C5002)+I5002,IFERROR(IF(COUNTIF('RESTAURANTESDESCUENTOS 2026'!A:A,TRIM(A5002))&gt;0,((VLOOKUP(TRIM(D5002), CATALOGO!A:B, 2, FALSE) * C5002)*(1-VALUE(SUBSTITUTE(VLOOKUP(TRIM(A5002),'RESTAURANTESDESCUENTOS 2026'!A:B,2,FALSE),"%",""))/100)+I5002),(VLOOKUP(TRIM(D5002), CATALOGO!A:B, 2, FALSE) * C5002+I5002)),""))</f>
        <v/>
      </c>
      <c r="K5002" s="196"/>
      <c r="L5002" s="87"/>
      <c r="M5002" s="245"/>
      <c r="N5002" s="168"/>
    </row>
    <row r="5003" ht="22.5" hidden="1" customHeight="1">
      <c r="A5003" s="137"/>
      <c r="B5003" s="90"/>
      <c r="C5003" s="55"/>
      <c r="D5003" s="193"/>
      <c r="E5003" s="201"/>
      <c r="F5003" s="202"/>
      <c r="G5003" s="194"/>
      <c r="H5003" s="198"/>
      <c r="I5003" s="196"/>
      <c r="J5003" s="179" t="str">
        <f>IF(A5003="RAPPI",(VLOOKUP(TRIM(D5003), CATALOGO!F:G, 2, FALSE) * C5003)+I5003,IFERROR(IF(COUNTIF('RESTAURANTESDESCUENTOS 2026'!A:A,TRIM(A5003))&gt;0,((VLOOKUP(TRIM(D5003), CATALOGO!A:B, 2, FALSE) * C5003)*(1-VALUE(SUBSTITUTE(VLOOKUP(TRIM(A5003),'RESTAURANTESDESCUENTOS 2026'!A:B,2,FALSE),"%",""))/100)+I5003),(VLOOKUP(TRIM(D5003), CATALOGO!A:B, 2, FALSE) * C5003+I5003)),""))</f>
        <v/>
      </c>
      <c r="K5003" s="196"/>
      <c r="L5003" s="87"/>
      <c r="M5003" s="245"/>
      <c r="N5003" s="168"/>
    </row>
    <row r="5004" ht="22.5" hidden="1" customHeight="1">
      <c r="A5004" s="137"/>
      <c r="B5004" s="90"/>
      <c r="C5004" s="55"/>
      <c r="D5004" s="193"/>
      <c r="E5004" s="201"/>
      <c r="F5004" s="202"/>
      <c r="G5004" s="194"/>
      <c r="H5004" s="198"/>
      <c r="I5004" s="196"/>
      <c r="J5004" s="179" t="str">
        <f>IF(A5004="RAPPI",(VLOOKUP(TRIM(D5004), CATALOGO!F:G, 2, FALSE) * C5004)+I5004,IFERROR(IF(COUNTIF('RESTAURANTESDESCUENTOS 2026'!A:A,TRIM(A5004))&gt;0,((VLOOKUP(TRIM(D5004), CATALOGO!A:B, 2, FALSE) * C5004)*(1-VALUE(SUBSTITUTE(VLOOKUP(TRIM(A5004),'RESTAURANTESDESCUENTOS 2026'!A:B,2,FALSE),"%",""))/100)+I5004),(VLOOKUP(TRIM(D5004), CATALOGO!A:B, 2, FALSE) * C5004+I5004)),""))</f>
        <v/>
      </c>
      <c r="K5004" s="196"/>
      <c r="L5004" s="87"/>
      <c r="M5004" s="245"/>
      <c r="N5004" s="168"/>
    </row>
    <row r="5005" ht="22.5" hidden="1" customHeight="1">
      <c r="A5005" s="137"/>
      <c r="B5005" s="90"/>
      <c r="C5005" s="55"/>
      <c r="D5005" s="193"/>
      <c r="E5005" s="201"/>
      <c r="F5005" s="202"/>
      <c r="G5005" s="194"/>
      <c r="H5005" s="198"/>
      <c r="I5005" s="196"/>
      <c r="J5005" s="179" t="str">
        <f>IF(A5005="RAPPI",(VLOOKUP(TRIM(D5005), CATALOGO!F:G, 2, FALSE) * C5005)+I5005,IFERROR(IF(COUNTIF('RESTAURANTESDESCUENTOS 2026'!A:A,TRIM(A5005))&gt;0,((VLOOKUP(TRIM(D5005), CATALOGO!A:B, 2, FALSE) * C5005)*(1-VALUE(SUBSTITUTE(VLOOKUP(TRIM(A5005),'RESTAURANTESDESCUENTOS 2026'!A:B,2,FALSE),"%",""))/100)+I5005),(VLOOKUP(TRIM(D5005), CATALOGO!A:B, 2, FALSE) * C5005+I5005)),""))</f>
        <v/>
      </c>
      <c r="K5005" s="196"/>
      <c r="L5005" s="87"/>
      <c r="M5005" s="245"/>
      <c r="N5005" s="168"/>
    </row>
    <row r="5006" ht="22.5" hidden="1" customHeight="1">
      <c r="A5006" s="137"/>
      <c r="B5006" s="90"/>
      <c r="C5006" s="55"/>
      <c r="D5006" s="193"/>
      <c r="E5006" s="201"/>
      <c r="F5006" s="202"/>
      <c r="G5006" s="194"/>
      <c r="H5006" s="198"/>
      <c r="I5006" s="196"/>
      <c r="J5006" s="179" t="str">
        <f>IF(A5006="RAPPI",(VLOOKUP(TRIM(D5006), CATALOGO!F:G, 2, FALSE) * C5006)+I5006,IFERROR(IF(COUNTIF('RESTAURANTESDESCUENTOS 2026'!A:A,TRIM(A5006))&gt;0,((VLOOKUP(TRIM(D5006), CATALOGO!A:B, 2, FALSE) * C5006)*(1-VALUE(SUBSTITUTE(VLOOKUP(TRIM(A5006),'RESTAURANTESDESCUENTOS 2026'!A:B,2,FALSE),"%",""))/100)+I5006),(VLOOKUP(TRIM(D5006), CATALOGO!A:B, 2, FALSE) * C5006+I5006)),""))</f>
        <v/>
      </c>
      <c r="K5006" s="196"/>
      <c r="L5006" s="87"/>
      <c r="M5006" s="245"/>
      <c r="N5006" s="168"/>
    </row>
    <row r="5007" ht="22.5" hidden="1" customHeight="1">
      <c r="A5007" s="137"/>
      <c r="B5007" s="90"/>
      <c r="C5007" s="55"/>
      <c r="D5007" s="193"/>
      <c r="E5007" s="201"/>
      <c r="F5007" s="202"/>
      <c r="G5007" s="194"/>
      <c r="H5007" s="198"/>
      <c r="I5007" s="196"/>
      <c r="J5007" s="179" t="str">
        <f>IF(A5007="RAPPI",(VLOOKUP(TRIM(D5007), CATALOGO!F:G, 2, FALSE) * C5007)+I5007,IFERROR(IF(COUNTIF('RESTAURANTESDESCUENTOS 2026'!A:A,TRIM(A5007))&gt;0,((VLOOKUP(TRIM(D5007), CATALOGO!A:B, 2, FALSE) * C5007)*(1-VALUE(SUBSTITUTE(VLOOKUP(TRIM(A5007),'RESTAURANTESDESCUENTOS 2026'!A:B,2,FALSE),"%",""))/100)+I5007),(VLOOKUP(TRIM(D5007), CATALOGO!A:B, 2, FALSE) * C5007+I5007)),""))</f>
        <v/>
      </c>
      <c r="K5007" s="196"/>
      <c r="L5007" s="87"/>
      <c r="M5007" s="245"/>
      <c r="N5007" s="168"/>
    </row>
    <row r="5008" ht="22.5" hidden="1" customHeight="1">
      <c r="A5008" s="137"/>
      <c r="B5008" s="90"/>
      <c r="C5008" s="55"/>
      <c r="D5008" s="193"/>
      <c r="E5008" s="201"/>
      <c r="F5008" s="202"/>
      <c r="G5008" s="194"/>
      <c r="H5008" s="198"/>
      <c r="I5008" s="196"/>
      <c r="J5008" s="179" t="str">
        <f>IF(A5008="RAPPI",(VLOOKUP(TRIM(D5008), CATALOGO!F:G, 2, FALSE) * C5008)+I5008,IFERROR(IF(COUNTIF('RESTAURANTESDESCUENTOS 2026'!A:A,TRIM(A5008))&gt;0,((VLOOKUP(TRIM(D5008), CATALOGO!A:B, 2, FALSE) * C5008)*(1-VALUE(SUBSTITUTE(VLOOKUP(TRIM(A5008),'RESTAURANTESDESCUENTOS 2026'!A:B,2,FALSE),"%",""))/100)+I5008),(VLOOKUP(TRIM(D5008), CATALOGO!A:B, 2, FALSE) * C5008+I5008)),""))</f>
        <v/>
      </c>
      <c r="K5008" s="196"/>
      <c r="L5008" s="87"/>
      <c r="M5008" s="245"/>
      <c r="N5008" s="168"/>
    </row>
    <row r="5009" ht="22.5" hidden="1" customHeight="1">
      <c r="A5009" s="137"/>
      <c r="B5009" s="90"/>
      <c r="C5009" s="55"/>
      <c r="D5009" s="193"/>
      <c r="E5009" s="201"/>
      <c r="F5009" s="202"/>
      <c r="G5009" s="194"/>
      <c r="H5009" s="198"/>
      <c r="I5009" s="196"/>
      <c r="J5009" s="179" t="str">
        <f>IF(A5009="RAPPI",(VLOOKUP(TRIM(D5009), CATALOGO!F:G, 2, FALSE) * C5009)+I5009,IFERROR(IF(COUNTIF('RESTAURANTESDESCUENTOS 2026'!A:A,TRIM(A5009))&gt;0,((VLOOKUP(TRIM(D5009), CATALOGO!A:B, 2, FALSE) * C5009)*(1-VALUE(SUBSTITUTE(VLOOKUP(TRIM(A5009),'RESTAURANTESDESCUENTOS 2026'!A:B,2,FALSE),"%",""))/100)+I5009),(VLOOKUP(TRIM(D5009), CATALOGO!A:B, 2, FALSE) * C5009+I5009)),""))</f>
        <v/>
      </c>
      <c r="K5009" s="196"/>
      <c r="L5009" s="87"/>
      <c r="M5009" s="245"/>
      <c r="N5009" s="168"/>
    </row>
    <row r="5010" ht="22.5" hidden="1" customHeight="1">
      <c r="A5010" s="137"/>
      <c r="B5010" s="90"/>
      <c r="C5010" s="55"/>
      <c r="D5010" s="193"/>
      <c r="E5010" s="201"/>
      <c r="F5010" s="202"/>
      <c r="G5010" s="194"/>
      <c r="H5010" s="198"/>
      <c r="I5010" s="196"/>
      <c r="J5010" s="179" t="str">
        <f>IF(A5010="RAPPI",(VLOOKUP(TRIM(D5010), CATALOGO!F:G, 2, FALSE) * C5010)+I5010,IFERROR(IF(COUNTIF('RESTAURANTESDESCUENTOS 2026'!A:A,TRIM(A5010))&gt;0,((VLOOKUP(TRIM(D5010), CATALOGO!A:B, 2, FALSE) * C5010)*(1-VALUE(SUBSTITUTE(VLOOKUP(TRIM(A5010),'RESTAURANTESDESCUENTOS 2026'!A:B,2,FALSE),"%",""))/100)+I5010),(VLOOKUP(TRIM(D5010), CATALOGO!A:B, 2, FALSE) * C5010+I5010)),""))</f>
        <v/>
      </c>
      <c r="K5010" s="196"/>
      <c r="L5010" s="87"/>
      <c r="M5010" s="245"/>
      <c r="N5010" s="168"/>
    </row>
    <row r="5011" ht="22.5" hidden="1" customHeight="1">
      <c r="A5011" s="137"/>
      <c r="B5011" s="90"/>
      <c r="C5011" s="55"/>
      <c r="D5011" s="193"/>
      <c r="E5011" s="201"/>
      <c r="F5011" s="202"/>
      <c r="G5011" s="194"/>
      <c r="H5011" s="198"/>
      <c r="I5011" s="196"/>
      <c r="J5011" s="179" t="str">
        <f>IF(A5011="RAPPI",(VLOOKUP(TRIM(D5011), CATALOGO!F:G, 2, FALSE) * C5011)+I5011,IFERROR(IF(COUNTIF('RESTAURANTESDESCUENTOS 2026'!A:A,TRIM(A5011))&gt;0,((VLOOKUP(TRIM(D5011), CATALOGO!A:B, 2, FALSE) * C5011)*(1-VALUE(SUBSTITUTE(VLOOKUP(TRIM(A5011),'RESTAURANTESDESCUENTOS 2026'!A:B,2,FALSE),"%",""))/100)+I5011),(VLOOKUP(TRIM(D5011), CATALOGO!A:B, 2, FALSE) * C5011+I5011)),""))</f>
        <v/>
      </c>
      <c r="K5011" s="196"/>
      <c r="L5011" s="87"/>
      <c r="M5011" s="245"/>
      <c r="N5011" s="168"/>
    </row>
    <row r="5012" ht="22.5" hidden="1" customHeight="1">
      <c r="A5012" s="137"/>
      <c r="B5012" s="90"/>
      <c r="C5012" s="55"/>
      <c r="D5012" s="193"/>
      <c r="E5012" s="201"/>
      <c r="F5012" s="202"/>
      <c r="G5012" s="194"/>
      <c r="H5012" s="198"/>
      <c r="I5012" s="196"/>
      <c r="J5012" s="179" t="str">
        <f>IF(A5012="RAPPI",(VLOOKUP(TRIM(D5012), CATALOGO!F:G, 2, FALSE) * C5012)+I5012,IFERROR(IF(COUNTIF('RESTAURANTESDESCUENTOS 2026'!A:A,TRIM(A5012))&gt;0,((VLOOKUP(TRIM(D5012), CATALOGO!A:B, 2, FALSE) * C5012)*(1-VALUE(SUBSTITUTE(VLOOKUP(TRIM(A5012),'RESTAURANTESDESCUENTOS 2026'!A:B,2,FALSE),"%",""))/100)+I5012),(VLOOKUP(TRIM(D5012), CATALOGO!A:B, 2, FALSE) * C5012+I5012)),""))</f>
        <v/>
      </c>
      <c r="K5012" s="196"/>
      <c r="L5012" s="87"/>
      <c r="M5012" s="245"/>
      <c r="N5012" s="168"/>
    </row>
    <row r="5013" ht="22.5" hidden="1" customHeight="1">
      <c r="A5013" s="137"/>
      <c r="B5013" s="90"/>
      <c r="C5013" s="55"/>
      <c r="D5013" s="193"/>
      <c r="E5013" s="201"/>
      <c r="F5013" s="202"/>
      <c r="G5013" s="194"/>
      <c r="H5013" s="198"/>
      <c r="I5013" s="196"/>
      <c r="J5013" s="179" t="str">
        <f>IF(A5013="RAPPI",(VLOOKUP(TRIM(D5013), CATALOGO!F:G, 2, FALSE) * C5013)+I5013,IFERROR(IF(COUNTIF('RESTAURANTESDESCUENTOS 2026'!A:A,TRIM(A5013))&gt;0,((VLOOKUP(TRIM(D5013), CATALOGO!A:B, 2, FALSE) * C5013)*(1-VALUE(SUBSTITUTE(VLOOKUP(TRIM(A5013),'RESTAURANTESDESCUENTOS 2026'!A:B,2,FALSE),"%",""))/100)+I5013),(VLOOKUP(TRIM(D5013), CATALOGO!A:B, 2, FALSE) * C5013+I5013)),""))</f>
        <v/>
      </c>
      <c r="K5013" s="196"/>
      <c r="L5013" s="87"/>
      <c r="M5013" s="245"/>
      <c r="N5013" s="168"/>
    </row>
    <row r="5014" ht="22.5" hidden="1" customHeight="1">
      <c r="A5014" s="137"/>
      <c r="B5014" s="90"/>
      <c r="C5014" s="55"/>
      <c r="D5014" s="193"/>
      <c r="E5014" s="201"/>
      <c r="F5014" s="202"/>
      <c r="G5014" s="194"/>
      <c r="H5014" s="198"/>
      <c r="I5014" s="196"/>
      <c r="J5014" s="179" t="str">
        <f>IF(A5014="RAPPI",(VLOOKUP(TRIM(D5014), CATALOGO!F:G, 2, FALSE) * C5014)+I5014,IFERROR(IF(COUNTIF('RESTAURANTESDESCUENTOS 2026'!A:A,TRIM(A5014))&gt;0,((VLOOKUP(TRIM(D5014), CATALOGO!A:B, 2, FALSE) * C5014)*(1-VALUE(SUBSTITUTE(VLOOKUP(TRIM(A5014),'RESTAURANTESDESCUENTOS 2026'!A:B,2,FALSE),"%",""))/100)+I5014),(VLOOKUP(TRIM(D5014), CATALOGO!A:B, 2, FALSE) * C5014+I5014)),""))</f>
        <v/>
      </c>
      <c r="K5014" s="196"/>
      <c r="L5014" s="87"/>
      <c r="M5014" s="245"/>
      <c r="N5014" s="168"/>
    </row>
    <row r="5015" ht="22.5" hidden="1" customHeight="1">
      <c r="A5015" s="137"/>
      <c r="B5015" s="90"/>
      <c r="C5015" s="55"/>
      <c r="D5015" s="193"/>
      <c r="E5015" s="201"/>
      <c r="F5015" s="202"/>
      <c r="G5015" s="194"/>
      <c r="H5015" s="198"/>
      <c r="I5015" s="196"/>
      <c r="J5015" s="179" t="str">
        <f>IF(A5015="RAPPI",(VLOOKUP(TRIM(D5015), CATALOGO!F:G, 2, FALSE) * C5015)+I5015,IFERROR(IF(COUNTIF('RESTAURANTESDESCUENTOS 2026'!A:A,TRIM(A5015))&gt;0,((VLOOKUP(TRIM(D5015), CATALOGO!A:B, 2, FALSE) * C5015)*(1-VALUE(SUBSTITUTE(VLOOKUP(TRIM(A5015),'RESTAURANTESDESCUENTOS 2026'!A:B,2,FALSE),"%",""))/100)+I5015),(VLOOKUP(TRIM(D5015), CATALOGO!A:B, 2, FALSE) * C5015+I5015)),""))</f>
        <v/>
      </c>
      <c r="K5015" s="196"/>
      <c r="L5015" s="87"/>
      <c r="M5015" s="245"/>
      <c r="N5015" s="168"/>
    </row>
    <row r="5016" ht="22.5" hidden="1" customHeight="1">
      <c r="A5016" s="137"/>
      <c r="B5016" s="90"/>
      <c r="C5016" s="55"/>
      <c r="D5016" s="193"/>
      <c r="E5016" s="201"/>
      <c r="F5016" s="202"/>
      <c r="G5016" s="194"/>
      <c r="H5016" s="198"/>
      <c r="I5016" s="196"/>
      <c r="J5016" s="179" t="str">
        <f>IF(A5016="RAPPI",(VLOOKUP(TRIM(D5016), CATALOGO!F:G, 2, FALSE) * C5016)+I5016,IFERROR(IF(COUNTIF('RESTAURANTESDESCUENTOS 2026'!A:A,TRIM(A5016))&gt;0,((VLOOKUP(TRIM(D5016), CATALOGO!A:B, 2, FALSE) * C5016)*(1-VALUE(SUBSTITUTE(VLOOKUP(TRIM(A5016),'RESTAURANTESDESCUENTOS 2026'!A:B,2,FALSE),"%",""))/100)+I5016),(VLOOKUP(TRIM(D5016), CATALOGO!A:B, 2, FALSE) * C5016+I5016)),""))</f>
        <v/>
      </c>
      <c r="K5016" s="196"/>
      <c r="L5016" s="87"/>
      <c r="M5016" s="245"/>
      <c r="N5016" s="168"/>
    </row>
    <row r="5017" ht="22.5" hidden="1" customHeight="1">
      <c r="A5017" s="137"/>
      <c r="B5017" s="90"/>
      <c r="C5017" s="55"/>
      <c r="D5017" s="193"/>
      <c r="E5017" s="201"/>
      <c r="F5017" s="202"/>
      <c r="G5017" s="194"/>
      <c r="H5017" s="198"/>
      <c r="I5017" s="196"/>
      <c r="J5017" s="179" t="str">
        <f>IF(A5017="RAPPI",(VLOOKUP(TRIM(D5017), CATALOGO!F:G, 2, FALSE) * C5017)+I5017,IFERROR(IF(COUNTIF('RESTAURANTESDESCUENTOS 2026'!A:A,TRIM(A5017))&gt;0,((VLOOKUP(TRIM(D5017), CATALOGO!A:B, 2, FALSE) * C5017)*(1-VALUE(SUBSTITUTE(VLOOKUP(TRIM(A5017),'RESTAURANTESDESCUENTOS 2026'!A:B,2,FALSE),"%",""))/100)+I5017),(VLOOKUP(TRIM(D5017), CATALOGO!A:B, 2, FALSE) * C5017+I5017)),""))</f>
        <v/>
      </c>
      <c r="K5017" s="196"/>
      <c r="L5017" s="87"/>
      <c r="M5017" s="245"/>
      <c r="N5017" s="168"/>
    </row>
    <row r="5018" ht="22.5" hidden="1" customHeight="1">
      <c r="A5018" s="137"/>
      <c r="B5018" s="90"/>
      <c r="C5018" s="55"/>
      <c r="D5018" s="193"/>
      <c r="E5018" s="201"/>
      <c r="F5018" s="202"/>
      <c r="G5018" s="194"/>
      <c r="H5018" s="198"/>
      <c r="I5018" s="196"/>
      <c r="J5018" s="179" t="str">
        <f>IF(A5018="RAPPI",(VLOOKUP(TRIM(D5018), CATALOGO!F:G, 2, FALSE) * C5018)+I5018,IFERROR(IF(COUNTIF('RESTAURANTESDESCUENTOS 2026'!A:A,TRIM(A5018))&gt;0,((VLOOKUP(TRIM(D5018), CATALOGO!A:B, 2, FALSE) * C5018)*(1-VALUE(SUBSTITUTE(VLOOKUP(TRIM(A5018),'RESTAURANTESDESCUENTOS 2026'!A:B,2,FALSE),"%",""))/100)+I5018),(VLOOKUP(TRIM(D5018), CATALOGO!A:B, 2, FALSE) * C5018+I5018)),""))</f>
        <v/>
      </c>
      <c r="K5018" s="196"/>
      <c r="L5018" s="87"/>
      <c r="M5018" s="245"/>
      <c r="N5018" s="168"/>
    </row>
    <row r="5019" ht="22.5" hidden="1" customHeight="1">
      <c r="A5019" s="137"/>
      <c r="B5019" s="90"/>
      <c r="C5019" s="55"/>
      <c r="D5019" s="193"/>
      <c r="E5019" s="201"/>
      <c r="F5019" s="202"/>
      <c r="G5019" s="194"/>
      <c r="H5019" s="198"/>
      <c r="I5019" s="196"/>
      <c r="J5019" s="179" t="str">
        <f>IF(A5019="RAPPI",(VLOOKUP(TRIM(D5019), CATALOGO!F:G, 2, FALSE) * C5019)+I5019,IFERROR(IF(COUNTIF('RESTAURANTESDESCUENTOS 2026'!A:A,TRIM(A5019))&gt;0,((VLOOKUP(TRIM(D5019), CATALOGO!A:B, 2, FALSE) * C5019)*(1-VALUE(SUBSTITUTE(VLOOKUP(TRIM(A5019),'RESTAURANTESDESCUENTOS 2026'!A:B,2,FALSE),"%",""))/100)+I5019),(VLOOKUP(TRIM(D5019), CATALOGO!A:B, 2, FALSE) * C5019+I5019)),""))</f>
        <v/>
      </c>
      <c r="K5019" s="196"/>
      <c r="L5019" s="87"/>
      <c r="M5019" s="245"/>
      <c r="N5019" s="168"/>
    </row>
    <row r="5020" ht="22.5" hidden="1" customHeight="1">
      <c r="A5020" s="137"/>
      <c r="B5020" s="90"/>
      <c r="C5020" s="55"/>
      <c r="D5020" s="193"/>
      <c r="E5020" s="201"/>
      <c r="F5020" s="202"/>
      <c r="G5020" s="194"/>
      <c r="H5020" s="198"/>
      <c r="I5020" s="196"/>
      <c r="J5020" s="179" t="str">
        <f>IF(A5020="RAPPI",(VLOOKUP(TRIM(D5020), CATALOGO!F:G, 2, FALSE) * C5020)+I5020,IFERROR(IF(COUNTIF('RESTAURANTESDESCUENTOS 2026'!A:A,TRIM(A5020))&gt;0,((VLOOKUP(TRIM(D5020), CATALOGO!A:B, 2, FALSE) * C5020)*(1-VALUE(SUBSTITUTE(VLOOKUP(TRIM(A5020),'RESTAURANTESDESCUENTOS 2026'!A:B,2,FALSE),"%",""))/100)+I5020),(VLOOKUP(TRIM(D5020), CATALOGO!A:B, 2, FALSE) * C5020+I5020)),""))</f>
        <v/>
      </c>
      <c r="K5020" s="196"/>
      <c r="L5020" s="87"/>
      <c r="M5020" s="245"/>
      <c r="N5020" s="168"/>
    </row>
    <row r="5021" ht="22.5" hidden="1" customHeight="1">
      <c r="A5021" s="137"/>
      <c r="B5021" s="90"/>
      <c r="C5021" s="55"/>
      <c r="D5021" s="193"/>
      <c r="E5021" s="201"/>
      <c r="F5021" s="202"/>
      <c r="G5021" s="194"/>
      <c r="H5021" s="198"/>
      <c r="I5021" s="196"/>
      <c r="J5021" s="179" t="str">
        <f>IF(A5021="RAPPI",(VLOOKUP(TRIM(D5021), CATALOGO!F:G, 2, FALSE) * C5021)+I5021,IFERROR(IF(COUNTIF('RESTAURANTESDESCUENTOS 2026'!A:A,TRIM(A5021))&gt;0,((VLOOKUP(TRIM(D5021), CATALOGO!A:B, 2, FALSE) * C5021)*(1-VALUE(SUBSTITUTE(VLOOKUP(TRIM(A5021),'RESTAURANTESDESCUENTOS 2026'!A:B,2,FALSE),"%",""))/100)+I5021),(VLOOKUP(TRIM(D5021), CATALOGO!A:B, 2, FALSE) * C5021+I5021)),""))</f>
        <v/>
      </c>
      <c r="K5021" s="196"/>
      <c r="L5021" s="87"/>
      <c r="M5021" s="245"/>
      <c r="N5021" s="168"/>
    </row>
    <row r="5022" ht="22.5" hidden="1" customHeight="1">
      <c r="A5022" s="137"/>
      <c r="B5022" s="90"/>
      <c r="C5022" s="55"/>
      <c r="D5022" s="193"/>
      <c r="E5022" s="201"/>
      <c r="F5022" s="202"/>
      <c r="G5022" s="194"/>
      <c r="H5022" s="198"/>
      <c r="I5022" s="196"/>
      <c r="J5022" s="179" t="str">
        <f>IF(A5022="RAPPI",(VLOOKUP(TRIM(D5022), CATALOGO!F:G, 2, FALSE) * C5022)+I5022,IFERROR(IF(COUNTIF('RESTAURANTESDESCUENTOS 2026'!A:A,TRIM(A5022))&gt;0,((VLOOKUP(TRIM(D5022), CATALOGO!A:B, 2, FALSE) * C5022)*(1-VALUE(SUBSTITUTE(VLOOKUP(TRIM(A5022),'RESTAURANTESDESCUENTOS 2026'!A:B,2,FALSE),"%",""))/100)+I5022),(VLOOKUP(TRIM(D5022), CATALOGO!A:B, 2, FALSE) * C5022+I5022)),""))</f>
        <v/>
      </c>
      <c r="K5022" s="196"/>
      <c r="L5022" s="87"/>
      <c r="M5022" s="245"/>
      <c r="N5022" s="168"/>
    </row>
    <row r="5023" ht="22.5" hidden="1" customHeight="1">
      <c r="A5023" s="137"/>
      <c r="B5023" s="90"/>
      <c r="C5023" s="55"/>
      <c r="D5023" s="193"/>
      <c r="E5023" s="201"/>
      <c r="F5023" s="202"/>
      <c r="G5023" s="194"/>
      <c r="H5023" s="198"/>
      <c r="I5023" s="196"/>
      <c r="J5023" s="179" t="str">
        <f>IF(A5023="RAPPI",(VLOOKUP(TRIM(D5023), CATALOGO!F:G, 2, FALSE) * C5023)+I5023,IFERROR(IF(COUNTIF('RESTAURANTESDESCUENTOS 2026'!A:A,TRIM(A5023))&gt;0,((VLOOKUP(TRIM(D5023), CATALOGO!A:B, 2, FALSE) * C5023)*(1-VALUE(SUBSTITUTE(VLOOKUP(TRIM(A5023),'RESTAURANTESDESCUENTOS 2026'!A:B,2,FALSE),"%",""))/100)+I5023),(VLOOKUP(TRIM(D5023), CATALOGO!A:B, 2, FALSE) * C5023+I5023)),""))</f>
        <v/>
      </c>
      <c r="K5023" s="196"/>
      <c r="L5023" s="87"/>
      <c r="M5023" s="245"/>
      <c r="N5023" s="168"/>
    </row>
    <row r="5024" ht="22.5" hidden="1" customHeight="1">
      <c r="A5024" s="137"/>
      <c r="B5024" s="90"/>
      <c r="C5024" s="55"/>
      <c r="D5024" s="193"/>
      <c r="E5024" s="201"/>
      <c r="F5024" s="202"/>
      <c r="G5024" s="194"/>
      <c r="H5024" s="198"/>
      <c r="I5024" s="196"/>
      <c r="J5024" s="179" t="str">
        <f>IF(A5024="RAPPI",(VLOOKUP(TRIM(D5024), CATALOGO!F:G, 2, FALSE) * C5024)+I5024,IFERROR(IF(COUNTIF('RESTAURANTESDESCUENTOS 2026'!A:A,TRIM(A5024))&gt;0,((VLOOKUP(TRIM(D5024), CATALOGO!A:B, 2, FALSE) * C5024)*(1-VALUE(SUBSTITUTE(VLOOKUP(TRIM(A5024),'RESTAURANTESDESCUENTOS 2026'!A:B,2,FALSE),"%",""))/100)+I5024),(VLOOKUP(TRIM(D5024), CATALOGO!A:B, 2, FALSE) * C5024+I5024)),""))</f>
        <v/>
      </c>
      <c r="K5024" s="196"/>
      <c r="L5024" s="87"/>
      <c r="M5024" s="245"/>
      <c r="N5024" s="168"/>
    </row>
    <row r="5025" ht="22.5" hidden="1" customHeight="1">
      <c r="A5025" s="137"/>
      <c r="B5025" s="90"/>
      <c r="C5025" s="55"/>
      <c r="D5025" s="193"/>
      <c r="E5025" s="201"/>
      <c r="F5025" s="202"/>
      <c r="G5025" s="194"/>
      <c r="H5025" s="198"/>
      <c r="I5025" s="196"/>
      <c r="J5025" s="179" t="str">
        <f>IF(A5025="RAPPI",(VLOOKUP(TRIM(D5025), CATALOGO!F:G, 2, FALSE) * C5025)+I5025,IFERROR(IF(COUNTIF('RESTAURANTESDESCUENTOS 2026'!A:A,TRIM(A5025))&gt;0,((VLOOKUP(TRIM(D5025), CATALOGO!A:B, 2, FALSE) * C5025)*(1-VALUE(SUBSTITUTE(VLOOKUP(TRIM(A5025),'RESTAURANTESDESCUENTOS 2026'!A:B,2,FALSE),"%",""))/100)+I5025),(VLOOKUP(TRIM(D5025), CATALOGO!A:B, 2, FALSE) * C5025+I5025)),""))</f>
        <v/>
      </c>
      <c r="K5025" s="196"/>
      <c r="L5025" s="87"/>
      <c r="M5025" s="245"/>
      <c r="N5025" s="168"/>
    </row>
    <row r="5026" ht="22.5" hidden="1" customHeight="1">
      <c r="A5026" s="137"/>
      <c r="B5026" s="90"/>
      <c r="C5026" s="55"/>
      <c r="D5026" s="193"/>
      <c r="E5026" s="201"/>
      <c r="F5026" s="202"/>
      <c r="G5026" s="194"/>
      <c r="H5026" s="198"/>
      <c r="I5026" s="196"/>
      <c r="J5026" s="179" t="str">
        <f>IF(A5026="RAPPI",(VLOOKUP(TRIM(D5026), CATALOGO!F:G, 2, FALSE) * C5026)+I5026,IFERROR(IF(COUNTIF('RESTAURANTESDESCUENTOS 2026'!A:A,TRIM(A5026))&gt;0,((VLOOKUP(TRIM(D5026), CATALOGO!A:B, 2, FALSE) * C5026)*(1-VALUE(SUBSTITUTE(VLOOKUP(TRIM(A5026),'RESTAURANTESDESCUENTOS 2026'!A:B,2,FALSE),"%",""))/100)+I5026),(VLOOKUP(TRIM(D5026), CATALOGO!A:B, 2, FALSE) * C5026+I5026)),""))</f>
        <v/>
      </c>
      <c r="K5026" s="196"/>
      <c r="L5026" s="87"/>
      <c r="M5026" s="245"/>
      <c r="N5026" s="168"/>
    </row>
    <row r="5027" ht="22.5" hidden="1" customHeight="1">
      <c r="A5027" s="137"/>
      <c r="B5027" s="90"/>
      <c r="C5027" s="55"/>
      <c r="D5027" s="193"/>
      <c r="E5027" s="201"/>
      <c r="F5027" s="202"/>
      <c r="G5027" s="194"/>
      <c r="H5027" s="198"/>
      <c r="I5027" s="196"/>
      <c r="J5027" s="179" t="str">
        <f>IF(A5027="RAPPI",(VLOOKUP(TRIM(D5027), CATALOGO!F:G, 2, FALSE) * C5027)+I5027,IFERROR(IF(COUNTIF('RESTAURANTESDESCUENTOS 2026'!A:A,TRIM(A5027))&gt;0,((VLOOKUP(TRIM(D5027), CATALOGO!A:B, 2, FALSE) * C5027)*(1-VALUE(SUBSTITUTE(VLOOKUP(TRIM(A5027),'RESTAURANTESDESCUENTOS 2026'!A:B,2,FALSE),"%",""))/100)+I5027),(VLOOKUP(TRIM(D5027), CATALOGO!A:B, 2, FALSE) * C5027+I5027)),""))</f>
        <v/>
      </c>
      <c r="K5027" s="196"/>
      <c r="L5027" s="87"/>
      <c r="M5027" s="245"/>
      <c r="N5027" s="168"/>
    </row>
    <row r="5028" ht="22.5" hidden="1" customHeight="1">
      <c r="A5028" s="137"/>
      <c r="B5028" s="90"/>
      <c r="C5028" s="55"/>
      <c r="D5028" s="193"/>
      <c r="E5028" s="201"/>
      <c r="F5028" s="202"/>
      <c r="G5028" s="194"/>
      <c r="H5028" s="198"/>
      <c r="I5028" s="196"/>
      <c r="J5028" s="179" t="str">
        <f>IF(A5028="RAPPI",(VLOOKUP(TRIM(D5028), CATALOGO!F:G, 2, FALSE) * C5028)+I5028,IFERROR(IF(COUNTIF('RESTAURANTESDESCUENTOS 2026'!A:A,TRIM(A5028))&gt;0,((VLOOKUP(TRIM(D5028), CATALOGO!A:B, 2, FALSE) * C5028)*(1-VALUE(SUBSTITUTE(VLOOKUP(TRIM(A5028),'RESTAURANTESDESCUENTOS 2026'!A:B,2,FALSE),"%",""))/100)+I5028),(VLOOKUP(TRIM(D5028), CATALOGO!A:B, 2, FALSE) * C5028+I5028)),""))</f>
        <v/>
      </c>
      <c r="K5028" s="196"/>
      <c r="L5028" s="87"/>
      <c r="M5028" s="245"/>
      <c r="N5028" s="168"/>
    </row>
    <row r="5029" ht="22.5" hidden="1" customHeight="1">
      <c r="A5029" s="137"/>
      <c r="B5029" s="90"/>
      <c r="C5029" s="55"/>
      <c r="D5029" s="193"/>
      <c r="E5029" s="201"/>
      <c r="F5029" s="202"/>
      <c r="G5029" s="194"/>
      <c r="H5029" s="198"/>
      <c r="I5029" s="196"/>
      <c r="J5029" s="179" t="str">
        <f>IF(A5029="RAPPI",(VLOOKUP(TRIM(D5029), CATALOGO!F:G, 2, FALSE) * C5029)+I5029,IFERROR(IF(COUNTIF('RESTAURANTESDESCUENTOS 2026'!A:A,TRIM(A5029))&gt;0,((VLOOKUP(TRIM(D5029), CATALOGO!A:B, 2, FALSE) * C5029)*(1-VALUE(SUBSTITUTE(VLOOKUP(TRIM(A5029),'RESTAURANTESDESCUENTOS 2026'!A:B,2,FALSE),"%",""))/100)+I5029),(VLOOKUP(TRIM(D5029), CATALOGO!A:B, 2, FALSE) * C5029+I5029)),""))</f>
        <v/>
      </c>
      <c r="K5029" s="196"/>
      <c r="L5029" s="87"/>
      <c r="M5029" s="245"/>
      <c r="N5029" s="168"/>
    </row>
    <row r="5030" ht="22.5" hidden="1" customHeight="1">
      <c r="A5030" s="137"/>
      <c r="B5030" s="90"/>
      <c r="C5030" s="55"/>
      <c r="D5030" s="193"/>
      <c r="E5030" s="201"/>
      <c r="F5030" s="202"/>
      <c r="G5030" s="194"/>
      <c r="H5030" s="198"/>
      <c r="I5030" s="196"/>
      <c r="J5030" s="179" t="str">
        <f>IF(A5030="RAPPI",(VLOOKUP(TRIM(D5030), CATALOGO!F:G, 2, FALSE) * C5030)+I5030,IFERROR(IF(COUNTIF('RESTAURANTESDESCUENTOS 2026'!A:A,TRIM(A5030))&gt;0,((VLOOKUP(TRIM(D5030), CATALOGO!A:B, 2, FALSE) * C5030)*(1-VALUE(SUBSTITUTE(VLOOKUP(TRIM(A5030),'RESTAURANTESDESCUENTOS 2026'!A:B,2,FALSE),"%",""))/100)+I5030),(VLOOKUP(TRIM(D5030), CATALOGO!A:B, 2, FALSE) * C5030+I5030)),""))</f>
        <v/>
      </c>
      <c r="K5030" s="196"/>
      <c r="L5030" s="87"/>
      <c r="M5030" s="245"/>
      <c r="N5030" s="168"/>
    </row>
    <row r="5031" ht="22.5" hidden="1" customHeight="1">
      <c r="A5031" s="137"/>
      <c r="B5031" s="90"/>
      <c r="C5031" s="55"/>
      <c r="D5031" s="193"/>
      <c r="E5031" s="201"/>
      <c r="F5031" s="202"/>
      <c r="G5031" s="194"/>
      <c r="H5031" s="198"/>
      <c r="I5031" s="196"/>
      <c r="J5031" s="179" t="str">
        <f>IF(A5031="RAPPI",(VLOOKUP(TRIM(D5031), CATALOGO!F:G, 2, FALSE) * C5031)+I5031,IFERROR(IF(COUNTIF('RESTAURANTESDESCUENTOS 2026'!A:A,TRIM(A5031))&gt;0,((VLOOKUP(TRIM(D5031), CATALOGO!A:B, 2, FALSE) * C5031)*(1-VALUE(SUBSTITUTE(VLOOKUP(TRIM(A5031),'RESTAURANTESDESCUENTOS 2026'!A:B,2,FALSE),"%",""))/100)+I5031),(VLOOKUP(TRIM(D5031), CATALOGO!A:B, 2, FALSE) * C5031+I5031)),""))</f>
        <v/>
      </c>
      <c r="K5031" s="196"/>
      <c r="L5031" s="87"/>
      <c r="M5031" s="245"/>
      <c r="N5031" s="168"/>
    </row>
    <row r="5032" ht="22.5" hidden="1" customHeight="1">
      <c r="A5032" s="137"/>
      <c r="B5032" s="90"/>
      <c r="C5032" s="55"/>
      <c r="D5032" s="193"/>
      <c r="E5032" s="201"/>
      <c r="F5032" s="202"/>
      <c r="G5032" s="194"/>
      <c r="H5032" s="198"/>
      <c r="I5032" s="196"/>
      <c r="J5032" s="179" t="str">
        <f>IF(A5032="RAPPI",(VLOOKUP(TRIM(D5032), CATALOGO!F:G, 2, FALSE) * C5032)+I5032,IFERROR(IF(COUNTIF('RESTAURANTESDESCUENTOS 2026'!A:A,TRIM(A5032))&gt;0,((VLOOKUP(TRIM(D5032), CATALOGO!A:B, 2, FALSE) * C5032)*(1-VALUE(SUBSTITUTE(VLOOKUP(TRIM(A5032),'RESTAURANTESDESCUENTOS 2026'!A:B,2,FALSE),"%",""))/100)+I5032),(VLOOKUP(TRIM(D5032), CATALOGO!A:B, 2, FALSE) * C5032+I5032)),""))</f>
        <v/>
      </c>
      <c r="K5032" s="196"/>
      <c r="L5032" s="87"/>
      <c r="M5032" s="245"/>
      <c r="N5032" s="168"/>
    </row>
    <row r="5033" ht="22.5" hidden="1" customHeight="1">
      <c r="A5033" s="137"/>
      <c r="B5033" s="90"/>
      <c r="C5033" s="55"/>
      <c r="D5033" s="193"/>
      <c r="E5033" s="201"/>
      <c r="F5033" s="202"/>
      <c r="G5033" s="194"/>
      <c r="H5033" s="198"/>
      <c r="I5033" s="196"/>
      <c r="J5033" s="179" t="str">
        <f>IF(A5033="RAPPI",(VLOOKUP(TRIM(D5033), CATALOGO!F:G, 2, FALSE) * C5033)+I5033,IFERROR(IF(COUNTIF('RESTAURANTESDESCUENTOS 2026'!A:A,TRIM(A5033))&gt;0,((VLOOKUP(TRIM(D5033), CATALOGO!A:B, 2, FALSE) * C5033)*(1-VALUE(SUBSTITUTE(VLOOKUP(TRIM(A5033),'RESTAURANTESDESCUENTOS 2026'!A:B,2,FALSE),"%",""))/100)+I5033),(VLOOKUP(TRIM(D5033), CATALOGO!A:B, 2, FALSE) * C5033+I5033)),""))</f>
        <v/>
      </c>
      <c r="K5033" s="196"/>
      <c r="L5033" s="87"/>
      <c r="M5033" s="245"/>
      <c r="N5033" s="168"/>
    </row>
    <row r="5034" ht="22.5" hidden="1" customHeight="1">
      <c r="A5034" s="137"/>
      <c r="B5034" s="90"/>
      <c r="C5034" s="55"/>
      <c r="D5034" s="193"/>
      <c r="E5034" s="201"/>
      <c r="F5034" s="202"/>
      <c r="G5034" s="194"/>
      <c r="H5034" s="198"/>
      <c r="I5034" s="196"/>
      <c r="J5034" s="179" t="str">
        <f>IF(A5034="RAPPI",(VLOOKUP(TRIM(D5034), CATALOGO!F:G, 2, FALSE) * C5034)+I5034,IFERROR(IF(COUNTIF('RESTAURANTESDESCUENTOS 2026'!A:A,TRIM(A5034))&gt;0,((VLOOKUP(TRIM(D5034), CATALOGO!A:B, 2, FALSE) * C5034)*(1-VALUE(SUBSTITUTE(VLOOKUP(TRIM(A5034),'RESTAURANTESDESCUENTOS 2026'!A:B,2,FALSE),"%",""))/100)+I5034),(VLOOKUP(TRIM(D5034), CATALOGO!A:B, 2, FALSE) * C5034+I5034)),""))</f>
        <v/>
      </c>
      <c r="K5034" s="196"/>
      <c r="L5034" s="87"/>
      <c r="M5034" s="245"/>
      <c r="N5034" s="168"/>
    </row>
    <row r="5035" ht="22.5" hidden="1" customHeight="1">
      <c r="A5035" s="137"/>
      <c r="B5035" s="90"/>
      <c r="C5035" s="55"/>
      <c r="D5035" s="193"/>
      <c r="E5035" s="201"/>
      <c r="F5035" s="202"/>
      <c r="G5035" s="194"/>
      <c r="H5035" s="198"/>
      <c r="I5035" s="196"/>
      <c r="J5035" s="179" t="str">
        <f>IF(A5035="RAPPI",(VLOOKUP(TRIM(D5035), CATALOGO!F:G, 2, FALSE) * C5035)+I5035,IFERROR(IF(COUNTIF('RESTAURANTESDESCUENTOS 2026'!A:A,TRIM(A5035))&gt;0,((VLOOKUP(TRIM(D5035), CATALOGO!A:B, 2, FALSE) * C5035)*(1-VALUE(SUBSTITUTE(VLOOKUP(TRIM(A5035),'RESTAURANTESDESCUENTOS 2026'!A:B,2,FALSE),"%",""))/100)+I5035),(VLOOKUP(TRIM(D5035), CATALOGO!A:B, 2, FALSE) * C5035+I5035)),""))</f>
        <v/>
      </c>
      <c r="K5035" s="196"/>
      <c r="L5035" s="87"/>
      <c r="M5035" s="245"/>
      <c r="N5035" s="168"/>
    </row>
    <row r="5036" ht="22.5" hidden="1" customHeight="1">
      <c r="A5036" s="137"/>
      <c r="B5036" s="90"/>
      <c r="C5036" s="55"/>
      <c r="D5036" s="193"/>
      <c r="E5036" s="201"/>
      <c r="F5036" s="202"/>
      <c r="G5036" s="194"/>
      <c r="H5036" s="198"/>
      <c r="I5036" s="196"/>
      <c r="J5036" s="179" t="str">
        <f>IF(A5036="RAPPI",(VLOOKUP(TRIM(D5036), CATALOGO!F:G, 2, FALSE) * C5036)+I5036,IFERROR(IF(COUNTIF('RESTAURANTESDESCUENTOS 2026'!A:A,TRIM(A5036))&gt;0,((VLOOKUP(TRIM(D5036), CATALOGO!A:B, 2, FALSE) * C5036)*(1-VALUE(SUBSTITUTE(VLOOKUP(TRIM(A5036),'RESTAURANTESDESCUENTOS 2026'!A:B,2,FALSE),"%",""))/100)+I5036),(VLOOKUP(TRIM(D5036), CATALOGO!A:B, 2, FALSE) * C5036+I5036)),""))</f>
        <v/>
      </c>
      <c r="K5036" s="196"/>
      <c r="L5036" s="87"/>
      <c r="M5036" s="245"/>
      <c r="N5036" s="168"/>
    </row>
    <row r="5037" ht="22.5" hidden="1" customHeight="1">
      <c r="A5037" s="137"/>
      <c r="B5037" s="90"/>
      <c r="C5037" s="55"/>
      <c r="D5037" s="193"/>
      <c r="E5037" s="201"/>
      <c r="F5037" s="202"/>
      <c r="G5037" s="194"/>
      <c r="H5037" s="198"/>
      <c r="I5037" s="196"/>
      <c r="J5037" s="179" t="str">
        <f>IF(A5037="RAPPI",(VLOOKUP(TRIM(D5037), CATALOGO!F:G, 2, FALSE) * C5037)+I5037,IFERROR(IF(COUNTIF('RESTAURANTESDESCUENTOS 2026'!A:A,TRIM(A5037))&gt;0,((VLOOKUP(TRIM(D5037), CATALOGO!A:B, 2, FALSE) * C5037)*(1-VALUE(SUBSTITUTE(VLOOKUP(TRIM(A5037),'RESTAURANTESDESCUENTOS 2026'!A:B,2,FALSE),"%",""))/100)+I5037),(VLOOKUP(TRIM(D5037), CATALOGO!A:B, 2, FALSE) * C5037+I5037)),""))</f>
        <v/>
      </c>
      <c r="K5037" s="196"/>
      <c r="L5037" s="87"/>
      <c r="M5037" s="245"/>
      <c r="N5037" s="168"/>
    </row>
    <row r="5038" ht="22.5" hidden="1" customHeight="1">
      <c r="A5038" s="137"/>
      <c r="B5038" s="90"/>
      <c r="C5038" s="55"/>
      <c r="D5038" s="193"/>
      <c r="E5038" s="201"/>
      <c r="F5038" s="202"/>
      <c r="G5038" s="194"/>
      <c r="H5038" s="198"/>
      <c r="I5038" s="196"/>
      <c r="J5038" s="179" t="str">
        <f>IF(A5038="RAPPI",(VLOOKUP(TRIM(D5038), CATALOGO!F:G, 2, FALSE) * C5038)+I5038,IFERROR(IF(COUNTIF('RESTAURANTESDESCUENTOS 2026'!A:A,TRIM(A5038))&gt;0,((VLOOKUP(TRIM(D5038), CATALOGO!A:B, 2, FALSE) * C5038)*(1-VALUE(SUBSTITUTE(VLOOKUP(TRIM(A5038),'RESTAURANTESDESCUENTOS 2026'!A:B,2,FALSE),"%",""))/100)+I5038),(VLOOKUP(TRIM(D5038), CATALOGO!A:B, 2, FALSE) * C5038+I5038)),""))</f>
        <v/>
      </c>
      <c r="K5038" s="196"/>
      <c r="L5038" s="87"/>
      <c r="M5038" s="245"/>
      <c r="N5038" s="168"/>
    </row>
    <row r="5039" ht="22.5" hidden="1" customHeight="1">
      <c r="A5039" s="137"/>
      <c r="B5039" s="90"/>
      <c r="C5039" s="55"/>
      <c r="D5039" s="193"/>
      <c r="E5039" s="201"/>
      <c r="F5039" s="202"/>
      <c r="G5039" s="194"/>
      <c r="H5039" s="198"/>
      <c r="I5039" s="196"/>
      <c r="J5039" s="179" t="str">
        <f>IF(A5039="RAPPI",(VLOOKUP(TRIM(D5039), CATALOGO!F:G, 2, FALSE) * C5039)+I5039,IFERROR(IF(COUNTIF('RESTAURANTESDESCUENTOS 2026'!A:A,TRIM(A5039))&gt;0,((VLOOKUP(TRIM(D5039), CATALOGO!A:B, 2, FALSE) * C5039)*(1-VALUE(SUBSTITUTE(VLOOKUP(TRIM(A5039),'RESTAURANTESDESCUENTOS 2026'!A:B,2,FALSE),"%",""))/100)+I5039),(VLOOKUP(TRIM(D5039), CATALOGO!A:B, 2, FALSE) * C5039+I5039)),""))</f>
        <v/>
      </c>
      <c r="K5039" s="196"/>
      <c r="L5039" s="87"/>
      <c r="M5039" s="245"/>
      <c r="N5039" s="168"/>
    </row>
    <row r="5040" ht="22.5" hidden="1" customHeight="1">
      <c r="A5040" s="137"/>
      <c r="B5040" s="90"/>
      <c r="C5040" s="55"/>
      <c r="D5040" s="193"/>
      <c r="E5040" s="201"/>
      <c r="F5040" s="202"/>
      <c r="G5040" s="194"/>
      <c r="H5040" s="198"/>
      <c r="I5040" s="196"/>
      <c r="J5040" s="179" t="str">
        <f>IF(A5040="RAPPI",(VLOOKUP(TRIM(D5040), CATALOGO!F:G, 2, FALSE) * C5040)+I5040,IFERROR(IF(COUNTIF('RESTAURANTESDESCUENTOS 2026'!A:A,TRIM(A5040))&gt;0,((VLOOKUP(TRIM(D5040), CATALOGO!A:B, 2, FALSE) * C5040)*(1-VALUE(SUBSTITUTE(VLOOKUP(TRIM(A5040),'RESTAURANTESDESCUENTOS 2026'!A:B,2,FALSE),"%",""))/100)+I5040),(VLOOKUP(TRIM(D5040), CATALOGO!A:B, 2, FALSE) * C5040+I5040)),""))</f>
        <v/>
      </c>
      <c r="K5040" s="196"/>
      <c r="L5040" s="87"/>
      <c r="M5040" s="245"/>
      <c r="N5040" s="168"/>
    </row>
    <row r="5041" ht="22.5" hidden="1" customHeight="1">
      <c r="A5041" s="137"/>
      <c r="B5041" s="90"/>
      <c r="C5041" s="55"/>
      <c r="D5041" s="193"/>
      <c r="E5041" s="201"/>
      <c r="F5041" s="202"/>
      <c r="G5041" s="194"/>
      <c r="H5041" s="198"/>
      <c r="I5041" s="196"/>
      <c r="J5041" s="179" t="str">
        <f>IF(A5041="RAPPI",(VLOOKUP(TRIM(D5041), CATALOGO!F:G, 2, FALSE) * C5041)+I5041,IFERROR(IF(COUNTIF('RESTAURANTESDESCUENTOS 2026'!A:A,TRIM(A5041))&gt;0,((VLOOKUP(TRIM(D5041), CATALOGO!A:B, 2, FALSE) * C5041)*(1-VALUE(SUBSTITUTE(VLOOKUP(TRIM(A5041),'RESTAURANTESDESCUENTOS 2026'!A:B,2,FALSE),"%",""))/100)+I5041),(VLOOKUP(TRIM(D5041), CATALOGO!A:B, 2, FALSE) * C5041+I5041)),""))</f>
        <v/>
      </c>
      <c r="K5041" s="196"/>
      <c r="L5041" s="87"/>
      <c r="M5041" s="245"/>
      <c r="N5041" s="168"/>
    </row>
    <row r="5042" ht="22.5" hidden="1" customHeight="1">
      <c r="A5042" s="137"/>
      <c r="B5042" s="90"/>
      <c r="C5042" s="55"/>
      <c r="D5042" s="193"/>
      <c r="E5042" s="201"/>
      <c r="F5042" s="202"/>
      <c r="G5042" s="194"/>
      <c r="H5042" s="198"/>
      <c r="I5042" s="196"/>
      <c r="J5042" s="179" t="str">
        <f>IF(A5042="RAPPI",(VLOOKUP(TRIM(D5042), CATALOGO!F:G, 2, FALSE) * C5042)+I5042,IFERROR(IF(COUNTIF('RESTAURANTESDESCUENTOS 2026'!A:A,TRIM(A5042))&gt;0,((VLOOKUP(TRIM(D5042), CATALOGO!A:B, 2, FALSE) * C5042)*(1-VALUE(SUBSTITUTE(VLOOKUP(TRIM(A5042),'RESTAURANTESDESCUENTOS 2026'!A:B,2,FALSE),"%",""))/100)+I5042),(VLOOKUP(TRIM(D5042), CATALOGO!A:B, 2, FALSE) * C5042+I5042)),""))</f>
        <v/>
      </c>
      <c r="K5042" s="196"/>
      <c r="L5042" s="87"/>
      <c r="M5042" s="245"/>
      <c r="N5042" s="168"/>
    </row>
    <row r="5043" ht="22.5" hidden="1" customHeight="1">
      <c r="A5043" s="137"/>
      <c r="B5043" s="90"/>
      <c r="C5043" s="55"/>
      <c r="D5043" s="193"/>
      <c r="E5043" s="201"/>
      <c r="F5043" s="202"/>
      <c r="G5043" s="194"/>
      <c r="H5043" s="198"/>
      <c r="I5043" s="196"/>
      <c r="J5043" s="179" t="str">
        <f>IF(A5043="RAPPI",(VLOOKUP(TRIM(D5043), CATALOGO!F:G, 2, FALSE) * C5043)+I5043,IFERROR(IF(COUNTIF('RESTAURANTESDESCUENTOS 2026'!A:A,TRIM(A5043))&gt;0,((VLOOKUP(TRIM(D5043), CATALOGO!A:B, 2, FALSE) * C5043)*(1-VALUE(SUBSTITUTE(VLOOKUP(TRIM(A5043),'RESTAURANTESDESCUENTOS 2026'!A:B,2,FALSE),"%",""))/100)+I5043),(VLOOKUP(TRIM(D5043), CATALOGO!A:B, 2, FALSE) * C5043+I5043)),""))</f>
        <v/>
      </c>
      <c r="K5043" s="196"/>
      <c r="L5043" s="87"/>
      <c r="M5043" s="245"/>
      <c r="N5043" s="168"/>
    </row>
    <row r="5044" ht="22.5" hidden="1" customHeight="1">
      <c r="A5044" s="137"/>
      <c r="B5044" s="90"/>
      <c r="C5044" s="55"/>
      <c r="D5044" s="193"/>
      <c r="E5044" s="201"/>
      <c r="F5044" s="202"/>
      <c r="G5044" s="194"/>
      <c r="H5044" s="198"/>
      <c r="I5044" s="196"/>
      <c r="J5044" s="179" t="str">
        <f>IF(A5044="RAPPI",(VLOOKUP(TRIM(D5044), CATALOGO!F:G, 2, FALSE) * C5044)+I5044,IFERROR(IF(COUNTIF('RESTAURANTESDESCUENTOS 2026'!A:A,TRIM(A5044))&gt;0,((VLOOKUP(TRIM(D5044), CATALOGO!A:B, 2, FALSE) * C5044)*(1-VALUE(SUBSTITUTE(VLOOKUP(TRIM(A5044),'RESTAURANTESDESCUENTOS 2026'!A:B,2,FALSE),"%",""))/100)+I5044),(VLOOKUP(TRIM(D5044), CATALOGO!A:B, 2, FALSE) * C5044+I5044)),""))</f>
        <v/>
      </c>
      <c r="K5044" s="196"/>
      <c r="L5044" s="87"/>
      <c r="M5044" s="245"/>
      <c r="N5044" s="168"/>
    </row>
    <row r="5045" ht="22.5" hidden="1" customHeight="1">
      <c r="A5045" s="137"/>
      <c r="B5045" s="90"/>
      <c r="C5045" s="55"/>
      <c r="D5045" s="193"/>
      <c r="E5045" s="201"/>
      <c r="F5045" s="202"/>
      <c r="G5045" s="194"/>
      <c r="H5045" s="198"/>
      <c r="I5045" s="196"/>
      <c r="J5045" s="179" t="str">
        <f>IF(A5045="RAPPI",(VLOOKUP(TRIM(D5045), CATALOGO!F:G, 2, FALSE) * C5045)+I5045,IFERROR(IF(COUNTIF('RESTAURANTESDESCUENTOS 2026'!A:A,TRIM(A5045))&gt;0,((VLOOKUP(TRIM(D5045), CATALOGO!A:B, 2, FALSE) * C5045)*(1-VALUE(SUBSTITUTE(VLOOKUP(TRIM(A5045),'RESTAURANTESDESCUENTOS 2026'!A:B,2,FALSE),"%",""))/100)+I5045),(VLOOKUP(TRIM(D5045), CATALOGO!A:B, 2, FALSE) * C5045+I5045)),""))</f>
        <v/>
      </c>
      <c r="K5045" s="196"/>
      <c r="L5045" s="87"/>
      <c r="M5045" s="245"/>
      <c r="N5045" s="168"/>
    </row>
    <row r="5046" ht="22.5" hidden="1" customHeight="1">
      <c r="A5046" s="137"/>
      <c r="B5046" s="90"/>
      <c r="C5046" s="55"/>
      <c r="D5046" s="193"/>
      <c r="E5046" s="201"/>
      <c r="F5046" s="202"/>
      <c r="G5046" s="194"/>
      <c r="H5046" s="198"/>
      <c r="I5046" s="196"/>
      <c r="J5046" s="179" t="str">
        <f>IF(A5046="RAPPI",(VLOOKUP(TRIM(D5046), CATALOGO!F:G, 2, FALSE) * C5046)+I5046,IFERROR(IF(COUNTIF('RESTAURANTESDESCUENTOS 2026'!A:A,TRIM(A5046))&gt;0,((VLOOKUP(TRIM(D5046), CATALOGO!A:B, 2, FALSE) * C5046)*(1-VALUE(SUBSTITUTE(VLOOKUP(TRIM(A5046),'RESTAURANTESDESCUENTOS 2026'!A:B,2,FALSE),"%",""))/100)+I5046),(VLOOKUP(TRIM(D5046), CATALOGO!A:B, 2, FALSE) * C5046+I5046)),""))</f>
        <v/>
      </c>
      <c r="K5046" s="196"/>
      <c r="L5046" s="87"/>
      <c r="M5046" s="245"/>
      <c r="N5046" s="168"/>
    </row>
    <row r="5047" ht="22.5" hidden="1" customHeight="1">
      <c r="A5047" s="137"/>
      <c r="B5047" s="90"/>
      <c r="C5047" s="55"/>
      <c r="D5047" s="193"/>
      <c r="E5047" s="201"/>
      <c r="F5047" s="202"/>
      <c r="G5047" s="194"/>
      <c r="H5047" s="198"/>
      <c r="I5047" s="196"/>
      <c r="J5047" s="179" t="str">
        <f>IF(A5047="RAPPI",(VLOOKUP(TRIM(D5047), CATALOGO!F:G, 2, FALSE) * C5047)+I5047,IFERROR(IF(COUNTIF('RESTAURANTESDESCUENTOS 2026'!A:A,TRIM(A5047))&gt;0,((VLOOKUP(TRIM(D5047), CATALOGO!A:B, 2, FALSE) * C5047)*(1-VALUE(SUBSTITUTE(VLOOKUP(TRIM(A5047),'RESTAURANTESDESCUENTOS 2026'!A:B,2,FALSE),"%",""))/100)+I5047),(VLOOKUP(TRIM(D5047), CATALOGO!A:B, 2, FALSE) * C5047+I5047)),""))</f>
        <v/>
      </c>
      <c r="K5047" s="196"/>
      <c r="L5047" s="87"/>
      <c r="M5047" s="245"/>
      <c r="N5047" s="168"/>
    </row>
    <row r="5048" ht="22.5" hidden="1" customHeight="1">
      <c r="A5048" s="137"/>
      <c r="B5048" s="90"/>
      <c r="C5048" s="55"/>
      <c r="D5048" s="193"/>
      <c r="E5048" s="201"/>
      <c r="F5048" s="202"/>
      <c r="G5048" s="194"/>
      <c r="H5048" s="198"/>
      <c r="I5048" s="196"/>
      <c r="J5048" s="179" t="str">
        <f>IF(A5048="RAPPI",(VLOOKUP(TRIM(D5048), CATALOGO!F:G, 2, FALSE) * C5048)+I5048,IFERROR(IF(COUNTIF('RESTAURANTESDESCUENTOS 2026'!A:A,TRIM(A5048))&gt;0,((VLOOKUP(TRIM(D5048), CATALOGO!A:B, 2, FALSE) * C5048)*(1-VALUE(SUBSTITUTE(VLOOKUP(TRIM(A5048),'RESTAURANTESDESCUENTOS 2026'!A:B,2,FALSE),"%",""))/100)+I5048),(VLOOKUP(TRIM(D5048), CATALOGO!A:B, 2, FALSE) * C5048+I5048)),""))</f>
        <v/>
      </c>
      <c r="K5048" s="196"/>
      <c r="L5048" s="87"/>
      <c r="M5048" s="245"/>
      <c r="N5048" s="168"/>
    </row>
    <row r="5049" ht="22.5" hidden="1" customHeight="1">
      <c r="A5049" s="137"/>
      <c r="B5049" s="90"/>
      <c r="C5049" s="55"/>
      <c r="D5049" s="193"/>
      <c r="E5049" s="201"/>
      <c r="F5049" s="202"/>
      <c r="G5049" s="194"/>
      <c r="H5049" s="198"/>
      <c r="I5049" s="196"/>
      <c r="J5049" s="179" t="str">
        <f>IF(A5049="RAPPI",(VLOOKUP(TRIM(D5049), CATALOGO!F:G, 2, FALSE) * C5049)+I5049,IFERROR(IF(COUNTIF('RESTAURANTESDESCUENTOS 2026'!A:A,TRIM(A5049))&gt;0,((VLOOKUP(TRIM(D5049), CATALOGO!A:B, 2, FALSE) * C5049)*(1-VALUE(SUBSTITUTE(VLOOKUP(TRIM(A5049),'RESTAURANTESDESCUENTOS 2026'!A:B,2,FALSE),"%",""))/100)+I5049),(VLOOKUP(TRIM(D5049), CATALOGO!A:B, 2, FALSE) * C5049+I5049)),""))</f>
        <v/>
      </c>
      <c r="K5049" s="196"/>
      <c r="L5049" s="87"/>
      <c r="M5049" s="245"/>
      <c r="N5049" s="168"/>
    </row>
    <row r="5050" ht="22.5" hidden="1" customHeight="1">
      <c r="A5050" s="137"/>
      <c r="B5050" s="90"/>
      <c r="C5050" s="55"/>
      <c r="D5050" s="193"/>
      <c r="E5050" s="201"/>
      <c r="F5050" s="202"/>
      <c r="G5050" s="194"/>
      <c r="H5050" s="198"/>
      <c r="I5050" s="196"/>
      <c r="J5050" s="179" t="str">
        <f>IF(A5050="RAPPI",(VLOOKUP(TRIM(D5050), CATALOGO!F:G, 2, FALSE) * C5050)+I5050,IFERROR(IF(COUNTIF('RESTAURANTESDESCUENTOS 2026'!A:A,TRIM(A5050))&gt;0,((VLOOKUP(TRIM(D5050), CATALOGO!A:B, 2, FALSE) * C5050)*(1-VALUE(SUBSTITUTE(VLOOKUP(TRIM(A5050),'RESTAURANTESDESCUENTOS 2026'!A:B,2,FALSE),"%",""))/100)+I5050),(VLOOKUP(TRIM(D5050), CATALOGO!A:B, 2, FALSE) * C5050+I5050)),""))</f>
        <v/>
      </c>
      <c r="K5050" s="196"/>
      <c r="L5050" s="87"/>
      <c r="M5050" s="245"/>
      <c r="N5050" s="168"/>
    </row>
    <row r="5051" ht="22.5" hidden="1" customHeight="1">
      <c r="A5051" s="137"/>
      <c r="B5051" s="90"/>
      <c r="C5051" s="55"/>
      <c r="D5051" s="193"/>
      <c r="E5051" s="201"/>
      <c r="F5051" s="202"/>
      <c r="G5051" s="194"/>
      <c r="H5051" s="198"/>
      <c r="I5051" s="196"/>
      <c r="J5051" s="179" t="str">
        <f>IF(A5051="RAPPI",(VLOOKUP(TRIM(D5051), CATALOGO!F:G, 2, FALSE) * C5051)+I5051,IFERROR(IF(COUNTIF('RESTAURANTESDESCUENTOS 2026'!A:A,TRIM(A5051))&gt;0,((VLOOKUP(TRIM(D5051), CATALOGO!A:B, 2, FALSE) * C5051)*(1-VALUE(SUBSTITUTE(VLOOKUP(TRIM(A5051),'RESTAURANTESDESCUENTOS 2026'!A:B,2,FALSE),"%",""))/100)+I5051),(VLOOKUP(TRIM(D5051), CATALOGO!A:B, 2, FALSE) * C5051+I5051)),""))</f>
        <v/>
      </c>
      <c r="K5051" s="196"/>
      <c r="L5051" s="87"/>
      <c r="M5051" s="245"/>
      <c r="N5051" s="168"/>
    </row>
    <row r="5052" ht="22.5" hidden="1" customHeight="1">
      <c r="A5052" s="137"/>
      <c r="B5052" s="90"/>
      <c r="C5052" s="55"/>
      <c r="D5052" s="193"/>
      <c r="E5052" s="201"/>
      <c r="F5052" s="202"/>
      <c r="G5052" s="194"/>
      <c r="H5052" s="198"/>
      <c r="I5052" s="196"/>
      <c r="J5052" s="179" t="str">
        <f>IF(A5052="RAPPI",(VLOOKUP(TRIM(D5052), CATALOGO!F:G, 2, FALSE) * C5052)+I5052,IFERROR(IF(COUNTIF('RESTAURANTESDESCUENTOS 2026'!A:A,TRIM(A5052))&gt;0,((VLOOKUP(TRIM(D5052), CATALOGO!A:B, 2, FALSE) * C5052)*(1-VALUE(SUBSTITUTE(VLOOKUP(TRIM(A5052),'RESTAURANTESDESCUENTOS 2026'!A:B,2,FALSE),"%",""))/100)+I5052),(VLOOKUP(TRIM(D5052), CATALOGO!A:B, 2, FALSE) * C5052+I5052)),""))</f>
        <v/>
      </c>
      <c r="K5052" s="196"/>
      <c r="L5052" s="87"/>
      <c r="M5052" s="245"/>
      <c r="N5052" s="168"/>
    </row>
    <row r="5053" ht="22.5" hidden="1" customHeight="1">
      <c r="A5053" s="137"/>
      <c r="B5053" s="90"/>
      <c r="C5053" s="55"/>
      <c r="D5053" s="193"/>
      <c r="E5053" s="201"/>
      <c r="F5053" s="202"/>
      <c r="G5053" s="194"/>
      <c r="H5053" s="198"/>
      <c r="I5053" s="196"/>
      <c r="J5053" s="179" t="str">
        <f>IF(A5053="RAPPI",(VLOOKUP(TRIM(D5053), CATALOGO!F:G, 2, FALSE) * C5053)+I5053,IFERROR(IF(COUNTIF('RESTAURANTESDESCUENTOS 2026'!A:A,TRIM(A5053))&gt;0,((VLOOKUP(TRIM(D5053), CATALOGO!A:B, 2, FALSE) * C5053)*(1-VALUE(SUBSTITUTE(VLOOKUP(TRIM(A5053),'RESTAURANTESDESCUENTOS 2026'!A:B,2,FALSE),"%",""))/100)+I5053),(VLOOKUP(TRIM(D5053), CATALOGO!A:B, 2, FALSE) * C5053+I5053)),""))</f>
        <v/>
      </c>
      <c r="K5053" s="196"/>
      <c r="L5053" s="87"/>
      <c r="M5053" s="245"/>
      <c r="N5053" s="168"/>
    </row>
    <row r="5054" ht="22.5" hidden="1" customHeight="1">
      <c r="A5054" s="137"/>
      <c r="B5054" s="90"/>
      <c r="C5054" s="55"/>
      <c r="D5054" s="193"/>
      <c r="E5054" s="201"/>
      <c r="F5054" s="202"/>
      <c r="G5054" s="194"/>
      <c r="H5054" s="198"/>
      <c r="I5054" s="196"/>
      <c r="J5054" s="179" t="str">
        <f>IF(A5054="RAPPI",(VLOOKUP(TRIM(D5054), CATALOGO!F:G, 2, FALSE) * C5054)+I5054,IFERROR(IF(COUNTIF('RESTAURANTESDESCUENTOS 2026'!A:A,TRIM(A5054))&gt;0,((VLOOKUP(TRIM(D5054), CATALOGO!A:B, 2, FALSE) * C5054)*(1-VALUE(SUBSTITUTE(VLOOKUP(TRIM(A5054),'RESTAURANTESDESCUENTOS 2026'!A:B,2,FALSE),"%",""))/100)+I5054),(VLOOKUP(TRIM(D5054), CATALOGO!A:B, 2, FALSE) * C5054+I5054)),""))</f>
        <v/>
      </c>
      <c r="K5054" s="196"/>
      <c r="L5054" s="87"/>
      <c r="M5054" s="245"/>
      <c r="N5054" s="168"/>
    </row>
    <row r="5055" ht="22.5" hidden="1" customHeight="1">
      <c r="A5055" s="137"/>
      <c r="B5055" s="90"/>
      <c r="C5055" s="55"/>
      <c r="D5055" s="193"/>
      <c r="E5055" s="201"/>
      <c r="F5055" s="202"/>
      <c r="G5055" s="194"/>
      <c r="H5055" s="198"/>
      <c r="I5055" s="196"/>
      <c r="J5055" s="179" t="str">
        <f>IF(A5055="RAPPI",(VLOOKUP(TRIM(D5055), CATALOGO!F:G, 2, FALSE) * C5055)+I5055,IFERROR(IF(COUNTIF('RESTAURANTESDESCUENTOS 2026'!A:A,TRIM(A5055))&gt;0,((VLOOKUP(TRIM(D5055), CATALOGO!A:B, 2, FALSE) * C5055)*(1-VALUE(SUBSTITUTE(VLOOKUP(TRIM(A5055),'RESTAURANTESDESCUENTOS 2026'!A:B,2,FALSE),"%",""))/100)+I5055),(VLOOKUP(TRIM(D5055), CATALOGO!A:B, 2, FALSE) * C5055+I5055)),""))</f>
        <v/>
      </c>
      <c r="K5055" s="196"/>
      <c r="L5055" s="87"/>
      <c r="M5055" s="245"/>
      <c r="N5055" s="168"/>
    </row>
    <row r="5056" ht="22.5" hidden="1" customHeight="1">
      <c r="A5056" s="137"/>
      <c r="B5056" s="90"/>
      <c r="C5056" s="55"/>
      <c r="D5056" s="193"/>
      <c r="E5056" s="201"/>
      <c r="F5056" s="202"/>
      <c r="G5056" s="194"/>
      <c r="H5056" s="198"/>
      <c r="I5056" s="196"/>
      <c r="J5056" s="179" t="str">
        <f>IF(A5056="RAPPI",(VLOOKUP(TRIM(D5056), CATALOGO!F:G, 2, FALSE) * C5056)+I5056,IFERROR(IF(COUNTIF('RESTAURANTESDESCUENTOS 2026'!A:A,TRIM(A5056))&gt;0,((VLOOKUP(TRIM(D5056), CATALOGO!A:B, 2, FALSE) * C5056)*(1-VALUE(SUBSTITUTE(VLOOKUP(TRIM(A5056),'RESTAURANTESDESCUENTOS 2026'!A:B,2,FALSE),"%",""))/100)+I5056),(VLOOKUP(TRIM(D5056), CATALOGO!A:B, 2, FALSE) * C5056+I5056)),""))</f>
        <v/>
      </c>
      <c r="K5056" s="196"/>
      <c r="L5056" s="87"/>
      <c r="M5056" s="245"/>
      <c r="N5056" s="168"/>
    </row>
    <row r="5057" ht="22.5" hidden="1" customHeight="1">
      <c r="A5057" s="137"/>
      <c r="B5057" s="90"/>
      <c r="C5057" s="55"/>
      <c r="D5057" s="193"/>
      <c r="E5057" s="201"/>
      <c r="F5057" s="202"/>
      <c r="G5057" s="194"/>
      <c r="H5057" s="198"/>
      <c r="I5057" s="196"/>
      <c r="J5057" s="179" t="str">
        <f>IF(A5057="RAPPI",(VLOOKUP(TRIM(D5057), CATALOGO!F:G, 2, FALSE) * C5057)+I5057,IFERROR(IF(COUNTIF('RESTAURANTESDESCUENTOS 2026'!A:A,TRIM(A5057))&gt;0,((VLOOKUP(TRIM(D5057), CATALOGO!A:B, 2, FALSE) * C5057)*(1-VALUE(SUBSTITUTE(VLOOKUP(TRIM(A5057),'RESTAURANTESDESCUENTOS 2026'!A:B,2,FALSE),"%",""))/100)+I5057),(VLOOKUP(TRIM(D5057), CATALOGO!A:B, 2, FALSE) * C5057+I5057)),""))</f>
        <v/>
      </c>
      <c r="K5057" s="196"/>
      <c r="L5057" s="87"/>
      <c r="M5057" s="245"/>
      <c r="N5057" s="168"/>
    </row>
    <row r="5058" ht="22.5" hidden="1" customHeight="1">
      <c r="A5058" s="137"/>
      <c r="B5058" s="90"/>
      <c r="C5058" s="55"/>
      <c r="D5058" s="193"/>
      <c r="E5058" s="201"/>
      <c r="F5058" s="202"/>
      <c r="G5058" s="194"/>
      <c r="H5058" s="198"/>
      <c r="I5058" s="196"/>
      <c r="J5058" s="179" t="str">
        <f>IF(A5058="RAPPI",(VLOOKUP(TRIM(D5058), CATALOGO!F:G, 2, FALSE) * C5058)+I5058,IFERROR(IF(COUNTIF('RESTAURANTESDESCUENTOS 2026'!A:A,TRIM(A5058))&gt;0,((VLOOKUP(TRIM(D5058), CATALOGO!A:B, 2, FALSE) * C5058)*(1-VALUE(SUBSTITUTE(VLOOKUP(TRIM(A5058),'RESTAURANTESDESCUENTOS 2026'!A:B,2,FALSE),"%",""))/100)+I5058),(VLOOKUP(TRIM(D5058), CATALOGO!A:B, 2, FALSE) * C5058+I5058)),""))</f>
        <v/>
      </c>
      <c r="K5058" s="196"/>
      <c r="L5058" s="87"/>
      <c r="M5058" s="245"/>
      <c r="N5058" s="168"/>
    </row>
    <row r="5059" ht="22.5" hidden="1" customHeight="1">
      <c r="A5059" s="137"/>
      <c r="B5059" s="90"/>
      <c r="C5059" s="55"/>
      <c r="D5059" s="193"/>
      <c r="E5059" s="201"/>
      <c r="F5059" s="202"/>
      <c r="G5059" s="194"/>
      <c r="H5059" s="198"/>
      <c r="I5059" s="196"/>
      <c r="J5059" s="179" t="str">
        <f>IF(A5059="RAPPI",(VLOOKUP(TRIM(D5059), CATALOGO!F:G, 2, FALSE) * C5059)+I5059,IFERROR(IF(COUNTIF('RESTAURANTESDESCUENTOS 2026'!A:A,TRIM(A5059))&gt;0,((VLOOKUP(TRIM(D5059), CATALOGO!A:B, 2, FALSE) * C5059)*(1-VALUE(SUBSTITUTE(VLOOKUP(TRIM(A5059),'RESTAURANTESDESCUENTOS 2026'!A:B,2,FALSE),"%",""))/100)+I5059),(VLOOKUP(TRIM(D5059), CATALOGO!A:B, 2, FALSE) * C5059+I5059)),""))</f>
        <v/>
      </c>
      <c r="K5059" s="196"/>
      <c r="L5059" s="87"/>
      <c r="M5059" s="245"/>
      <c r="N5059" s="168"/>
    </row>
    <row r="5060" ht="22.5" hidden="1" customHeight="1">
      <c r="A5060" s="137"/>
      <c r="B5060" s="90"/>
      <c r="C5060" s="55"/>
      <c r="D5060" s="193"/>
      <c r="E5060" s="201"/>
      <c r="F5060" s="202"/>
      <c r="G5060" s="194"/>
      <c r="H5060" s="198"/>
      <c r="I5060" s="196"/>
      <c r="J5060" s="179" t="str">
        <f>IF(A5060="RAPPI",(VLOOKUP(TRIM(D5060), CATALOGO!F:G, 2, FALSE) * C5060)+I5060,IFERROR(IF(COUNTIF('RESTAURANTESDESCUENTOS 2026'!A:A,TRIM(A5060))&gt;0,((VLOOKUP(TRIM(D5060), CATALOGO!A:B, 2, FALSE) * C5060)*(1-VALUE(SUBSTITUTE(VLOOKUP(TRIM(A5060),'RESTAURANTESDESCUENTOS 2026'!A:B,2,FALSE),"%",""))/100)+I5060),(VLOOKUP(TRIM(D5060), CATALOGO!A:B, 2, FALSE) * C5060+I5060)),""))</f>
        <v/>
      </c>
      <c r="K5060" s="196"/>
      <c r="L5060" s="87"/>
      <c r="M5060" s="245"/>
      <c r="N5060" s="168"/>
    </row>
    <row r="5061" ht="22.5" hidden="1" customHeight="1">
      <c r="A5061" s="137"/>
      <c r="B5061" s="90"/>
      <c r="C5061" s="55"/>
      <c r="D5061" s="193"/>
      <c r="E5061" s="201"/>
      <c r="F5061" s="202"/>
      <c r="G5061" s="194"/>
      <c r="H5061" s="198"/>
      <c r="I5061" s="196"/>
      <c r="J5061" s="179" t="str">
        <f>IF(A5061="RAPPI",(VLOOKUP(TRIM(D5061), CATALOGO!F:G, 2, FALSE) * C5061)+I5061,IFERROR(IF(COUNTIF('RESTAURANTESDESCUENTOS 2026'!A:A,TRIM(A5061))&gt;0,((VLOOKUP(TRIM(D5061), CATALOGO!A:B, 2, FALSE) * C5061)*(1-VALUE(SUBSTITUTE(VLOOKUP(TRIM(A5061),'RESTAURANTESDESCUENTOS 2026'!A:B,2,FALSE),"%",""))/100)+I5061),(VLOOKUP(TRIM(D5061), CATALOGO!A:B, 2, FALSE) * C5061+I5061)),""))</f>
        <v/>
      </c>
      <c r="K5061" s="196"/>
      <c r="L5061" s="87"/>
      <c r="M5061" s="245"/>
      <c r="N5061" s="168"/>
    </row>
    <row r="5062" ht="22.5" hidden="1" customHeight="1">
      <c r="A5062" s="137"/>
      <c r="B5062" s="90"/>
      <c r="C5062" s="55"/>
      <c r="D5062" s="193"/>
      <c r="E5062" s="201"/>
      <c r="F5062" s="202"/>
      <c r="G5062" s="194"/>
      <c r="H5062" s="198"/>
      <c r="I5062" s="196"/>
      <c r="J5062" s="179" t="str">
        <f>IF(A5062="RAPPI",(VLOOKUP(TRIM(D5062), CATALOGO!F:G, 2, FALSE) * C5062)+I5062,IFERROR(IF(COUNTIF('RESTAURANTESDESCUENTOS 2026'!A:A,TRIM(A5062))&gt;0,((VLOOKUP(TRIM(D5062), CATALOGO!A:B, 2, FALSE) * C5062)*(1-VALUE(SUBSTITUTE(VLOOKUP(TRIM(A5062),'RESTAURANTESDESCUENTOS 2026'!A:B,2,FALSE),"%",""))/100)+I5062),(VLOOKUP(TRIM(D5062), CATALOGO!A:B, 2, FALSE) * C5062+I5062)),""))</f>
        <v/>
      </c>
      <c r="K5062" s="196"/>
      <c r="L5062" s="87"/>
      <c r="M5062" s="245"/>
      <c r="N5062" s="168"/>
    </row>
    <row r="5063" ht="22.5" hidden="1" customHeight="1">
      <c r="A5063" s="137"/>
      <c r="B5063" s="90"/>
      <c r="C5063" s="55"/>
      <c r="D5063" s="193"/>
      <c r="E5063" s="201"/>
      <c r="F5063" s="202"/>
      <c r="G5063" s="194"/>
      <c r="H5063" s="198"/>
      <c r="I5063" s="196"/>
      <c r="J5063" s="179" t="str">
        <f>IF(A5063="RAPPI",(VLOOKUP(TRIM(D5063), CATALOGO!F:G, 2, FALSE) * C5063)+I5063,IFERROR(IF(COUNTIF('RESTAURANTESDESCUENTOS 2026'!A:A,TRIM(A5063))&gt;0,((VLOOKUP(TRIM(D5063), CATALOGO!A:B, 2, FALSE) * C5063)*(1-VALUE(SUBSTITUTE(VLOOKUP(TRIM(A5063),'RESTAURANTESDESCUENTOS 2026'!A:B,2,FALSE),"%",""))/100)+I5063),(VLOOKUP(TRIM(D5063), CATALOGO!A:B, 2, FALSE) * C5063+I5063)),""))</f>
        <v/>
      </c>
      <c r="K5063" s="196"/>
      <c r="L5063" s="87"/>
      <c r="M5063" s="245"/>
      <c r="N5063" s="168"/>
    </row>
    <row r="5064" ht="22.5" hidden="1" customHeight="1">
      <c r="A5064" s="137"/>
      <c r="B5064" s="90"/>
      <c r="C5064" s="55"/>
      <c r="D5064" s="193"/>
      <c r="E5064" s="201"/>
      <c r="F5064" s="202"/>
      <c r="G5064" s="194"/>
      <c r="H5064" s="198"/>
      <c r="I5064" s="196"/>
      <c r="J5064" s="179" t="str">
        <f>IF(A5064="RAPPI",(VLOOKUP(TRIM(D5064), CATALOGO!F:G, 2, FALSE) * C5064)+I5064,IFERROR(IF(COUNTIF('RESTAURANTESDESCUENTOS 2026'!A:A,TRIM(A5064))&gt;0,((VLOOKUP(TRIM(D5064), CATALOGO!A:B, 2, FALSE) * C5064)*(1-VALUE(SUBSTITUTE(VLOOKUP(TRIM(A5064),'RESTAURANTESDESCUENTOS 2026'!A:B,2,FALSE),"%",""))/100)+I5064),(VLOOKUP(TRIM(D5064), CATALOGO!A:B, 2, FALSE) * C5064+I5064)),""))</f>
        <v/>
      </c>
      <c r="K5064" s="196"/>
      <c r="L5064" s="87"/>
      <c r="M5064" s="245"/>
      <c r="N5064" s="168"/>
    </row>
    <row r="5065" ht="22.5" hidden="1" customHeight="1">
      <c r="A5065" s="137"/>
      <c r="B5065" s="90"/>
      <c r="C5065" s="55"/>
      <c r="D5065" s="193"/>
      <c r="E5065" s="201"/>
      <c r="F5065" s="202"/>
      <c r="G5065" s="194"/>
      <c r="H5065" s="198"/>
      <c r="I5065" s="196"/>
      <c r="J5065" s="179" t="str">
        <f>IF(A5065="RAPPI",(VLOOKUP(TRIM(D5065), CATALOGO!F:G, 2, FALSE) * C5065)+I5065,IFERROR(IF(COUNTIF('RESTAURANTESDESCUENTOS 2026'!A:A,TRIM(A5065))&gt;0,((VLOOKUP(TRIM(D5065), CATALOGO!A:B, 2, FALSE) * C5065)*(1-VALUE(SUBSTITUTE(VLOOKUP(TRIM(A5065),'RESTAURANTESDESCUENTOS 2026'!A:B,2,FALSE),"%",""))/100)+I5065),(VLOOKUP(TRIM(D5065), CATALOGO!A:B, 2, FALSE) * C5065+I5065)),""))</f>
        <v/>
      </c>
      <c r="K5065" s="196"/>
      <c r="L5065" s="87"/>
      <c r="M5065" s="245"/>
      <c r="N5065" s="168"/>
    </row>
    <row r="5066" ht="22.5" hidden="1" customHeight="1">
      <c r="A5066" s="137"/>
      <c r="B5066" s="90"/>
      <c r="C5066" s="55"/>
      <c r="D5066" s="193"/>
      <c r="E5066" s="201"/>
      <c r="F5066" s="202"/>
      <c r="G5066" s="194"/>
      <c r="H5066" s="198"/>
      <c r="I5066" s="196"/>
      <c r="J5066" s="179" t="str">
        <f>IF(A5066="RAPPI",(VLOOKUP(TRIM(D5066), CATALOGO!F:G, 2, FALSE) * C5066)+I5066,IFERROR(IF(COUNTIF('RESTAURANTESDESCUENTOS 2026'!A:A,TRIM(A5066))&gt;0,((VLOOKUP(TRIM(D5066), CATALOGO!A:B, 2, FALSE) * C5066)*(1-VALUE(SUBSTITUTE(VLOOKUP(TRIM(A5066),'RESTAURANTESDESCUENTOS 2026'!A:B,2,FALSE),"%",""))/100)+I5066),(VLOOKUP(TRIM(D5066), CATALOGO!A:B, 2, FALSE) * C5066+I5066)),""))</f>
        <v/>
      </c>
      <c r="K5066" s="196"/>
      <c r="L5066" s="87"/>
      <c r="M5066" s="245"/>
      <c r="N5066" s="168"/>
    </row>
    <row r="5067" ht="22.5" hidden="1" customHeight="1">
      <c r="A5067" s="137"/>
      <c r="B5067" s="90"/>
      <c r="C5067" s="55"/>
      <c r="D5067" s="193"/>
      <c r="E5067" s="201"/>
      <c r="F5067" s="202"/>
      <c r="G5067" s="194"/>
      <c r="H5067" s="198"/>
      <c r="I5067" s="196"/>
      <c r="J5067" s="179" t="str">
        <f>IF(A5067="RAPPI",(VLOOKUP(TRIM(D5067), CATALOGO!F:G, 2, FALSE) * C5067)+I5067,IFERROR(IF(COUNTIF('RESTAURANTESDESCUENTOS 2026'!A:A,TRIM(A5067))&gt;0,((VLOOKUP(TRIM(D5067), CATALOGO!A:B, 2, FALSE) * C5067)*(1-VALUE(SUBSTITUTE(VLOOKUP(TRIM(A5067),'RESTAURANTESDESCUENTOS 2026'!A:B,2,FALSE),"%",""))/100)+I5067),(VLOOKUP(TRIM(D5067), CATALOGO!A:B, 2, FALSE) * C5067+I5067)),""))</f>
        <v/>
      </c>
      <c r="K5067" s="196"/>
      <c r="L5067" s="87"/>
      <c r="M5067" s="245"/>
      <c r="N5067" s="168"/>
    </row>
    <row r="5068" ht="22.5" hidden="1" customHeight="1">
      <c r="A5068" s="137"/>
      <c r="B5068" s="90"/>
      <c r="C5068" s="55"/>
      <c r="D5068" s="193"/>
      <c r="E5068" s="201"/>
      <c r="F5068" s="202"/>
      <c r="G5068" s="194"/>
      <c r="H5068" s="198"/>
      <c r="I5068" s="196"/>
      <c r="J5068" s="179" t="str">
        <f>IF(A5068="RAPPI",(VLOOKUP(TRIM(D5068), CATALOGO!F:G, 2, FALSE) * C5068)+I5068,IFERROR(IF(COUNTIF('RESTAURANTESDESCUENTOS 2026'!A:A,TRIM(A5068))&gt;0,((VLOOKUP(TRIM(D5068), CATALOGO!A:B, 2, FALSE) * C5068)*(1-VALUE(SUBSTITUTE(VLOOKUP(TRIM(A5068),'RESTAURANTESDESCUENTOS 2026'!A:B,2,FALSE),"%",""))/100)+I5068),(VLOOKUP(TRIM(D5068), CATALOGO!A:B, 2, FALSE) * C5068+I5068)),""))</f>
        <v/>
      </c>
      <c r="K5068" s="196"/>
      <c r="L5068" s="87"/>
      <c r="M5068" s="245"/>
      <c r="N5068" s="168"/>
    </row>
    <row r="5069" ht="22.5" hidden="1" customHeight="1">
      <c r="A5069" s="137"/>
      <c r="B5069" s="90"/>
      <c r="C5069" s="55"/>
      <c r="D5069" s="193"/>
      <c r="E5069" s="201"/>
      <c r="F5069" s="202"/>
      <c r="G5069" s="194"/>
      <c r="H5069" s="198"/>
      <c r="I5069" s="196"/>
      <c r="J5069" s="179" t="str">
        <f>IF(A5069="RAPPI",(VLOOKUP(TRIM(D5069), CATALOGO!F:G, 2, FALSE) * C5069)+I5069,IFERROR(IF(COUNTIF('RESTAURANTESDESCUENTOS 2026'!A:A,TRIM(A5069))&gt;0,((VLOOKUP(TRIM(D5069), CATALOGO!A:B, 2, FALSE) * C5069)*(1-VALUE(SUBSTITUTE(VLOOKUP(TRIM(A5069),'RESTAURANTESDESCUENTOS 2026'!A:B,2,FALSE),"%",""))/100)+I5069),(VLOOKUP(TRIM(D5069), CATALOGO!A:B, 2, FALSE) * C5069+I5069)),""))</f>
        <v/>
      </c>
      <c r="K5069" s="196"/>
      <c r="L5069" s="87"/>
      <c r="M5069" s="245"/>
      <c r="N5069" s="168"/>
    </row>
    <row r="5070" ht="22.5" hidden="1" customHeight="1">
      <c r="A5070" s="137"/>
      <c r="B5070" s="90"/>
      <c r="C5070" s="55"/>
      <c r="D5070" s="193"/>
      <c r="E5070" s="201"/>
      <c r="F5070" s="202"/>
      <c r="G5070" s="194"/>
      <c r="H5070" s="198"/>
      <c r="I5070" s="196"/>
      <c r="J5070" s="179" t="str">
        <f>IF(A5070="RAPPI",(VLOOKUP(TRIM(D5070), CATALOGO!F:G, 2, FALSE) * C5070)+I5070,IFERROR(IF(COUNTIF('RESTAURANTESDESCUENTOS 2026'!A:A,TRIM(A5070))&gt;0,((VLOOKUP(TRIM(D5070), CATALOGO!A:B, 2, FALSE) * C5070)*(1-VALUE(SUBSTITUTE(VLOOKUP(TRIM(A5070),'RESTAURANTESDESCUENTOS 2026'!A:B,2,FALSE),"%",""))/100)+I5070),(VLOOKUP(TRIM(D5070), CATALOGO!A:B, 2, FALSE) * C5070+I5070)),""))</f>
        <v/>
      </c>
      <c r="K5070" s="196"/>
      <c r="L5070" s="87"/>
      <c r="M5070" s="245"/>
      <c r="N5070" s="168"/>
    </row>
    <row r="5071" ht="22.5" hidden="1" customHeight="1">
      <c r="A5071" s="137"/>
      <c r="B5071" s="90"/>
      <c r="C5071" s="55"/>
      <c r="D5071" s="193"/>
      <c r="E5071" s="201"/>
      <c r="F5071" s="202"/>
      <c r="G5071" s="194"/>
      <c r="H5071" s="198"/>
      <c r="I5071" s="196"/>
      <c r="J5071" s="179" t="str">
        <f>IF(A5071="RAPPI",(VLOOKUP(TRIM(D5071), CATALOGO!F:G, 2, FALSE) * C5071)+I5071,IFERROR(IF(COUNTIF('RESTAURANTESDESCUENTOS 2026'!A:A,TRIM(A5071))&gt;0,((VLOOKUP(TRIM(D5071), CATALOGO!A:B, 2, FALSE) * C5071)*(1-VALUE(SUBSTITUTE(VLOOKUP(TRIM(A5071),'RESTAURANTESDESCUENTOS 2026'!A:B,2,FALSE),"%",""))/100)+I5071),(VLOOKUP(TRIM(D5071), CATALOGO!A:B, 2, FALSE) * C5071+I5071)),""))</f>
        <v/>
      </c>
      <c r="K5071" s="196"/>
      <c r="L5071" s="87"/>
      <c r="M5071" s="245"/>
      <c r="N5071" s="168"/>
    </row>
    <row r="5072" ht="22.5" hidden="1" customHeight="1">
      <c r="A5072" s="137"/>
      <c r="B5072" s="90"/>
      <c r="C5072" s="55"/>
      <c r="D5072" s="193"/>
      <c r="E5072" s="201"/>
      <c r="F5072" s="202"/>
      <c r="G5072" s="194"/>
      <c r="H5072" s="198"/>
      <c r="I5072" s="196"/>
      <c r="J5072" s="179" t="str">
        <f>IF(A5072="RAPPI",(VLOOKUP(TRIM(D5072), CATALOGO!F:G, 2, FALSE) * C5072)+I5072,IFERROR(IF(COUNTIF('RESTAURANTESDESCUENTOS 2026'!A:A,TRIM(A5072))&gt;0,((VLOOKUP(TRIM(D5072), CATALOGO!A:B, 2, FALSE) * C5072)*(1-VALUE(SUBSTITUTE(VLOOKUP(TRIM(A5072),'RESTAURANTESDESCUENTOS 2026'!A:B,2,FALSE),"%",""))/100)+I5072),(VLOOKUP(TRIM(D5072), CATALOGO!A:B, 2, FALSE) * C5072+I5072)),""))</f>
        <v/>
      </c>
      <c r="K5072" s="196"/>
      <c r="L5072" s="87"/>
      <c r="M5072" s="245"/>
      <c r="N5072" s="168"/>
    </row>
    <row r="5073" ht="22.5" hidden="1" customHeight="1">
      <c r="A5073" s="137"/>
      <c r="B5073" s="90"/>
      <c r="C5073" s="55"/>
      <c r="D5073" s="193"/>
      <c r="E5073" s="201"/>
      <c r="F5073" s="202"/>
      <c r="G5073" s="194"/>
      <c r="H5073" s="198"/>
      <c r="I5073" s="196"/>
      <c r="J5073" s="179" t="str">
        <f>IF(A5073="RAPPI",(VLOOKUP(TRIM(D5073), CATALOGO!F:G, 2, FALSE) * C5073)+I5073,IFERROR(IF(COUNTIF('RESTAURANTESDESCUENTOS 2026'!A:A,TRIM(A5073))&gt;0,((VLOOKUP(TRIM(D5073), CATALOGO!A:B, 2, FALSE) * C5073)*(1-VALUE(SUBSTITUTE(VLOOKUP(TRIM(A5073),'RESTAURANTESDESCUENTOS 2026'!A:B,2,FALSE),"%",""))/100)+I5073),(VLOOKUP(TRIM(D5073), CATALOGO!A:B, 2, FALSE) * C5073+I5073)),""))</f>
        <v/>
      </c>
      <c r="K5073" s="196"/>
      <c r="L5073" s="87"/>
      <c r="M5073" s="245"/>
      <c r="N5073" s="168"/>
    </row>
    <row r="5074" ht="22.5" hidden="1" customHeight="1">
      <c r="A5074" s="137"/>
      <c r="B5074" s="90"/>
      <c r="C5074" s="55"/>
      <c r="D5074" s="193"/>
      <c r="E5074" s="201"/>
      <c r="F5074" s="202"/>
      <c r="G5074" s="194"/>
      <c r="H5074" s="198"/>
      <c r="I5074" s="196"/>
      <c r="J5074" s="179" t="str">
        <f>IF(A5074="RAPPI",(VLOOKUP(TRIM(D5074), CATALOGO!F:G, 2, FALSE) * C5074)+I5074,IFERROR(IF(COUNTIF('RESTAURANTESDESCUENTOS 2026'!A:A,TRIM(A5074))&gt;0,((VLOOKUP(TRIM(D5074), CATALOGO!A:B, 2, FALSE) * C5074)*(1-VALUE(SUBSTITUTE(VLOOKUP(TRIM(A5074),'RESTAURANTESDESCUENTOS 2026'!A:B,2,FALSE),"%",""))/100)+I5074),(VLOOKUP(TRIM(D5074), CATALOGO!A:B, 2, FALSE) * C5074+I5074)),""))</f>
        <v/>
      </c>
      <c r="K5074" s="196"/>
      <c r="L5074" s="87"/>
      <c r="M5074" s="245"/>
      <c r="N5074" s="168"/>
    </row>
    <row r="5075" ht="22.5" hidden="1" customHeight="1">
      <c r="A5075" s="137"/>
      <c r="B5075" s="90"/>
      <c r="C5075" s="55"/>
      <c r="D5075" s="193"/>
      <c r="E5075" s="201"/>
      <c r="F5075" s="202"/>
      <c r="G5075" s="194"/>
      <c r="H5075" s="198"/>
      <c r="I5075" s="196"/>
      <c r="J5075" s="179" t="str">
        <f>IF(A5075="RAPPI",(VLOOKUP(TRIM(D5075), CATALOGO!F:G, 2, FALSE) * C5075)+I5075,IFERROR(IF(COUNTIF('RESTAURANTESDESCUENTOS 2026'!A:A,TRIM(A5075))&gt;0,((VLOOKUP(TRIM(D5075), CATALOGO!A:B, 2, FALSE) * C5075)*(1-VALUE(SUBSTITUTE(VLOOKUP(TRIM(A5075),'RESTAURANTESDESCUENTOS 2026'!A:B,2,FALSE),"%",""))/100)+I5075),(VLOOKUP(TRIM(D5075), CATALOGO!A:B, 2, FALSE) * C5075+I5075)),""))</f>
        <v/>
      </c>
      <c r="K5075" s="196"/>
      <c r="L5075" s="87"/>
      <c r="M5075" s="245"/>
      <c r="N5075" s="168"/>
    </row>
    <row r="5076" ht="22.5" hidden="1" customHeight="1">
      <c r="A5076" s="137"/>
      <c r="B5076" s="90"/>
      <c r="C5076" s="55"/>
      <c r="D5076" s="193"/>
      <c r="E5076" s="201"/>
      <c r="F5076" s="202"/>
      <c r="G5076" s="194"/>
      <c r="H5076" s="198"/>
      <c r="I5076" s="196"/>
      <c r="J5076" s="179" t="str">
        <f>IF(A5076="RAPPI",(VLOOKUP(TRIM(D5076), CATALOGO!F:G, 2, FALSE) * C5076)+I5076,IFERROR(IF(COUNTIF('RESTAURANTESDESCUENTOS 2026'!A:A,TRIM(A5076))&gt;0,((VLOOKUP(TRIM(D5076), CATALOGO!A:B, 2, FALSE) * C5076)*(1-VALUE(SUBSTITUTE(VLOOKUP(TRIM(A5076),'RESTAURANTESDESCUENTOS 2026'!A:B,2,FALSE),"%",""))/100)+I5076),(VLOOKUP(TRIM(D5076), CATALOGO!A:B, 2, FALSE) * C5076+I5076)),""))</f>
        <v/>
      </c>
      <c r="K5076" s="196"/>
      <c r="L5076" s="87"/>
      <c r="M5076" s="245"/>
      <c r="N5076" s="168"/>
    </row>
    <row r="5077" ht="22.5" hidden="1" customHeight="1">
      <c r="A5077" s="137"/>
      <c r="B5077" s="90"/>
      <c r="C5077" s="55"/>
      <c r="D5077" s="193"/>
      <c r="E5077" s="201"/>
      <c r="F5077" s="202"/>
      <c r="G5077" s="194"/>
      <c r="H5077" s="198"/>
      <c r="I5077" s="196"/>
      <c r="J5077" s="179" t="str">
        <f>IF(A5077="RAPPI",(VLOOKUP(TRIM(D5077), CATALOGO!F:G, 2, FALSE) * C5077)+I5077,IFERROR(IF(COUNTIF('RESTAURANTESDESCUENTOS 2026'!A:A,TRIM(A5077))&gt;0,((VLOOKUP(TRIM(D5077), CATALOGO!A:B, 2, FALSE) * C5077)*(1-VALUE(SUBSTITUTE(VLOOKUP(TRIM(A5077),'RESTAURANTESDESCUENTOS 2026'!A:B,2,FALSE),"%",""))/100)+I5077),(VLOOKUP(TRIM(D5077), CATALOGO!A:B, 2, FALSE) * C5077+I5077)),""))</f>
        <v/>
      </c>
      <c r="K5077" s="196"/>
      <c r="L5077" s="87"/>
      <c r="M5077" s="245"/>
      <c r="N5077" s="168"/>
    </row>
    <row r="5078" ht="22.5" hidden="1" customHeight="1">
      <c r="A5078" s="137"/>
      <c r="B5078" s="90"/>
      <c r="C5078" s="55"/>
      <c r="D5078" s="193"/>
      <c r="E5078" s="201"/>
      <c r="F5078" s="202"/>
      <c r="G5078" s="194"/>
      <c r="H5078" s="198"/>
      <c r="I5078" s="196"/>
      <c r="J5078" s="179" t="str">
        <f>IF(A5078="RAPPI",(VLOOKUP(TRIM(D5078), CATALOGO!F:G, 2, FALSE) * C5078)+I5078,IFERROR(IF(COUNTIF('RESTAURANTESDESCUENTOS 2026'!A:A,TRIM(A5078))&gt;0,((VLOOKUP(TRIM(D5078), CATALOGO!A:B, 2, FALSE) * C5078)*(1-VALUE(SUBSTITUTE(VLOOKUP(TRIM(A5078),'RESTAURANTESDESCUENTOS 2026'!A:B,2,FALSE),"%",""))/100)+I5078),(VLOOKUP(TRIM(D5078), CATALOGO!A:B, 2, FALSE) * C5078+I5078)),""))</f>
        <v/>
      </c>
      <c r="K5078" s="196"/>
      <c r="L5078" s="87"/>
      <c r="M5078" s="245"/>
      <c r="N5078" s="168"/>
    </row>
    <row r="5079" ht="22.5" hidden="1" customHeight="1">
      <c r="A5079" s="137"/>
      <c r="B5079" s="90"/>
      <c r="C5079" s="55"/>
      <c r="D5079" s="193"/>
      <c r="E5079" s="201"/>
      <c r="F5079" s="202"/>
      <c r="G5079" s="194"/>
      <c r="H5079" s="198"/>
      <c r="I5079" s="196"/>
      <c r="J5079" s="179" t="str">
        <f>IF(A5079="RAPPI",(VLOOKUP(TRIM(D5079), CATALOGO!F:G, 2, FALSE) * C5079)+I5079,IFERROR(IF(COUNTIF('RESTAURANTESDESCUENTOS 2026'!A:A,TRIM(A5079))&gt;0,((VLOOKUP(TRIM(D5079), CATALOGO!A:B, 2, FALSE) * C5079)*(1-VALUE(SUBSTITUTE(VLOOKUP(TRIM(A5079),'RESTAURANTESDESCUENTOS 2026'!A:B,2,FALSE),"%",""))/100)+I5079),(VLOOKUP(TRIM(D5079), CATALOGO!A:B, 2, FALSE) * C5079+I5079)),""))</f>
        <v/>
      </c>
      <c r="K5079" s="196"/>
      <c r="L5079" s="87"/>
      <c r="M5079" s="245"/>
      <c r="N5079" s="168"/>
    </row>
    <row r="5080" ht="22.5" hidden="1" customHeight="1">
      <c r="A5080" s="137"/>
      <c r="B5080" s="90"/>
      <c r="C5080" s="55"/>
      <c r="D5080" s="193"/>
      <c r="E5080" s="201"/>
      <c r="F5080" s="202"/>
      <c r="G5080" s="194"/>
      <c r="H5080" s="198"/>
      <c r="I5080" s="196"/>
      <c r="J5080" s="179" t="str">
        <f>IF(A5080="RAPPI",(VLOOKUP(TRIM(D5080), CATALOGO!F:G, 2, FALSE) * C5080)+I5080,IFERROR(IF(COUNTIF('RESTAURANTESDESCUENTOS 2026'!A:A,TRIM(A5080))&gt;0,((VLOOKUP(TRIM(D5080), CATALOGO!A:B, 2, FALSE) * C5080)*(1-VALUE(SUBSTITUTE(VLOOKUP(TRIM(A5080),'RESTAURANTESDESCUENTOS 2026'!A:B,2,FALSE),"%",""))/100)+I5080),(VLOOKUP(TRIM(D5080), CATALOGO!A:B, 2, FALSE) * C5080+I5080)),""))</f>
        <v/>
      </c>
      <c r="K5080" s="196"/>
      <c r="L5080" s="87"/>
      <c r="M5080" s="245"/>
      <c r="N5080" s="168"/>
    </row>
    <row r="5081" ht="22.5" hidden="1" customHeight="1">
      <c r="A5081" s="137"/>
      <c r="B5081" s="90"/>
      <c r="C5081" s="55"/>
      <c r="D5081" s="193"/>
      <c r="E5081" s="201"/>
      <c r="F5081" s="202"/>
      <c r="G5081" s="194"/>
      <c r="H5081" s="198"/>
      <c r="I5081" s="196"/>
      <c r="J5081" s="179" t="str">
        <f>IF(A5081="RAPPI",(VLOOKUP(TRIM(D5081), CATALOGO!F:G, 2, FALSE) * C5081)+I5081,IFERROR(IF(COUNTIF('RESTAURANTESDESCUENTOS 2026'!A:A,TRIM(A5081))&gt;0,((VLOOKUP(TRIM(D5081), CATALOGO!A:B, 2, FALSE) * C5081)*(1-VALUE(SUBSTITUTE(VLOOKUP(TRIM(A5081),'RESTAURANTESDESCUENTOS 2026'!A:B,2,FALSE),"%",""))/100)+I5081),(VLOOKUP(TRIM(D5081), CATALOGO!A:B, 2, FALSE) * C5081+I5081)),""))</f>
        <v/>
      </c>
      <c r="K5081" s="196"/>
      <c r="L5081" s="87"/>
      <c r="M5081" s="245"/>
      <c r="N5081" s="168"/>
    </row>
    <row r="5082" ht="22.5" hidden="1" customHeight="1">
      <c r="A5082" s="137"/>
      <c r="B5082" s="90"/>
      <c r="C5082" s="55"/>
      <c r="D5082" s="193"/>
      <c r="E5082" s="201"/>
      <c r="F5082" s="202"/>
      <c r="G5082" s="194"/>
      <c r="H5082" s="198"/>
      <c r="I5082" s="196"/>
      <c r="J5082" s="179" t="str">
        <f>IF(A5082="RAPPI",(VLOOKUP(TRIM(D5082), CATALOGO!F:G, 2, FALSE) * C5082)+I5082,IFERROR(IF(COUNTIF('RESTAURANTESDESCUENTOS 2026'!A:A,TRIM(A5082))&gt;0,((VLOOKUP(TRIM(D5082), CATALOGO!A:B, 2, FALSE) * C5082)*(1-VALUE(SUBSTITUTE(VLOOKUP(TRIM(A5082),'RESTAURANTESDESCUENTOS 2026'!A:B,2,FALSE),"%",""))/100)+I5082),(VLOOKUP(TRIM(D5082), CATALOGO!A:B, 2, FALSE) * C5082+I5082)),""))</f>
        <v/>
      </c>
      <c r="K5082" s="196"/>
      <c r="L5082" s="87"/>
      <c r="M5082" s="245"/>
      <c r="N5082" s="168"/>
    </row>
    <row r="5083" ht="22.5" hidden="1" customHeight="1">
      <c r="A5083" s="137"/>
      <c r="B5083" s="90"/>
      <c r="C5083" s="55"/>
      <c r="D5083" s="193"/>
      <c r="E5083" s="201"/>
      <c r="F5083" s="202"/>
      <c r="G5083" s="194"/>
      <c r="H5083" s="198"/>
      <c r="I5083" s="196"/>
      <c r="J5083" s="179" t="str">
        <f>IF(A5083="RAPPI",(VLOOKUP(TRIM(D5083), CATALOGO!F:G, 2, FALSE) * C5083)+I5083,IFERROR(IF(COUNTIF('RESTAURANTESDESCUENTOS 2026'!A:A,TRIM(A5083))&gt;0,((VLOOKUP(TRIM(D5083), CATALOGO!A:B, 2, FALSE) * C5083)*(1-VALUE(SUBSTITUTE(VLOOKUP(TRIM(A5083),'RESTAURANTESDESCUENTOS 2026'!A:B,2,FALSE),"%",""))/100)+I5083),(VLOOKUP(TRIM(D5083), CATALOGO!A:B, 2, FALSE) * C5083+I5083)),""))</f>
        <v/>
      </c>
      <c r="K5083" s="196"/>
      <c r="L5083" s="87"/>
      <c r="M5083" s="245"/>
      <c r="N5083" s="168"/>
    </row>
    <row r="5084" ht="22.5" hidden="1" customHeight="1">
      <c r="A5084" s="137"/>
      <c r="B5084" s="90"/>
      <c r="C5084" s="55"/>
      <c r="D5084" s="193"/>
      <c r="E5084" s="201"/>
      <c r="F5084" s="202"/>
      <c r="G5084" s="194"/>
      <c r="H5084" s="198"/>
      <c r="I5084" s="196"/>
      <c r="J5084" s="179" t="str">
        <f>IF(A5084="RAPPI",(VLOOKUP(TRIM(D5084), CATALOGO!F:G, 2, FALSE) * C5084)+I5084,IFERROR(IF(COUNTIF('RESTAURANTESDESCUENTOS 2026'!A:A,TRIM(A5084))&gt;0,((VLOOKUP(TRIM(D5084), CATALOGO!A:B, 2, FALSE) * C5084)*(1-VALUE(SUBSTITUTE(VLOOKUP(TRIM(A5084),'RESTAURANTESDESCUENTOS 2026'!A:B,2,FALSE),"%",""))/100)+I5084),(VLOOKUP(TRIM(D5084), CATALOGO!A:B, 2, FALSE) * C5084+I5084)),""))</f>
        <v/>
      </c>
      <c r="K5084" s="196"/>
      <c r="L5084" s="87"/>
      <c r="M5084" s="245"/>
      <c r="N5084" s="168"/>
    </row>
    <row r="5085" ht="22.5" hidden="1" customHeight="1">
      <c r="A5085" s="137"/>
      <c r="B5085" s="90"/>
      <c r="C5085" s="55"/>
      <c r="D5085" s="193"/>
      <c r="E5085" s="201"/>
      <c r="F5085" s="202"/>
      <c r="G5085" s="194"/>
      <c r="H5085" s="198"/>
      <c r="I5085" s="196"/>
      <c r="J5085" s="179" t="str">
        <f>IF(A5085="RAPPI",(VLOOKUP(TRIM(D5085), CATALOGO!F:G, 2, FALSE) * C5085)+I5085,IFERROR(IF(COUNTIF('RESTAURANTESDESCUENTOS 2026'!A:A,TRIM(A5085))&gt;0,((VLOOKUP(TRIM(D5085), CATALOGO!A:B, 2, FALSE) * C5085)*(1-VALUE(SUBSTITUTE(VLOOKUP(TRIM(A5085),'RESTAURANTESDESCUENTOS 2026'!A:B,2,FALSE),"%",""))/100)+I5085),(VLOOKUP(TRIM(D5085), CATALOGO!A:B, 2, FALSE) * C5085+I5085)),""))</f>
        <v/>
      </c>
      <c r="K5085" s="196"/>
      <c r="L5085" s="87"/>
      <c r="M5085" s="245"/>
      <c r="N5085" s="168"/>
    </row>
    <row r="5086" ht="22.5" hidden="1" customHeight="1">
      <c r="A5086" s="137"/>
      <c r="B5086" s="90"/>
      <c r="C5086" s="55"/>
      <c r="D5086" s="193"/>
      <c r="E5086" s="201"/>
      <c r="F5086" s="202"/>
      <c r="G5086" s="194"/>
      <c r="H5086" s="198"/>
      <c r="I5086" s="196"/>
      <c r="J5086" s="179" t="str">
        <f>IF(A5086="RAPPI",(VLOOKUP(TRIM(D5086), CATALOGO!F:G, 2, FALSE) * C5086)+I5086,IFERROR(IF(COUNTIF('RESTAURANTESDESCUENTOS 2026'!A:A,TRIM(A5086))&gt;0,((VLOOKUP(TRIM(D5086), CATALOGO!A:B, 2, FALSE) * C5086)*(1-VALUE(SUBSTITUTE(VLOOKUP(TRIM(A5086),'RESTAURANTESDESCUENTOS 2026'!A:B,2,FALSE),"%",""))/100)+I5086),(VLOOKUP(TRIM(D5086), CATALOGO!A:B, 2, FALSE) * C5086+I5086)),""))</f>
        <v/>
      </c>
      <c r="K5086" s="196"/>
      <c r="L5086" s="87"/>
      <c r="M5086" s="245"/>
      <c r="N5086" s="168"/>
    </row>
    <row r="5087" ht="22.5" hidden="1" customHeight="1">
      <c r="A5087" s="137"/>
      <c r="B5087" s="90"/>
      <c r="C5087" s="55"/>
      <c r="D5087" s="193"/>
      <c r="E5087" s="201"/>
      <c r="F5087" s="202"/>
      <c r="G5087" s="194"/>
      <c r="H5087" s="198"/>
      <c r="I5087" s="196"/>
      <c r="J5087" s="179" t="str">
        <f>IF(A5087="RAPPI",(VLOOKUP(TRIM(D5087), CATALOGO!F:G, 2, FALSE) * C5087)+I5087,IFERROR(IF(COUNTIF('RESTAURANTESDESCUENTOS 2026'!A:A,TRIM(A5087))&gt;0,((VLOOKUP(TRIM(D5087), CATALOGO!A:B, 2, FALSE) * C5087)*(1-VALUE(SUBSTITUTE(VLOOKUP(TRIM(A5087),'RESTAURANTESDESCUENTOS 2026'!A:B,2,FALSE),"%",""))/100)+I5087),(VLOOKUP(TRIM(D5087), CATALOGO!A:B, 2, FALSE) * C5087+I5087)),""))</f>
        <v/>
      </c>
      <c r="K5087" s="196"/>
      <c r="L5087" s="87"/>
      <c r="M5087" s="245"/>
      <c r="N5087" s="168"/>
    </row>
    <row r="5088" ht="22.5" hidden="1" customHeight="1">
      <c r="A5088" s="137"/>
      <c r="B5088" s="90"/>
      <c r="C5088" s="55"/>
      <c r="D5088" s="193"/>
      <c r="E5088" s="201"/>
      <c r="F5088" s="202"/>
      <c r="G5088" s="194"/>
      <c r="H5088" s="198"/>
      <c r="I5088" s="196"/>
      <c r="J5088" s="179" t="str">
        <f>IF(A5088="RAPPI",(VLOOKUP(TRIM(D5088), CATALOGO!F:G, 2, FALSE) * C5088)+I5088,IFERROR(IF(COUNTIF('RESTAURANTESDESCUENTOS 2026'!A:A,TRIM(A5088))&gt;0,((VLOOKUP(TRIM(D5088), CATALOGO!A:B, 2, FALSE) * C5088)*(1-VALUE(SUBSTITUTE(VLOOKUP(TRIM(A5088),'RESTAURANTESDESCUENTOS 2026'!A:B,2,FALSE),"%",""))/100)+I5088),(VLOOKUP(TRIM(D5088), CATALOGO!A:B, 2, FALSE) * C5088+I5088)),""))</f>
        <v/>
      </c>
      <c r="K5088" s="196"/>
      <c r="L5088" s="87"/>
      <c r="M5088" s="245"/>
      <c r="N5088" s="168"/>
    </row>
    <row r="5089" ht="22.5" hidden="1" customHeight="1">
      <c r="A5089" s="137"/>
      <c r="B5089" s="90"/>
      <c r="C5089" s="55"/>
      <c r="D5089" s="193"/>
      <c r="E5089" s="201"/>
      <c r="F5089" s="202"/>
      <c r="G5089" s="194"/>
      <c r="H5089" s="198"/>
      <c r="I5089" s="196"/>
      <c r="J5089" s="179" t="str">
        <f>IF(A5089="RAPPI",(VLOOKUP(TRIM(D5089), CATALOGO!F:G, 2, FALSE) * C5089)+I5089,IFERROR(IF(COUNTIF('RESTAURANTESDESCUENTOS 2026'!A:A,TRIM(A5089))&gt;0,((VLOOKUP(TRIM(D5089), CATALOGO!A:B, 2, FALSE) * C5089)*(1-VALUE(SUBSTITUTE(VLOOKUP(TRIM(A5089),'RESTAURANTESDESCUENTOS 2026'!A:B,2,FALSE),"%",""))/100)+I5089),(VLOOKUP(TRIM(D5089), CATALOGO!A:B, 2, FALSE) * C5089+I5089)),""))</f>
        <v/>
      </c>
      <c r="K5089" s="196"/>
      <c r="L5089" s="87"/>
      <c r="M5089" s="245"/>
      <c r="N5089" s="168"/>
    </row>
    <row r="5090" ht="22.5" hidden="1" customHeight="1">
      <c r="A5090" s="137"/>
      <c r="B5090" s="90"/>
      <c r="C5090" s="55"/>
      <c r="D5090" s="193"/>
      <c r="E5090" s="201"/>
      <c r="F5090" s="202"/>
      <c r="G5090" s="194"/>
      <c r="H5090" s="198"/>
      <c r="I5090" s="196"/>
      <c r="J5090" s="179" t="str">
        <f>IF(A5090="RAPPI",(VLOOKUP(TRIM(D5090), CATALOGO!F:G, 2, FALSE) * C5090)+I5090,IFERROR(IF(COUNTIF('RESTAURANTESDESCUENTOS 2026'!A:A,TRIM(A5090))&gt;0,((VLOOKUP(TRIM(D5090), CATALOGO!A:B, 2, FALSE) * C5090)*(1-VALUE(SUBSTITUTE(VLOOKUP(TRIM(A5090),'RESTAURANTESDESCUENTOS 2026'!A:B,2,FALSE),"%",""))/100)+I5090),(VLOOKUP(TRIM(D5090), CATALOGO!A:B, 2, FALSE) * C5090+I5090)),""))</f>
        <v/>
      </c>
      <c r="K5090" s="196"/>
      <c r="L5090" s="87"/>
      <c r="M5090" s="245"/>
      <c r="N5090" s="168"/>
    </row>
    <row r="5091" ht="22.5" hidden="1" customHeight="1">
      <c r="A5091" s="137"/>
      <c r="B5091" s="90"/>
      <c r="C5091" s="55"/>
      <c r="D5091" s="193"/>
      <c r="E5091" s="201"/>
      <c r="F5091" s="202"/>
      <c r="G5091" s="194"/>
      <c r="H5091" s="198"/>
      <c r="I5091" s="196"/>
      <c r="J5091" s="179" t="str">
        <f>IF(A5091="RAPPI",(VLOOKUP(TRIM(D5091), CATALOGO!F:G, 2, FALSE) * C5091)+I5091,IFERROR(IF(COUNTIF('RESTAURANTESDESCUENTOS 2026'!A:A,TRIM(A5091))&gt;0,((VLOOKUP(TRIM(D5091), CATALOGO!A:B, 2, FALSE) * C5091)*(1-VALUE(SUBSTITUTE(VLOOKUP(TRIM(A5091),'RESTAURANTESDESCUENTOS 2026'!A:B,2,FALSE),"%",""))/100)+I5091),(VLOOKUP(TRIM(D5091), CATALOGO!A:B, 2, FALSE) * C5091+I5091)),""))</f>
        <v/>
      </c>
      <c r="K5091" s="196"/>
      <c r="L5091" s="87"/>
      <c r="M5091" s="245"/>
      <c r="N5091" s="168"/>
    </row>
    <row r="5092" ht="22.5" hidden="1" customHeight="1">
      <c r="A5092" s="137"/>
      <c r="B5092" s="90"/>
      <c r="C5092" s="55"/>
      <c r="D5092" s="193"/>
      <c r="E5092" s="201"/>
      <c r="F5092" s="202"/>
      <c r="G5092" s="194"/>
      <c r="H5092" s="198"/>
      <c r="I5092" s="196"/>
      <c r="J5092" s="179" t="str">
        <f>IF(A5092="RAPPI",(VLOOKUP(TRIM(D5092), CATALOGO!F:G, 2, FALSE) * C5092)+I5092,IFERROR(IF(COUNTIF('RESTAURANTESDESCUENTOS 2026'!A:A,TRIM(A5092))&gt;0,((VLOOKUP(TRIM(D5092), CATALOGO!A:B, 2, FALSE) * C5092)*(1-VALUE(SUBSTITUTE(VLOOKUP(TRIM(A5092),'RESTAURANTESDESCUENTOS 2026'!A:B,2,FALSE),"%",""))/100)+I5092),(VLOOKUP(TRIM(D5092), CATALOGO!A:B, 2, FALSE) * C5092+I5092)),""))</f>
        <v/>
      </c>
      <c r="K5092" s="196"/>
      <c r="L5092" s="87"/>
      <c r="M5092" s="245"/>
      <c r="N5092" s="168"/>
    </row>
    <row r="5093" ht="22.5" hidden="1" customHeight="1">
      <c r="A5093" s="137"/>
      <c r="B5093" s="90"/>
      <c r="C5093" s="55"/>
      <c r="D5093" s="193"/>
      <c r="E5093" s="201"/>
      <c r="F5093" s="202"/>
      <c r="G5093" s="194"/>
      <c r="H5093" s="198"/>
      <c r="I5093" s="196"/>
      <c r="J5093" s="179" t="str">
        <f>IF(A5093="RAPPI",(VLOOKUP(TRIM(D5093), CATALOGO!F:G, 2, FALSE) * C5093)+I5093,IFERROR(IF(COUNTIF('RESTAURANTESDESCUENTOS 2026'!A:A,TRIM(A5093))&gt;0,((VLOOKUP(TRIM(D5093), CATALOGO!A:B, 2, FALSE) * C5093)*(1-VALUE(SUBSTITUTE(VLOOKUP(TRIM(A5093),'RESTAURANTESDESCUENTOS 2026'!A:B,2,FALSE),"%",""))/100)+I5093),(VLOOKUP(TRIM(D5093), CATALOGO!A:B, 2, FALSE) * C5093+I5093)),""))</f>
        <v/>
      </c>
      <c r="K5093" s="196"/>
      <c r="L5093" s="87"/>
      <c r="M5093" s="245"/>
      <c r="N5093" s="168"/>
    </row>
    <row r="5094" ht="22.5" hidden="1" customHeight="1">
      <c r="A5094" s="137"/>
      <c r="B5094" s="90"/>
      <c r="C5094" s="55"/>
      <c r="D5094" s="193"/>
      <c r="E5094" s="201"/>
      <c r="F5094" s="202"/>
      <c r="G5094" s="194"/>
      <c r="H5094" s="198"/>
      <c r="I5094" s="196"/>
      <c r="J5094" s="179" t="str">
        <f>IF(A5094="RAPPI",(VLOOKUP(TRIM(D5094), CATALOGO!F:G, 2, FALSE) * C5094)+I5094,IFERROR(IF(COUNTIF('RESTAURANTESDESCUENTOS 2026'!A:A,TRIM(A5094))&gt;0,((VLOOKUP(TRIM(D5094), CATALOGO!A:B, 2, FALSE) * C5094)*(1-VALUE(SUBSTITUTE(VLOOKUP(TRIM(A5094),'RESTAURANTESDESCUENTOS 2026'!A:B,2,FALSE),"%",""))/100)+I5094),(VLOOKUP(TRIM(D5094), CATALOGO!A:B, 2, FALSE) * C5094+I5094)),""))</f>
        <v/>
      </c>
      <c r="K5094" s="196"/>
      <c r="L5094" s="87"/>
      <c r="M5094" s="245"/>
      <c r="N5094" s="168"/>
    </row>
    <row r="5095" ht="22.5" hidden="1" customHeight="1">
      <c r="A5095" s="137"/>
      <c r="B5095" s="90"/>
      <c r="C5095" s="55"/>
      <c r="D5095" s="193"/>
      <c r="E5095" s="201"/>
      <c r="F5095" s="202"/>
      <c r="G5095" s="194"/>
      <c r="H5095" s="198"/>
      <c r="I5095" s="196"/>
      <c r="J5095" s="179" t="str">
        <f>IF(A5095="RAPPI",(VLOOKUP(TRIM(D5095), CATALOGO!F:G, 2, FALSE) * C5095)+I5095,IFERROR(IF(COUNTIF('RESTAURANTESDESCUENTOS 2026'!A:A,TRIM(A5095))&gt;0,((VLOOKUP(TRIM(D5095), CATALOGO!A:B, 2, FALSE) * C5095)*(1-VALUE(SUBSTITUTE(VLOOKUP(TRIM(A5095),'RESTAURANTESDESCUENTOS 2026'!A:B,2,FALSE),"%",""))/100)+I5095),(VLOOKUP(TRIM(D5095), CATALOGO!A:B, 2, FALSE) * C5095+I5095)),""))</f>
        <v/>
      </c>
      <c r="K5095" s="196"/>
      <c r="L5095" s="87"/>
      <c r="M5095" s="245"/>
      <c r="N5095" s="168"/>
    </row>
    <row r="5096" ht="22.5" hidden="1" customHeight="1">
      <c r="A5096" s="137"/>
      <c r="B5096" s="90"/>
      <c r="C5096" s="55"/>
      <c r="D5096" s="193"/>
      <c r="E5096" s="201"/>
      <c r="F5096" s="202"/>
      <c r="G5096" s="194"/>
      <c r="H5096" s="198"/>
      <c r="I5096" s="196"/>
      <c r="J5096" s="179" t="str">
        <f>IF(A5096="RAPPI",(VLOOKUP(TRIM(D5096), CATALOGO!F:G, 2, FALSE) * C5096)+I5096,IFERROR(IF(COUNTIF('RESTAURANTESDESCUENTOS 2026'!A:A,TRIM(A5096))&gt;0,((VLOOKUP(TRIM(D5096), CATALOGO!A:B, 2, FALSE) * C5096)*(1-VALUE(SUBSTITUTE(VLOOKUP(TRIM(A5096),'RESTAURANTESDESCUENTOS 2026'!A:B,2,FALSE),"%",""))/100)+I5096),(VLOOKUP(TRIM(D5096), CATALOGO!A:B, 2, FALSE) * C5096+I5096)),""))</f>
        <v/>
      </c>
      <c r="K5096" s="196"/>
      <c r="L5096" s="87"/>
      <c r="M5096" s="245"/>
      <c r="N5096" s="168"/>
    </row>
    <row r="5097" ht="22.5" hidden="1" customHeight="1">
      <c r="A5097" s="137"/>
      <c r="B5097" s="90"/>
      <c r="C5097" s="55"/>
      <c r="D5097" s="193"/>
      <c r="E5097" s="201"/>
      <c r="F5097" s="202"/>
      <c r="G5097" s="194"/>
      <c r="H5097" s="198"/>
      <c r="I5097" s="196"/>
      <c r="J5097" s="179" t="str">
        <f>IF(A5097="RAPPI",(VLOOKUP(TRIM(D5097), CATALOGO!F:G, 2, FALSE) * C5097)+I5097,IFERROR(IF(COUNTIF('RESTAURANTESDESCUENTOS 2026'!A:A,TRIM(A5097))&gt;0,((VLOOKUP(TRIM(D5097), CATALOGO!A:B, 2, FALSE) * C5097)*(1-VALUE(SUBSTITUTE(VLOOKUP(TRIM(A5097),'RESTAURANTESDESCUENTOS 2026'!A:B,2,FALSE),"%",""))/100)+I5097),(VLOOKUP(TRIM(D5097), CATALOGO!A:B, 2, FALSE) * C5097+I5097)),""))</f>
        <v/>
      </c>
      <c r="K5097" s="196"/>
      <c r="L5097" s="87"/>
      <c r="M5097" s="245"/>
      <c r="N5097" s="168"/>
    </row>
    <row r="5098" ht="22.5" hidden="1" customHeight="1">
      <c r="A5098" s="137"/>
      <c r="B5098" s="90"/>
      <c r="C5098" s="55"/>
      <c r="D5098" s="193"/>
      <c r="E5098" s="201"/>
      <c r="F5098" s="202"/>
      <c r="G5098" s="194"/>
      <c r="H5098" s="198"/>
      <c r="I5098" s="196"/>
      <c r="J5098" s="179" t="str">
        <f>IF(A5098="RAPPI",(VLOOKUP(TRIM(D5098), CATALOGO!F:G, 2, FALSE) * C5098)+I5098,IFERROR(IF(COUNTIF('RESTAURANTESDESCUENTOS 2026'!A:A,TRIM(A5098))&gt;0,((VLOOKUP(TRIM(D5098), CATALOGO!A:B, 2, FALSE) * C5098)*(1-VALUE(SUBSTITUTE(VLOOKUP(TRIM(A5098),'RESTAURANTESDESCUENTOS 2026'!A:B,2,FALSE),"%",""))/100)+I5098),(VLOOKUP(TRIM(D5098), CATALOGO!A:B, 2, FALSE) * C5098+I5098)),""))</f>
        <v/>
      </c>
      <c r="K5098" s="196"/>
      <c r="L5098" s="87"/>
      <c r="M5098" s="245"/>
      <c r="N5098" s="168"/>
    </row>
    <row r="5099" ht="22.5" hidden="1" customHeight="1">
      <c r="A5099" s="137"/>
      <c r="B5099" s="90"/>
      <c r="C5099" s="55"/>
      <c r="D5099" s="193"/>
      <c r="E5099" s="201"/>
      <c r="F5099" s="202"/>
      <c r="G5099" s="194"/>
      <c r="H5099" s="198"/>
      <c r="I5099" s="196"/>
      <c r="J5099" s="179" t="str">
        <f>IF(A5099="RAPPI",(VLOOKUP(TRIM(D5099), CATALOGO!F:G, 2, FALSE) * C5099)+I5099,IFERROR(IF(COUNTIF('RESTAURANTESDESCUENTOS 2026'!A:A,TRIM(A5099))&gt;0,((VLOOKUP(TRIM(D5099), CATALOGO!A:B, 2, FALSE) * C5099)*(1-VALUE(SUBSTITUTE(VLOOKUP(TRIM(A5099),'RESTAURANTESDESCUENTOS 2026'!A:B,2,FALSE),"%",""))/100)+I5099),(VLOOKUP(TRIM(D5099), CATALOGO!A:B, 2, FALSE) * C5099+I5099)),""))</f>
        <v/>
      </c>
      <c r="K5099" s="196"/>
      <c r="L5099" s="87"/>
      <c r="M5099" s="245"/>
      <c r="N5099" s="168"/>
    </row>
    <row r="5100" ht="22.5" hidden="1" customHeight="1">
      <c r="A5100" s="137"/>
      <c r="B5100" s="90"/>
      <c r="C5100" s="55"/>
      <c r="D5100" s="193"/>
      <c r="E5100" s="201"/>
      <c r="F5100" s="202"/>
      <c r="G5100" s="194"/>
      <c r="H5100" s="198"/>
      <c r="I5100" s="196"/>
      <c r="J5100" s="179" t="str">
        <f>IF(A5100="RAPPI",(VLOOKUP(TRIM(D5100), CATALOGO!F:G, 2, FALSE) * C5100)+I5100,IFERROR(IF(COUNTIF('RESTAURANTESDESCUENTOS 2026'!A:A,TRIM(A5100))&gt;0,((VLOOKUP(TRIM(D5100), CATALOGO!A:B, 2, FALSE) * C5100)*(1-VALUE(SUBSTITUTE(VLOOKUP(TRIM(A5100),'RESTAURANTESDESCUENTOS 2026'!A:B,2,FALSE),"%",""))/100)+I5100),(VLOOKUP(TRIM(D5100), CATALOGO!A:B, 2, FALSE) * C5100+I5100)),""))</f>
        <v/>
      </c>
      <c r="K5100" s="196"/>
      <c r="L5100" s="87"/>
      <c r="M5100" s="245"/>
      <c r="N5100" s="168"/>
    </row>
    <row r="5101" ht="22.5" hidden="1" customHeight="1">
      <c r="A5101" s="137"/>
      <c r="B5101" s="90"/>
      <c r="C5101" s="55"/>
      <c r="D5101" s="193"/>
      <c r="E5101" s="201"/>
      <c r="F5101" s="202"/>
      <c r="G5101" s="194"/>
      <c r="H5101" s="198"/>
      <c r="I5101" s="196"/>
      <c r="J5101" s="179" t="str">
        <f>IF(A5101="RAPPI",(VLOOKUP(TRIM(D5101), CATALOGO!F:G, 2, FALSE) * C5101)+I5101,IFERROR(IF(COUNTIF('RESTAURANTESDESCUENTOS 2026'!A:A,TRIM(A5101))&gt;0,((VLOOKUP(TRIM(D5101), CATALOGO!A:B, 2, FALSE) * C5101)*(1-VALUE(SUBSTITUTE(VLOOKUP(TRIM(A5101),'RESTAURANTESDESCUENTOS 2026'!A:B,2,FALSE),"%",""))/100)+I5101),(VLOOKUP(TRIM(D5101), CATALOGO!A:B, 2, FALSE) * C5101+I5101)),""))</f>
        <v/>
      </c>
      <c r="K5101" s="196"/>
      <c r="L5101" s="87"/>
      <c r="M5101" s="245"/>
      <c r="N5101" s="168"/>
    </row>
    <row r="5102" ht="22.5" hidden="1" customHeight="1">
      <c r="A5102" s="137"/>
      <c r="B5102" s="90"/>
      <c r="C5102" s="55"/>
      <c r="D5102" s="193"/>
      <c r="E5102" s="201"/>
      <c r="F5102" s="202"/>
      <c r="G5102" s="194"/>
      <c r="H5102" s="198"/>
      <c r="I5102" s="196"/>
      <c r="J5102" s="179" t="str">
        <f>IF(A5102="RAPPI",(VLOOKUP(TRIM(D5102), CATALOGO!F:G, 2, FALSE) * C5102)+I5102,IFERROR(IF(COUNTIF('RESTAURANTESDESCUENTOS 2026'!A:A,TRIM(A5102))&gt;0,((VLOOKUP(TRIM(D5102), CATALOGO!A:B, 2, FALSE) * C5102)*(1-VALUE(SUBSTITUTE(VLOOKUP(TRIM(A5102),'RESTAURANTESDESCUENTOS 2026'!A:B,2,FALSE),"%",""))/100)+I5102),(VLOOKUP(TRIM(D5102), CATALOGO!A:B, 2, FALSE) * C5102+I5102)),""))</f>
        <v/>
      </c>
      <c r="K5102" s="196"/>
      <c r="L5102" s="87"/>
      <c r="M5102" s="245"/>
      <c r="N5102" s="168"/>
    </row>
    <row r="5103" ht="22.5" hidden="1" customHeight="1">
      <c r="A5103" s="137"/>
      <c r="B5103" s="90"/>
      <c r="C5103" s="55"/>
      <c r="D5103" s="193"/>
      <c r="E5103" s="201"/>
      <c r="F5103" s="202"/>
      <c r="G5103" s="194"/>
      <c r="H5103" s="198"/>
      <c r="I5103" s="196"/>
      <c r="J5103" s="179" t="str">
        <f>IF(A5103="RAPPI",(VLOOKUP(TRIM(D5103), CATALOGO!F:G, 2, FALSE) * C5103)+I5103,IFERROR(IF(COUNTIF('RESTAURANTESDESCUENTOS 2026'!A:A,TRIM(A5103))&gt;0,((VLOOKUP(TRIM(D5103), CATALOGO!A:B, 2, FALSE) * C5103)*(1-VALUE(SUBSTITUTE(VLOOKUP(TRIM(A5103),'RESTAURANTESDESCUENTOS 2026'!A:B,2,FALSE),"%",""))/100)+I5103),(VLOOKUP(TRIM(D5103), CATALOGO!A:B, 2, FALSE) * C5103+I5103)),""))</f>
        <v/>
      </c>
      <c r="K5103" s="196"/>
      <c r="L5103" s="87"/>
      <c r="M5103" s="245"/>
      <c r="N5103" s="168"/>
    </row>
    <row r="5104" ht="22.5" hidden="1" customHeight="1">
      <c r="A5104" s="137"/>
      <c r="B5104" s="90"/>
      <c r="C5104" s="55"/>
      <c r="D5104" s="193"/>
      <c r="E5104" s="201"/>
      <c r="F5104" s="202"/>
      <c r="G5104" s="194"/>
      <c r="H5104" s="198"/>
      <c r="I5104" s="196"/>
      <c r="J5104" s="179" t="str">
        <f>IF(A5104="RAPPI",(VLOOKUP(TRIM(D5104), CATALOGO!F:G, 2, FALSE) * C5104)+I5104,IFERROR(IF(COUNTIF('RESTAURANTESDESCUENTOS 2026'!A:A,TRIM(A5104))&gt;0,((VLOOKUP(TRIM(D5104), CATALOGO!A:B, 2, FALSE) * C5104)*(1-VALUE(SUBSTITUTE(VLOOKUP(TRIM(A5104),'RESTAURANTESDESCUENTOS 2026'!A:B,2,FALSE),"%",""))/100)+I5104),(VLOOKUP(TRIM(D5104), CATALOGO!A:B, 2, FALSE) * C5104+I5104)),""))</f>
        <v/>
      </c>
      <c r="K5104" s="196"/>
      <c r="L5104" s="87"/>
      <c r="M5104" s="245"/>
      <c r="N5104" s="168"/>
    </row>
    <row r="5105" ht="22.5" hidden="1" customHeight="1">
      <c r="A5105" s="137"/>
      <c r="B5105" s="90"/>
      <c r="C5105" s="55"/>
      <c r="D5105" s="193"/>
      <c r="E5105" s="201"/>
      <c r="F5105" s="202"/>
      <c r="G5105" s="194"/>
      <c r="H5105" s="198"/>
      <c r="I5105" s="196"/>
      <c r="J5105" s="179" t="str">
        <f>IF(A5105="RAPPI",(VLOOKUP(TRIM(D5105), CATALOGO!F:G, 2, FALSE) * C5105)+I5105,IFERROR(IF(COUNTIF('RESTAURANTESDESCUENTOS 2026'!A:A,TRIM(A5105))&gt;0,((VLOOKUP(TRIM(D5105), CATALOGO!A:B, 2, FALSE) * C5105)*(1-VALUE(SUBSTITUTE(VLOOKUP(TRIM(A5105),'RESTAURANTESDESCUENTOS 2026'!A:B,2,FALSE),"%",""))/100)+I5105),(VLOOKUP(TRIM(D5105), CATALOGO!A:B, 2, FALSE) * C5105+I5105)),""))</f>
        <v/>
      </c>
      <c r="K5105" s="196"/>
      <c r="L5105" s="87"/>
      <c r="M5105" s="245"/>
      <c r="N5105" s="168"/>
    </row>
    <row r="5106" ht="22.5" hidden="1" customHeight="1">
      <c r="A5106" s="137"/>
      <c r="B5106" s="90"/>
      <c r="C5106" s="55"/>
      <c r="D5106" s="193"/>
      <c r="E5106" s="201"/>
      <c r="F5106" s="202"/>
      <c r="G5106" s="194"/>
      <c r="H5106" s="198"/>
      <c r="I5106" s="196"/>
      <c r="J5106" s="179" t="str">
        <f>IF(A5106="RAPPI",(VLOOKUP(TRIM(D5106), CATALOGO!F:G, 2, FALSE) * C5106)+I5106,IFERROR(IF(COUNTIF('RESTAURANTESDESCUENTOS 2026'!A:A,TRIM(A5106))&gt;0,((VLOOKUP(TRIM(D5106), CATALOGO!A:B, 2, FALSE) * C5106)*(1-VALUE(SUBSTITUTE(VLOOKUP(TRIM(A5106),'RESTAURANTESDESCUENTOS 2026'!A:B,2,FALSE),"%",""))/100)+I5106),(VLOOKUP(TRIM(D5106), CATALOGO!A:B, 2, FALSE) * C5106+I5106)),""))</f>
        <v/>
      </c>
      <c r="K5106" s="196"/>
      <c r="L5106" s="87"/>
      <c r="M5106" s="245"/>
      <c r="N5106" s="168"/>
    </row>
    <row r="5107" ht="22.5" hidden="1" customHeight="1">
      <c r="A5107" s="137"/>
      <c r="B5107" s="90"/>
      <c r="C5107" s="55"/>
      <c r="D5107" s="193"/>
      <c r="E5107" s="201"/>
      <c r="F5107" s="202"/>
      <c r="G5107" s="194"/>
      <c r="H5107" s="198"/>
      <c r="I5107" s="196"/>
      <c r="J5107" s="179" t="str">
        <f>IF(A5107="RAPPI",(VLOOKUP(TRIM(D5107), CATALOGO!F:G, 2, FALSE) * C5107)+I5107,IFERROR(IF(COUNTIF('RESTAURANTESDESCUENTOS 2026'!A:A,TRIM(A5107))&gt;0,((VLOOKUP(TRIM(D5107), CATALOGO!A:B, 2, FALSE) * C5107)*(1-VALUE(SUBSTITUTE(VLOOKUP(TRIM(A5107),'RESTAURANTESDESCUENTOS 2026'!A:B,2,FALSE),"%",""))/100)+I5107),(VLOOKUP(TRIM(D5107), CATALOGO!A:B, 2, FALSE) * C5107+I5107)),""))</f>
        <v/>
      </c>
      <c r="K5107" s="196"/>
      <c r="L5107" s="87"/>
      <c r="M5107" s="245"/>
      <c r="N5107" s="168"/>
    </row>
    <row r="5108" ht="22.5" hidden="1" customHeight="1">
      <c r="A5108" s="137"/>
      <c r="B5108" s="90"/>
      <c r="C5108" s="55"/>
      <c r="D5108" s="193"/>
      <c r="E5108" s="201"/>
      <c r="F5108" s="202"/>
      <c r="G5108" s="194"/>
      <c r="H5108" s="198"/>
      <c r="I5108" s="196"/>
      <c r="J5108" s="179" t="str">
        <f>IF(A5108="RAPPI",(VLOOKUP(TRIM(D5108), CATALOGO!F:G, 2, FALSE) * C5108)+I5108,IFERROR(IF(COUNTIF('RESTAURANTESDESCUENTOS 2026'!A:A,TRIM(A5108))&gt;0,((VLOOKUP(TRIM(D5108), CATALOGO!A:B, 2, FALSE) * C5108)*(1-VALUE(SUBSTITUTE(VLOOKUP(TRIM(A5108),'RESTAURANTESDESCUENTOS 2026'!A:B,2,FALSE),"%",""))/100)+I5108),(VLOOKUP(TRIM(D5108), CATALOGO!A:B, 2, FALSE) * C5108+I5108)),""))</f>
        <v/>
      </c>
      <c r="K5108" s="196"/>
      <c r="L5108" s="87"/>
      <c r="M5108" s="245"/>
      <c r="N5108" s="168"/>
    </row>
    <row r="5109" ht="22.5" hidden="1" customHeight="1">
      <c r="A5109" s="137"/>
      <c r="B5109" s="90"/>
      <c r="C5109" s="55"/>
      <c r="D5109" s="193"/>
      <c r="E5109" s="201"/>
      <c r="F5109" s="202"/>
      <c r="G5109" s="194"/>
      <c r="H5109" s="198"/>
      <c r="I5109" s="196"/>
      <c r="J5109" s="179" t="str">
        <f>IF(A5109="RAPPI",(VLOOKUP(TRIM(D5109), CATALOGO!F:G, 2, FALSE) * C5109)+I5109,IFERROR(IF(COUNTIF('RESTAURANTESDESCUENTOS 2026'!A:A,TRIM(A5109))&gt;0,((VLOOKUP(TRIM(D5109), CATALOGO!A:B, 2, FALSE) * C5109)*(1-VALUE(SUBSTITUTE(VLOOKUP(TRIM(A5109),'RESTAURANTESDESCUENTOS 2026'!A:B,2,FALSE),"%",""))/100)+I5109),(VLOOKUP(TRIM(D5109), CATALOGO!A:B, 2, FALSE) * C5109+I5109)),""))</f>
        <v/>
      </c>
      <c r="K5109" s="196"/>
      <c r="L5109" s="87"/>
      <c r="M5109" s="245"/>
      <c r="N5109" s="168"/>
    </row>
    <row r="5110" ht="22.5" hidden="1" customHeight="1">
      <c r="A5110" s="137"/>
      <c r="B5110" s="90"/>
      <c r="C5110" s="55"/>
      <c r="D5110" s="193"/>
      <c r="E5110" s="201"/>
      <c r="F5110" s="202"/>
      <c r="G5110" s="194"/>
      <c r="H5110" s="198"/>
      <c r="I5110" s="196"/>
      <c r="J5110" s="179" t="str">
        <f>IF(A5110="RAPPI",(VLOOKUP(TRIM(D5110), CATALOGO!F:G, 2, FALSE) * C5110)+I5110,IFERROR(IF(COUNTIF('RESTAURANTESDESCUENTOS 2026'!A:A,TRIM(A5110))&gt;0,((VLOOKUP(TRIM(D5110), CATALOGO!A:B, 2, FALSE) * C5110)*(1-VALUE(SUBSTITUTE(VLOOKUP(TRIM(A5110),'RESTAURANTESDESCUENTOS 2026'!A:B,2,FALSE),"%",""))/100)+I5110),(VLOOKUP(TRIM(D5110), CATALOGO!A:B, 2, FALSE) * C5110+I5110)),""))</f>
        <v/>
      </c>
      <c r="K5110" s="196"/>
      <c r="L5110" s="87"/>
      <c r="M5110" s="245"/>
      <c r="N5110" s="168"/>
    </row>
    <row r="5111" ht="22.5" hidden="1" customHeight="1">
      <c r="A5111" s="137"/>
      <c r="B5111" s="90"/>
      <c r="C5111" s="55"/>
      <c r="D5111" s="193"/>
      <c r="E5111" s="201"/>
      <c r="F5111" s="202"/>
      <c r="G5111" s="194"/>
      <c r="H5111" s="198"/>
      <c r="I5111" s="196"/>
      <c r="J5111" s="179" t="str">
        <f>IF(A5111="RAPPI",(VLOOKUP(TRIM(D5111), CATALOGO!F:G, 2, FALSE) * C5111)+I5111,IFERROR(IF(COUNTIF('RESTAURANTESDESCUENTOS 2026'!A:A,TRIM(A5111))&gt;0,((VLOOKUP(TRIM(D5111), CATALOGO!A:B, 2, FALSE) * C5111)*(1-VALUE(SUBSTITUTE(VLOOKUP(TRIM(A5111),'RESTAURANTESDESCUENTOS 2026'!A:B,2,FALSE),"%",""))/100)+I5111),(VLOOKUP(TRIM(D5111), CATALOGO!A:B, 2, FALSE) * C5111+I5111)),""))</f>
        <v/>
      </c>
      <c r="K5111" s="196"/>
      <c r="L5111" s="87"/>
      <c r="M5111" s="245"/>
      <c r="N5111" s="168"/>
    </row>
    <row r="5112" ht="22.5" hidden="1" customHeight="1">
      <c r="A5112" s="137"/>
      <c r="B5112" s="90"/>
      <c r="C5112" s="55"/>
      <c r="D5112" s="193"/>
      <c r="E5112" s="201"/>
      <c r="F5112" s="202"/>
      <c r="G5112" s="194"/>
      <c r="H5112" s="198"/>
      <c r="I5112" s="196"/>
      <c r="J5112" s="179" t="str">
        <f>IF(A5112="RAPPI",(VLOOKUP(TRIM(D5112), CATALOGO!F:G, 2, FALSE) * C5112)+I5112,IFERROR(IF(COUNTIF('RESTAURANTESDESCUENTOS 2026'!A:A,TRIM(A5112))&gt;0,((VLOOKUP(TRIM(D5112), CATALOGO!A:B, 2, FALSE) * C5112)*(1-VALUE(SUBSTITUTE(VLOOKUP(TRIM(A5112),'RESTAURANTESDESCUENTOS 2026'!A:B,2,FALSE),"%",""))/100)+I5112),(VLOOKUP(TRIM(D5112), CATALOGO!A:B, 2, FALSE) * C5112+I5112)),""))</f>
        <v/>
      </c>
      <c r="K5112" s="196"/>
      <c r="L5112" s="87"/>
      <c r="M5112" s="245"/>
      <c r="N5112" s="168"/>
    </row>
    <row r="5113" ht="22.5" hidden="1" customHeight="1">
      <c r="A5113" s="137"/>
      <c r="B5113" s="90"/>
      <c r="C5113" s="55"/>
      <c r="D5113" s="193"/>
      <c r="E5113" s="201"/>
      <c r="F5113" s="202"/>
      <c r="G5113" s="194"/>
      <c r="H5113" s="198"/>
      <c r="I5113" s="196"/>
      <c r="J5113" s="179" t="str">
        <f>IF(A5113="RAPPI",(VLOOKUP(TRIM(D5113), CATALOGO!F:G, 2, FALSE) * C5113)+I5113,IFERROR(IF(COUNTIF('RESTAURANTESDESCUENTOS 2026'!A:A,TRIM(A5113))&gt;0,((VLOOKUP(TRIM(D5113), CATALOGO!A:B, 2, FALSE) * C5113)*(1-VALUE(SUBSTITUTE(VLOOKUP(TRIM(A5113),'RESTAURANTESDESCUENTOS 2026'!A:B,2,FALSE),"%",""))/100)+I5113),(VLOOKUP(TRIM(D5113), CATALOGO!A:B, 2, FALSE) * C5113+I5113)),""))</f>
        <v/>
      </c>
      <c r="K5113" s="196"/>
      <c r="L5113" s="87"/>
      <c r="M5113" s="245"/>
      <c r="N5113" s="168"/>
    </row>
    <row r="5114" ht="22.5" hidden="1" customHeight="1">
      <c r="A5114" s="137"/>
      <c r="B5114" s="90"/>
      <c r="C5114" s="55"/>
      <c r="D5114" s="193"/>
      <c r="E5114" s="201"/>
      <c r="F5114" s="202"/>
      <c r="G5114" s="194"/>
      <c r="H5114" s="198"/>
      <c r="I5114" s="196"/>
      <c r="J5114" s="179" t="str">
        <f>IF(A5114="RAPPI",(VLOOKUP(TRIM(D5114), CATALOGO!F:G, 2, FALSE) * C5114)+I5114,IFERROR(IF(COUNTIF('RESTAURANTESDESCUENTOS 2026'!A:A,TRIM(A5114))&gt;0,((VLOOKUP(TRIM(D5114), CATALOGO!A:B, 2, FALSE) * C5114)*(1-VALUE(SUBSTITUTE(VLOOKUP(TRIM(A5114),'RESTAURANTESDESCUENTOS 2026'!A:B,2,FALSE),"%",""))/100)+I5114),(VLOOKUP(TRIM(D5114), CATALOGO!A:B, 2, FALSE) * C5114+I5114)),""))</f>
        <v/>
      </c>
      <c r="K5114" s="196"/>
      <c r="L5114" s="87"/>
      <c r="M5114" s="245"/>
      <c r="N5114" s="168"/>
    </row>
    <row r="5115" ht="22.5" hidden="1" customHeight="1">
      <c r="A5115" s="137"/>
      <c r="B5115" s="90"/>
      <c r="C5115" s="55"/>
      <c r="D5115" s="193"/>
      <c r="E5115" s="201"/>
      <c r="F5115" s="202"/>
      <c r="G5115" s="194"/>
      <c r="H5115" s="198"/>
      <c r="I5115" s="196"/>
      <c r="J5115" s="179" t="str">
        <f>IF(A5115="RAPPI",(VLOOKUP(TRIM(D5115), CATALOGO!F:G, 2, FALSE) * C5115)+I5115,IFERROR(IF(COUNTIF('RESTAURANTESDESCUENTOS 2026'!A:A,TRIM(A5115))&gt;0,((VLOOKUP(TRIM(D5115), CATALOGO!A:B, 2, FALSE) * C5115)*(1-VALUE(SUBSTITUTE(VLOOKUP(TRIM(A5115),'RESTAURANTESDESCUENTOS 2026'!A:B,2,FALSE),"%",""))/100)+I5115),(VLOOKUP(TRIM(D5115), CATALOGO!A:B, 2, FALSE) * C5115+I5115)),""))</f>
        <v/>
      </c>
      <c r="K5115" s="196"/>
      <c r="L5115" s="87"/>
      <c r="M5115" s="245"/>
      <c r="N5115" s="168"/>
    </row>
    <row r="5116" ht="22.5" hidden="1" customHeight="1">
      <c r="A5116" s="137"/>
      <c r="B5116" s="90"/>
      <c r="C5116" s="55"/>
      <c r="D5116" s="193"/>
      <c r="E5116" s="201"/>
      <c r="F5116" s="202"/>
      <c r="G5116" s="194"/>
      <c r="H5116" s="198"/>
      <c r="I5116" s="196"/>
      <c r="J5116" s="179" t="str">
        <f>IF(A5116="RAPPI",(VLOOKUP(TRIM(D5116), CATALOGO!F:G, 2, FALSE) * C5116)+I5116,IFERROR(IF(COUNTIF('RESTAURANTESDESCUENTOS 2026'!A:A,TRIM(A5116))&gt;0,((VLOOKUP(TRIM(D5116), CATALOGO!A:B, 2, FALSE) * C5116)*(1-VALUE(SUBSTITUTE(VLOOKUP(TRIM(A5116),'RESTAURANTESDESCUENTOS 2026'!A:B,2,FALSE),"%",""))/100)+I5116),(VLOOKUP(TRIM(D5116), CATALOGO!A:B, 2, FALSE) * C5116+I5116)),""))</f>
        <v/>
      </c>
      <c r="K5116" s="196"/>
      <c r="L5116" s="87"/>
      <c r="M5116" s="245"/>
      <c r="N5116" s="168"/>
    </row>
    <row r="5117" ht="22.5" hidden="1" customHeight="1">
      <c r="A5117" s="137"/>
      <c r="B5117" s="90"/>
      <c r="C5117" s="55"/>
      <c r="D5117" s="193"/>
      <c r="E5117" s="201"/>
      <c r="F5117" s="202"/>
      <c r="G5117" s="194"/>
      <c r="H5117" s="198"/>
      <c r="I5117" s="196"/>
      <c r="J5117" s="179" t="str">
        <f>IF(A5117="RAPPI",(VLOOKUP(TRIM(D5117), CATALOGO!F:G, 2, FALSE) * C5117)+I5117,IFERROR(IF(COUNTIF('RESTAURANTESDESCUENTOS 2026'!A:A,TRIM(A5117))&gt;0,((VLOOKUP(TRIM(D5117), CATALOGO!A:B, 2, FALSE) * C5117)*(1-VALUE(SUBSTITUTE(VLOOKUP(TRIM(A5117),'RESTAURANTESDESCUENTOS 2026'!A:B,2,FALSE),"%",""))/100)+I5117),(VLOOKUP(TRIM(D5117), CATALOGO!A:B, 2, FALSE) * C5117+I5117)),""))</f>
        <v/>
      </c>
      <c r="K5117" s="196"/>
      <c r="L5117" s="87"/>
      <c r="M5117" s="245"/>
      <c r="N5117" s="168"/>
    </row>
    <row r="5118" ht="22.5" hidden="1" customHeight="1">
      <c r="A5118" s="137"/>
      <c r="B5118" s="90"/>
      <c r="C5118" s="55"/>
      <c r="D5118" s="193"/>
      <c r="E5118" s="201"/>
      <c r="F5118" s="202"/>
      <c r="G5118" s="194"/>
      <c r="H5118" s="198"/>
      <c r="I5118" s="196"/>
      <c r="J5118" s="179" t="str">
        <f>IF(A5118="RAPPI",(VLOOKUP(TRIM(D5118), CATALOGO!F:G, 2, FALSE) * C5118)+I5118,IFERROR(IF(COUNTIF('RESTAURANTESDESCUENTOS 2026'!A:A,TRIM(A5118))&gt;0,((VLOOKUP(TRIM(D5118), CATALOGO!A:B, 2, FALSE) * C5118)*(1-VALUE(SUBSTITUTE(VLOOKUP(TRIM(A5118),'RESTAURANTESDESCUENTOS 2026'!A:B,2,FALSE),"%",""))/100)+I5118),(VLOOKUP(TRIM(D5118), CATALOGO!A:B, 2, FALSE) * C5118+I5118)),""))</f>
        <v/>
      </c>
      <c r="K5118" s="196"/>
      <c r="L5118" s="87"/>
      <c r="M5118" s="245"/>
      <c r="N5118" s="168"/>
    </row>
    <row r="5119" ht="22.5" hidden="1" customHeight="1">
      <c r="A5119" s="137"/>
      <c r="B5119" s="90"/>
      <c r="C5119" s="55"/>
      <c r="D5119" s="193"/>
      <c r="E5119" s="201"/>
      <c r="F5119" s="202"/>
      <c r="G5119" s="194"/>
      <c r="H5119" s="198"/>
      <c r="I5119" s="196"/>
      <c r="J5119" s="179" t="str">
        <f>IF(A5119="RAPPI",(VLOOKUP(TRIM(D5119), CATALOGO!F:G, 2, FALSE) * C5119)+I5119,IFERROR(IF(COUNTIF('RESTAURANTESDESCUENTOS 2026'!A:A,TRIM(A5119))&gt;0,((VLOOKUP(TRIM(D5119), CATALOGO!A:B, 2, FALSE) * C5119)*(1-VALUE(SUBSTITUTE(VLOOKUP(TRIM(A5119),'RESTAURANTESDESCUENTOS 2026'!A:B,2,FALSE),"%",""))/100)+I5119),(VLOOKUP(TRIM(D5119), CATALOGO!A:B, 2, FALSE) * C5119+I5119)),""))</f>
        <v/>
      </c>
      <c r="K5119" s="196"/>
      <c r="L5119" s="87"/>
      <c r="M5119" s="245"/>
      <c r="N5119" s="168"/>
    </row>
    <row r="5120" ht="22.5" hidden="1" customHeight="1">
      <c r="A5120" s="137"/>
      <c r="B5120" s="90"/>
      <c r="C5120" s="55"/>
      <c r="D5120" s="193"/>
      <c r="E5120" s="201"/>
      <c r="F5120" s="202"/>
      <c r="G5120" s="194"/>
      <c r="H5120" s="198"/>
      <c r="I5120" s="196"/>
      <c r="J5120" s="179" t="str">
        <f>IF(A5120="RAPPI",(VLOOKUP(TRIM(D5120), CATALOGO!F:G, 2, FALSE) * C5120)+I5120,IFERROR(IF(COUNTIF('RESTAURANTESDESCUENTOS 2026'!A:A,TRIM(A5120))&gt;0,((VLOOKUP(TRIM(D5120), CATALOGO!A:B, 2, FALSE) * C5120)*(1-VALUE(SUBSTITUTE(VLOOKUP(TRIM(A5120),'RESTAURANTESDESCUENTOS 2026'!A:B,2,FALSE),"%",""))/100)+I5120),(VLOOKUP(TRIM(D5120), CATALOGO!A:B, 2, FALSE) * C5120+I5120)),""))</f>
        <v/>
      </c>
      <c r="K5120" s="196"/>
      <c r="L5120" s="87"/>
      <c r="M5120" s="245"/>
      <c r="N5120" s="168"/>
    </row>
    <row r="5121" ht="22.5" hidden="1" customHeight="1">
      <c r="A5121" s="137"/>
      <c r="B5121" s="90"/>
      <c r="C5121" s="55"/>
      <c r="D5121" s="193"/>
      <c r="E5121" s="201"/>
      <c r="F5121" s="202"/>
      <c r="G5121" s="194"/>
      <c r="H5121" s="198"/>
      <c r="I5121" s="196"/>
      <c r="J5121" s="179" t="str">
        <f>IF(A5121="RAPPI",(VLOOKUP(TRIM(D5121), CATALOGO!F:G, 2, FALSE) * C5121)+I5121,IFERROR(IF(COUNTIF('RESTAURANTESDESCUENTOS 2026'!A:A,TRIM(A5121))&gt;0,((VLOOKUP(TRIM(D5121), CATALOGO!A:B, 2, FALSE) * C5121)*(1-VALUE(SUBSTITUTE(VLOOKUP(TRIM(A5121),'RESTAURANTESDESCUENTOS 2026'!A:B,2,FALSE),"%",""))/100)+I5121),(VLOOKUP(TRIM(D5121), CATALOGO!A:B, 2, FALSE) * C5121+I5121)),""))</f>
        <v/>
      </c>
      <c r="K5121" s="196"/>
      <c r="L5121" s="87"/>
      <c r="M5121" s="245"/>
      <c r="N5121" s="168"/>
    </row>
    <row r="5122" ht="22.5" hidden="1" customHeight="1">
      <c r="A5122" s="137"/>
      <c r="B5122" s="90"/>
      <c r="C5122" s="55"/>
      <c r="D5122" s="193"/>
      <c r="E5122" s="201"/>
      <c r="F5122" s="202"/>
      <c r="G5122" s="194"/>
      <c r="H5122" s="198"/>
      <c r="I5122" s="196"/>
      <c r="J5122" s="179" t="str">
        <f>IF(A5122="RAPPI",(VLOOKUP(TRIM(D5122), CATALOGO!F:G, 2, FALSE) * C5122)+I5122,IFERROR(IF(COUNTIF('RESTAURANTESDESCUENTOS 2026'!A:A,TRIM(A5122))&gt;0,((VLOOKUP(TRIM(D5122), CATALOGO!A:B, 2, FALSE) * C5122)*(1-VALUE(SUBSTITUTE(VLOOKUP(TRIM(A5122),'RESTAURANTESDESCUENTOS 2026'!A:B,2,FALSE),"%",""))/100)+I5122),(VLOOKUP(TRIM(D5122), CATALOGO!A:B, 2, FALSE) * C5122+I5122)),""))</f>
        <v/>
      </c>
      <c r="K5122" s="196"/>
      <c r="L5122" s="87"/>
      <c r="M5122" s="245"/>
      <c r="N5122" s="168"/>
    </row>
    <row r="5123" ht="22.5" hidden="1" customHeight="1">
      <c r="A5123" s="137"/>
      <c r="B5123" s="90"/>
      <c r="C5123" s="55"/>
      <c r="D5123" s="193"/>
      <c r="E5123" s="201"/>
      <c r="F5123" s="202"/>
      <c r="G5123" s="194"/>
      <c r="H5123" s="198"/>
      <c r="I5123" s="196"/>
      <c r="J5123" s="179" t="str">
        <f>IF(A5123="RAPPI",(VLOOKUP(TRIM(D5123), CATALOGO!F:G, 2, FALSE) * C5123)+I5123,IFERROR(IF(COUNTIF('RESTAURANTESDESCUENTOS 2026'!A:A,TRIM(A5123))&gt;0,((VLOOKUP(TRIM(D5123), CATALOGO!A:B, 2, FALSE) * C5123)*(1-VALUE(SUBSTITUTE(VLOOKUP(TRIM(A5123),'RESTAURANTESDESCUENTOS 2026'!A:B,2,FALSE),"%",""))/100)+I5123),(VLOOKUP(TRIM(D5123), CATALOGO!A:B, 2, FALSE) * C5123+I5123)),""))</f>
        <v/>
      </c>
      <c r="K5123" s="196"/>
      <c r="L5123" s="87"/>
      <c r="M5123" s="245"/>
      <c r="N5123" s="168"/>
    </row>
    <row r="5124" ht="22.5" hidden="1" customHeight="1">
      <c r="A5124" s="137"/>
      <c r="B5124" s="90"/>
      <c r="C5124" s="55"/>
      <c r="D5124" s="193"/>
      <c r="E5124" s="201"/>
      <c r="F5124" s="202"/>
      <c r="G5124" s="194"/>
      <c r="H5124" s="198"/>
      <c r="I5124" s="196"/>
      <c r="J5124" s="179" t="str">
        <f>IF(A5124="RAPPI",(VLOOKUP(TRIM(D5124), CATALOGO!F:G, 2, FALSE) * C5124)+I5124,IFERROR(IF(COUNTIF('RESTAURANTESDESCUENTOS 2026'!A:A,TRIM(A5124))&gt;0,((VLOOKUP(TRIM(D5124), CATALOGO!A:B, 2, FALSE) * C5124)*(1-VALUE(SUBSTITUTE(VLOOKUP(TRIM(A5124),'RESTAURANTESDESCUENTOS 2026'!A:B,2,FALSE),"%",""))/100)+I5124),(VLOOKUP(TRIM(D5124), CATALOGO!A:B, 2, FALSE) * C5124+I5124)),""))</f>
        <v/>
      </c>
      <c r="K5124" s="196"/>
      <c r="L5124" s="87"/>
      <c r="M5124" s="245"/>
      <c r="N5124" s="168"/>
    </row>
    <row r="5125" ht="22.5" hidden="1" customHeight="1">
      <c r="A5125" s="137"/>
      <c r="B5125" s="90"/>
      <c r="C5125" s="55"/>
      <c r="D5125" s="193"/>
      <c r="E5125" s="201"/>
      <c r="F5125" s="202"/>
      <c r="G5125" s="194"/>
      <c r="H5125" s="198"/>
      <c r="I5125" s="196"/>
      <c r="J5125" s="179" t="str">
        <f>IF(A5125="RAPPI",(VLOOKUP(TRIM(D5125), CATALOGO!F:G, 2, FALSE) * C5125)+I5125,IFERROR(IF(COUNTIF('RESTAURANTESDESCUENTOS 2026'!A:A,TRIM(A5125))&gt;0,((VLOOKUP(TRIM(D5125), CATALOGO!A:B, 2, FALSE) * C5125)*(1-VALUE(SUBSTITUTE(VLOOKUP(TRIM(A5125),'RESTAURANTESDESCUENTOS 2026'!A:B,2,FALSE),"%",""))/100)+I5125),(VLOOKUP(TRIM(D5125), CATALOGO!A:B, 2, FALSE) * C5125+I5125)),""))</f>
        <v/>
      </c>
      <c r="K5125" s="196"/>
      <c r="L5125" s="87"/>
      <c r="M5125" s="245"/>
      <c r="N5125" s="168"/>
    </row>
    <row r="5126" ht="22.5" hidden="1" customHeight="1">
      <c r="A5126" s="137"/>
      <c r="B5126" s="90"/>
      <c r="C5126" s="55"/>
      <c r="D5126" s="193"/>
      <c r="E5126" s="201"/>
      <c r="F5126" s="202"/>
      <c r="G5126" s="194"/>
      <c r="H5126" s="198"/>
      <c r="I5126" s="196"/>
      <c r="J5126" s="179" t="str">
        <f>IF(A5126="RAPPI",(VLOOKUP(TRIM(D5126), CATALOGO!F:G, 2, FALSE) * C5126)+I5126,IFERROR(IF(COUNTIF('RESTAURANTESDESCUENTOS 2026'!A:A,TRIM(A5126))&gt;0,((VLOOKUP(TRIM(D5126), CATALOGO!A:B, 2, FALSE) * C5126)*(1-VALUE(SUBSTITUTE(VLOOKUP(TRIM(A5126),'RESTAURANTESDESCUENTOS 2026'!A:B,2,FALSE),"%",""))/100)+I5126),(VLOOKUP(TRIM(D5126), CATALOGO!A:B, 2, FALSE) * C5126+I5126)),""))</f>
        <v/>
      </c>
      <c r="K5126" s="196"/>
      <c r="L5126" s="87"/>
      <c r="M5126" s="245"/>
      <c r="N5126" s="168"/>
    </row>
    <row r="5127" ht="22.5" hidden="1" customHeight="1">
      <c r="A5127" s="137"/>
      <c r="B5127" s="90"/>
      <c r="C5127" s="55"/>
      <c r="D5127" s="193"/>
      <c r="E5127" s="201"/>
      <c r="F5127" s="202"/>
      <c r="G5127" s="194"/>
      <c r="H5127" s="198"/>
      <c r="I5127" s="196"/>
      <c r="J5127" s="179" t="str">
        <f>IF(A5127="RAPPI",(VLOOKUP(TRIM(D5127), CATALOGO!F:G, 2, FALSE) * C5127)+I5127,IFERROR(IF(COUNTIF('RESTAURANTESDESCUENTOS 2026'!A:A,TRIM(A5127))&gt;0,((VLOOKUP(TRIM(D5127), CATALOGO!A:B, 2, FALSE) * C5127)*(1-VALUE(SUBSTITUTE(VLOOKUP(TRIM(A5127),'RESTAURANTESDESCUENTOS 2026'!A:B,2,FALSE),"%",""))/100)+I5127),(VLOOKUP(TRIM(D5127), CATALOGO!A:B, 2, FALSE) * C5127+I5127)),""))</f>
        <v/>
      </c>
      <c r="K5127" s="196"/>
      <c r="L5127" s="87"/>
      <c r="M5127" s="245"/>
      <c r="N5127" s="168"/>
    </row>
    <row r="5128" ht="22.5" hidden="1" customHeight="1">
      <c r="A5128" s="137"/>
      <c r="B5128" s="90"/>
      <c r="C5128" s="55"/>
      <c r="D5128" s="193"/>
      <c r="E5128" s="201"/>
      <c r="F5128" s="202"/>
      <c r="G5128" s="194"/>
      <c r="H5128" s="198"/>
      <c r="I5128" s="196"/>
      <c r="J5128" s="179" t="str">
        <f>IF(A5128="RAPPI",(VLOOKUP(TRIM(D5128), CATALOGO!F:G, 2, FALSE) * C5128)+I5128,IFERROR(IF(COUNTIF('RESTAURANTESDESCUENTOS 2026'!A:A,TRIM(A5128))&gt;0,((VLOOKUP(TRIM(D5128), CATALOGO!A:B, 2, FALSE) * C5128)*(1-VALUE(SUBSTITUTE(VLOOKUP(TRIM(A5128),'RESTAURANTESDESCUENTOS 2026'!A:B,2,FALSE),"%",""))/100)+I5128),(VLOOKUP(TRIM(D5128), CATALOGO!A:B, 2, FALSE) * C5128+I5128)),""))</f>
        <v/>
      </c>
      <c r="K5128" s="196"/>
      <c r="L5128" s="87"/>
      <c r="M5128" s="245"/>
      <c r="N5128" s="168"/>
    </row>
    <row r="5129" ht="22.5" hidden="1" customHeight="1">
      <c r="A5129" s="137"/>
      <c r="B5129" s="90"/>
      <c r="C5129" s="55"/>
      <c r="D5129" s="193"/>
      <c r="E5129" s="201"/>
      <c r="F5129" s="202"/>
      <c r="G5129" s="194"/>
      <c r="H5129" s="198"/>
      <c r="I5129" s="196"/>
      <c r="J5129" s="179" t="str">
        <f>IF(A5129="RAPPI",(VLOOKUP(TRIM(D5129), CATALOGO!F:G, 2, FALSE) * C5129)+I5129,IFERROR(IF(COUNTIF('RESTAURANTESDESCUENTOS 2026'!A:A,TRIM(A5129))&gt;0,((VLOOKUP(TRIM(D5129), CATALOGO!A:B, 2, FALSE) * C5129)*(1-VALUE(SUBSTITUTE(VLOOKUP(TRIM(A5129),'RESTAURANTESDESCUENTOS 2026'!A:B,2,FALSE),"%",""))/100)+I5129),(VLOOKUP(TRIM(D5129), CATALOGO!A:B, 2, FALSE) * C5129+I5129)),""))</f>
        <v/>
      </c>
      <c r="K5129" s="196"/>
      <c r="L5129" s="87"/>
      <c r="M5129" s="245"/>
      <c r="N5129" s="168"/>
    </row>
    <row r="5130" ht="22.5" hidden="1" customHeight="1">
      <c r="A5130" s="137"/>
      <c r="B5130" s="90"/>
      <c r="C5130" s="55"/>
      <c r="D5130" s="193"/>
      <c r="E5130" s="201"/>
      <c r="F5130" s="202"/>
      <c r="G5130" s="194"/>
      <c r="H5130" s="198"/>
      <c r="I5130" s="196"/>
      <c r="J5130" s="179" t="str">
        <f>IF(A5130="RAPPI",(VLOOKUP(TRIM(D5130), CATALOGO!F:G, 2, FALSE) * C5130)+I5130,IFERROR(IF(COUNTIF('RESTAURANTESDESCUENTOS 2026'!A:A,TRIM(A5130))&gt;0,((VLOOKUP(TRIM(D5130), CATALOGO!A:B, 2, FALSE) * C5130)*(1-VALUE(SUBSTITUTE(VLOOKUP(TRIM(A5130),'RESTAURANTESDESCUENTOS 2026'!A:B,2,FALSE),"%",""))/100)+I5130),(VLOOKUP(TRIM(D5130), CATALOGO!A:B, 2, FALSE) * C5130+I5130)),""))</f>
        <v/>
      </c>
      <c r="K5130" s="196"/>
      <c r="L5130" s="87"/>
      <c r="M5130" s="245"/>
      <c r="N5130" s="168"/>
    </row>
    <row r="5131" ht="22.5" hidden="1" customHeight="1">
      <c r="A5131" s="137"/>
      <c r="B5131" s="90"/>
      <c r="C5131" s="55"/>
      <c r="D5131" s="193"/>
      <c r="E5131" s="201"/>
      <c r="F5131" s="202"/>
      <c r="G5131" s="194"/>
      <c r="H5131" s="198"/>
      <c r="I5131" s="196"/>
      <c r="J5131" s="179" t="str">
        <f>IF(A5131="RAPPI",(VLOOKUP(TRIM(D5131), CATALOGO!F:G, 2, FALSE) * C5131)+I5131,IFERROR(IF(COUNTIF('RESTAURANTESDESCUENTOS 2026'!A:A,TRIM(A5131))&gt;0,((VLOOKUP(TRIM(D5131), CATALOGO!A:B, 2, FALSE) * C5131)*(1-VALUE(SUBSTITUTE(VLOOKUP(TRIM(A5131),'RESTAURANTESDESCUENTOS 2026'!A:B,2,FALSE),"%",""))/100)+I5131),(VLOOKUP(TRIM(D5131), CATALOGO!A:B, 2, FALSE) * C5131+I5131)),""))</f>
        <v/>
      </c>
      <c r="K5131" s="196"/>
      <c r="L5131" s="87"/>
      <c r="M5131" s="245"/>
      <c r="N5131" s="168"/>
    </row>
    <row r="5132" ht="22.5" hidden="1" customHeight="1">
      <c r="A5132" s="137"/>
      <c r="B5132" s="90"/>
      <c r="C5132" s="55"/>
      <c r="D5132" s="193"/>
      <c r="E5132" s="201"/>
      <c r="F5132" s="202"/>
      <c r="G5132" s="194"/>
      <c r="H5132" s="198"/>
      <c r="I5132" s="196"/>
      <c r="J5132" s="179" t="str">
        <f>IF(A5132="RAPPI",(VLOOKUP(TRIM(D5132), CATALOGO!F:G, 2, FALSE) * C5132)+I5132,IFERROR(IF(COUNTIF('RESTAURANTESDESCUENTOS 2026'!A:A,TRIM(A5132))&gt;0,((VLOOKUP(TRIM(D5132), CATALOGO!A:B, 2, FALSE) * C5132)*(1-VALUE(SUBSTITUTE(VLOOKUP(TRIM(A5132),'RESTAURANTESDESCUENTOS 2026'!A:B,2,FALSE),"%",""))/100)+I5132),(VLOOKUP(TRIM(D5132), CATALOGO!A:B, 2, FALSE) * C5132+I5132)),""))</f>
        <v/>
      </c>
      <c r="K5132" s="196"/>
      <c r="L5132" s="87"/>
      <c r="M5132" s="245"/>
      <c r="N5132" s="168"/>
    </row>
    <row r="5133" ht="22.5" hidden="1" customHeight="1">
      <c r="A5133" s="137"/>
      <c r="B5133" s="90"/>
      <c r="C5133" s="55"/>
      <c r="D5133" s="193"/>
      <c r="E5133" s="201"/>
      <c r="F5133" s="202"/>
      <c r="G5133" s="194"/>
      <c r="H5133" s="198"/>
      <c r="I5133" s="196"/>
      <c r="J5133" s="179" t="str">
        <f>IF(A5133="RAPPI",(VLOOKUP(TRIM(D5133), CATALOGO!F:G, 2, FALSE) * C5133)+I5133,IFERROR(IF(COUNTIF('RESTAURANTESDESCUENTOS 2026'!A:A,TRIM(A5133))&gt;0,((VLOOKUP(TRIM(D5133), CATALOGO!A:B, 2, FALSE) * C5133)*(1-VALUE(SUBSTITUTE(VLOOKUP(TRIM(A5133),'RESTAURANTESDESCUENTOS 2026'!A:B,2,FALSE),"%",""))/100)+I5133),(VLOOKUP(TRIM(D5133), CATALOGO!A:B, 2, FALSE) * C5133+I5133)),""))</f>
        <v/>
      </c>
      <c r="K5133" s="196"/>
      <c r="L5133" s="87"/>
      <c r="M5133" s="245"/>
      <c r="N5133" s="168"/>
    </row>
    <row r="5134" ht="22.5" hidden="1" customHeight="1">
      <c r="A5134" s="137"/>
      <c r="B5134" s="90"/>
      <c r="C5134" s="55"/>
      <c r="D5134" s="193"/>
      <c r="E5134" s="201"/>
      <c r="F5134" s="202"/>
      <c r="G5134" s="194"/>
      <c r="H5134" s="198"/>
      <c r="I5134" s="196"/>
      <c r="J5134" s="179" t="str">
        <f>IF(A5134="RAPPI",(VLOOKUP(TRIM(D5134), CATALOGO!F:G, 2, FALSE) * C5134)+I5134,IFERROR(IF(COUNTIF('RESTAURANTESDESCUENTOS 2026'!A:A,TRIM(A5134))&gt;0,((VLOOKUP(TRIM(D5134), CATALOGO!A:B, 2, FALSE) * C5134)*(1-VALUE(SUBSTITUTE(VLOOKUP(TRIM(A5134),'RESTAURANTESDESCUENTOS 2026'!A:B,2,FALSE),"%",""))/100)+I5134),(VLOOKUP(TRIM(D5134), CATALOGO!A:B, 2, FALSE) * C5134+I5134)),""))</f>
        <v/>
      </c>
      <c r="K5134" s="196"/>
      <c r="L5134" s="87"/>
      <c r="M5134" s="245"/>
      <c r="N5134" s="168"/>
    </row>
    <row r="5135" ht="22.5" hidden="1" customHeight="1">
      <c r="A5135" s="137"/>
      <c r="B5135" s="90"/>
      <c r="C5135" s="55"/>
      <c r="D5135" s="193"/>
      <c r="E5135" s="201"/>
      <c r="F5135" s="202"/>
      <c r="G5135" s="194"/>
      <c r="H5135" s="198"/>
      <c r="I5135" s="196"/>
      <c r="J5135" s="179" t="str">
        <f>IF(A5135="RAPPI",(VLOOKUP(TRIM(D5135), CATALOGO!F:G, 2, FALSE) * C5135)+I5135,IFERROR(IF(COUNTIF('RESTAURANTESDESCUENTOS 2026'!A:A,TRIM(A5135))&gt;0,((VLOOKUP(TRIM(D5135), CATALOGO!A:B, 2, FALSE) * C5135)*(1-VALUE(SUBSTITUTE(VLOOKUP(TRIM(A5135),'RESTAURANTESDESCUENTOS 2026'!A:B,2,FALSE),"%",""))/100)+I5135),(VLOOKUP(TRIM(D5135), CATALOGO!A:B, 2, FALSE) * C5135+I5135)),""))</f>
        <v/>
      </c>
      <c r="K5135" s="196"/>
      <c r="L5135" s="87"/>
      <c r="M5135" s="245"/>
      <c r="N5135" s="168"/>
    </row>
    <row r="5136" ht="22.5" hidden="1" customHeight="1">
      <c r="A5136" s="137"/>
      <c r="B5136" s="90"/>
      <c r="C5136" s="55"/>
      <c r="D5136" s="193"/>
      <c r="E5136" s="201"/>
      <c r="F5136" s="202"/>
      <c r="G5136" s="194"/>
      <c r="H5136" s="198"/>
      <c r="I5136" s="196"/>
      <c r="J5136" s="179" t="str">
        <f>IF(A5136="RAPPI",(VLOOKUP(TRIM(D5136), CATALOGO!F:G, 2, FALSE) * C5136)+I5136,IFERROR(IF(COUNTIF('RESTAURANTESDESCUENTOS 2026'!A:A,TRIM(A5136))&gt;0,((VLOOKUP(TRIM(D5136), CATALOGO!A:B, 2, FALSE) * C5136)*(1-VALUE(SUBSTITUTE(VLOOKUP(TRIM(A5136),'RESTAURANTESDESCUENTOS 2026'!A:B,2,FALSE),"%",""))/100)+I5136),(VLOOKUP(TRIM(D5136), CATALOGO!A:B, 2, FALSE) * C5136+I5136)),""))</f>
        <v/>
      </c>
      <c r="K5136" s="196"/>
      <c r="L5136" s="87"/>
      <c r="M5136" s="245"/>
      <c r="N5136" s="168"/>
    </row>
    <row r="5137" ht="22.5" hidden="1" customHeight="1">
      <c r="A5137" s="137"/>
      <c r="B5137" s="90"/>
      <c r="C5137" s="55"/>
      <c r="D5137" s="193"/>
      <c r="E5137" s="201"/>
      <c r="F5137" s="202"/>
      <c r="G5137" s="194"/>
      <c r="H5137" s="198"/>
      <c r="I5137" s="196"/>
      <c r="J5137" s="179" t="str">
        <f>IF(A5137="RAPPI",(VLOOKUP(TRIM(D5137), CATALOGO!F:G, 2, FALSE) * C5137)+I5137,IFERROR(IF(COUNTIF('RESTAURANTESDESCUENTOS 2026'!A:A,TRIM(A5137))&gt;0,((VLOOKUP(TRIM(D5137), CATALOGO!A:B, 2, FALSE) * C5137)*(1-VALUE(SUBSTITUTE(VLOOKUP(TRIM(A5137),'RESTAURANTESDESCUENTOS 2026'!A:B,2,FALSE),"%",""))/100)+I5137),(VLOOKUP(TRIM(D5137), CATALOGO!A:B, 2, FALSE) * C5137+I5137)),""))</f>
        <v/>
      </c>
      <c r="K5137" s="196"/>
      <c r="L5137" s="87"/>
      <c r="M5137" s="245"/>
      <c r="N5137" s="168"/>
    </row>
    <row r="5138" ht="22.5" hidden="1" customHeight="1">
      <c r="A5138" s="137"/>
      <c r="B5138" s="90"/>
      <c r="C5138" s="55"/>
      <c r="D5138" s="193"/>
      <c r="E5138" s="201"/>
      <c r="F5138" s="202"/>
      <c r="G5138" s="194"/>
      <c r="H5138" s="198"/>
      <c r="I5138" s="196"/>
      <c r="J5138" s="179" t="str">
        <f>IF(A5138="RAPPI",(VLOOKUP(TRIM(D5138), CATALOGO!F:G, 2, FALSE) * C5138)+I5138,IFERROR(IF(COUNTIF('RESTAURANTESDESCUENTOS 2026'!A:A,TRIM(A5138))&gt;0,((VLOOKUP(TRIM(D5138), CATALOGO!A:B, 2, FALSE) * C5138)*(1-VALUE(SUBSTITUTE(VLOOKUP(TRIM(A5138),'RESTAURANTESDESCUENTOS 2026'!A:B,2,FALSE),"%",""))/100)+I5138),(VLOOKUP(TRIM(D5138), CATALOGO!A:B, 2, FALSE) * C5138+I5138)),""))</f>
        <v/>
      </c>
      <c r="K5138" s="196"/>
      <c r="L5138" s="87"/>
      <c r="M5138" s="245"/>
      <c r="N5138" s="168"/>
    </row>
    <row r="5139" ht="22.5" hidden="1" customHeight="1">
      <c r="A5139" s="137"/>
      <c r="B5139" s="90"/>
      <c r="C5139" s="55"/>
      <c r="D5139" s="193"/>
      <c r="E5139" s="201"/>
      <c r="F5139" s="202"/>
      <c r="G5139" s="194"/>
      <c r="H5139" s="198"/>
      <c r="I5139" s="196"/>
      <c r="J5139" s="179" t="str">
        <f>IF(A5139="RAPPI",(VLOOKUP(TRIM(D5139), CATALOGO!F:G, 2, FALSE) * C5139)+I5139,IFERROR(IF(COUNTIF('RESTAURANTESDESCUENTOS 2026'!A:A,TRIM(A5139))&gt;0,((VLOOKUP(TRIM(D5139), CATALOGO!A:B, 2, FALSE) * C5139)*(1-VALUE(SUBSTITUTE(VLOOKUP(TRIM(A5139),'RESTAURANTESDESCUENTOS 2026'!A:B,2,FALSE),"%",""))/100)+I5139),(VLOOKUP(TRIM(D5139), CATALOGO!A:B, 2, FALSE) * C5139+I5139)),""))</f>
        <v/>
      </c>
      <c r="K5139" s="196"/>
      <c r="L5139" s="87"/>
      <c r="M5139" s="245"/>
      <c r="N5139" s="168"/>
    </row>
    <row r="5140" ht="22.5" hidden="1" customHeight="1">
      <c r="A5140" s="137"/>
      <c r="B5140" s="90"/>
      <c r="C5140" s="55"/>
      <c r="D5140" s="193"/>
      <c r="E5140" s="201"/>
      <c r="F5140" s="202"/>
      <c r="G5140" s="194"/>
      <c r="H5140" s="198"/>
      <c r="I5140" s="196"/>
      <c r="J5140" s="179" t="str">
        <f>IF(A5140="RAPPI",(VLOOKUP(TRIM(D5140), CATALOGO!F:G, 2, FALSE) * C5140)+I5140,IFERROR(IF(COUNTIF('RESTAURANTESDESCUENTOS 2026'!A:A,TRIM(A5140))&gt;0,((VLOOKUP(TRIM(D5140), CATALOGO!A:B, 2, FALSE) * C5140)*(1-VALUE(SUBSTITUTE(VLOOKUP(TRIM(A5140),'RESTAURANTESDESCUENTOS 2026'!A:B,2,FALSE),"%",""))/100)+I5140),(VLOOKUP(TRIM(D5140), CATALOGO!A:B, 2, FALSE) * C5140+I5140)),""))</f>
        <v/>
      </c>
      <c r="K5140" s="196"/>
      <c r="L5140" s="87"/>
      <c r="M5140" s="245"/>
      <c r="N5140" s="168"/>
    </row>
    <row r="5141" ht="22.5" hidden="1" customHeight="1">
      <c r="A5141" s="137"/>
      <c r="B5141" s="90"/>
      <c r="C5141" s="55"/>
      <c r="D5141" s="193"/>
      <c r="E5141" s="201"/>
      <c r="F5141" s="202"/>
      <c r="G5141" s="194"/>
      <c r="H5141" s="198"/>
      <c r="I5141" s="196"/>
      <c r="J5141" s="179" t="str">
        <f>IF(A5141="RAPPI",(VLOOKUP(TRIM(D5141), CATALOGO!F:G, 2, FALSE) * C5141)+I5141,IFERROR(IF(COUNTIF('RESTAURANTESDESCUENTOS 2026'!A:A,TRIM(A5141))&gt;0,((VLOOKUP(TRIM(D5141), CATALOGO!A:B, 2, FALSE) * C5141)*(1-VALUE(SUBSTITUTE(VLOOKUP(TRIM(A5141),'RESTAURANTESDESCUENTOS 2026'!A:B,2,FALSE),"%",""))/100)+I5141),(VLOOKUP(TRIM(D5141), CATALOGO!A:B, 2, FALSE) * C5141+I5141)),""))</f>
        <v/>
      </c>
      <c r="K5141" s="196"/>
      <c r="L5141" s="87"/>
      <c r="M5141" s="245"/>
      <c r="N5141" s="168"/>
    </row>
    <row r="5142" ht="22.5" hidden="1" customHeight="1">
      <c r="A5142" s="137"/>
      <c r="B5142" s="90"/>
      <c r="C5142" s="55"/>
      <c r="D5142" s="193"/>
      <c r="E5142" s="201"/>
      <c r="F5142" s="202"/>
      <c r="G5142" s="194"/>
      <c r="H5142" s="198"/>
      <c r="I5142" s="196"/>
      <c r="J5142" s="179" t="str">
        <f>IF(A5142="RAPPI",(VLOOKUP(TRIM(D5142), CATALOGO!F:G, 2, FALSE) * C5142)+I5142,IFERROR(IF(COUNTIF('RESTAURANTESDESCUENTOS 2026'!A:A,TRIM(A5142))&gt;0,((VLOOKUP(TRIM(D5142), CATALOGO!A:B, 2, FALSE) * C5142)*(1-VALUE(SUBSTITUTE(VLOOKUP(TRIM(A5142),'RESTAURANTESDESCUENTOS 2026'!A:B,2,FALSE),"%",""))/100)+I5142),(VLOOKUP(TRIM(D5142), CATALOGO!A:B, 2, FALSE) * C5142+I5142)),""))</f>
        <v/>
      </c>
      <c r="K5142" s="196"/>
      <c r="L5142" s="87"/>
      <c r="M5142" s="245"/>
      <c r="N5142" s="168"/>
    </row>
    <row r="5143" ht="22.5" hidden="1" customHeight="1">
      <c r="A5143" s="137"/>
      <c r="B5143" s="90"/>
      <c r="C5143" s="55"/>
      <c r="D5143" s="193"/>
      <c r="E5143" s="201"/>
      <c r="F5143" s="202"/>
      <c r="G5143" s="194"/>
      <c r="H5143" s="198"/>
      <c r="I5143" s="196"/>
      <c r="J5143" s="179" t="str">
        <f>IF(A5143="RAPPI",(VLOOKUP(TRIM(D5143), CATALOGO!F:G, 2, FALSE) * C5143)+I5143,IFERROR(IF(COUNTIF('RESTAURANTESDESCUENTOS 2026'!A:A,TRIM(A5143))&gt;0,((VLOOKUP(TRIM(D5143), CATALOGO!A:B, 2, FALSE) * C5143)*(1-VALUE(SUBSTITUTE(VLOOKUP(TRIM(A5143),'RESTAURANTESDESCUENTOS 2026'!A:B,2,FALSE),"%",""))/100)+I5143),(VLOOKUP(TRIM(D5143), CATALOGO!A:B, 2, FALSE) * C5143+I5143)),""))</f>
        <v/>
      </c>
      <c r="K5143" s="196"/>
      <c r="L5143" s="87"/>
      <c r="M5143" s="245"/>
      <c r="N5143" s="168"/>
    </row>
    <row r="5144" ht="22.5" hidden="1" customHeight="1">
      <c r="A5144" s="137"/>
      <c r="B5144" s="90"/>
      <c r="C5144" s="55"/>
      <c r="D5144" s="193"/>
      <c r="E5144" s="201"/>
      <c r="F5144" s="202"/>
      <c r="G5144" s="194"/>
      <c r="H5144" s="198"/>
      <c r="I5144" s="196"/>
      <c r="J5144" s="179" t="str">
        <f>IF(A5144="RAPPI",(VLOOKUP(TRIM(D5144), CATALOGO!F:G, 2, FALSE) * C5144)+I5144,IFERROR(IF(COUNTIF('RESTAURANTESDESCUENTOS 2026'!A:A,TRIM(A5144))&gt;0,((VLOOKUP(TRIM(D5144), CATALOGO!A:B, 2, FALSE) * C5144)*(1-VALUE(SUBSTITUTE(VLOOKUP(TRIM(A5144),'RESTAURANTESDESCUENTOS 2026'!A:B,2,FALSE),"%",""))/100)+I5144),(VLOOKUP(TRIM(D5144), CATALOGO!A:B, 2, FALSE) * C5144+I5144)),""))</f>
        <v/>
      </c>
      <c r="K5144" s="196"/>
      <c r="L5144" s="87"/>
      <c r="M5144" s="245"/>
      <c r="N5144" s="168"/>
    </row>
    <row r="5145" ht="22.5" hidden="1" customHeight="1">
      <c r="A5145" s="137"/>
      <c r="B5145" s="90"/>
      <c r="C5145" s="55"/>
      <c r="D5145" s="193"/>
      <c r="E5145" s="201"/>
      <c r="F5145" s="202"/>
      <c r="G5145" s="194"/>
      <c r="H5145" s="198"/>
      <c r="I5145" s="196"/>
      <c r="J5145" s="179" t="str">
        <f>IF(A5145="RAPPI",(VLOOKUP(TRIM(D5145), CATALOGO!F:G, 2, FALSE) * C5145)+I5145,IFERROR(IF(COUNTIF('RESTAURANTESDESCUENTOS 2026'!A:A,TRIM(A5145))&gt;0,((VLOOKUP(TRIM(D5145), CATALOGO!A:B, 2, FALSE) * C5145)*(1-VALUE(SUBSTITUTE(VLOOKUP(TRIM(A5145),'RESTAURANTESDESCUENTOS 2026'!A:B,2,FALSE),"%",""))/100)+I5145),(VLOOKUP(TRIM(D5145), CATALOGO!A:B, 2, FALSE) * C5145+I5145)),""))</f>
        <v/>
      </c>
      <c r="K5145" s="196"/>
      <c r="L5145" s="87"/>
      <c r="M5145" s="245"/>
      <c r="N5145" s="168"/>
    </row>
    <row r="5146" ht="22.5" hidden="1" customHeight="1">
      <c r="A5146" s="137"/>
      <c r="B5146" s="90"/>
      <c r="C5146" s="55"/>
      <c r="D5146" s="193"/>
      <c r="E5146" s="201"/>
      <c r="F5146" s="202"/>
      <c r="G5146" s="194"/>
      <c r="H5146" s="198"/>
      <c r="I5146" s="196"/>
      <c r="J5146" s="179" t="str">
        <f>IF(A5146="RAPPI",(VLOOKUP(TRIM(D5146), CATALOGO!F:G, 2, FALSE) * C5146)+I5146,IFERROR(IF(COUNTIF('RESTAURANTESDESCUENTOS 2026'!A:A,TRIM(A5146))&gt;0,((VLOOKUP(TRIM(D5146), CATALOGO!A:B, 2, FALSE) * C5146)*(1-VALUE(SUBSTITUTE(VLOOKUP(TRIM(A5146),'RESTAURANTESDESCUENTOS 2026'!A:B,2,FALSE),"%",""))/100)+I5146),(VLOOKUP(TRIM(D5146), CATALOGO!A:B, 2, FALSE) * C5146+I5146)),""))</f>
        <v/>
      </c>
      <c r="K5146" s="196"/>
      <c r="L5146" s="87"/>
      <c r="M5146" s="245"/>
      <c r="N5146" s="168"/>
    </row>
    <row r="5147" ht="22.5" hidden="1" customHeight="1">
      <c r="A5147" s="137"/>
      <c r="B5147" s="90"/>
      <c r="C5147" s="55"/>
      <c r="D5147" s="193"/>
      <c r="E5147" s="201"/>
      <c r="F5147" s="202"/>
      <c r="G5147" s="194"/>
      <c r="H5147" s="198"/>
      <c r="I5147" s="196"/>
      <c r="J5147" s="179" t="str">
        <f>IF(A5147="RAPPI",(VLOOKUP(TRIM(D5147), CATALOGO!F:G, 2, FALSE) * C5147)+I5147,IFERROR(IF(COUNTIF('RESTAURANTESDESCUENTOS 2026'!A:A,TRIM(A5147))&gt;0,((VLOOKUP(TRIM(D5147), CATALOGO!A:B, 2, FALSE) * C5147)*(1-VALUE(SUBSTITUTE(VLOOKUP(TRIM(A5147),'RESTAURANTESDESCUENTOS 2026'!A:B,2,FALSE),"%",""))/100)+I5147),(VLOOKUP(TRIM(D5147), CATALOGO!A:B, 2, FALSE) * C5147+I5147)),""))</f>
        <v/>
      </c>
      <c r="K5147" s="196"/>
      <c r="L5147" s="87"/>
      <c r="M5147" s="245"/>
      <c r="N5147" s="168"/>
    </row>
    <row r="5148" ht="22.5" hidden="1" customHeight="1">
      <c r="A5148" s="137"/>
      <c r="B5148" s="90"/>
      <c r="C5148" s="55"/>
      <c r="D5148" s="193"/>
      <c r="E5148" s="201"/>
      <c r="F5148" s="202"/>
      <c r="G5148" s="194"/>
      <c r="H5148" s="198"/>
      <c r="I5148" s="196"/>
      <c r="J5148" s="179" t="str">
        <f>IF(A5148="RAPPI",(VLOOKUP(TRIM(D5148), CATALOGO!F:G, 2, FALSE) * C5148)+I5148,IFERROR(IF(COUNTIF('RESTAURANTESDESCUENTOS 2026'!A:A,TRIM(A5148))&gt;0,((VLOOKUP(TRIM(D5148), CATALOGO!A:B, 2, FALSE) * C5148)*(1-VALUE(SUBSTITUTE(VLOOKUP(TRIM(A5148),'RESTAURANTESDESCUENTOS 2026'!A:B,2,FALSE),"%",""))/100)+I5148),(VLOOKUP(TRIM(D5148), CATALOGO!A:B, 2, FALSE) * C5148+I5148)),""))</f>
        <v/>
      </c>
      <c r="K5148" s="196"/>
      <c r="L5148" s="87"/>
      <c r="M5148" s="245"/>
      <c r="N5148" s="168"/>
    </row>
    <row r="5149" ht="22.5" hidden="1" customHeight="1">
      <c r="A5149" s="137"/>
      <c r="B5149" s="90"/>
      <c r="C5149" s="55"/>
      <c r="D5149" s="193"/>
      <c r="E5149" s="201"/>
      <c r="F5149" s="202"/>
      <c r="G5149" s="194"/>
      <c r="H5149" s="198"/>
      <c r="I5149" s="196"/>
      <c r="J5149" s="179" t="str">
        <f>IF(A5149="RAPPI",(VLOOKUP(TRIM(D5149), CATALOGO!F:G, 2, FALSE) * C5149)+I5149,IFERROR(IF(COUNTIF('RESTAURANTESDESCUENTOS 2026'!A:A,TRIM(A5149))&gt;0,((VLOOKUP(TRIM(D5149), CATALOGO!A:B, 2, FALSE) * C5149)*(1-VALUE(SUBSTITUTE(VLOOKUP(TRIM(A5149),'RESTAURANTESDESCUENTOS 2026'!A:B,2,FALSE),"%",""))/100)+I5149),(VLOOKUP(TRIM(D5149), CATALOGO!A:B, 2, FALSE) * C5149+I5149)),""))</f>
        <v/>
      </c>
      <c r="K5149" s="196"/>
      <c r="L5149" s="87"/>
      <c r="M5149" s="245"/>
      <c r="N5149" s="168"/>
    </row>
    <row r="5150" ht="22.5" hidden="1" customHeight="1">
      <c r="A5150" s="137"/>
      <c r="B5150" s="90"/>
      <c r="C5150" s="55"/>
      <c r="D5150" s="193"/>
      <c r="E5150" s="201"/>
      <c r="F5150" s="202"/>
      <c r="G5150" s="194"/>
      <c r="H5150" s="198"/>
      <c r="I5150" s="196"/>
      <c r="J5150" s="179" t="str">
        <f>IF(A5150="RAPPI",(VLOOKUP(TRIM(D5150), CATALOGO!F:G, 2, FALSE) * C5150)+I5150,IFERROR(IF(COUNTIF('RESTAURANTESDESCUENTOS 2026'!A:A,TRIM(A5150))&gt;0,((VLOOKUP(TRIM(D5150), CATALOGO!A:B, 2, FALSE) * C5150)*(1-VALUE(SUBSTITUTE(VLOOKUP(TRIM(A5150),'RESTAURANTESDESCUENTOS 2026'!A:B,2,FALSE),"%",""))/100)+I5150),(VLOOKUP(TRIM(D5150), CATALOGO!A:B, 2, FALSE) * C5150+I5150)),""))</f>
        <v/>
      </c>
      <c r="K5150" s="196"/>
      <c r="L5150" s="87"/>
      <c r="M5150" s="245"/>
      <c r="N5150" s="168"/>
    </row>
    <row r="5151" ht="22.5" hidden="1" customHeight="1">
      <c r="A5151" s="137"/>
      <c r="B5151" s="90"/>
      <c r="C5151" s="55"/>
      <c r="D5151" s="193"/>
      <c r="E5151" s="201"/>
      <c r="F5151" s="202"/>
      <c r="G5151" s="194"/>
      <c r="H5151" s="198"/>
      <c r="I5151" s="196"/>
      <c r="J5151" s="179" t="str">
        <f>IF(A5151="RAPPI",(VLOOKUP(TRIM(D5151), CATALOGO!F:G, 2, FALSE) * C5151)+I5151,IFERROR(IF(COUNTIF('RESTAURANTESDESCUENTOS 2026'!A:A,TRIM(A5151))&gt;0,((VLOOKUP(TRIM(D5151), CATALOGO!A:B, 2, FALSE) * C5151)*(1-VALUE(SUBSTITUTE(VLOOKUP(TRIM(A5151),'RESTAURANTESDESCUENTOS 2026'!A:B,2,FALSE),"%",""))/100)+I5151),(VLOOKUP(TRIM(D5151), CATALOGO!A:B, 2, FALSE) * C5151+I5151)),""))</f>
        <v/>
      </c>
      <c r="K5151" s="196"/>
      <c r="L5151" s="87"/>
      <c r="M5151" s="245"/>
      <c r="N5151" s="168"/>
    </row>
    <row r="5152" ht="22.5" hidden="1" customHeight="1">
      <c r="A5152" s="137"/>
      <c r="B5152" s="90"/>
      <c r="C5152" s="55"/>
      <c r="D5152" s="193"/>
      <c r="E5152" s="201"/>
      <c r="F5152" s="202"/>
      <c r="G5152" s="194"/>
      <c r="H5152" s="198"/>
      <c r="I5152" s="196"/>
      <c r="J5152" s="179" t="str">
        <f>IF(A5152="RAPPI",(VLOOKUP(TRIM(D5152), CATALOGO!F:G, 2, FALSE) * C5152)+I5152,IFERROR(IF(COUNTIF('RESTAURANTESDESCUENTOS 2026'!A:A,TRIM(A5152))&gt;0,((VLOOKUP(TRIM(D5152), CATALOGO!A:B, 2, FALSE) * C5152)*(1-VALUE(SUBSTITUTE(VLOOKUP(TRIM(A5152),'RESTAURANTESDESCUENTOS 2026'!A:B,2,FALSE),"%",""))/100)+I5152),(VLOOKUP(TRIM(D5152), CATALOGO!A:B, 2, FALSE) * C5152+I5152)),""))</f>
        <v/>
      </c>
      <c r="K5152" s="196"/>
      <c r="L5152" s="87"/>
      <c r="M5152" s="245"/>
      <c r="N5152" s="168"/>
    </row>
    <row r="5153" ht="22.5" hidden="1" customHeight="1">
      <c r="A5153" s="137"/>
      <c r="B5153" s="90"/>
      <c r="C5153" s="55"/>
      <c r="D5153" s="193"/>
      <c r="E5153" s="201"/>
      <c r="F5153" s="202"/>
      <c r="G5153" s="194"/>
      <c r="H5153" s="198"/>
      <c r="I5153" s="196"/>
      <c r="J5153" s="179" t="str">
        <f>IF(A5153="RAPPI",(VLOOKUP(TRIM(D5153), CATALOGO!F:G, 2, FALSE) * C5153)+I5153,IFERROR(IF(COUNTIF('RESTAURANTESDESCUENTOS 2026'!A:A,TRIM(A5153))&gt;0,((VLOOKUP(TRIM(D5153), CATALOGO!A:B, 2, FALSE) * C5153)*(1-VALUE(SUBSTITUTE(VLOOKUP(TRIM(A5153),'RESTAURANTESDESCUENTOS 2026'!A:B,2,FALSE),"%",""))/100)+I5153),(VLOOKUP(TRIM(D5153), CATALOGO!A:B, 2, FALSE) * C5153+I5153)),""))</f>
        <v/>
      </c>
      <c r="K5153" s="196"/>
      <c r="L5153" s="87"/>
      <c r="M5153" s="245"/>
      <c r="N5153" s="168"/>
    </row>
    <row r="5154" ht="22.5" hidden="1" customHeight="1">
      <c r="A5154" s="137"/>
      <c r="B5154" s="90"/>
      <c r="C5154" s="55"/>
      <c r="D5154" s="193"/>
      <c r="E5154" s="201"/>
      <c r="F5154" s="202"/>
      <c r="G5154" s="194"/>
      <c r="H5154" s="198"/>
      <c r="I5154" s="196"/>
      <c r="J5154" s="179" t="str">
        <f>IF(A5154="RAPPI",(VLOOKUP(TRIM(D5154), CATALOGO!F:G, 2, FALSE) * C5154)+I5154,IFERROR(IF(COUNTIF('RESTAURANTESDESCUENTOS 2026'!A:A,TRIM(A5154))&gt;0,((VLOOKUP(TRIM(D5154), CATALOGO!A:B, 2, FALSE) * C5154)*(1-VALUE(SUBSTITUTE(VLOOKUP(TRIM(A5154),'RESTAURANTESDESCUENTOS 2026'!A:B,2,FALSE),"%",""))/100)+I5154),(VLOOKUP(TRIM(D5154), CATALOGO!A:B, 2, FALSE) * C5154+I5154)),""))</f>
        <v/>
      </c>
      <c r="K5154" s="196"/>
      <c r="L5154" s="87"/>
      <c r="M5154" s="245"/>
      <c r="N5154" s="168"/>
    </row>
    <row r="5155" ht="22.5" hidden="1" customHeight="1">
      <c r="A5155" s="137"/>
      <c r="B5155" s="90"/>
      <c r="C5155" s="55"/>
      <c r="D5155" s="193"/>
      <c r="E5155" s="201"/>
      <c r="F5155" s="202"/>
      <c r="G5155" s="194"/>
      <c r="H5155" s="198"/>
      <c r="I5155" s="196"/>
      <c r="J5155" s="179" t="str">
        <f>IF(A5155="RAPPI",(VLOOKUP(TRIM(D5155), CATALOGO!F:G, 2, FALSE) * C5155)+I5155,IFERROR(IF(COUNTIF('RESTAURANTESDESCUENTOS 2026'!A:A,TRIM(A5155))&gt;0,((VLOOKUP(TRIM(D5155), CATALOGO!A:B, 2, FALSE) * C5155)*(1-VALUE(SUBSTITUTE(VLOOKUP(TRIM(A5155),'RESTAURANTESDESCUENTOS 2026'!A:B,2,FALSE),"%",""))/100)+I5155),(VLOOKUP(TRIM(D5155), CATALOGO!A:B, 2, FALSE) * C5155+I5155)),""))</f>
        <v/>
      </c>
      <c r="K5155" s="196"/>
      <c r="L5155" s="87"/>
      <c r="M5155" s="245"/>
      <c r="N5155" s="168"/>
    </row>
    <row r="5156" ht="22.5" hidden="1" customHeight="1">
      <c r="A5156" s="137"/>
      <c r="B5156" s="90"/>
      <c r="C5156" s="55"/>
      <c r="D5156" s="193"/>
      <c r="E5156" s="201"/>
      <c r="F5156" s="202"/>
      <c r="G5156" s="194"/>
      <c r="H5156" s="198"/>
      <c r="I5156" s="196"/>
      <c r="J5156" s="179" t="str">
        <f>IF(A5156="RAPPI",(VLOOKUP(TRIM(D5156), CATALOGO!F:G, 2, FALSE) * C5156)+I5156,IFERROR(IF(COUNTIF('RESTAURANTESDESCUENTOS 2026'!A:A,TRIM(A5156))&gt;0,((VLOOKUP(TRIM(D5156), CATALOGO!A:B, 2, FALSE) * C5156)*(1-VALUE(SUBSTITUTE(VLOOKUP(TRIM(A5156),'RESTAURANTESDESCUENTOS 2026'!A:B,2,FALSE),"%",""))/100)+I5156),(VLOOKUP(TRIM(D5156), CATALOGO!A:B, 2, FALSE) * C5156+I5156)),""))</f>
        <v/>
      </c>
      <c r="K5156" s="196"/>
      <c r="L5156" s="87"/>
      <c r="M5156" s="245"/>
      <c r="N5156" s="168"/>
    </row>
    <row r="5157" ht="22.5" hidden="1" customHeight="1">
      <c r="A5157" s="137"/>
      <c r="B5157" s="90"/>
      <c r="C5157" s="55"/>
      <c r="D5157" s="193"/>
      <c r="E5157" s="201"/>
      <c r="F5157" s="202"/>
      <c r="G5157" s="194"/>
      <c r="H5157" s="198"/>
      <c r="I5157" s="196"/>
      <c r="J5157" s="179" t="str">
        <f>IF(A5157="RAPPI",(VLOOKUP(TRIM(D5157), CATALOGO!F:G, 2, FALSE) * C5157)+I5157,IFERROR(IF(COUNTIF('RESTAURANTESDESCUENTOS 2026'!A:A,TRIM(A5157))&gt;0,((VLOOKUP(TRIM(D5157), CATALOGO!A:B, 2, FALSE) * C5157)*(1-VALUE(SUBSTITUTE(VLOOKUP(TRIM(A5157),'RESTAURANTESDESCUENTOS 2026'!A:B,2,FALSE),"%",""))/100)+I5157),(VLOOKUP(TRIM(D5157), CATALOGO!A:B, 2, FALSE) * C5157+I5157)),""))</f>
        <v/>
      </c>
      <c r="K5157" s="196"/>
      <c r="L5157" s="87"/>
      <c r="M5157" s="245"/>
      <c r="N5157" s="168"/>
    </row>
    <row r="5158" ht="22.5" hidden="1" customHeight="1">
      <c r="A5158" s="137"/>
      <c r="B5158" s="90"/>
      <c r="C5158" s="55"/>
      <c r="D5158" s="193"/>
      <c r="E5158" s="201"/>
      <c r="F5158" s="202"/>
      <c r="G5158" s="194"/>
      <c r="H5158" s="198"/>
      <c r="I5158" s="196"/>
      <c r="J5158" s="179" t="str">
        <f>IF(A5158="RAPPI",(VLOOKUP(TRIM(D5158), CATALOGO!F:G, 2, FALSE) * C5158)+I5158,IFERROR(IF(COUNTIF('RESTAURANTESDESCUENTOS 2026'!A:A,TRIM(A5158))&gt;0,((VLOOKUP(TRIM(D5158), CATALOGO!A:B, 2, FALSE) * C5158)*(1-VALUE(SUBSTITUTE(VLOOKUP(TRIM(A5158),'RESTAURANTESDESCUENTOS 2026'!A:B,2,FALSE),"%",""))/100)+I5158),(VLOOKUP(TRIM(D5158), CATALOGO!A:B, 2, FALSE) * C5158+I5158)),""))</f>
        <v/>
      </c>
      <c r="K5158" s="196"/>
      <c r="L5158" s="87"/>
      <c r="M5158" s="245"/>
      <c r="N5158" s="168"/>
    </row>
    <row r="5159" ht="22.5" hidden="1" customHeight="1">
      <c r="A5159" s="137"/>
      <c r="B5159" s="90"/>
      <c r="C5159" s="55"/>
      <c r="D5159" s="193"/>
      <c r="E5159" s="201"/>
      <c r="F5159" s="202"/>
      <c r="G5159" s="194"/>
      <c r="H5159" s="198"/>
      <c r="I5159" s="196"/>
      <c r="J5159" s="179" t="str">
        <f>IF(A5159="RAPPI",(VLOOKUP(TRIM(D5159), CATALOGO!F:G, 2, FALSE) * C5159)+I5159,IFERROR(IF(COUNTIF('RESTAURANTESDESCUENTOS 2026'!A:A,TRIM(A5159))&gt;0,((VLOOKUP(TRIM(D5159), CATALOGO!A:B, 2, FALSE) * C5159)*(1-VALUE(SUBSTITUTE(VLOOKUP(TRIM(A5159),'RESTAURANTESDESCUENTOS 2026'!A:B,2,FALSE),"%",""))/100)+I5159),(VLOOKUP(TRIM(D5159), CATALOGO!A:B, 2, FALSE) * C5159+I5159)),""))</f>
        <v/>
      </c>
      <c r="K5159" s="196"/>
      <c r="L5159" s="87"/>
      <c r="M5159" s="245"/>
      <c r="N5159" s="168"/>
    </row>
    <row r="5160" ht="22.5" hidden="1" customHeight="1">
      <c r="A5160" s="137"/>
      <c r="B5160" s="90"/>
      <c r="C5160" s="55"/>
      <c r="D5160" s="193"/>
      <c r="E5160" s="201"/>
      <c r="F5160" s="202"/>
      <c r="G5160" s="194"/>
      <c r="H5160" s="198"/>
      <c r="I5160" s="196"/>
      <c r="J5160" s="179" t="str">
        <f>IF(A5160="RAPPI",(VLOOKUP(TRIM(D5160), CATALOGO!F:G, 2, FALSE) * C5160)+I5160,IFERROR(IF(COUNTIF('RESTAURANTESDESCUENTOS 2026'!A:A,TRIM(A5160))&gt;0,((VLOOKUP(TRIM(D5160), CATALOGO!A:B, 2, FALSE) * C5160)*(1-VALUE(SUBSTITUTE(VLOOKUP(TRIM(A5160),'RESTAURANTESDESCUENTOS 2026'!A:B,2,FALSE),"%",""))/100)+I5160),(VLOOKUP(TRIM(D5160), CATALOGO!A:B, 2, FALSE) * C5160+I5160)),""))</f>
        <v/>
      </c>
      <c r="K5160" s="196"/>
      <c r="L5160" s="87"/>
      <c r="M5160" s="245"/>
      <c r="N5160" s="168"/>
    </row>
    <row r="5161" ht="22.5" hidden="1" customHeight="1">
      <c r="A5161" s="137"/>
      <c r="B5161" s="90"/>
      <c r="C5161" s="55"/>
      <c r="D5161" s="193"/>
      <c r="E5161" s="201"/>
      <c r="F5161" s="202"/>
      <c r="G5161" s="194"/>
      <c r="H5161" s="198"/>
      <c r="I5161" s="196"/>
      <c r="J5161" s="179" t="str">
        <f>IF(A5161="RAPPI",(VLOOKUP(TRIM(D5161), CATALOGO!F:G, 2, FALSE) * C5161)+I5161,IFERROR(IF(COUNTIF('RESTAURANTESDESCUENTOS 2026'!A:A,TRIM(A5161))&gt;0,((VLOOKUP(TRIM(D5161), CATALOGO!A:B, 2, FALSE) * C5161)*(1-VALUE(SUBSTITUTE(VLOOKUP(TRIM(A5161),'RESTAURANTESDESCUENTOS 2026'!A:B,2,FALSE),"%",""))/100)+I5161),(VLOOKUP(TRIM(D5161), CATALOGO!A:B, 2, FALSE) * C5161+I5161)),""))</f>
        <v/>
      </c>
      <c r="K5161" s="196"/>
      <c r="L5161" s="87"/>
      <c r="M5161" s="245"/>
      <c r="N5161" s="168"/>
    </row>
    <row r="5162" ht="22.5" hidden="1" customHeight="1">
      <c r="A5162" s="137"/>
      <c r="B5162" s="90"/>
      <c r="C5162" s="55"/>
      <c r="D5162" s="193"/>
      <c r="E5162" s="201"/>
      <c r="F5162" s="202"/>
      <c r="G5162" s="194"/>
      <c r="H5162" s="198"/>
      <c r="I5162" s="196"/>
      <c r="J5162" s="179" t="str">
        <f>IF(A5162="RAPPI",(VLOOKUP(TRIM(D5162), CATALOGO!F:G, 2, FALSE) * C5162)+I5162,IFERROR(IF(COUNTIF('RESTAURANTESDESCUENTOS 2026'!A:A,TRIM(A5162))&gt;0,((VLOOKUP(TRIM(D5162), CATALOGO!A:B, 2, FALSE) * C5162)*(1-VALUE(SUBSTITUTE(VLOOKUP(TRIM(A5162),'RESTAURANTESDESCUENTOS 2026'!A:B,2,FALSE),"%",""))/100)+I5162),(VLOOKUP(TRIM(D5162), CATALOGO!A:B, 2, FALSE) * C5162+I5162)),""))</f>
        <v/>
      </c>
      <c r="K5162" s="196"/>
      <c r="L5162" s="87"/>
      <c r="M5162" s="245"/>
      <c r="N5162" s="168"/>
    </row>
    <row r="5163" ht="22.5" hidden="1" customHeight="1">
      <c r="A5163" s="137"/>
      <c r="B5163" s="90"/>
      <c r="C5163" s="55"/>
      <c r="D5163" s="193"/>
      <c r="E5163" s="201"/>
      <c r="F5163" s="202"/>
      <c r="G5163" s="194"/>
      <c r="H5163" s="198"/>
      <c r="I5163" s="196"/>
      <c r="J5163" s="179" t="str">
        <f>IF(A5163="RAPPI",(VLOOKUP(TRIM(D5163), CATALOGO!F:G, 2, FALSE) * C5163)+I5163,IFERROR(IF(COUNTIF('RESTAURANTESDESCUENTOS 2026'!A:A,TRIM(A5163))&gt;0,((VLOOKUP(TRIM(D5163), CATALOGO!A:B, 2, FALSE) * C5163)*(1-VALUE(SUBSTITUTE(VLOOKUP(TRIM(A5163),'RESTAURANTESDESCUENTOS 2026'!A:B,2,FALSE),"%",""))/100)+I5163),(VLOOKUP(TRIM(D5163), CATALOGO!A:B, 2, FALSE) * C5163+I5163)),""))</f>
        <v/>
      </c>
      <c r="K5163" s="196"/>
      <c r="L5163" s="87"/>
      <c r="M5163" s="245"/>
      <c r="N5163" s="168"/>
    </row>
    <row r="5164" ht="22.5" hidden="1" customHeight="1">
      <c r="A5164" s="137"/>
      <c r="B5164" s="90"/>
      <c r="C5164" s="55"/>
      <c r="D5164" s="193"/>
      <c r="E5164" s="201"/>
      <c r="F5164" s="202"/>
      <c r="G5164" s="194"/>
      <c r="H5164" s="198"/>
      <c r="I5164" s="196"/>
      <c r="J5164" s="179" t="str">
        <f>IF(A5164="RAPPI",(VLOOKUP(TRIM(D5164), CATALOGO!F:G, 2, FALSE) * C5164)+I5164,IFERROR(IF(COUNTIF('RESTAURANTESDESCUENTOS 2026'!A:A,TRIM(A5164))&gt;0,((VLOOKUP(TRIM(D5164), CATALOGO!A:B, 2, FALSE) * C5164)*(1-VALUE(SUBSTITUTE(VLOOKUP(TRIM(A5164),'RESTAURANTESDESCUENTOS 2026'!A:B,2,FALSE),"%",""))/100)+I5164),(VLOOKUP(TRIM(D5164), CATALOGO!A:B, 2, FALSE) * C5164+I5164)),""))</f>
        <v/>
      </c>
      <c r="K5164" s="196"/>
      <c r="L5164" s="87"/>
      <c r="M5164" s="245"/>
      <c r="N5164" s="168"/>
    </row>
    <row r="5165" ht="22.5" hidden="1" customHeight="1">
      <c r="A5165" s="137"/>
      <c r="B5165" s="90"/>
      <c r="C5165" s="55"/>
      <c r="D5165" s="193"/>
      <c r="E5165" s="201"/>
      <c r="F5165" s="202"/>
      <c r="G5165" s="194"/>
      <c r="H5165" s="198"/>
      <c r="I5165" s="196"/>
      <c r="J5165" s="179" t="str">
        <f>IF(A5165="RAPPI",(VLOOKUP(TRIM(D5165), CATALOGO!F:G, 2, FALSE) * C5165)+I5165,IFERROR(IF(COUNTIF('RESTAURANTESDESCUENTOS 2026'!A:A,TRIM(A5165))&gt;0,((VLOOKUP(TRIM(D5165), CATALOGO!A:B, 2, FALSE) * C5165)*(1-VALUE(SUBSTITUTE(VLOOKUP(TRIM(A5165),'RESTAURANTESDESCUENTOS 2026'!A:B,2,FALSE),"%",""))/100)+I5165),(VLOOKUP(TRIM(D5165), CATALOGO!A:B, 2, FALSE) * C5165+I5165)),""))</f>
        <v/>
      </c>
      <c r="K5165" s="196"/>
      <c r="L5165" s="87"/>
      <c r="M5165" s="245"/>
      <c r="N5165" s="168"/>
    </row>
    <row r="5166" ht="22.5" hidden="1" customHeight="1">
      <c r="A5166" s="137"/>
      <c r="B5166" s="90"/>
      <c r="C5166" s="55"/>
      <c r="D5166" s="193"/>
      <c r="E5166" s="201"/>
      <c r="F5166" s="202"/>
      <c r="G5166" s="194"/>
      <c r="H5166" s="198"/>
      <c r="I5166" s="196"/>
      <c r="J5166" s="179" t="str">
        <f>IF(A5166="RAPPI",(VLOOKUP(TRIM(D5166), CATALOGO!F:G, 2, FALSE) * C5166)+I5166,IFERROR(IF(COUNTIF('RESTAURANTESDESCUENTOS 2026'!A:A,TRIM(A5166))&gt;0,((VLOOKUP(TRIM(D5166), CATALOGO!A:B, 2, FALSE) * C5166)*(1-VALUE(SUBSTITUTE(VLOOKUP(TRIM(A5166),'RESTAURANTESDESCUENTOS 2026'!A:B,2,FALSE),"%",""))/100)+I5166),(VLOOKUP(TRIM(D5166), CATALOGO!A:B, 2, FALSE) * C5166+I5166)),""))</f>
        <v/>
      </c>
      <c r="K5166" s="196"/>
      <c r="L5166" s="87"/>
      <c r="M5166" s="245"/>
      <c r="N5166" s="168"/>
    </row>
    <row r="5167" ht="22.5" hidden="1" customHeight="1">
      <c r="A5167" s="137"/>
      <c r="B5167" s="90"/>
      <c r="C5167" s="55"/>
      <c r="D5167" s="193"/>
      <c r="E5167" s="201"/>
      <c r="F5167" s="202"/>
      <c r="G5167" s="194"/>
      <c r="H5167" s="198"/>
      <c r="I5167" s="196"/>
      <c r="J5167" s="179" t="str">
        <f>IF(A5167="RAPPI",(VLOOKUP(TRIM(D5167), CATALOGO!F:G, 2, FALSE) * C5167)+I5167,IFERROR(IF(COUNTIF('RESTAURANTESDESCUENTOS 2026'!A:A,TRIM(A5167))&gt;0,((VLOOKUP(TRIM(D5167), CATALOGO!A:B, 2, FALSE) * C5167)*(1-VALUE(SUBSTITUTE(VLOOKUP(TRIM(A5167),'RESTAURANTESDESCUENTOS 2026'!A:B,2,FALSE),"%",""))/100)+I5167),(VLOOKUP(TRIM(D5167), CATALOGO!A:B, 2, FALSE) * C5167+I5167)),""))</f>
        <v/>
      </c>
      <c r="K5167" s="196"/>
      <c r="L5167" s="87"/>
      <c r="M5167" s="245"/>
      <c r="N5167" s="168"/>
    </row>
    <row r="5168" ht="22.5" hidden="1" customHeight="1">
      <c r="A5168" s="137"/>
      <c r="B5168" s="90"/>
      <c r="C5168" s="55"/>
      <c r="D5168" s="193"/>
      <c r="E5168" s="201"/>
      <c r="F5168" s="202"/>
      <c r="G5168" s="194"/>
      <c r="H5168" s="198"/>
      <c r="I5168" s="196"/>
      <c r="J5168" s="179" t="str">
        <f>IF(A5168="RAPPI",(VLOOKUP(TRIM(D5168), CATALOGO!F:G, 2, FALSE) * C5168)+I5168,IFERROR(IF(COUNTIF('RESTAURANTESDESCUENTOS 2026'!A:A,TRIM(A5168))&gt;0,((VLOOKUP(TRIM(D5168), CATALOGO!A:B, 2, FALSE) * C5168)*(1-VALUE(SUBSTITUTE(VLOOKUP(TRIM(A5168),'RESTAURANTESDESCUENTOS 2026'!A:B,2,FALSE),"%",""))/100)+I5168),(VLOOKUP(TRIM(D5168), CATALOGO!A:B, 2, FALSE) * C5168+I5168)),""))</f>
        <v/>
      </c>
      <c r="K5168" s="196"/>
      <c r="L5168" s="87"/>
      <c r="M5168" s="245"/>
      <c r="N5168" s="168"/>
    </row>
  </sheetData>
  <dataValidations>
    <dataValidation type="list" allowBlank="1" sqref="N1578:N1580 N1659:N1660 N1814 N1924:N1926 N1990:N1992 N2119:N2121 N2159:N2161 N2275:N2277 N2381:N2383">
      <formula1>"NO,SI"</formula1>
    </dataValidation>
    <dataValidation type="list" allowBlank="1" sqref="M2:M5168">
      <formula1>"NO,SI"</formula1>
    </dataValidation>
    <dataValidation type="custom" allowBlank="1" showDropDown="1" sqref="B2:B5168">
      <formula1>OR(NOT(ISERROR(DATEVALUE(B2))), AND(ISNUMBER(B2), LEFT(CELL("format", B2))="D"))</formula1>
    </dataValidation>
    <dataValidation type="list" allowBlank="1" sqref="F2:F5168">
      <formula1>"EFECTIVO,TRANSFERENCIA,BOLD,RAPPI"</formula1>
    </dataValidation>
    <dataValidation type="list" allowBlank="1" showErrorMessage="1" sqref="G2:G5168">
      <formula1>"NO,SI"</formula1>
    </dataValidation>
    <dataValidation type="list" allowBlank="1" sqref="H2:H5168">
      <formula1>"DOMICILIARIO JHON,INDRIVE,RAPPI,DOMICILIARIO JORGE,DOMICILIARIO ARLEN,DOMICILIARIO JUAN DAVID LLANOGRANDE,INDRIVE CARRO,ENVIA,ANDREA"</formula1>
    </dataValidation>
    <dataValidation type="custom" allowBlank="1" showDropDown="1" sqref="J2:J5168">
      <formula1>AND(ISNUMBER(J2),(NOT(OR(NOT(ISERROR(DATEVALUE(J2))), AND(ISNUMBER(J2), LEFT(CELL("format", J2))="D")))))</formula1>
    </dataValidation>
    <dataValidation type="list" allowBlank="1" sqref="D2:D5168">
      <formula1>#REF!</formula1>
    </dataValidation>
  </dataValidation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1.88"/>
  </cols>
  <sheetData>
    <row r="1"/>
    <row r="2"/>
    <row r="3"/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7.0"/>
    <col customWidth="1" min="2" max="2" width="10.5"/>
    <col customWidth="1" min="3" max="3" width="8.38"/>
    <col customWidth="1" min="4" max="4" width="20.63"/>
    <col customWidth="1" min="5" max="5" width="16.63"/>
    <col customWidth="1" min="6" max="6" width="18.63"/>
    <col customWidth="1" min="7" max="7" width="14.38"/>
    <col customWidth="1" min="8" max="8" width="28.75"/>
    <col customWidth="1" min="9" max="9" width="19.25"/>
    <col customWidth="1" min="10" max="10" width="15.0"/>
    <col customWidth="1" min="11" max="11" width="11.25"/>
  </cols>
  <sheetData>
    <row r="1"/>
    <row r="2"/>
    <row r="3"/>
    <row r="4"/>
    <row r="5"/>
  </sheetData>
  <autoFilter ref="$A$3:$GN$467"/>
  <mergeCells count="1">
    <mergeCell ref="E1:F1"/>
  </mergeCell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38"/>
    <col customWidth="1" min="6" max="6" width="27.0"/>
    <col customWidth="1" min="12" max="12" width="37.63"/>
  </cols>
  <sheetData>
    <row r="1">
      <c r="A1" s="260" t="s">
        <v>1420</v>
      </c>
      <c r="F1" s="260" t="s">
        <v>603</v>
      </c>
      <c r="K1" s="99" t="s">
        <v>1421</v>
      </c>
      <c r="P1" s="261" t="s">
        <v>1422</v>
      </c>
      <c r="X1" s="99" t="s">
        <v>3</v>
      </c>
    </row>
    <row r="2">
      <c r="A2" s="99" t="s">
        <v>174</v>
      </c>
      <c r="B2" s="262">
        <v>18000.0</v>
      </c>
      <c r="F2" s="99" t="s">
        <v>174</v>
      </c>
      <c r="G2" s="262">
        <v>18000.0</v>
      </c>
      <c r="K2" s="263" t="s">
        <v>1423</v>
      </c>
      <c r="L2" s="263" t="s">
        <v>182</v>
      </c>
      <c r="M2" s="264">
        <f t="shared" ref="M2:M37" si="1">VLOOKUP(L2,$A$2:$B$52,2,FALSE)</f>
        <v>37000</v>
      </c>
      <c r="P2" s="263" t="s">
        <v>1424</v>
      </c>
      <c r="Q2" s="263" t="s">
        <v>12</v>
      </c>
      <c r="R2" s="257" t="str">
        <f t="shared" ref="R2:R3" si="2">VLOOKUP(Q2,$A$2:$B$52,2,FALSE)</f>
        <v>#N/A</v>
      </c>
      <c r="X2" s="99" t="s">
        <v>138</v>
      </c>
    </row>
    <row r="3">
      <c r="A3" s="99" t="s">
        <v>176</v>
      </c>
      <c r="B3" s="262">
        <v>50000.0</v>
      </c>
      <c r="F3" s="99" t="s">
        <v>176</v>
      </c>
      <c r="G3" s="262">
        <v>50000.0</v>
      </c>
      <c r="K3" s="263" t="s">
        <v>1425</v>
      </c>
      <c r="L3" s="263" t="s">
        <v>5</v>
      </c>
      <c r="M3" s="257" t="str">
        <f t="shared" si="1"/>
        <v>#N/A</v>
      </c>
      <c r="P3" s="263" t="s">
        <v>1426</v>
      </c>
      <c r="Q3" s="263" t="s">
        <v>36</v>
      </c>
      <c r="R3" s="257" t="str">
        <f t="shared" si="2"/>
        <v>#N/A</v>
      </c>
      <c r="X3" s="99" t="s">
        <v>35</v>
      </c>
    </row>
    <row r="4">
      <c r="A4" s="99" t="s">
        <v>177</v>
      </c>
      <c r="B4" s="262">
        <v>115000.0</v>
      </c>
      <c r="F4" s="99" t="s">
        <v>177</v>
      </c>
      <c r="G4" s="262">
        <v>115000.0</v>
      </c>
      <c r="K4" s="263" t="s">
        <v>1427</v>
      </c>
      <c r="L4" s="263" t="s">
        <v>236</v>
      </c>
      <c r="M4" s="264" t="str">
        <f t="shared" si="1"/>
        <v/>
      </c>
      <c r="Q4" s="99" t="s">
        <v>84</v>
      </c>
    </row>
    <row r="5">
      <c r="A5" s="99" t="s">
        <v>178</v>
      </c>
      <c r="B5" s="262">
        <v>150000.0</v>
      </c>
      <c r="F5" s="99" t="s">
        <v>178</v>
      </c>
      <c r="G5" s="262">
        <v>150000.0</v>
      </c>
      <c r="K5" s="263" t="s">
        <v>1428</v>
      </c>
      <c r="L5" s="263" t="s">
        <v>203</v>
      </c>
      <c r="M5" s="264">
        <f t="shared" si="1"/>
        <v>154000</v>
      </c>
      <c r="Q5" s="99" t="s">
        <v>111</v>
      </c>
      <c r="X5" s="99" t="s">
        <v>215</v>
      </c>
    </row>
    <row r="6">
      <c r="A6" s="99" t="s">
        <v>628</v>
      </c>
      <c r="B6" s="262">
        <v>22000.0</v>
      </c>
      <c r="F6" s="99" t="s">
        <v>628</v>
      </c>
      <c r="G6" s="262">
        <v>22000.0</v>
      </c>
      <c r="K6" s="263" t="s">
        <v>1429</v>
      </c>
      <c r="L6" s="263" t="s">
        <v>196</v>
      </c>
      <c r="M6" s="264">
        <f t="shared" si="1"/>
        <v>189000</v>
      </c>
      <c r="Q6" s="99" t="s">
        <v>114</v>
      </c>
    </row>
    <row r="7">
      <c r="A7" s="99" t="s">
        <v>601</v>
      </c>
      <c r="B7" s="262">
        <v>53000.0</v>
      </c>
      <c r="F7" s="99" t="s">
        <v>601</v>
      </c>
      <c r="G7" s="262">
        <v>53000.0</v>
      </c>
      <c r="K7" s="263" t="s">
        <v>1430</v>
      </c>
      <c r="L7" s="263" t="s">
        <v>193</v>
      </c>
      <c r="M7" s="264">
        <f t="shared" si="1"/>
        <v>160000</v>
      </c>
      <c r="Q7" s="99" t="s">
        <v>115</v>
      </c>
    </row>
    <row r="8">
      <c r="A8" s="99" t="s">
        <v>678</v>
      </c>
      <c r="B8" s="262">
        <v>123000.0</v>
      </c>
      <c r="F8" s="99" t="s">
        <v>678</v>
      </c>
      <c r="G8" s="262">
        <v>123000.0</v>
      </c>
      <c r="K8" s="263" t="s">
        <v>1431</v>
      </c>
      <c r="L8" s="263" t="s">
        <v>201</v>
      </c>
      <c r="M8" s="264">
        <f t="shared" si="1"/>
        <v>176000</v>
      </c>
      <c r="Q8" s="99" t="s">
        <v>136</v>
      </c>
    </row>
    <row r="9">
      <c r="A9" s="99" t="s">
        <v>697</v>
      </c>
      <c r="B9" s="262">
        <v>163000.0</v>
      </c>
      <c r="F9" s="99" t="s">
        <v>697</v>
      </c>
      <c r="G9" s="262">
        <v>163000.0</v>
      </c>
      <c r="K9" s="263" t="s">
        <v>1432</v>
      </c>
      <c r="L9" s="263" t="s">
        <v>178</v>
      </c>
      <c r="M9" s="264">
        <f t="shared" si="1"/>
        <v>150000</v>
      </c>
    </row>
    <row r="10">
      <c r="A10" s="99" t="s">
        <v>604</v>
      </c>
      <c r="B10" s="262">
        <v>22000.0</v>
      </c>
      <c r="F10" s="99" t="s">
        <v>604</v>
      </c>
      <c r="G10" s="262">
        <v>22000.0</v>
      </c>
      <c r="K10" s="263" t="s">
        <v>1433</v>
      </c>
      <c r="L10" s="263" t="s">
        <v>697</v>
      </c>
      <c r="M10" s="264">
        <f t="shared" si="1"/>
        <v>163000</v>
      </c>
    </row>
    <row r="11">
      <c r="A11" s="99" t="s">
        <v>708</v>
      </c>
      <c r="B11" s="262">
        <v>53000.0</v>
      </c>
      <c r="F11" s="99" t="s">
        <v>708</v>
      </c>
      <c r="G11" s="262">
        <v>53000.0</v>
      </c>
      <c r="K11" s="263" t="s">
        <v>1434</v>
      </c>
      <c r="L11" s="263" t="s">
        <v>775</v>
      </c>
      <c r="M11" s="264">
        <f t="shared" si="1"/>
        <v>163000</v>
      </c>
    </row>
    <row r="12">
      <c r="A12" s="99" t="s">
        <v>617</v>
      </c>
      <c r="B12" s="262">
        <v>123000.0</v>
      </c>
      <c r="F12" s="99" t="s">
        <v>617</v>
      </c>
      <c r="G12" s="262">
        <v>123000.0</v>
      </c>
      <c r="K12" s="263" t="s">
        <v>1435</v>
      </c>
      <c r="L12" s="263" t="s">
        <v>739</v>
      </c>
      <c r="M12" s="264">
        <f t="shared" si="1"/>
        <v>163000</v>
      </c>
    </row>
    <row r="13">
      <c r="A13" s="99" t="s">
        <v>629</v>
      </c>
      <c r="B13" s="262">
        <v>163000.0</v>
      </c>
      <c r="F13" s="99" t="s">
        <v>629</v>
      </c>
      <c r="G13" s="262">
        <v>163000.0</v>
      </c>
      <c r="K13" s="263" t="s">
        <v>1436</v>
      </c>
      <c r="L13" s="263" t="s">
        <v>629</v>
      </c>
      <c r="M13" s="264">
        <f t="shared" si="1"/>
        <v>163000</v>
      </c>
    </row>
    <row r="14">
      <c r="A14" s="99" t="s">
        <v>757</v>
      </c>
      <c r="B14" s="262">
        <v>22000.0</v>
      </c>
      <c r="F14" s="99" t="s">
        <v>757</v>
      </c>
      <c r="G14" s="262">
        <v>22000.0</v>
      </c>
      <c r="K14" s="263" t="s">
        <v>1424</v>
      </c>
      <c r="L14" s="263" t="s">
        <v>12</v>
      </c>
      <c r="M14" s="257" t="str">
        <f t="shared" si="1"/>
        <v>#N/A</v>
      </c>
    </row>
    <row r="15">
      <c r="A15" s="99" t="s">
        <v>618</v>
      </c>
      <c r="B15" s="262">
        <v>53000.0</v>
      </c>
      <c r="F15" s="99" t="s">
        <v>618</v>
      </c>
      <c r="G15" s="262">
        <v>53000.0</v>
      </c>
      <c r="K15" s="263" t="s">
        <v>1437</v>
      </c>
      <c r="L15" s="263" t="s">
        <v>237</v>
      </c>
      <c r="M15" s="264">
        <f t="shared" si="1"/>
        <v>233000</v>
      </c>
    </row>
    <row r="16">
      <c r="A16" s="99" t="s">
        <v>824</v>
      </c>
      <c r="B16" s="262">
        <v>123000.0</v>
      </c>
      <c r="F16" s="99" t="s">
        <v>824</v>
      </c>
      <c r="G16" s="262">
        <v>123000.0</v>
      </c>
      <c r="K16" s="263" t="s">
        <v>1438</v>
      </c>
      <c r="L16" s="263" t="s">
        <v>188</v>
      </c>
      <c r="M16" s="264">
        <f t="shared" si="1"/>
        <v>163000</v>
      </c>
    </row>
    <row r="17">
      <c r="A17" s="99" t="s">
        <v>775</v>
      </c>
      <c r="B17" s="262">
        <v>163000.0</v>
      </c>
      <c r="F17" s="99" t="s">
        <v>775</v>
      </c>
      <c r="G17" s="262">
        <v>163000.0</v>
      </c>
      <c r="K17" s="263" t="s">
        <v>1439</v>
      </c>
      <c r="L17" s="263" t="s">
        <v>194</v>
      </c>
      <c r="M17" s="264">
        <f t="shared" si="1"/>
        <v>119000</v>
      </c>
    </row>
    <row r="18">
      <c r="A18" s="99" t="s">
        <v>602</v>
      </c>
      <c r="B18" s="262">
        <v>22000.0</v>
      </c>
      <c r="F18" s="99" t="s">
        <v>602</v>
      </c>
      <c r="G18" s="262">
        <v>22000.0</v>
      </c>
      <c r="K18" s="263" t="s">
        <v>1440</v>
      </c>
      <c r="L18" s="263" t="s">
        <v>189</v>
      </c>
      <c r="M18" s="264">
        <f t="shared" si="1"/>
        <v>145000</v>
      </c>
    </row>
    <row r="19">
      <c r="A19" s="99" t="s">
        <v>640</v>
      </c>
      <c r="B19" s="262">
        <v>53000.0</v>
      </c>
      <c r="F19" s="99" t="s">
        <v>640</v>
      </c>
      <c r="G19" s="262">
        <v>53000.0</v>
      </c>
      <c r="K19" s="263" t="s">
        <v>1441</v>
      </c>
      <c r="L19" s="263" t="s">
        <v>1360</v>
      </c>
      <c r="M19" s="264">
        <f t="shared" si="1"/>
        <v>124000</v>
      </c>
    </row>
    <row r="20">
      <c r="A20" s="99" t="s">
        <v>653</v>
      </c>
      <c r="B20" s="262">
        <v>123000.0</v>
      </c>
      <c r="F20" s="99" t="s">
        <v>653</v>
      </c>
      <c r="G20" s="262">
        <v>123000.0</v>
      </c>
      <c r="K20" s="263" t="s">
        <v>1442</v>
      </c>
      <c r="L20" s="263" t="s">
        <v>191</v>
      </c>
      <c r="M20" s="264">
        <f t="shared" si="1"/>
        <v>132000</v>
      </c>
    </row>
    <row r="21">
      <c r="A21" s="99" t="s">
        <v>739</v>
      </c>
      <c r="B21" s="262">
        <v>163000.0</v>
      </c>
      <c r="F21" s="99" t="s">
        <v>739</v>
      </c>
      <c r="G21" s="262">
        <v>163000.0</v>
      </c>
      <c r="K21" s="263" t="s">
        <v>1443</v>
      </c>
      <c r="L21" s="263" t="s">
        <v>177</v>
      </c>
      <c r="M21" s="264">
        <f t="shared" si="1"/>
        <v>115000</v>
      </c>
    </row>
    <row r="22">
      <c r="A22" s="99" t="s">
        <v>1444</v>
      </c>
      <c r="B22" s="262">
        <v>55000.0</v>
      </c>
      <c r="F22" s="99" t="s">
        <v>1444</v>
      </c>
      <c r="G22" s="262">
        <v>55000.0</v>
      </c>
      <c r="K22" s="263" t="s">
        <v>1445</v>
      </c>
      <c r="L22" s="263" t="s">
        <v>678</v>
      </c>
      <c r="M22" s="264">
        <f t="shared" si="1"/>
        <v>123000</v>
      </c>
    </row>
    <row r="23">
      <c r="A23" s="99" t="s">
        <v>191</v>
      </c>
      <c r="B23" s="262">
        <v>132000.0</v>
      </c>
      <c r="F23" s="99" t="s">
        <v>191</v>
      </c>
      <c r="G23" s="262">
        <v>132000.0</v>
      </c>
      <c r="K23" s="263" t="s">
        <v>1446</v>
      </c>
      <c r="L23" s="263" t="s">
        <v>824</v>
      </c>
      <c r="M23" s="264">
        <f t="shared" si="1"/>
        <v>123000</v>
      </c>
    </row>
    <row r="24">
      <c r="A24" s="99" t="s">
        <v>201</v>
      </c>
      <c r="B24" s="262">
        <v>176000.0</v>
      </c>
      <c r="F24" s="99" t="s">
        <v>201</v>
      </c>
      <c r="G24" s="262">
        <v>176000.0</v>
      </c>
      <c r="K24" s="263" t="s">
        <v>1447</v>
      </c>
      <c r="L24" s="263" t="s">
        <v>653</v>
      </c>
      <c r="M24" s="264">
        <f t="shared" si="1"/>
        <v>123000</v>
      </c>
    </row>
    <row r="25">
      <c r="A25" s="99" t="s">
        <v>187</v>
      </c>
      <c r="B25" s="262">
        <v>55000.0</v>
      </c>
      <c r="F25" s="99" t="s">
        <v>187</v>
      </c>
      <c r="G25" s="262">
        <v>55000.0</v>
      </c>
      <c r="K25" s="263" t="s">
        <v>1448</v>
      </c>
      <c r="L25" s="263" t="s">
        <v>617</v>
      </c>
      <c r="M25" s="264">
        <f t="shared" si="1"/>
        <v>123000</v>
      </c>
    </row>
    <row r="26">
      <c r="A26" s="99" t="s">
        <v>181</v>
      </c>
      <c r="B26" s="262">
        <v>174000.0</v>
      </c>
      <c r="F26" s="99" t="s">
        <v>181</v>
      </c>
      <c r="G26" s="262">
        <v>174000.0</v>
      </c>
      <c r="K26" s="263" t="s">
        <v>1426</v>
      </c>
      <c r="L26" s="263" t="s">
        <v>36</v>
      </c>
      <c r="M26" s="257" t="str">
        <f t="shared" si="1"/>
        <v>#N/A</v>
      </c>
    </row>
    <row r="27">
      <c r="A27" s="99" t="s">
        <v>237</v>
      </c>
      <c r="B27" s="262">
        <v>233000.0</v>
      </c>
      <c r="F27" s="99" t="s">
        <v>237</v>
      </c>
      <c r="G27" s="262">
        <v>233000.0</v>
      </c>
      <c r="K27" s="263" t="s">
        <v>1449</v>
      </c>
      <c r="L27" s="263" t="s">
        <v>181</v>
      </c>
      <c r="M27" s="264">
        <f t="shared" si="1"/>
        <v>174000</v>
      </c>
    </row>
    <row r="28">
      <c r="A28" s="99" t="s">
        <v>192</v>
      </c>
      <c r="B28" s="262">
        <v>55000.0</v>
      </c>
      <c r="F28" s="99" t="s">
        <v>192</v>
      </c>
      <c r="G28" s="262">
        <v>55000.0</v>
      </c>
      <c r="K28" s="263" t="s">
        <v>1450</v>
      </c>
      <c r="L28" s="263" t="s">
        <v>200</v>
      </c>
      <c r="M28" s="264">
        <f t="shared" si="1"/>
        <v>119000</v>
      </c>
    </row>
    <row r="29">
      <c r="A29" s="99" t="s">
        <v>200</v>
      </c>
      <c r="B29" s="262">
        <v>119000.0</v>
      </c>
      <c r="F29" s="99" t="s">
        <v>200</v>
      </c>
      <c r="G29" s="262">
        <v>119000.0</v>
      </c>
      <c r="K29" s="263" t="s">
        <v>1451</v>
      </c>
      <c r="L29" s="263" t="s">
        <v>197</v>
      </c>
      <c r="M29" s="264">
        <f t="shared" si="1"/>
        <v>55000</v>
      </c>
    </row>
    <row r="30">
      <c r="A30" s="99" t="s">
        <v>188</v>
      </c>
      <c r="B30" s="262">
        <v>163000.0</v>
      </c>
      <c r="F30" s="99" t="s">
        <v>188</v>
      </c>
      <c r="G30" s="262">
        <v>163000.0</v>
      </c>
      <c r="K30" s="263" t="s">
        <v>1452</v>
      </c>
      <c r="L30" s="263" t="s">
        <v>186</v>
      </c>
      <c r="M30" s="264">
        <f t="shared" si="1"/>
        <v>55000</v>
      </c>
    </row>
    <row r="31">
      <c r="A31" s="99" t="s">
        <v>186</v>
      </c>
      <c r="B31" s="262">
        <v>55000.0</v>
      </c>
      <c r="F31" s="99" t="s">
        <v>186</v>
      </c>
      <c r="G31" s="262">
        <v>55000.0</v>
      </c>
      <c r="K31" s="263" t="s">
        <v>1453</v>
      </c>
      <c r="L31" s="263" t="s">
        <v>199</v>
      </c>
      <c r="M31" s="264">
        <f t="shared" si="1"/>
        <v>55000</v>
      </c>
    </row>
    <row r="32">
      <c r="A32" s="99" t="s">
        <v>189</v>
      </c>
      <c r="B32" s="262">
        <v>145000.0</v>
      </c>
      <c r="F32" s="99" t="s">
        <v>189</v>
      </c>
      <c r="G32" s="262">
        <v>145000.0</v>
      </c>
      <c r="K32" s="263" t="s">
        <v>1454</v>
      </c>
      <c r="L32" s="263" t="s">
        <v>1444</v>
      </c>
      <c r="M32" s="264">
        <f t="shared" si="1"/>
        <v>55000</v>
      </c>
    </row>
    <row r="33">
      <c r="A33" s="99" t="s">
        <v>196</v>
      </c>
      <c r="B33" s="262">
        <v>189000.0</v>
      </c>
      <c r="F33" s="99" t="s">
        <v>196</v>
      </c>
      <c r="G33" s="262">
        <v>189000.0</v>
      </c>
      <c r="K33" s="263" t="s">
        <v>1455</v>
      </c>
      <c r="L33" s="263" t="s">
        <v>176</v>
      </c>
      <c r="M33" s="264">
        <f t="shared" si="1"/>
        <v>50000</v>
      </c>
    </row>
    <row r="34">
      <c r="A34" s="99" t="s">
        <v>199</v>
      </c>
      <c r="B34" s="262">
        <v>55000.0</v>
      </c>
      <c r="F34" s="99" t="s">
        <v>199</v>
      </c>
      <c r="G34" s="262">
        <v>55000.0</v>
      </c>
      <c r="K34" s="263" t="s">
        <v>1456</v>
      </c>
      <c r="L34" s="263" t="s">
        <v>601</v>
      </c>
      <c r="M34" s="264">
        <f t="shared" si="1"/>
        <v>53000</v>
      </c>
    </row>
    <row r="35">
      <c r="A35" s="99" t="s">
        <v>1360</v>
      </c>
      <c r="B35" s="262">
        <v>124000.0</v>
      </c>
      <c r="F35" s="99" t="s">
        <v>1360</v>
      </c>
      <c r="G35" s="262">
        <v>124000.0</v>
      </c>
      <c r="K35" s="263" t="s">
        <v>1457</v>
      </c>
      <c r="L35" s="263" t="s">
        <v>618</v>
      </c>
      <c r="M35" s="264">
        <f t="shared" si="1"/>
        <v>53000</v>
      </c>
    </row>
    <row r="36">
      <c r="A36" s="99" t="s">
        <v>193</v>
      </c>
      <c r="B36" s="262">
        <v>160000.0</v>
      </c>
      <c r="F36" s="99" t="s">
        <v>193</v>
      </c>
      <c r="G36" s="262">
        <v>160000.0</v>
      </c>
      <c r="K36" s="263" t="s">
        <v>1458</v>
      </c>
      <c r="L36" s="263" t="s">
        <v>640</v>
      </c>
      <c r="M36" s="264">
        <f t="shared" si="1"/>
        <v>53000</v>
      </c>
    </row>
    <row r="37">
      <c r="A37" s="99" t="s">
        <v>1208</v>
      </c>
      <c r="B37" s="262">
        <v>22000.0</v>
      </c>
      <c r="F37" s="99" t="s">
        <v>1208</v>
      </c>
      <c r="G37" s="262">
        <v>22000.0</v>
      </c>
      <c r="K37" s="263" t="s">
        <v>1459</v>
      </c>
      <c r="L37" s="263" t="s">
        <v>708</v>
      </c>
      <c r="M37" s="264">
        <f t="shared" si="1"/>
        <v>53000</v>
      </c>
    </row>
    <row r="38">
      <c r="A38" s="99" t="s">
        <v>197</v>
      </c>
      <c r="B38" s="262">
        <v>55000.0</v>
      </c>
      <c r="F38" s="99" t="s">
        <v>197</v>
      </c>
      <c r="G38" s="262">
        <v>55000.0</v>
      </c>
      <c r="K38" s="263"/>
      <c r="L38" s="263"/>
    </row>
    <row r="39">
      <c r="A39" s="99" t="s">
        <v>194</v>
      </c>
      <c r="B39" s="262">
        <v>119000.0</v>
      </c>
      <c r="F39" s="99" t="s">
        <v>194</v>
      </c>
      <c r="G39" s="262">
        <v>119000.0</v>
      </c>
      <c r="K39" s="263" t="s">
        <v>1460</v>
      </c>
      <c r="L39" s="263" t="s">
        <v>187</v>
      </c>
      <c r="M39" s="264">
        <f t="shared" ref="M39:M45" si="3">VLOOKUP(L39,$A$2:$B$52,2,FALSE)</f>
        <v>55000</v>
      </c>
    </row>
    <row r="40">
      <c r="A40" s="99" t="s">
        <v>203</v>
      </c>
      <c r="B40" s="262">
        <v>154000.0</v>
      </c>
      <c r="F40" s="99" t="s">
        <v>203</v>
      </c>
      <c r="G40" s="262">
        <v>154000.0</v>
      </c>
      <c r="K40" s="263" t="s">
        <v>1461</v>
      </c>
      <c r="L40" s="263" t="s">
        <v>192</v>
      </c>
      <c r="M40" s="264">
        <f t="shared" si="3"/>
        <v>55000</v>
      </c>
    </row>
    <row r="41">
      <c r="A41" s="99" t="s">
        <v>182</v>
      </c>
      <c r="B41" s="262">
        <v>37000.0</v>
      </c>
      <c r="F41" s="99" t="s">
        <v>182</v>
      </c>
      <c r="G41" s="262">
        <v>37000.0</v>
      </c>
      <c r="K41" s="263" t="s">
        <v>1462</v>
      </c>
      <c r="L41" s="263" t="s">
        <v>1463</v>
      </c>
      <c r="M41" s="257" t="str">
        <f t="shared" si="3"/>
        <v>#N/A</v>
      </c>
    </row>
    <row r="42">
      <c r="A42" s="99" t="s">
        <v>620</v>
      </c>
      <c r="B42" s="264"/>
      <c r="F42" s="99" t="s">
        <v>620</v>
      </c>
      <c r="G42" s="264"/>
      <c r="K42" s="263" t="s">
        <v>1464</v>
      </c>
      <c r="L42" s="263" t="s">
        <v>1465</v>
      </c>
      <c r="M42" s="257" t="str">
        <f t="shared" si="3"/>
        <v>#N/A</v>
      </c>
    </row>
    <row r="43">
      <c r="A43" s="99" t="s">
        <v>669</v>
      </c>
      <c r="B43" s="264"/>
      <c r="F43" s="99" t="s">
        <v>669</v>
      </c>
      <c r="G43" s="264"/>
      <c r="K43" s="263" t="s">
        <v>1466</v>
      </c>
      <c r="L43" s="263" t="s">
        <v>1208</v>
      </c>
      <c r="M43" s="264">
        <f t="shared" si="3"/>
        <v>22000</v>
      </c>
    </row>
    <row r="44">
      <c r="A44" s="99" t="s">
        <v>236</v>
      </c>
      <c r="B44" s="264"/>
      <c r="F44" s="99" t="s">
        <v>236</v>
      </c>
      <c r="G44" s="264"/>
      <c r="K44" s="263" t="s">
        <v>1467</v>
      </c>
      <c r="L44" s="263" t="s">
        <v>1468</v>
      </c>
      <c r="M44" s="257" t="str">
        <f t="shared" si="3"/>
        <v>#N/A</v>
      </c>
    </row>
    <row r="45">
      <c r="A45" s="99" t="s">
        <v>639</v>
      </c>
      <c r="B45" s="264"/>
      <c r="F45" s="99" t="s">
        <v>639</v>
      </c>
      <c r="G45" s="264"/>
      <c r="K45" s="263" t="s">
        <v>1469</v>
      </c>
      <c r="L45" s="263" t="s">
        <v>174</v>
      </c>
      <c r="M45" s="264">
        <f t="shared" si="3"/>
        <v>18000</v>
      </c>
    </row>
    <row r="46">
      <c r="A46" s="99" t="s">
        <v>621</v>
      </c>
      <c r="B46" s="262"/>
      <c r="F46" s="99" t="s">
        <v>621</v>
      </c>
      <c r="G46" s="262"/>
      <c r="K46" s="263"/>
      <c r="L46" s="263"/>
    </row>
    <row r="47">
      <c r="A47" s="99" t="s">
        <v>984</v>
      </c>
      <c r="B47" s="265">
        <v>30000.0</v>
      </c>
      <c r="K47" s="263" t="s">
        <v>1470</v>
      </c>
      <c r="L47" s="263" t="s">
        <v>628</v>
      </c>
      <c r="M47" s="264">
        <f t="shared" ref="M47:M55" si="4">VLOOKUP(L47,$A$2:$B$52,2,FALSE)</f>
        <v>22000</v>
      </c>
    </row>
    <row r="48">
      <c r="A48" s="99" t="s">
        <v>676</v>
      </c>
      <c r="B48" s="262">
        <v>8000.0</v>
      </c>
      <c r="F48" s="99" t="s">
        <v>676</v>
      </c>
      <c r="G48" s="262">
        <v>8000.0</v>
      </c>
      <c r="K48" s="263" t="s">
        <v>1471</v>
      </c>
      <c r="L48" s="263" t="s">
        <v>757</v>
      </c>
      <c r="M48" s="264">
        <f t="shared" si="4"/>
        <v>22000</v>
      </c>
    </row>
    <row r="49">
      <c r="A49" s="99" t="s">
        <v>657</v>
      </c>
      <c r="B49" s="262">
        <v>8000.0</v>
      </c>
      <c r="F49" s="99" t="s">
        <v>657</v>
      </c>
      <c r="G49" s="262">
        <v>8000.0</v>
      </c>
      <c r="K49" s="263" t="s">
        <v>1472</v>
      </c>
      <c r="L49" s="263" t="s">
        <v>602</v>
      </c>
      <c r="M49" s="264">
        <f t="shared" si="4"/>
        <v>22000</v>
      </c>
    </row>
    <row r="50">
      <c r="A50" s="99" t="s">
        <v>1334</v>
      </c>
      <c r="B50" s="262">
        <v>8000.0</v>
      </c>
      <c r="F50" s="99" t="s">
        <v>1334</v>
      </c>
      <c r="G50" s="262">
        <v>8000.0</v>
      </c>
      <c r="K50" s="263" t="s">
        <v>1473</v>
      </c>
      <c r="L50" s="263" t="s">
        <v>604</v>
      </c>
      <c r="M50" s="264">
        <f t="shared" si="4"/>
        <v>22000</v>
      </c>
    </row>
    <row r="51">
      <c r="A51" s="99" t="s">
        <v>696</v>
      </c>
      <c r="B51" s="262">
        <v>4000.0</v>
      </c>
      <c r="F51" s="99" t="s">
        <v>696</v>
      </c>
      <c r="G51" s="262">
        <v>4000.0</v>
      </c>
      <c r="K51" s="263" t="s">
        <v>1474</v>
      </c>
      <c r="L51" s="263" t="s">
        <v>696</v>
      </c>
      <c r="M51" s="264">
        <f t="shared" si="4"/>
        <v>4000</v>
      </c>
    </row>
    <row r="52">
      <c r="A52" s="99" t="s">
        <v>654</v>
      </c>
      <c r="B52" s="262">
        <v>4000.0</v>
      </c>
      <c r="F52" s="99" t="s">
        <v>654</v>
      </c>
      <c r="G52" s="262">
        <v>4000.0</v>
      </c>
      <c r="K52" s="263" t="s">
        <v>1475</v>
      </c>
      <c r="L52" s="99" t="s">
        <v>654</v>
      </c>
      <c r="M52" s="264">
        <f t="shared" si="4"/>
        <v>4000</v>
      </c>
    </row>
    <row r="53">
      <c r="A53" s="99" t="s">
        <v>554</v>
      </c>
      <c r="B53" s="262">
        <v>53000.0</v>
      </c>
      <c r="F53" s="99" t="s">
        <v>554</v>
      </c>
      <c r="G53" s="262">
        <v>53000.0</v>
      </c>
      <c r="K53" s="263" t="s">
        <v>1476</v>
      </c>
      <c r="L53" s="99" t="s">
        <v>1334</v>
      </c>
      <c r="M53" s="264">
        <f t="shared" si="4"/>
        <v>8000</v>
      </c>
    </row>
    <row r="54">
      <c r="A54" s="99" t="s">
        <v>555</v>
      </c>
      <c r="B54" s="262">
        <v>123000.0</v>
      </c>
      <c r="F54" s="99" t="s">
        <v>555</v>
      </c>
      <c r="G54" s="262">
        <v>123000.0</v>
      </c>
      <c r="K54" s="263" t="s">
        <v>1477</v>
      </c>
      <c r="L54" s="99" t="s">
        <v>676</v>
      </c>
      <c r="M54" s="264">
        <f t="shared" si="4"/>
        <v>8000</v>
      </c>
    </row>
    <row r="55">
      <c r="A55" s="99" t="s">
        <v>553</v>
      </c>
      <c r="B55" s="262">
        <v>163000.0</v>
      </c>
      <c r="F55" s="99" t="s">
        <v>553</v>
      </c>
      <c r="G55" s="262">
        <v>163000.0</v>
      </c>
      <c r="K55" s="263" t="s">
        <v>1478</v>
      </c>
      <c r="L55" s="99" t="s">
        <v>657</v>
      </c>
      <c r="M55" s="264">
        <f t="shared" si="4"/>
        <v>8000</v>
      </c>
    </row>
    <row r="56">
      <c r="A56" s="99" t="s">
        <v>225</v>
      </c>
      <c r="B56" s="262">
        <v>37000.0</v>
      </c>
      <c r="F56" s="99" t="s">
        <v>225</v>
      </c>
      <c r="G56" s="262">
        <v>37000.0</v>
      </c>
      <c r="L56" s="266"/>
    </row>
    <row r="57">
      <c r="A57" s="99" t="s">
        <v>218</v>
      </c>
      <c r="B57" s="262">
        <v>37000.0</v>
      </c>
      <c r="F57" s="99" t="s">
        <v>218</v>
      </c>
      <c r="G57" s="262">
        <v>37000.0</v>
      </c>
    </row>
    <row r="58">
      <c r="A58" s="99" t="s">
        <v>195</v>
      </c>
      <c r="B58" s="262">
        <v>37000.0</v>
      </c>
      <c r="F58" s="99" t="s">
        <v>195</v>
      </c>
      <c r="G58" s="262">
        <v>37000.0</v>
      </c>
    </row>
    <row r="59">
      <c r="A59" s="99" t="s">
        <v>223</v>
      </c>
      <c r="B59" s="262">
        <v>37000.0</v>
      </c>
      <c r="F59" s="99" t="s">
        <v>223</v>
      </c>
      <c r="G59" s="262">
        <v>37000.0</v>
      </c>
    </row>
    <row r="60">
      <c r="A60" s="99" t="s">
        <v>220</v>
      </c>
      <c r="B60" s="262">
        <v>37000.0</v>
      </c>
      <c r="F60" s="99" t="s">
        <v>220</v>
      </c>
      <c r="G60" s="262">
        <v>37000.0</v>
      </c>
    </row>
    <row r="61">
      <c r="A61" s="99" t="s">
        <v>543</v>
      </c>
      <c r="B61" s="262">
        <v>37000.0</v>
      </c>
      <c r="F61" s="99" t="s">
        <v>543</v>
      </c>
      <c r="G61" s="262">
        <v>37000.0</v>
      </c>
    </row>
    <row r="62">
      <c r="A62" s="99" t="s">
        <v>182</v>
      </c>
      <c r="B62" s="262">
        <v>37000.0</v>
      </c>
      <c r="F62" s="99"/>
      <c r="G62" s="262"/>
    </row>
    <row r="63">
      <c r="A63" s="99" t="s">
        <v>228</v>
      </c>
      <c r="B63" s="262">
        <v>105000.0</v>
      </c>
      <c r="F63" s="99" t="s">
        <v>228</v>
      </c>
      <c r="G63" s="262">
        <v>105000.0</v>
      </c>
    </row>
    <row r="64">
      <c r="A64" s="99" t="s">
        <v>229</v>
      </c>
      <c r="B64" s="262">
        <v>105000.0</v>
      </c>
      <c r="F64" s="99" t="s">
        <v>229</v>
      </c>
      <c r="G64" s="262">
        <v>105000.0</v>
      </c>
    </row>
    <row r="65">
      <c r="A65" s="99" t="s">
        <v>217</v>
      </c>
      <c r="B65" s="264"/>
      <c r="F65" s="99" t="s">
        <v>217</v>
      </c>
      <c r="G65" s="264"/>
    </row>
    <row r="66">
      <c r="A66" s="99" t="s">
        <v>190</v>
      </c>
      <c r="B66" s="262">
        <v>182000.0</v>
      </c>
      <c r="F66" s="99" t="s">
        <v>190</v>
      </c>
      <c r="G66" s="262">
        <v>182000.0</v>
      </c>
    </row>
    <row r="67">
      <c r="A67" s="99" t="s">
        <v>180</v>
      </c>
      <c r="B67" s="262">
        <v>149000.0</v>
      </c>
      <c r="F67" s="99" t="s">
        <v>180</v>
      </c>
      <c r="G67" s="262">
        <v>149000.0</v>
      </c>
    </row>
    <row r="68">
      <c r="A68" s="99" t="s">
        <v>179</v>
      </c>
      <c r="B68" s="262">
        <v>55000.0</v>
      </c>
      <c r="F68" s="99" t="s">
        <v>179</v>
      </c>
      <c r="G68" s="262">
        <v>55000.0</v>
      </c>
    </row>
    <row r="69">
      <c r="A69" s="99" t="s">
        <v>183</v>
      </c>
      <c r="B69" s="262">
        <v>15400.0</v>
      </c>
      <c r="G69" s="262"/>
    </row>
    <row r="70">
      <c r="A70" s="99" t="s">
        <v>184</v>
      </c>
      <c r="B70" s="262">
        <v>24000.0</v>
      </c>
      <c r="G70" s="262"/>
    </row>
    <row r="71">
      <c r="A71" s="99" t="s">
        <v>185</v>
      </c>
      <c r="B71" s="262">
        <v>17600.0</v>
      </c>
      <c r="G71" s="262"/>
    </row>
    <row r="72">
      <c r="A72" s="99" t="s">
        <v>124</v>
      </c>
      <c r="B72" s="262">
        <v>64000.0</v>
      </c>
    </row>
    <row r="73">
      <c r="A73" s="99" t="s">
        <v>126</v>
      </c>
      <c r="B73" s="262">
        <v>64000.0</v>
      </c>
    </row>
    <row r="74">
      <c r="A74" s="99" t="s">
        <v>127</v>
      </c>
      <c r="B74" s="262">
        <v>64000.0</v>
      </c>
    </row>
    <row r="75">
      <c r="A75" s="99" t="s">
        <v>235</v>
      </c>
      <c r="B75" s="262">
        <v>164000.0</v>
      </c>
    </row>
    <row r="76">
      <c r="A76" s="99" t="s">
        <v>1479</v>
      </c>
      <c r="B76" s="262">
        <v>164000.0</v>
      </c>
    </row>
    <row r="77">
      <c r="A77" s="99" t="s">
        <v>286</v>
      </c>
      <c r="B77" s="262">
        <v>96000.0</v>
      </c>
    </row>
    <row r="78">
      <c r="A78" s="99" t="s">
        <v>1480</v>
      </c>
      <c r="B78" s="262">
        <v>105000.0</v>
      </c>
    </row>
    <row r="79">
      <c r="A79" s="99" t="s">
        <v>1417</v>
      </c>
      <c r="B79" s="262">
        <v>105000.0</v>
      </c>
    </row>
    <row r="80">
      <c r="A80" s="99" t="s">
        <v>284</v>
      </c>
      <c r="B80" s="262">
        <v>72000.0</v>
      </c>
    </row>
    <row r="81">
      <c r="A81" s="99" t="s">
        <v>1481</v>
      </c>
      <c r="B81" s="262">
        <v>112500.0</v>
      </c>
    </row>
    <row r="82">
      <c r="A82" s="99" t="s">
        <v>1482</v>
      </c>
      <c r="B82" s="262">
        <v>112500.0</v>
      </c>
    </row>
    <row r="83">
      <c r="A83" s="267" t="s">
        <v>462</v>
      </c>
      <c r="B83" s="268">
        <v>112500.0</v>
      </c>
    </row>
    <row r="84">
      <c r="A84" s="269" t="s">
        <v>288</v>
      </c>
      <c r="B84" s="268">
        <v>241500.0</v>
      </c>
    </row>
    <row r="85">
      <c r="A85" s="269" t="s">
        <v>1483</v>
      </c>
      <c r="B85" s="268">
        <v>241500.0</v>
      </c>
    </row>
    <row r="86">
      <c r="A86" s="99" t="s">
        <v>206</v>
      </c>
      <c r="B86" s="262">
        <v>22000.0</v>
      </c>
    </row>
    <row r="87">
      <c r="A87" s="99" t="s">
        <v>207</v>
      </c>
      <c r="B87" s="262">
        <v>22000.0</v>
      </c>
    </row>
    <row r="88">
      <c r="A88" s="99" t="s">
        <v>209</v>
      </c>
      <c r="B88" s="262">
        <v>22000.0</v>
      </c>
    </row>
    <row r="89">
      <c r="A89" s="99" t="s">
        <v>208</v>
      </c>
      <c r="B89" s="262">
        <v>22000.0</v>
      </c>
    </row>
    <row r="90">
      <c r="A90" s="99" t="s">
        <v>1382</v>
      </c>
      <c r="B90" s="262">
        <v>64000.0</v>
      </c>
    </row>
    <row r="91">
      <c r="B91" s="264"/>
    </row>
    <row r="92">
      <c r="B92" s="264"/>
    </row>
    <row r="93">
      <c r="B93" s="264"/>
    </row>
    <row r="94">
      <c r="B94" s="264"/>
    </row>
    <row r="95">
      <c r="B95" s="264"/>
    </row>
    <row r="96">
      <c r="B96" s="264"/>
    </row>
    <row r="97">
      <c r="B97" s="264"/>
    </row>
    <row r="98">
      <c r="B98" s="264"/>
    </row>
    <row r="99">
      <c r="B99" s="264"/>
    </row>
    <row r="100">
      <c r="B100" s="264"/>
    </row>
    <row r="101">
      <c r="B101" s="264"/>
    </row>
    <row r="102">
      <c r="B102" s="264"/>
    </row>
    <row r="103">
      <c r="B103" s="264"/>
    </row>
    <row r="104">
      <c r="B104" s="264"/>
    </row>
    <row r="105">
      <c r="B105" s="264"/>
    </row>
    <row r="106">
      <c r="B106" s="264"/>
    </row>
    <row r="107">
      <c r="B107" s="264"/>
    </row>
    <row r="108">
      <c r="B108" s="264"/>
    </row>
    <row r="109">
      <c r="B109" s="264"/>
    </row>
    <row r="110">
      <c r="B110" s="264"/>
    </row>
    <row r="111">
      <c r="B111" s="264"/>
    </row>
    <row r="112">
      <c r="B112" s="264"/>
    </row>
    <row r="113">
      <c r="B113" s="264"/>
    </row>
    <row r="114">
      <c r="B114" s="264"/>
    </row>
    <row r="115">
      <c r="B115" s="264"/>
    </row>
    <row r="116">
      <c r="B116" s="264"/>
    </row>
    <row r="117">
      <c r="B117" s="264"/>
    </row>
    <row r="118">
      <c r="B118" s="264"/>
    </row>
    <row r="119">
      <c r="B119" s="264"/>
    </row>
    <row r="120">
      <c r="B120" s="264"/>
    </row>
    <row r="121">
      <c r="B121" s="264"/>
    </row>
    <row r="122">
      <c r="B122" s="264"/>
    </row>
    <row r="123">
      <c r="B123" s="264"/>
    </row>
    <row r="124">
      <c r="B124" s="264"/>
    </row>
    <row r="125">
      <c r="B125" s="264"/>
    </row>
    <row r="126">
      <c r="B126" s="264"/>
    </row>
    <row r="127">
      <c r="B127" s="264"/>
    </row>
    <row r="128">
      <c r="B128" s="264"/>
    </row>
    <row r="129">
      <c r="B129" s="264"/>
    </row>
    <row r="130">
      <c r="B130" s="264"/>
    </row>
    <row r="131">
      <c r="B131" s="264"/>
    </row>
    <row r="132">
      <c r="B132" s="264"/>
    </row>
    <row r="133">
      <c r="B133" s="264"/>
    </row>
    <row r="134">
      <c r="B134" s="264"/>
    </row>
    <row r="135">
      <c r="B135" s="264"/>
    </row>
    <row r="136">
      <c r="B136" s="264"/>
    </row>
    <row r="137">
      <c r="B137" s="264"/>
    </row>
    <row r="138">
      <c r="B138" s="264"/>
    </row>
    <row r="139">
      <c r="B139" s="264"/>
    </row>
    <row r="140">
      <c r="B140" s="264"/>
    </row>
    <row r="141">
      <c r="B141" s="264"/>
    </row>
    <row r="142">
      <c r="B142" s="264"/>
    </row>
    <row r="143">
      <c r="B143" s="264"/>
    </row>
    <row r="144">
      <c r="B144" s="264"/>
    </row>
    <row r="145">
      <c r="B145" s="264"/>
    </row>
    <row r="146">
      <c r="B146" s="264"/>
    </row>
    <row r="147">
      <c r="B147" s="264"/>
    </row>
    <row r="148">
      <c r="B148" s="264"/>
    </row>
    <row r="149">
      <c r="B149" s="264"/>
    </row>
    <row r="150">
      <c r="B150" s="264"/>
    </row>
    <row r="151">
      <c r="B151" s="264"/>
    </row>
    <row r="152">
      <c r="B152" s="264"/>
    </row>
    <row r="153">
      <c r="B153" s="264"/>
    </row>
    <row r="154">
      <c r="B154" s="264"/>
    </row>
    <row r="155">
      <c r="B155" s="264"/>
    </row>
    <row r="156">
      <c r="B156" s="264"/>
    </row>
    <row r="157">
      <c r="B157" s="264"/>
    </row>
    <row r="158">
      <c r="B158" s="264"/>
    </row>
    <row r="159">
      <c r="B159" s="264"/>
    </row>
    <row r="160">
      <c r="B160" s="264"/>
    </row>
    <row r="161">
      <c r="B161" s="264"/>
    </row>
    <row r="162">
      <c r="B162" s="264"/>
    </row>
    <row r="163">
      <c r="B163" s="264"/>
    </row>
    <row r="164">
      <c r="B164" s="264"/>
    </row>
    <row r="165">
      <c r="B165" s="264"/>
    </row>
    <row r="166">
      <c r="B166" s="264"/>
    </row>
    <row r="167">
      <c r="B167" s="264"/>
    </row>
    <row r="168">
      <c r="B168" s="264"/>
    </row>
    <row r="169">
      <c r="B169" s="264"/>
    </row>
    <row r="170">
      <c r="B170" s="264"/>
    </row>
    <row r="171">
      <c r="B171" s="264"/>
    </row>
    <row r="172">
      <c r="B172" s="264"/>
    </row>
    <row r="173">
      <c r="B173" s="264"/>
    </row>
    <row r="174">
      <c r="B174" s="264"/>
    </row>
    <row r="175">
      <c r="B175" s="264"/>
    </row>
    <row r="176">
      <c r="B176" s="264"/>
    </row>
    <row r="177">
      <c r="B177" s="264"/>
    </row>
    <row r="178">
      <c r="B178" s="264"/>
    </row>
    <row r="179">
      <c r="B179" s="264"/>
    </row>
    <row r="180">
      <c r="B180" s="264"/>
    </row>
    <row r="181">
      <c r="B181" s="264"/>
    </row>
    <row r="182">
      <c r="B182" s="264"/>
    </row>
    <row r="183">
      <c r="B183" s="264"/>
    </row>
    <row r="184">
      <c r="B184" s="264"/>
    </row>
    <row r="185">
      <c r="B185" s="264"/>
    </row>
    <row r="186">
      <c r="B186" s="264"/>
    </row>
    <row r="187">
      <c r="B187" s="264"/>
    </row>
    <row r="188">
      <c r="B188" s="264"/>
    </row>
    <row r="189">
      <c r="B189" s="264"/>
    </row>
    <row r="190">
      <c r="B190" s="264"/>
    </row>
    <row r="191">
      <c r="B191" s="264"/>
    </row>
    <row r="192">
      <c r="B192" s="264"/>
    </row>
    <row r="193">
      <c r="B193" s="264"/>
    </row>
    <row r="194">
      <c r="B194" s="264"/>
    </row>
    <row r="195">
      <c r="B195" s="264"/>
    </row>
    <row r="196">
      <c r="B196" s="264"/>
    </row>
    <row r="197">
      <c r="B197" s="264"/>
    </row>
    <row r="198">
      <c r="B198" s="264"/>
    </row>
    <row r="199">
      <c r="B199" s="264"/>
    </row>
    <row r="200">
      <c r="B200" s="264"/>
    </row>
    <row r="201">
      <c r="B201" s="264"/>
    </row>
    <row r="202">
      <c r="B202" s="264"/>
    </row>
    <row r="203">
      <c r="B203" s="264"/>
    </row>
    <row r="204">
      <c r="B204" s="264"/>
    </row>
    <row r="205">
      <c r="B205" s="264"/>
    </row>
    <row r="206">
      <c r="B206" s="264"/>
    </row>
    <row r="207">
      <c r="B207" s="264"/>
    </row>
    <row r="208">
      <c r="B208" s="264"/>
    </row>
    <row r="209">
      <c r="B209" s="264"/>
    </row>
    <row r="210">
      <c r="B210" s="264"/>
    </row>
    <row r="211">
      <c r="B211" s="264"/>
    </row>
    <row r="212">
      <c r="B212" s="264"/>
    </row>
    <row r="213">
      <c r="B213" s="264"/>
    </row>
    <row r="214">
      <c r="B214" s="264"/>
    </row>
    <row r="215">
      <c r="B215" s="264"/>
    </row>
    <row r="216">
      <c r="B216" s="264"/>
    </row>
    <row r="217">
      <c r="B217" s="264"/>
    </row>
    <row r="218">
      <c r="B218" s="264"/>
    </row>
    <row r="219">
      <c r="B219" s="264"/>
    </row>
    <row r="220">
      <c r="B220" s="264"/>
    </row>
    <row r="221">
      <c r="B221" s="264"/>
    </row>
    <row r="222">
      <c r="B222" s="264"/>
    </row>
    <row r="223">
      <c r="B223" s="264"/>
    </row>
    <row r="224">
      <c r="B224" s="264"/>
    </row>
    <row r="225">
      <c r="B225" s="264"/>
    </row>
    <row r="226">
      <c r="B226" s="264"/>
    </row>
    <row r="227">
      <c r="B227" s="264"/>
    </row>
    <row r="228">
      <c r="B228" s="264"/>
    </row>
    <row r="229">
      <c r="B229" s="264"/>
    </row>
    <row r="230">
      <c r="B230" s="264"/>
    </row>
    <row r="231">
      <c r="B231" s="264"/>
    </row>
    <row r="232">
      <c r="B232" s="264"/>
    </row>
    <row r="233">
      <c r="B233" s="264"/>
    </row>
    <row r="234">
      <c r="B234" s="264"/>
    </row>
    <row r="235">
      <c r="B235" s="264"/>
    </row>
    <row r="236">
      <c r="B236" s="264"/>
    </row>
    <row r="237">
      <c r="B237" s="264"/>
    </row>
    <row r="238">
      <c r="B238" s="264"/>
    </row>
    <row r="239">
      <c r="B239" s="264"/>
    </row>
    <row r="240">
      <c r="B240" s="264"/>
    </row>
    <row r="241">
      <c r="B241" s="264"/>
    </row>
    <row r="242">
      <c r="B242" s="264"/>
    </row>
    <row r="243">
      <c r="B243" s="264"/>
    </row>
    <row r="244">
      <c r="B244" s="264"/>
    </row>
    <row r="245">
      <c r="B245" s="264"/>
    </row>
    <row r="246">
      <c r="B246" s="264"/>
    </row>
    <row r="247">
      <c r="B247" s="264"/>
    </row>
    <row r="248">
      <c r="B248" s="264"/>
    </row>
    <row r="249">
      <c r="B249" s="264"/>
    </row>
    <row r="250">
      <c r="B250" s="264"/>
    </row>
    <row r="251">
      <c r="B251" s="264"/>
    </row>
    <row r="252">
      <c r="B252" s="264"/>
    </row>
    <row r="253">
      <c r="B253" s="264"/>
    </row>
    <row r="254">
      <c r="B254" s="264"/>
    </row>
    <row r="255">
      <c r="B255" s="264"/>
    </row>
    <row r="256">
      <c r="B256" s="264"/>
    </row>
    <row r="257">
      <c r="B257" s="264"/>
    </row>
    <row r="258">
      <c r="B258" s="264"/>
    </row>
    <row r="259">
      <c r="B259" s="264"/>
    </row>
    <row r="260">
      <c r="B260" s="264"/>
    </row>
    <row r="261">
      <c r="B261" s="264"/>
    </row>
    <row r="262">
      <c r="B262" s="264"/>
    </row>
    <row r="263">
      <c r="B263" s="264"/>
    </row>
    <row r="264">
      <c r="B264" s="264"/>
    </row>
    <row r="265">
      <c r="B265" s="264"/>
    </row>
    <row r="266">
      <c r="B266" s="264"/>
    </row>
    <row r="267">
      <c r="B267" s="264"/>
    </row>
    <row r="268">
      <c r="B268" s="264"/>
    </row>
    <row r="269">
      <c r="B269" s="264"/>
    </row>
    <row r="270">
      <c r="B270" s="264"/>
    </row>
    <row r="271">
      <c r="B271" s="264"/>
    </row>
    <row r="272">
      <c r="B272" s="264"/>
    </row>
    <row r="273">
      <c r="B273" s="264"/>
    </row>
    <row r="274">
      <c r="B274" s="264"/>
    </row>
    <row r="275">
      <c r="B275" s="264"/>
    </row>
    <row r="276">
      <c r="B276" s="264"/>
    </row>
    <row r="277">
      <c r="B277" s="264"/>
    </row>
    <row r="278">
      <c r="B278" s="264"/>
    </row>
    <row r="279">
      <c r="B279" s="264"/>
    </row>
    <row r="280">
      <c r="B280" s="264"/>
    </row>
    <row r="281">
      <c r="B281" s="264"/>
    </row>
    <row r="282">
      <c r="B282" s="264"/>
    </row>
    <row r="283">
      <c r="B283" s="264"/>
    </row>
    <row r="284">
      <c r="B284" s="264"/>
    </row>
    <row r="285">
      <c r="B285" s="264"/>
    </row>
    <row r="286">
      <c r="B286" s="264"/>
    </row>
    <row r="287">
      <c r="B287" s="264"/>
    </row>
    <row r="288">
      <c r="B288" s="264"/>
    </row>
    <row r="289">
      <c r="B289" s="264"/>
    </row>
    <row r="290">
      <c r="B290" s="264"/>
    </row>
    <row r="291">
      <c r="B291" s="264"/>
    </row>
    <row r="292">
      <c r="B292" s="264"/>
    </row>
    <row r="293">
      <c r="B293" s="264"/>
    </row>
    <row r="294">
      <c r="B294" s="264"/>
    </row>
    <row r="295">
      <c r="B295" s="264"/>
    </row>
    <row r="296">
      <c r="B296" s="264"/>
    </row>
    <row r="297">
      <c r="B297" s="264"/>
    </row>
    <row r="298">
      <c r="B298" s="264"/>
    </row>
    <row r="299">
      <c r="B299" s="264"/>
    </row>
    <row r="300">
      <c r="B300" s="264"/>
    </row>
    <row r="301">
      <c r="B301" s="264"/>
    </row>
    <row r="302">
      <c r="B302" s="264"/>
    </row>
    <row r="303">
      <c r="B303" s="264"/>
    </row>
    <row r="304">
      <c r="B304" s="264"/>
    </row>
    <row r="305">
      <c r="B305" s="264"/>
    </row>
    <row r="306">
      <c r="B306" s="264"/>
    </row>
    <row r="307">
      <c r="B307" s="264"/>
    </row>
    <row r="308">
      <c r="B308" s="264"/>
    </row>
    <row r="309">
      <c r="B309" s="264"/>
    </row>
    <row r="310">
      <c r="B310" s="264"/>
    </row>
    <row r="311">
      <c r="B311" s="264"/>
    </row>
    <row r="312">
      <c r="B312" s="264"/>
    </row>
    <row r="313">
      <c r="B313" s="264"/>
    </row>
    <row r="314">
      <c r="B314" s="264"/>
    </row>
    <row r="315">
      <c r="B315" s="264"/>
    </row>
    <row r="316">
      <c r="B316" s="264"/>
    </row>
    <row r="317">
      <c r="B317" s="264"/>
    </row>
    <row r="318">
      <c r="B318" s="264"/>
    </row>
    <row r="319">
      <c r="B319" s="264"/>
    </row>
    <row r="320">
      <c r="B320" s="264"/>
    </row>
    <row r="321">
      <c r="B321" s="264"/>
    </row>
    <row r="322">
      <c r="B322" s="264"/>
    </row>
    <row r="323">
      <c r="B323" s="264"/>
    </row>
    <row r="324">
      <c r="B324" s="264"/>
    </row>
    <row r="325">
      <c r="B325" s="264"/>
    </row>
    <row r="326">
      <c r="B326" s="264"/>
    </row>
    <row r="327">
      <c r="B327" s="264"/>
    </row>
    <row r="328">
      <c r="B328" s="264"/>
    </row>
    <row r="329">
      <c r="B329" s="264"/>
    </row>
    <row r="330">
      <c r="B330" s="264"/>
    </row>
    <row r="331">
      <c r="B331" s="264"/>
    </row>
    <row r="332">
      <c r="B332" s="264"/>
    </row>
    <row r="333">
      <c r="B333" s="264"/>
    </row>
    <row r="334">
      <c r="B334" s="264"/>
    </row>
    <row r="335">
      <c r="B335" s="264"/>
    </row>
    <row r="336">
      <c r="B336" s="264"/>
    </row>
    <row r="337">
      <c r="B337" s="264"/>
    </row>
    <row r="338">
      <c r="B338" s="264"/>
    </row>
    <row r="339">
      <c r="B339" s="264"/>
    </row>
    <row r="340">
      <c r="B340" s="264"/>
    </row>
    <row r="341">
      <c r="B341" s="264"/>
    </row>
    <row r="342">
      <c r="B342" s="264"/>
    </row>
    <row r="343">
      <c r="B343" s="264"/>
    </row>
    <row r="344">
      <c r="B344" s="264"/>
    </row>
    <row r="345">
      <c r="B345" s="264"/>
    </row>
    <row r="346">
      <c r="B346" s="264"/>
    </row>
    <row r="347">
      <c r="B347" s="264"/>
    </row>
    <row r="348">
      <c r="B348" s="264"/>
    </row>
    <row r="349">
      <c r="B349" s="264"/>
    </row>
    <row r="350">
      <c r="B350" s="264"/>
    </row>
    <row r="351">
      <c r="B351" s="264"/>
    </row>
    <row r="352">
      <c r="B352" s="264"/>
    </row>
    <row r="353">
      <c r="B353" s="264"/>
    </row>
    <row r="354">
      <c r="B354" s="264"/>
    </row>
    <row r="355">
      <c r="B355" s="264"/>
    </row>
    <row r="356">
      <c r="B356" s="264"/>
    </row>
    <row r="357">
      <c r="B357" s="264"/>
    </row>
    <row r="358">
      <c r="B358" s="264"/>
    </row>
    <row r="359">
      <c r="B359" s="264"/>
    </row>
    <row r="360">
      <c r="B360" s="264"/>
    </row>
    <row r="361">
      <c r="B361" s="264"/>
    </row>
    <row r="362">
      <c r="B362" s="264"/>
    </row>
    <row r="363">
      <c r="B363" s="264"/>
    </row>
    <row r="364">
      <c r="B364" s="264"/>
    </row>
    <row r="365">
      <c r="B365" s="264"/>
    </row>
    <row r="366">
      <c r="B366" s="264"/>
    </row>
    <row r="367">
      <c r="B367" s="264"/>
    </row>
    <row r="368">
      <c r="B368" s="264"/>
    </row>
    <row r="369">
      <c r="B369" s="264"/>
    </row>
    <row r="370">
      <c r="B370" s="264"/>
    </row>
    <row r="371">
      <c r="B371" s="264"/>
    </row>
    <row r="372">
      <c r="B372" s="264"/>
    </row>
    <row r="373">
      <c r="B373" s="264"/>
    </row>
    <row r="374">
      <c r="B374" s="264"/>
    </row>
    <row r="375">
      <c r="B375" s="264"/>
    </row>
    <row r="376">
      <c r="B376" s="264"/>
    </row>
    <row r="377">
      <c r="B377" s="264"/>
    </row>
    <row r="378">
      <c r="B378" s="264"/>
    </row>
    <row r="379">
      <c r="B379" s="264"/>
    </row>
    <row r="380">
      <c r="B380" s="264"/>
    </row>
    <row r="381">
      <c r="B381" s="264"/>
    </row>
    <row r="382">
      <c r="B382" s="264"/>
    </row>
    <row r="383">
      <c r="B383" s="264"/>
    </row>
    <row r="384">
      <c r="B384" s="264"/>
    </row>
    <row r="385">
      <c r="B385" s="264"/>
    </row>
    <row r="386">
      <c r="B386" s="264"/>
    </row>
    <row r="387">
      <c r="B387" s="264"/>
    </row>
    <row r="388">
      <c r="B388" s="264"/>
    </row>
    <row r="389">
      <c r="B389" s="264"/>
    </row>
    <row r="390">
      <c r="B390" s="264"/>
    </row>
    <row r="391">
      <c r="B391" s="264"/>
    </row>
    <row r="392">
      <c r="B392" s="264"/>
    </row>
    <row r="393">
      <c r="B393" s="264"/>
    </row>
    <row r="394">
      <c r="B394" s="264"/>
    </row>
    <row r="395">
      <c r="B395" s="264"/>
    </row>
    <row r="396">
      <c r="B396" s="264"/>
    </row>
    <row r="397">
      <c r="B397" s="264"/>
    </row>
    <row r="398">
      <c r="B398" s="264"/>
    </row>
    <row r="399">
      <c r="B399" s="264"/>
    </row>
    <row r="400">
      <c r="B400" s="264"/>
    </row>
    <row r="401">
      <c r="B401" s="264"/>
    </row>
    <row r="402">
      <c r="B402" s="264"/>
    </row>
    <row r="403">
      <c r="B403" s="264"/>
    </row>
    <row r="404">
      <c r="B404" s="264"/>
    </row>
    <row r="405">
      <c r="B405" s="264"/>
    </row>
    <row r="406">
      <c r="B406" s="264"/>
    </row>
    <row r="407">
      <c r="B407" s="264"/>
    </row>
    <row r="408">
      <c r="B408" s="264"/>
    </row>
    <row r="409">
      <c r="B409" s="264"/>
    </row>
    <row r="410">
      <c r="B410" s="264"/>
    </row>
    <row r="411">
      <c r="B411" s="264"/>
    </row>
    <row r="412">
      <c r="B412" s="264"/>
    </row>
    <row r="413">
      <c r="B413" s="264"/>
    </row>
    <row r="414">
      <c r="B414" s="264"/>
    </row>
    <row r="415">
      <c r="B415" s="264"/>
    </row>
    <row r="416">
      <c r="B416" s="264"/>
    </row>
    <row r="417">
      <c r="B417" s="264"/>
    </row>
    <row r="418">
      <c r="B418" s="264"/>
    </row>
    <row r="419">
      <c r="B419" s="264"/>
    </row>
    <row r="420">
      <c r="B420" s="264"/>
    </row>
    <row r="421">
      <c r="B421" s="264"/>
    </row>
    <row r="422">
      <c r="B422" s="264"/>
    </row>
    <row r="423">
      <c r="B423" s="264"/>
    </row>
    <row r="424">
      <c r="B424" s="264"/>
    </row>
    <row r="425">
      <c r="B425" s="264"/>
    </row>
    <row r="426">
      <c r="B426" s="264"/>
    </row>
    <row r="427">
      <c r="B427" s="264"/>
    </row>
    <row r="428">
      <c r="B428" s="264"/>
    </row>
    <row r="429">
      <c r="B429" s="264"/>
    </row>
    <row r="430">
      <c r="B430" s="264"/>
    </row>
    <row r="431">
      <c r="B431" s="264"/>
    </row>
    <row r="432">
      <c r="B432" s="264"/>
    </row>
    <row r="433">
      <c r="B433" s="264"/>
    </row>
    <row r="434">
      <c r="B434" s="264"/>
    </row>
    <row r="435">
      <c r="B435" s="264"/>
    </row>
    <row r="436">
      <c r="B436" s="264"/>
    </row>
    <row r="437">
      <c r="B437" s="264"/>
    </row>
    <row r="438">
      <c r="B438" s="264"/>
    </row>
    <row r="439">
      <c r="B439" s="264"/>
    </row>
    <row r="440">
      <c r="B440" s="264"/>
    </row>
    <row r="441">
      <c r="B441" s="264"/>
    </row>
    <row r="442">
      <c r="B442" s="264"/>
    </row>
    <row r="443">
      <c r="B443" s="264"/>
    </row>
    <row r="444">
      <c r="B444" s="264"/>
    </row>
    <row r="445">
      <c r="B445" s="264"/>
    </row>
    <row r="446">
      <c r="B446" s="264"/>
    </row>
    <row r="447">
      <c r="B447" s="264"/>
    </row>
    <row r="448">
      <c r="B448" s="264"/>
    </row>
    <row r="449">
      <c r="B449" s="264"/>
    </row>
    <row r="450">
      <c r="B450" s="264"/>
    </row>
    <row r="451">
      <c r="B451" s="264"/>
    </row>
    <row r="452">
      <c r="B452" s="264"/>
    </row>
    <row r="453">
      <c r="B453" s="264"/>
    </row>
    <row r="454">
      <c r="B454" s="264"/>
    </row>
    <row r="455">
      <c r="B455" s="264"/>
    </row>
    <row r="456">
      <c r="B456" s="264"/>
    </row>
    <row r="457">
      <c r="B457" s="264"/>
    </row>
    <row r="458">
      <c r="B458" s="264"/>
    </row>
    <row r="459">
      <c r="B459" s="264"/>
    </row>
    <row r="460">
      <c r="B460" s="264"/>
    </row>
    <row r="461">
      <c r="B461" s="264"/>
    </row>
    <row r="462">
      <c r="B462" s="264"/>
    </row>
    <row r="463">
      <c r="B463" s="264"/>
    </row>
    <row r="464">
      <c r="B464" s="264"/>
    </row>
    <row r="465">
      <c r="B465" s="264"/>
    </row>
    <row r="466">
      <c r="B466" s="264"/>
    </row>
    <row r="467">
      <c r="B467" s="264"/>
    </row>
    <row r="468">
      <c r="B468" s="264"/>
    </row>
    <row r="469">
      <c r="B469" s="264"/>
    </row>
    <row r="470">
      <c r="B470" s="264"/>
    </row>
    <row r="471">
      <c r="B471" s="264"/>
    </row>
    <row r="472">
      <c r="B472" s="264"/>
    </row>
    <row r="473">
      <c r="B473" s="264"/>
    </row>
    <row r="474">
      <c r="B474" s="264"/>
    </row>
    <row r="475">
      <c r="B475" s="264"/>
    </row>
    <row r="476">
      <c r="B476" s="264"/>
    </row>
    <row r="477">
      <c r="B477" s="264"/>
    </row>
    <row r="478">
      <c r="B478" s="264"/>
    </row>
    <row r="479">
      <c r="B479" s="264"/>
    </row>
    <row r="480">
      <c r="B480" s="264"/>
    </row>
    <row r="481">
      <c r="B481" s="264"/>
    </row>
    <row r="482">
      <c r="B482" s="264"/>
    </row>
    <row r="483">
      <c r="B483" s="264"/>
    </row>
    <row r="484">
      <c r="B484" s="264"/>
    </row>
    <row r="485">
      <c r="B485" s="264"/>
    </row>
    <row r="486">
      <c r="B486" s="264"/>
    </row>
    <row r="487">
      <c r="B487" s="264"/>
    </row>
    <row r="488">
      <c r="B488" s="264"/>
    </row>
    <row r="489">
      <c r="B489" s="264"/>
    </row>
    <row r="490">
      <c r="B490" s="264"/>
    </row>
    <row r="491">
      <c r="B491" s="264"/>
    </row>
    <row r="492">
      <c r="B492" s="264"/>
    </row>
    <row r="493">
      <c r="B493" s="264"/>
    </row>
    <row r="494">
      <c r="B494" s="264"/>
    </row>
    <row r="495">
      <c r="B495" s="264"/>
    </row>
    <row r="496">
      <c r="B496" s="264"/>
    </row>
    <row r="497">
      <c r="B497" s="264"/>
    </row>
    <row r="498">
      <c r="B498" s="264"/>
    </row>
    <row r="499">
      <c r="B499" s="264"/>
    </row>
    <row r="500">
      <c r="B500" s="264"/>
    </row>
    <row r="501">
      <c r="B501" s="264"/>
    </row>
    <row r="502">
      <c r="B502" s="264"/>
    </row>
    <row r="503">
      <c r="B503" s="264"/>
    </row>
    <row r="504">
      <c r="B504" s="264"/>
    </row>
    <row r="505">
      <c r="B505" s="264"/>
    </row>
    <row r="506">
      <c r="B506" s="264"/>
    </row>
    <row r="507">
      <c r="B507" s="264"/>
    </row>
    <row r="508">
      <c r="B508" s="264"/>
    </row>
    <row r="509">
      <c r="B509" s="264"/>
    </row>
    <row r="510">
      <c r="B510" s="264"/>
    </row>
    <row r="511">
      <c r="B511" s="264"/>
    </row>
    <row r="512">
      <c r="B512" s="264"/>
    </row>
    <row r="513">
      <c r="B513" s="264"/>
    </row>
    <row r="514">
      <c r="B514" s="264"/>
    </row>
    <row r="515">
      <c r="B515" s="264"/>
    </row>
    <row r="516">
      <c r="B516" s="264"/>
    </row>
    <row r="517">
      <c r="B517" s="264"/>
    </row>
    <row r="518">
      <c r="B518" s="264"/>
    </row>
    <row r="519">
      <c r="B519" s="264"/>
    </row>
    <row r="520">
      <c r="B520" s="264"/>
    </row>
    <row r="521">
      <c r="B521" s="264"/>
    </row>
    <row r="522">
      <c r="B522" s="264"/>
    </row>
    <row r="523">
      <c r="B523" s="264"/>
    </row>
    <row r="524">
      <c r="B524" s="264"/>
    </row>
    <row r="525">
      <c r="B525" s="264"/>
    </row>
    <row r="526">
      <c r="B526" s="264"/>
    </row>
    <row r="527">
      <c r="B527" s="264"/>
    </row>
    <row r="528">
      <c r="B528" s="264"/>
    </row>
    <row r="529">
      <c r="B529" s="264"/>
    </row>
    <row r="530">
      <c r="B530" s="264"/>
    </row>
    <row r="531">
      <c r="B531" s="264"/>
    </row>
    <row r="532">
      <c r="B532" s="264"/>
    </row>
    <row r="533">
      <c r="B533" s="264"/>
    </row>
    <row r="534">
      <c r="B534" s="264"/>
    </row>
    <row r="535">
      <c r="B535" s="264"/>
    </row>
    <row r="536">
      <c r="B536" s="264"/>
    </row>
    <row r="537">
      <c r="B537" s="264"/>
    </row>
    <row r="538">
      <c r="B538" s="264"/>
    </row>
    <row r="539">
      <c r="B539" s="264"/>
    </row>
    <row r="540">
      <c r="B540" s="264"/>
    </row>
    <row r="541">
      <c r="B541" s="264"/>
    </row>
    <row r="542">
      <c r="B542" s="264"/>
    </row>
    <row r="543">
      <c r="B543" s="264"/>
    </row>
    <row r="544">
      <c r="B544" s="264"/>
    </row>
    <row r="545">
      <c r="B545" s="264"/>
    </row>
    <row r="546">
      <c r="B546" s="264"/>
    </row>
    <row r="547">
      <c r="B547" s="264"/>
    </row>
    <row r="548">
      <c r="B548" s="264"/>
    </row>
    <row r="549">
      <c r="B549" s="264"/>
    </row>
    <row r="550">
      <c r="B550" s="264"/>
    </row>
    <row r="551">
      <c r="B551" s="264"/>
    </row>
    <row r="552">
      <c r="B552" s="264"/>
    </row>
    <row r="553">
      <c r="B553" s="264"/>
    </row>
    <row r="554">
      <c r="B554" s="264"/>
    </row>
    <row r="555">
      <c r="B555" s="264"/>
    </row>
    <row r="556">
      <c r="B556" s="264"/>
    </row>
    <row r="557">
      <c r="B557" s="264"/>
    </row>
    <row r="558">
      <c r="B558" s="264"/>
    </row>
    <row r="559">
      <c r="B559" s="264"/>
    </row>
    <row r="560">
      <c r="B560" s="264"/>
    </row>
    <row r="561">
      <c r="B561" s="264"/>
    </row>
    <row r="562">
      <c r="B562" s="264"/>
    </row>
    <row r="563">
      <c r="B563" s="264"/>
    </row>
    <row r="564">
      <c r="B564" s="264"/>
    </row>
    <row r="565">
      <c r="B565" s="264"/>
    </row>
    <row r="566">
      <c r="B566" s="264"/>
    </row>
    <row r="567">
      <c r="B567" s="264"/>
    </row>
    <row r="568">
      <c r="B568" s="264"/>
    </row>
    <row r="569">
      <c r="B569" s="264"/>
    </row>
    <row r="570">
      <c r="B570" s="264"/>
    </row>
    <row r="571">
      <c r="B571" s="264"/>
    </row>
    <row r="572">
      <c r="B572" s="264"/>
    </row>
    <row r="573">
      <c r="B573" s="264"/>
    </row>
    <row r="574">
      <c r="B574" s="264"/>
    </row>
    <row r="575">
      <c r="B575" s="264"/>
    </row>
    <row r="576">
      <c r="B576" s="264"/>
    </row>
    <row r="577">
      <c r="B577" s="264"/>
    </row>
    <row r="578">
      <c r="B578" s="264"/>
    </row>
    <row r="579">
      <c r="B579" s="264"/>
    </row>
    <row r="580">
      <c r="B580" s="264"/>
    </row>
    <row r="581">
      <c r="B581" s="264"/>
    </row>
    <row r="582">
      <c r="B582" s="264"/>
    </row>
    <row r="583">
      <c r="B583" s="264"/>
    </row>
    <row r="584">
      <c r="B584" s="264"/>
    </row>
    <row r="585">
      <c r="B585" s="264"/>
    </row>
    <row r="586">
      <c r="B586" s="264"/>
    </row>
    <row r="587">
      <c r="B587" s="264"/>
    </row>
    <row r="588">
      <c r="B588" s="264"/>
    </row>
    <row r="589">
      <c r="B589" s="264"/>
    </row>
    <row r="590">
      <c r="B590" s="264"/>
    </row>
    <row r="591">
      <c r="B591" s="264"/>
    </row>
    <row r="592">
      <c r="B592" s="264"/>
    </row>
    <row r="593">
      <c r="B593" s="264"/>
    </row>
    <row r="594">
      <c r="B594" s="264"/>
    </row>
    <row r="595">
      <c r="B595" s="264"/>
    </row>
    <row r="596">
      <c r="B596" s="264"/>
    </row>
    <row r="597">
      <c r="B597" s="264"/>
    </row>
    <row r="598">
      <c r="B598" s="264"/>
    </row>
    <row r="599">
      <c r="B599" s="264"/>
    </row>
    <row r="600">
      <c r="B600" s="264"/>
    </row>
    <row r="601">
      <c r="B601" s="264"/>
    </row>
    <row r="602">
      <c r="B602" s="264"/>
    </row>
    <row r="603">
      <c r="B603" s="264"/>
    </row>
    <row r="604">
      <c r="B604" s="264"/>
    </row>
    <row r="605">
      <c r="B605" s="264"/>
    </row>
    <row r="606">
      <c r="B606" s="264"/>
    </row>
    <row r="607">
      <c r="B607" s="264"/>
    </row>
    <row r="608">
      <c r="B608" s="264"/>
    </row>
    <row r="609">
      <c r="B609" s="264"/>
    </row>
    <row r="610">
      <c r="B610" s="264"/>
    </row>
    <row r="611">
      <c r="B611" s="264"/>
    </row>
    <row r="612">
      <c r="B612" s="264"/>
    </row>
    <row r="613">
      <c r="B613" s="264"/>
    </row>
    <row r="614">
      <c r="B614" s="264"/>
    </row>
    <row r="615">
      <c r="B615" s="264"/>
    </row>
    <row r="616">
      <c r="B616" s="264"/>
    </row>
    <row r="617">
      <c r="B617" s="264"/>
    </row>
    <row r="618">
      <c r="B618" s="264"/>
    </row>
    <row r="619">
      <c r="B619" s="264"/>
    </row>
    <row r="620">
      <c r="B620" s="264"/>
    </row>
    <row r="621">
      <c r="B621" s="264"/>
    </row>
    <row r="622">
      <c r="B622" s="264"/>
    </row>
    <row r="623">
      <c r="B623" s="264"/>
    </row>
    <row r="624">
      <c r="B624" s="264"/>
    </row>
    <row r="625">
      <c r="B625" s="264"/>
    </row>
    <row r="626">
      <c r="B626" s="264"/>
    </row>
    <row r="627">
      <c r="B627" s="264"/>
    </row>
    <row r="628">
      <c r="B628" s="264"/>
    </row>
    <row r="629">
      <c r="B629" s="264"/>
    </row>
    <row r="630">
      <c r="B630" s="264"/>
    </row>
    <row r="631">
      <c r="B631" s="264"/>
    </row>
    <row r="632">
      <c r="B632" s="264"/>
    </row>
    <row r="633">
      <c r="B633" s="264"/>
    </row>
    <row r="634">
      <c r="B634" s="264"/>
    </row>
    <row r="635">
      <c r="B635" s="264"/>
    </row>
    <row r="636">
      <c r="B636" s="264"/>
    </row>
    <row r="637">
      <c r="B637" s="264"/>
    </row>
    <row r="638">
      <c r="B638" s="264"/>
    </row>
    <row r="639">
      <c r="B639" s="264"/>
    </row>
    <row r="640">
      <c r="B640" s="264"/>
    </row>
    <row r="641">
      <c r="B641" s="264"/>
    </row>
    <row r="642">
      <c r="B642" s="264"/>
    </row>
    <row r="643">
      <c r="B643" s="264"/>
    </row>
    <row r="644">
      <c r="B644" s="264"/>
    </row>
    <row r="645">
      <c r="B645" s="264"/>
    </row>
    <row r="646">
      <c r="B646" s="264"/>
    </row>
    <row r="647">
      <c r="B647" s="264"/>
    </row>
    <row r="648">
      <c r="B648" s="264"/>
    </row>
    <row r="649">
      <c r="B649" s="264"/>
    </row>
    <row r="650">
      <c r="B650" s="264"/>
    </row>
    <row r="651">
      <c r="B651" s="264"/>
    </row>
    <row r="652">
      <c r="B652" s="264"/>
    </row>
    <row r="653">
      <c r="B653" s="264"/>
    </row>
    <row r="654">
      <c r="B654" s="264"/>
    </row>
    <row r="655">
      <c r="B655" s="264"/>
    </row>
    <row r="656">
      <c r="B656" s="264"/>
    </row>
    <row r="657">
      <c r="B657" s="264"/>
    </row>
    <row r="658">
      <c r="B658" s="264"/>
    </row>
    <row r="659">
      <c r="B659" s="264"/>
    </row>
    <row r="660">
      <c r="B660" s="264"/>
    </row>
    <row r="661">
      <c r="B661" s="264"/>
    </row>
    <row r="662">
      <c r="B662" s="264"/>
    </row>
    <row r="663">
      <c r="B663" s="264"/>
    </row>
    <row r="664">
      <c r="B664" s="264"/>
    </row>
    <row r="665">
      <c r="B665" s="264"/>
    </row>
    <row r="666">
      <c r="B666" s="264"/>
    </row>
    <row r="667">
      <c r="B667" s="264"/>
    </row>
    <row r="668">
      <c r="B668" s="264"/>
    </row>
    <row r="669">
      <c r="B669" s="264"/>
    </row>
    <row r="670">
      <c r="B670" s="264"/>
    </row>
    <row r="671">
      <c r="B671" s="264"/>
    </row>
    <row r="672">
      <c r="B672" s="264"/>
    </row>
    <row r="673">
      <c r="B673" s="264"/>
    </row>
    <row r="674">
      <c r="B674" s="264"/>
    </row>
    <row r="675">
      <c r="B675" s="264"/>
    </row>
    <row r="676">
      <c r="B676" s="264"/>
    </row>
    <row r="677">
      <c r="B677" s="264"/>
    </row>
    <row r="678">
      <c r="B678" s="264"/>
    </row>
    <row r="679">
      <c r="B679" s="264"/>
    </row>
    <row r="680">
      <c r="B680" s="264"/>
    </row>
    <row r="681">
      <c r="B681" s="264"/>
    </row>
    <row r="682">
      <c r="B682" s="264"/>
    </row>
    <row r="683">
      <c r="B683" s="264"/>
    </row>
    <row r="684">
      <c r="B684" s="264"/>
    </row>
    <row r="685">
      <c r="B685" s="264"/>
    </row>
    <row r="686">
      <c r="B686" s="264"/>
    </row>
    <row r="687">
      <c r="B687" s="264"/>
    </row>
    <row r="688">
      <c r="B688" s="264"/>
    </row>
    <row r="689">
      <c r="B689" s="264"/>
    </row>
    <row r="690">
      <c r="B690" s="264"/>
    </row>
    <row r="691">
      <c r="B691" s="264"/>
    </row>
    <row r="692">
      <c r="B692" s="264"/>
    </row>
    <row r="693">
      <c r="B693" s="264"/>
    </row>
    <row r="694">
      <c r="B694" s="264"/>
    </row>
    <row r="695">
      <c r="B695" s="264"/>
    </row>
    <row r="696">
      <c r="B696" s="264"/>
    </row>
    <row r="697">
      <c r="B697" s="264"/>
    </row>
    <row r="698">
      <c r="B698" s="264"/>
    </row>
    <row r="699">
      <c r="B699" s="264"/>
    </row>
    <row r="700">
      <c r="B700" s="264"/>
    </row>
    <row r="701">
      <c r="B701" s="264"/>
    </row>
    <row r="702">
      <c r="B702" s="264"/>
    </row>
    <row r="703">
      <c r="B703" s="264"/>
    </row>
    <row r="704">
      <c r="B704" s="264"/>
    </row>
    <row r="705">
      <c r="B705" s="264"/>
    </row>
    <row r="706">
      <c r="B706" s="264"/>
    </row>
    <row r="707">
      <c r="B707" s="264"/>
    </row>
    <row r="708">
      <c r="B708" s="264"/>
    </row>
    <row r="709">
      <c r="B709" s="264"/>
    </row>
    <row r="710">
      <c r="B710" s="264"/>
    </row>
    <row r="711">
      <c r="B711" s="264"/>
    </row>
    <row r="712">
      <c r="B712" s="264"/>
    </row>
    <row r="713">
      <c r="B713" s="264"/>
    </row>
    <row r="714">
      <c r="B714" s="264"/>
    </row>
    <row r="715">
      <c r="B715" s="264"/>
    </row>
    <row r="716">
      <c r="B716" s="264"/>
    </row>
    <row r="717">
      <c r="B717" s="264"/>
    </row>
    <row r="718">
      <c r="B718" s="264"/>
    </row>
    <row r="719">
      <c r="B719" s="264"/>
    </row>
    <row r="720">
      <c r="B720" s="264"/>
    </row>
    <row r="721">
      <c r="B721" s="264"/>
    </row>
    <row r="722">
      <c r="B722" s="264"/>
    </row>
    <row r="723">
      <c r="B723" s="264"/>
    </row>
    <row r="724">
      <c r="B724" s="264"/>
    </row>
    <row r="725">
      <c r="B725" s="264"/>
    </row>
    <row r="726">
      <c r="B726" s="264"/>
    </row>
    <row r="727">
      <c r="B727" s="264"/>
    </row>
    <row r="728">
      <c r="B728" s="264"/>
    </row>
    <row r="729">
      <c r="B729" s="264"/>
    </row>
    <row r="730">
      <c r="B730" s="264"/>
    </row>
    <row r="731">
      <c r="B731" s="264"/>
    </row>
    <row r="732">
      <c r="B732" s="264"/>
    </row>
    <row r="733">
      <c r="B733" s="264"/>
    </row>
    <row r="734">
      <c r="B734" s="264"/>
    </row>
    <row r="735">
      <c r="B735" s="264"/>
    </row>
    <row r="736">
      <c r="B736" s="264"/>
    </row>
    <row r="737">
      <c r="B737" s="264"/>
    </row>
    <row r="738">
      <c r="B738" s="264"/>
    </row>
    <row r="739">
      <c r="B739" s="264"/>
    </row>
    <row r="740">
      <c r="B740" s="264"/>
    </row>
    <row r="741">
      <c r="B741" s="264"/>
    </row>
    <row r="742">
      <c r="B742" s="264"/>
    </row>
    <row r="743">
      <c r="B743" s="264"/>
    </row>
    <row r="744">
      <c r="B744" s="264"/>
    </row>
    <row r="745">
      <c r="B745" s="264"/>
    </row>
    <row r="746">
      <c r="B746" s="264"/>
    </row>
    <row r="747">
      <c r="B747" s="264"/>
    </row>
    <row r="748">
      <c r="B748" s="264"/>
    </row>
    <row r="749">
      <c r="B749" s="264"/>
    </row>
    <row r="750">
      <c r="B750" s="264"/>
    </row>
    <row r="751">
      <c r="B751" s="264"/>
    </row>
    <row r="752">
      <c r="B752" s="264"/>
    </row>
    <row r="753">
      <c r="B753" s="264"/>
    </row>
    <row r="754">
      <c r="B754" s="264"/>
    </row>
    <row r="755">
      <c r="B755" s="264"/>
    </row>
    <row r="756">
      <c r="B756" s="264"/>
    </row>
    <row r="757">
      <c r="B757" s="264"/>
    </row>
    <row r="758">
      <c r="B758" s="264"/>
    </row>
    <row r="759">
      <c r="B759" s="264"/>
    </row>
    <row r="760">
      <c r="B760" s="264"/>
    </row>
    <row r="761">
      <c r="B761" s="264"/>
    </row>
    <row r="762">
      <c r="B762" s="264"/>
    </row>
    <row r="763">
      <c r="B763" s="264"/>
    </row>
    <row r="764">
      <c r="B764" s="264"/>
    </row>
    <row r="765">
      <c r="B765" s="264"/>
    </row>
    <row r="766">
      <c r="B766" s="264"/>
    </row>
    <row r="767">
      <c r="B767" s="264"/>
    </row>
    <row r="768">
      <c r="B768" s="264"/>
    </row>
    <row r="769">
      <c r="B769" s="264"/>
    </row>
    <row r="770">
      <c r="B770" s="264"/>
    </row>
    <row r="771">
      <c r="B771" s="264"/>
    </row>
    <row r="772">
      <c r="B772" s="264"/>
    </row>
    <row r="773">
      <c r="B773" s="264"/>
    </row>
    <row r="774">
      <c r="B774" s="264"/>
    </row>
    <row r="775">
      <c r="B775" s="264"/>
    </row>
    <row r="776">
      <c r="B776" s="264"/>
    </row>
    <row r="777">
      <c r="B777" s="264"/>
    </row>
    <row r="778">
      <c r="B778" s="264"/>
    </row>
    <row r="779">
      <c r="B779" s="264"/>
    </row>
    <row r="780">
      <c r="B780" s="264"/>
    </row>
    <row r="781">
      <c r="B781" s="264"/>
    </row>
    <row r="782">
      <c r="B782" s="264"/>
    </row>
    <row r="783">
      <c r="B783" s="264"/>
    </row>
    <row r="784">
      <c r="B784" s="264"/>
    </row>
    <row r="785">
      <c r="B785" s="264"/>
    </row>
    <row r="786">
      <c r="B786" s="264"/>
    </row>
    <row r="787">
      <c r="B787" s="264"/>
    </row>
    <row r="788">
      <c r="B788" s="264"/>
    </row>
    <row r="789">
      <c r="B789" s="264"/>
    </row>
    <row r="790">
      <c r="B790" s="264"/>
    </row>
    <row r="791">
      <c r="B791" s="264"/>
    </row>
    <row r="792">
      <c r="B792" s="264"/>
    </row>
    <row r="793">
      <c r="B793" s="264"/>
    </row>
    <row r="794">
      <c r="B794" s="264"/>
    </row>
    <row r="795">
      <c r="B795" s="264"/>
    </row>
    <row r="796">
      <c r="B796" s="264"/>
    </row>
    <row r="797">
      <c r="B797" s="264"/>
    </row>
    <row r="798">
      <c r="B798" s="264"/>
    </row>
    <row r="799">
      <c r="B799" s="264"/>
    </row>
    <row r="800">
      <c r="B800" s="264"/>
    </row>
    <row r="801">
      <c r="B801" s="264"/>
    </row>
    <row r="802">
      <c r="B802" s="264"/>
    </row>
    <row r="803">
      <c r="B803" s="264"/>
    </row>
    <row r="804">
      <c r="B804" s="264"/>
    </row>
    <row r="805">
      <c r="B805" s="264"/>
    </row>
    <row r="806">
      <c r="B806" s="264"/>
    </row>
    <row r="807">
      <c r="B807" s="264"/>
    </row>
    <row r="808">
      <c r="B808" s="264"/>
    </row>
    <row r="809">
      <c r="B809" s="264"/>
    </row>
    <row r="810">
      <c r="B810" s="264"/>
    </row>
    <row r="811">
      <c r="B811" s="264"/>
    </row>
    <row r="812">
      <c r="B812" s="264"/>
    </row>
    <row r="813">
      <c r="B813" s="264"/>
    </row>
    <row r="814">
      <c r="B814" s="264"/>
    </row>
    <row r="815">
      <c r="B815" s="264"/>
    </row>
    <row r="816">
      <c r="B816" s="264"/>
    </row>
    <row r="817">
      <c r="B817" s="264"/>
    </row>
    <row r="818">
      <c r="B818" s="264"/>
    </row>
    <row r="819">
      <c r="B819" s="264"/>
    </row>
    <row r="820">
      <c r="B820" s="264"/>
    </row>
    <row r="821">
      <c r="B821" s="264"/>
    </row>
    <row r="822">
      <c r="B822" s="264"/>
    </row>
    <row r="823">
      <c r="B823" s="264"/>
    </row>
    <row r="824">
      <c r="B824" s="264"/>
    </row>
    <row r="825">
      <c r="B825" s="264"/>
    </row>
    <row r="826">
      <c r="B826" s="264"/>
    </row>
    <row r="827">
      <c r="B827" s="264"/>
    </row>
    <row r="828">
      <c r="B828" s="264"/>
    </row>
    <row r="829">
      <c r="B829" s="264"/>
    </row>
    <row r="830">
      <c r="B830" s="264"/>
    </row>
    <row r="831">
      <c r="B831" s="264"/>
    </row>
    <row r="832">
      <c r="B832" s="264"/>
    </row>
    <row r="833">
      <c r="B833" s="264"/>
    </row>
    <row r="834">
      <c r="B834" s="264"/>
    </row>
    <row r="835">
      <c r="B835" s="264"/>
    </row>
    <row r="836">
      <c r="B836" s="264"/>
    </row>
    <row r="837">
      <c r="B837" s="264"/>
    </row>
    <row r="838">
      <c r="B838" s="264"/>
    </row>
    <row r="839">
      <c r="B839" s="264"/>
    </row>
    <row r="840">
      <c r="B840" s="264"/>
    </row>
    <row r="841">
      <c r="B841" s="264"/>
    </row>
    <row r="842">
      <c r="B842" s="264"/>
    </row>
    <row r="843">
      <c r="B843" s="264"/>
    </row>
    <row r="844">
      <c r="B844" s="264"/>
    </row>
    <row r="845">
      <c r="B845" s="264"/>
    </row>
    <row r="846">
      <c r="B846" s="264"/>
    </row>
    <row r="847">
      <c r="B847" s="264"/>
    </row>
    <row r="848">
      <c r="B848" s="264"/>
    </row>
    <row r="849">
      <c r="B849" s="264"/>
    </row>
    <row r="850">
      <c r="B850" s="264"/>
    </row>
    <row r="851">
      <c r="B851" s="264"/>
    </row>
    <row r="852">
      <c r="B852" s="264"/>
    </row>
    <row r="853">
      <c r="B853" s="264"/>
    </row>
    <row r="854">
      <c r="B854" s="264"/>
    </row>
    <row r="855">
      <c r="B855" s="264"/>
    </row>
    <row r="856">
      <c r="B856" s="264"/>
    </row>
    <row r="857">
      <c r="B857" s="264"/>
    </row>
    <row r="858">
      <c r="B858" s="264"/>
    </row>
    <row r="859">
      <c r="B859" s="264"/>
    </row>
    <row r="860">
      <c r="B860" s="264"/>
    </row>
    <row r="861">
      <c r="B861" s="264"/>
    </row>
    <row r="862">
      <c r="B862" s="264"/>
    </row>
    <row r="863">
      <c r="B863" s="264"/>
    </row>
    <row r="864">
      <c r="B864" s="264"/>
    </row>
    <row r="865">
      <c r="B865" s="264"/>
    </row>
    <row r="866">
      <c r="B866" s="264"/>
    </row>
    <row r="867">
      <c r="B867" s="264"/>
    </row>
    <row r="868">
      <c r="B868" s="264"/>
    </row>
    <row r="869">
      <c r="B869" s="264"/>
    </row>
    <row r="870">
      <c r="B870" s="264"/>
    </row>
    <row r="871">
      <c r="B871" s="264"/>
    </row>
    <row r="872">
      <c r="B872" s="264"/>
    </row>
    <row r="873">
      <c r="B873" s="264"/>
    </row>
    <row r="874">
      <c r="B874" s="264"/>
    </row>
    <row r="875">
      <c r="B875" s="264"/>
    </row>
    <row r="876">
      <c r="B876" s="264"/>
    </row>
    <row r="877">
      <c r="B877" s="264"/>
    </row>
    <row r="878">
      <c r="B878" s="264"/>
    </row>
    <row r="879">
      <c r="B879" s="264"/>
    </row>
    <row r="880">
      <c r="B880" s="264"/>
    </row>
    <row r="881">
      <c r="B881" s="264"/>
    </row>
    <row r="882">
      <c r="B882" s="264"/>
    </row>
    <row r="883">
      <c r="B883" s="264"/>
    </row>
    <row r="884">
      <c r="B884" s="264"/>
    </row>
    <row r="885">
      <c r="B885" s="264"/>
    </row>
    <row r="886">
      <c r="B886" s="264"/>
    </row>
    <row r="887">
      <c r="B887" s="264"/>
    </row>
    <row r="888">
      <c r="B888" s="264"/>
    </row>
    <row r="889">
      <c r="B889" s="264"/>
    </row>
    <row r="890">
      <c r="B890" s="264"/>
    </row>
    <row r="891">
      <c r="B891" s="264"/>
    </row>
    <row r="892">
      <c r="B892" s="264"/>
    </row>
    <row r="893">
      <c r="B893" s="264"/>
    </row>
    <row r="894">
      <c r="B894" s="264"/>
    </row>
    <row r="895">
      <c r="B895" s="264"/>
    </row>
    <row r="896">
      <c r="B896" s="264"/>
    </row>
    <row r="897">
      <c r="B897" s="264"/>
    </row>
    <row r="898">
      <c r="B898" s="264"/>
    </row>
    <row r="899">
      <c r="B899" s="264"/>
    </row>
    <row r="900">
      <c r="B900" s="264"/>
    </row>
    <row r="901">
      <c r="B901" s="264"/>
    </row>
    <row r="902">
      <c r="B902" s="264"/>
    </row>
    <row r="903">
      <c r="B903" s="264"/>
    </row>
    <row r="904">
      <c r="B904" s="264"/>
    </row>
    <row r="905">
      <c r="B905" s="264"/>
    </row>
    <row r="906">
      <c r="B906" s="264"/>
    </row>
    <row r="907">
      <c r="B907" s="264"/>
    </row>
    <row r="908">
      <c r="B908" s="264"/>
    </row>
    <row r="909">
      <c r="B909" s="264"/>
    </row>
    <row r="910">
      <c r="B910" s="264"/>
    </row>
    <row r="911">
      <c r="B911" s="264"/>
    </row>
    <row r="912">
      <c r="B912" s="264"/>
    </row>
    <row r="913">
      <c r="B913" s="264"/>
    </row>
    <row r="914">
      <c r="B914" s="264"/>
    </row>
    <row r="915">
      <c r="B915" s="264"/>
    </row>
    <row r="916">
      <c r="B916" s="264"/>
    </row>
    <row r="917">
      <c r="B917" s="264"/>
    </row>
    <row r="918">
      <c r="B918" s="264"/>
    </row>
    <row r="919">
      <c r="B919" s="264"/>
    </row>
    <row r="920">
      <c r="B920" s="264"/>
    </row>
    <row r="921">
      <c r="B921" s="264"/>
    </row>
    <row r="922">
      <c r="B922" s="264"/>
    </row>
    <row r="923">
      <c r="B923" s="264"/>
    </row>
    <row r="924">
      <c r="B924" s="264"/>
    </row>
    <row r="925">
      <c r="B925" s="264"/>
    </row>
    <row r="926">
      <c r="B926" s="264"/>
    </row>
    <row r="927">
      <c r="B927" s="264"/>
    </row>
    <row r="928">
      <c r="B928" s="264"/>
    </row>
    <row r="929">
      <c r="B929" s="264"/>
    </row>
    <row r="930">
      <c r="B930" s="264"/>
    </row>
    <row r="931">
      <c r="B931" s="264"/>
    </row>
    <row r="932">
      <c r="B932" s="264"/>
    </row>
    <row r="933">
      <c r="B933" s="264"/>
    </row>
    <row r="934">
      <c r="B934" s="264"/>
    </row>
    <row r="935">
      <c r="B935" s="264"/>
    </row>
    <row r="936">
      <c r="B936" s="264"/>
    </row>
    <row r="937">
      <c r="B937" s="264"/>
    </row>
    <row r="938">
      <c r="B938" s="264"/>
    </row>
    <row r="939">
      <c r="B939" s="264"/>
    </row>
    <row r="940">
      <c r="B940" s="264"/>
    </row>
    <row r="941">
      <c r="B941" s="264"/>
    </row>
    <row r="942">
      <c r="B942" s="264"/>
    </row>
    <row r="943">
      <c r="B943" s="264"/>
    </row>
    <row r="944">
      <c r="B944" s="264"/>
    </row>
    <row r="945">
      <c r="B945" s="264"/>
    </row>
    <row r="946">
      <c r="B946" s="264"/>
    </row>
    <row r="947">
      <c r="B947" s="264"/>
    </row>
    <row r="948">
      <c r="B948" s="264"/>
    </row>
    <row r="949">
      <c r="B949" s="264"/>
    </row>
    <row r="950">
      <c r="B950" s="264"/>
    </row>
    <row r="951">
      <c r="B951" s="264"/>
    </row>
    <row r="952">
      <c r="B952" s="264"/>
    </row>
    <row r="953">
      <c r="B953" s="264"/>
    </row>
    <row r="954">
      <c r="B954" s="264"/>
    </row>
    <row r="955">
      <c r="B955" s="264"/>
    </row>
    <row r="956">
      <c r="B956" s="264"/>
    </row>
    <row r="957">
      <c r="B957" s="264"/>
    </row>
    <row r="958">
      <c r="B958" s="264"/>
    </row>
    <row r="959">
      <c r="B959" s="264"/>
    </row>
    <row r="960">
      <c r="B960" s="264"/>
    </row>
    <row r="961">
      <c r="B961" s="264"/>
    </row>
    <row r="962">
      <c r="B962" s="264"/>
    </row>
    <row r="963">
      <c r="B963" s="264"/>
    </row>
    <row r="964">
      <c r="B964" s="264"/>
    </row>
    <row r="965">
      <c r="B965" s="264"/>
    </row>
    <row r="966">
      <c r="B966" s="264"/>
    </row>
    <row r="967">
      <c r="B967" s="264"/>
    </row>
    <row r="968">
      <c r="B968" s="264"/>
    </row>
    <row r="969">
      <c r="B969" s="264"/>
    </row>
    <row r="970">
      <c r="B970" s="264"/>
    </row>
    <row r="971">
      <c r="B971" s="264"/>
    </row>
    <row r="972">
      <c r="B972" s="264"/>
    </row>
    <row r="973">
      <c r="B973" s="264"/>
    </row>
    <row r="974">
      <c r="B974" s="264"/>
    </row>
    <row r="975">
      <c r="B975" s="264"/>
    </row>
    <row r="976">
      <c r="B976" s="264"/>
    </row>
    <row r="977">
      <c r="B977" s="264"/>
    </row>
    <row r="978">
      <c r="B978" s="264"/>
    </row>
    <row r="979">
      <c r="B979" s="264"/>
    </row>
    <row r="980">
      <c r="B980" s="264"/>
    </row>
    <row r="981">
      <c r="B981" s="264"/>
    </row>
    <row r="982">
      <c r="B982" s="264"/>
    </row>
    <row r="983">
      <c r="B983" s="264"/>
    </row>
    <row r="984">
      <c r="B984" s="264"/>
    </row>
    <row r="985">
      <c r="B985" s="264"/>
    </row>
    <row r="986">
      <c r="B986" s="264"/>
    </row>
    <row r="987">
      <c r="B987" s="264"/>
    </row>
    <row r="988">
      <c r="B988" s="264"/>
    </row>
    <row r="989">
      <c r="B989" s="264"/>
    </row>
    <row r="990">
      <c r="B990" s="264"/>
    </row>
    <row r="991">
      <c r="B991" s="264"/>
    </row>
    <row r="992">
      <c r="B992" s="264"/>
    </row>
    <row r="993">
      <c r="B993" s="264"/>
    </row>
    <row r="994">
      <c r="B994" s="264"/>
    </row>
    <row r="995">
      <c r="B995" s="264"/>
    </row>
    <row r="996">
      <c r="B996" s="264"/>
    </row>
    <row r="997">
      <c r="B997" s="264"/>
    </row>
    <row r="998">
      <c r="B998" s="264"/>
    </row>
    <row r="999">
      <c r="B999" s="264"/>
    </row>
    <row r="1000">
      <c r="B1000" s="264"/>
    </row>
    <row r="1001">
      <c r="B1001" s="264"/>
    </row>
    <row r="1002">
      <c r="B1002" s="264"/>
    </row>
    <row r="1003">
      <c r="B1003" s="264"/>
    </row>
    <row r="1004">
      <c r="B1004" s="264"/>
    </row>
    <row r="1005">
      <c r="B1005" s="264"/>
    </row>
  </sheetData>
  <autoFilter ref="$K$1:$M$55">
    <sortState ref="K1:M55">
      <sortCondition ref="L1:L55"/>
    </sortState>
  </autoFilter>
  <mergeCells count="2">
    <mergeCell ref="A1:C1"/>
    <mergeCell ref="F1:G1"/>
  </mergeCells>
  <drawing r:id="rId1"/>
</worksheet>
</file>